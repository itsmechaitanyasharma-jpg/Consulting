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mpany Ranking" sheetId="2" state="visible" r:id="rId4"/>
    <sheet name="Company Priority" sheetId="3" state="visible" r:id="rId5"/>
    <sheet name="Inputs" sheetId="4" state="visible" r:id="rId6"/>
    <sheet name="Country Tiers" sheetId="5" state="visible" r:id="rId7"/>
    <sheet name="API Data" sheetId="6" state="visible" r:id="rId8"/>
    <sheet name="Market Listing" sheetId="7" state="visible" r:id="rId9"/>
    <sheet name="Product Rows" sheetId="8" state="visible" r:id="rId10"/>
  </sheets>
  <definedNames>
    <definedName function="false" hidden="true" localSheetId="2" name="_xlnm._FilterDatabase" vbProcedure="false">'Company Priority'!$A$4:$Q$194</definedName>
    <definedName function="false" hidden="true" localSheetId="1" name="_xlnm._FilterDatabase" vbProcedure="false">'Company Ranking'!$A$4:$K$23</definedName>
    <definedName function="false" hidden="true" localSheetId="0" name="_xlnm._FilterDatabase" vbProcedure="false">Scoring!$A$4:$AF$337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<sst xmlns="http://schemas.openxmlformats.org/spreadsheetml/2006/main" count="19458" uniqueCount="1558">
  <si>
    <t xml:space="preserve">SurTrac co-packaging opportunity score – Drug (API) × Company</t>
  </si>
  <si>
    <t xml:space="preserve">Composite = weighted percentile scores (Inputs tab: 50% value, 50% volume). Filters (cols V–AA) decide eligibility; ranks are within each company.</t>
  </si>
  <si>
    <t xml:space="preserve">Rank</t>
  </si>
  <si>
    <t xml:space="preserve">Active Ingredient</t>
  </si>
  <si>
    <t xml:space="preserve">Company</t>
  </si>
  <si>
    <t xml:space="preserve">Therapeutic area – main use</t>
  </si>
  <si>
    <t xml:space="preserve">Markets listed</t>
  </si>
  <si>
    <t xml:space="preserve">Tier 1 markets</t>
  </si>
  <si>
    <t xml:space="preserve">Tier 2 markets</t>
  </si>
  <si>
    <t xml:space="preserve">Tier 3 markets</t>
  </si>
  <si>
    <t xml:space="preserve">Market reach (tier points)</t>
  </si>
  <si>
    <t xml:space="preserve">Presentations</t>
  </si>
  <si>
    <t xml:space="preserve">Vial</t>
  </si>
  <si>
    <t xml:space="preserve">Ampoule</t>
  </si>
  <si>
    <t xml:space="preserve">Prefilled syringe/pen</t>
  </si>
  <si>
    <t xml:space="preserve">Avg price (USD / presentation)</t>
  </si>
  <si>
    <t xml:space="preserve">Injectable-adjusted export ('000 USD)</t>
  </si>
  <si>
    <t xml:space="preserve">Target companies with API</t>
  </si>
  <si>
    <t xml:space="preserve">Score: reach</t>
  </si>
  <si>
    <t xml:space="preserve">Score: price</t>
  </si>
  <si>
    <t xml:space="preserve">Score: volume</t>
  </si>
  <si>
    <t xml:space="preserve">Score: breadth</t>
  </si>
  <si>
    <t xml:space="preserve">Composite score</t>
  </si>
  <si>
    <t xml:space="preserve">Has Tier 1 market</t>
  </si>
  <si>
    <t xml:space="preserve">Price ≥ threshold</t>
  </si>
  <si>
    <t xml:space="preserve">Vial / ampoule available</t>
  </si>
  <si>
    <t xml:space="preserve">Cytotoxic</t>
  </si>
  <si>
    <t xml:space="preserve">Needs reconstitution</t>
  </si>
  <si>
    <t xml:space="preserve">Crowded molecule</t>
  </si>
  <si>
    <t xml:space="preserve">Eligible</t>
  </si>
  <si>
    <t xml:space="preserve">Rank within company</t>
  </si>
  <si>
    <t xml:space="preserve">Priority bucket</t>
  </si>
  <si>
    <t xml:space="preserve">Pitch angle</t>
  </si>
  <si>
    <t xml:space="preserve">Key</t>
  </si>
  <si>
    <t xml:space="preserve">Acetazolamide</t>
  </si>
  <si>
    <t xml:space="preserve">Emcure Pharmaceuticals</t>
  </si>
  <si>
    <t xml:space="preserve">Zydus Lifesciences</t>
  </si>
  <si>
    <t xml:space="preserve">Adenosine</t>
  </si>
  <si>
    <t xml:space="preserve">Wockhardt</t>
  </si>
  <si>
    <t xml:space="preserve">Alfentanil</t>
  </si>
  <si>
    <t xml:space="preserve">Lupin</t>
  </si>
  <si>
    <t xml:space="preserve">Piramal Pharma</t>
  </si>
  <si>
    <t xml:space="preserve">Amikacin</t>
  </si>
  <si>
    <t xml:space="preserve">Amiodarone</t>
  </si>
  <si>
    <t xml:space="preserve">Intas Pharmaceuticals</t>
  </si>
  <si>
    <t xml:space="preserve">Amoxicillin</t>
  </si>
  <si>
    <t xml:space="preserve">Ampicillin</t>
  </si>
  <si>
    <t xml:space="preserve">Aurobindo Pharma</t>
  </si>
  <si>
    <t xml:space="preserve">Argatroban</t>
  </si>
  <si>
    <t xml:space="preserve">Aripiprazole</t>
  </si>
  <si>
    <t xml:space="preserve">Sun Pharma</t>
  </si>
  <si>
    <t xml:space="preserve">Atracurium</t>
  </si>
  <si>
    <t xml:space="preserve">Atropine</t>
  </si>
  <si>
    <t xml:space="preserve">Azacitidine</t>
  </si>
  <si>
    <t xml:space="preserve">Cipla</t>
  </si>
  <si>
    <t xml:space="preserve">Dr. Reddy's Laboratories</t>
  </si>
  <si>
    <t xml:space="preserve">Glenmark Pharmaceuticals</t>
  </si>
  <si>
    <t xml:space="preserve">Hetero Labs</t>
  </si>
  <si>
    <t xml:space="preserve">Baclofen</t>
  </si>
  <si>
    <t xml:space="preserve">Bivalirudin</t>
  </si>
  <si>
    <t xml:space="preserve">Bleomycin</t>
  </si>
  <si>
    <t xml:space="preserve">Venus Remedies</t>
  </si>
  <si>
    <t xml:space="preserve">Bortezomib</t>
  </si>
  <si>
    <t xml:space="preserve">MSN Laboratories</t>
  </si>
  <si>
    <t xml:space="preserve">Brivaracetam</t>
  </si>
  <si>
    <t xml:space="preserve">Micro Labs</t>
  </si>
  <si>
    <t xml:space="preserve">Bupivacaine</t>
  </si>
  <si>
    <t xml:space="preserve">OneSource Specialty Pharma</t>
  </si>
  <si>
    <t xml:space="preserve">Caffeine</t>
  </si>
  <si>
    <t xml:space="preserve">Carboprost</t>
  </si>
  <si>
    <t xml:space="preserve">Alembic Pharmaceuticals</t>
  </si>
  <si>
    <t xml:space="preserve">Cefazolin</t>
  </si>
  <si>
    <t xml:space="preserve">Cefepime</t>
  </si>
  <si>
    <t xml:space="preserve">Strides Pharma Science</t>
  </si>
  <si>
    <t xml:space="preserve">Ceftazidime</t>
  </si>
  <si>
    <t xml:space="preserve">Ceftriaxone</t>
  </si>
  <si>
    <t xml:space="preserve">Chlorothiazide</t>
  </si>
  <si>
    <t xml:space="preserve">Chlorphenamine</t>
  </si>
  <si>
    <t xml:space="preserve">Chlorpromazine</t>
  </si>
  <si>
    <t xml:space="preserve">Cisatracurium</t>
  </si>
  <si>
    <t xml:space="preserve">Colistimethate Sodium</t>
  </si>
  <si>
    <t xml:space="preserve">Cyanocobalamin</t>
  </si>
  <si>
    <t xml:space="preserve">Cyclizine</t>
  </si>
  <si>
    <t xml:space="preserve">Cyclophosphamide</t>
  </si>
  <si>
    <t xml:space="preserve">Cytarabine</t>
  </si>
  <si>
    <t xml:space="preserve">Dactinomycin</t>
  </si>
  <si>
    <t xml:space="preserve">Daptomycin</t>
  </si>
  <si>
    <t xml:space="preserve">Degarelix</t>
  </si>
  <si>
    <t xml:space="preserve">Denosumab</t>
  </si>
  <si>
    <t xml:space="preserve">Desmopressin</t>
  </si>
  <si>
    <t xml:space="preserve">Diazepam</t>
  </si>
  <si>
    <t xml:space="preserve">Diphenhydramine</t>
  </si>
  <si>
    <t xml:space="preserve">Doxorubicin</t>
  </si>
  <si>
    <t xml:space="preserve">Droperidol</t>
  </si>
  <si>
    <t xml:space="preserve">Elemental Iron</t>
  </si>
  <si>
    <t xml:space="preserve">Ephedrine</t>
  </si>
  <si>
    <t xml:space="preserve">Epinephrine (Adrenaline)</t>
  </si>
  <si>
    <t xml:space="preserve">Epirubicin</t>
  </si>
  <si>
    <t xml:space="preserve">Eptifibatide</t>
  </si>
  <si>
    <t xml:space="preserve">Eribulin</t>
  </si>
  <si>
    <t xml:space="preserve">Ertapenem</t>
  </si>
  <si>
    <t xml:space="preserve">Esmolol</t>
  </si>
  <si>
    <t xml:space="preserve">Esomeprazole</t>
  </si>
  <si>
    <t xml:space="preserve">Ethacrynate Sodium</t>
  </si>
  <si>
    <t xml:space="preserve">Etomidate</t>
  </si>
  <si>
    <t xml:space="preserve">Famotidine</t>
  </si>
  <si>
    <t xml:space="preserve">Fentanyl</t>
  </si>
  <si>
    <t xml:space="preserve">Ferric Carboxymaltose</t>
  </si>
  <si>
    <t xml:space="preserve">Flucloxacillin</t>
  </si>
  <si>
    <t xml:space="preserve">Fludarabine Phosphate</t>
  </si>
  <si>
    <t xml:space="preserve">Fluorescein Sodium</t>
  </si>
  <si>
    <t xml:space="preserve">Fluorouracil</t>
  </si>
  <si>
    <t xml:space="preserve">Fluphenazine Decanoate</t>
  </si>
  <si>
    <t xml:space="preserve">Folinic Acid (Leucovorin)</t>
  </si>
  <si>
    <t xml:space="preserve">Fulvestrant</t>
  </si>
  <si>
    <t xml:space="preserve">Torrent Pharmaceuticals</t>
  </si>
  <si>
    <t xml:space="preserve">Gadobutrol</t>
  </si>
  <si>
    <t xml:space="preserve">Glycopyrrolate</t>
  </si>
  <si>
    <t xml:space="preserve">Granisetron</t>
  </si>
  <si>
    <t xml:space="preserve">Haloperidol</t>
  </si>
  <si>
    <t xml:space="preserve">Haloperidol Decanoate</t>
  </si>
  <si>
    <t xml:space="preserve">Hyaluronidase</t>
  </si>
  <si>
    <t xml:space="preserve">Hydralazine</t>
  </si>
  <si>
    <t xml:space="preserve">Hydrocortisone</t>
  </si>
  <si>
    <t xml:space="preserve">Hydroxocobalamin</t>
  </si>
  <si>
    <t xml:space="preserve">Hyoscine Hydrobromide</t>
  </si>
  <si>
    <t xml:space="preserve">Ibandronic Acid</t>
  </si>
  <si>
    <t xml:space="preserve">Idarubicin</t>
  </si>
  <si>
    <t xml:space="preserve">Indocyanine Green</t>
  </si>
  <si>
    <t xml:space="preserve">Iron Sucrose</t>
  </si>
  <si>
    <t xml:space="preserve">Isoprenaline (Isoproterenol)</t>
  </si>
  <si>
    <t xml:space="preserve">Lanreotide</t>
  </si>
  <si>
    <t xml:space="preserve">Leuprorelin</t>
  </si>
  <si>
    <t xml:space="preserve">Levetiracetam</t>
  </si>
  <si>
    <t xml:space="preserve">Lidocaine</t>
  </si>
  <si>
    <t xml:space="preserve">Lincomycin</t>
  </si>
  <si>
    <t xml:space="preserve">Magnesium Sulfate</t>
  </si>
  <si>
    <t xml:space="preserve">Measles Vaccine</t>
  </si>
  <si>
    <t xml:space="preserve">Medroxyprogesterone Acetate</t>
  </si>
  <si>
    <t xml:space="preserve">Melphalan</t>
  </si>
  <si>
    <t xml:space="preserve">Meropenem</t>
  </si>
  <si>
    <t xml:space="preserve">Mesna</t>
  </si>
  <si>
    <t xml:space="preserve">Metaraminol</t>
  </si>
  <si>
    <t xml:space="preserve">Methohexital</t>
  </si>
  <si>
    <t xml:space="preserve">Methotrexate</t>
  </si>
  <si>
    <t xml:space="preserve">Methylprednisolone Acetate</t>
  </si>
  <si>
    <t xml:space="preserve">Midazolam</t>
  </si>
  <si>
    <t xml:space="preserve">Milrinone</t>
  </si>
  <si>
    <t xml:space="preserve">Mitomycin</t>
  </si>
  <si>
    <t xml:space="preserve">Mitoxantrone</t>
  </si>
  <si>
    <t xml:space="preserve">Morphine</t>
  </si>
  <si>
    <t xml:space="preserve">Nafcillin</t>
  </si>
  <si>
    <t xml:space="preserve">Naloxone</t>
  </si>
  <si>
    <t xml:space="preserve">Neostigmine</t>
  </si>
  <si>
    <t xml:space="preserve">Octreotide</t>
  </si>
  <si>
    <t xml:space="preserve">Olanzapine</t>
  </si>
  <si>
    <t xml:space="preserve">Ondansetron</t>
  </si>
  <si>
    <t xml:space="preserve">Oxacillin</t>
  </si>
  <si>
    <t xml:space="preserve">Oxytocin</t>
  </si>
  <si>
    <t xml:space="preserve">Paclitaxel</t>
  </si>
  <si>
    <t xml:space="preserve">Paliperidone</t>
  </si>
  <si>
    <t xml:space="preserve">Palonosetron</t>
  </si>
  <si>
    <t xml:space="preserve">Pantoprazole</t>
  </si>
  <si>
    <t xml:space="preserve">Paricalcitol</t>
  </si>
  <si>
    <t xml:space="preserve">Pegfilgrastim</t>
  </si>
  <si>
    <t xml:space="preserve">Pentamidine</t>
  </si>
  <si>
    <t xml:space="preserve">Phenylephrine</t>
  </si>
  <si>
    <t xml:space="preserve">Phenytoin</t>
  </si>
  <si>
    <t xml:space="preserve">Phytonadione</t>
  </si>
  <si>
    <t xml:space="preserve">Piperacillin + Tazobactam</t>
  </si>
  <si>
    <t xml:space="preserve">Plerixafor</t>
  </si>
  <si>
    <t xml:space="preserve">Progesterone</t>
  </si>
  <si>
    <t xml:space="preserve">Propofol</t>
  </si>
  <si>
    <t xml:space="preserve">Protamine</t>
  </si>
  <si>
    <t xml:space="preserve">Ranibizumab</t>
  </si>
  <si>
    <t xml:space="preserve">Regadenoson</t>
  </si>
  <si>
    <t xml:space="preserve">Remifentanil</t>
  </si>
  <si>
    <t xml:space="preserve">Rocuronium</t>
  </si>
  <si>
    <t xml:space="preserve">Ropivacaine</t>
  </si>
  <si>
    <t xml:space="preserve">Sildenafil</t>
  </si>
  <si>
    <t xml:space="preserve">Sodium Bicarbonate</t>
  </si>
  <si>
    <t xml:space="preserve">Sodium Valproate</t>
  </si>
  <si>
    <t xml:space="preserve">Streptokinase</t>
  </si>
  <si>
    <t xml:space="preserve">Succinylcholine (Suxamethonium)</t>
  </si>
  <si>
    <t xml:space="preserve">Sugammadex</t>
  </si>
  <si>
    <t xml:space="preserve">Teicoplanin</t>
  </si>
  <si>
    <t xml:space="preserve">Terlipressin</t>
  </si>
  <si>
    <t xml:space="preserve">Testosterone Cypionate</t>
  </si>
  <si>
    <t xml:space="preserve">Testosterone Enanthate</t>
  </si>
  <si>
    <t xml:space="preserve">Testosterone Undecanoate</t>
  </si>
  <si>
    <t xml:space="preserve">Thiotepa</t>
  </si>
  <si>
    <t xml:space="preserve">Tigecycline</t>
  </si>
  <si>
    <t xml:space="preserve">Tirofiban</t>
  </si>
  <si>
    <t xml:space="preserve">Tranexamic Acid</t>
  </si>
  <si>
    <t xml:space="preserve">Trastuzumab</t>
  </si>
  <si>
    <t xml:space="preserve">Triamcinolone Acetonide</t>
  </si>
  <si>
    <t xml:space="preserve">Ustekinumab</t>
  </si>
  <si>
    <t xml:space="preserve">Vancomycin</t>
  </si>
  <si>
    <t xml:space="preserve">Vecuronium</t>
  </si>
  <si>
    <t xml:space="preserve">Verapamil</t>
  </si>
  <si>
    <t xml:space="preserve">Vinblastine</t>
  </si>
  <si>
    <t xml:space="preserve">Vincristine</t>
  </si>
  <si>
    <t xml:space="preserve">Vinorelbine</t>
  </si>
  <si>
    <t xml:space="preserve">Voriconazole</t>
  </si>
  <si>
    <t xml:space="preserve">Notes</t>
  </si>
  <si>
    <t xml:space="preserve">Market reach uses Shortlist (5): one record per API × company × country. EU/EEA countries are where the molecule is authorised by any holder (molecule-level reach), not confirmed company-level listings – verify for priority drugs.</t>
  </si>
  <si>
    <t xml:space="preserve">Prefilled syringe/pen rows are kept (client instruction); the "Prefilled syringe/pen" column lets you filter or pitch them separately as safety-upgrade opportunities.</t>
  </si>
  <si>
    <t xml:space="preserve">Price is the average of listed prices across the company's presentations (USD per presentation as recorded in Shortlist 6); blank prices are excluded, and pairs with no price are scored on the other factors.</t>
  </si>
  <si>
    <t xml:space="preserve">Injectable-adjusted export is API-level (same for every company with that API). Target-company breadth is a sector-volume signal; set its weight to 0 if you prefer to reward less-crowded molecules.</t>
  </si>
  <si>
    <t xml:space="preserve">Company prioritisation (based on each company's Lead drugs)</t>
  </si>
  <si>
    <t xml:space="preserve">Company score = sum of composite scores of its Lead drugs (rewards both quality and having a full set of Lead drugs).</t>
  </si>
  <si>
    <t xml:space="preserve">Shortlisted drugs</t>
  </si>
  <si>
    <t xml:space="preserve">Eligible drugs</t>
  </si>
  <si>
    <t xml:space="preserve">Lead drugs</t>
  </si>
  <si>
    <t xml:space="preserve">Company score</t>
  </si>
  <si>
    <t xml:space="preserve">Avg Lead score</t>
  </si>
  <si>
    <t xml:space="preserve">Lead drugs in Tier 1 markets</t>
  </si>
  <si>
    <t xml:space="preserve">Lead drugs – injectable-adj. export ('000 USD)</t>
  </si>
  <si>
    <t xml:space="preserve">Lead drugs – avg price (USD)</t>
  </si>
  <si>
    <t xml:space="preserve">Lead drugs – prefilled-only</t>
  </si>
  <si>
    <t xml:space="preserve">Priority drugs by company (top Lead + Next-wave eligible drugs, ranked by composite score)</t>
  </si>
  <si>
    <t xml:space="preserve">Driven entirely by the Scoring tab and Inputs (weights, filters, bucket sizes).</t>
  </si>
  <si>
    <t xml:space="preserve">#</t>
  </si>
  <si>
    <t xml:space="preserve">Bucket</t>
  </si>
  <si>
    <t xml:space="preserve">Drug (API)</t>
  </si>
  <si>
    <t xml:space="preserve">Injectable-adj. export ('000 USD)</t>
  </si>
  <si>
    <t xml:space="preserve">Avg price (USD)</t>
  </si>
  <si>
    <t xml:space="preserve">Prefilled</t>
  </si>
  <si>
    <t xml:space="preserve">Reconstitution</t>
  </si>
  <si>
    <t xml:space="preserve">Crowded</t>
  </si>
  <si>
    <t xml:space="preserve">Inputs (edit yellow cells)</t>
  </si>
  <si>
    <t xml:space="preserve">Factor</t>
  </si>
  <si>
    <t xml:space="preserve">Weight</t>
  </si>
  <si>
    <t xml:space="preserve">What it measures</t>
  </si>
  <si>
    <t xml:space="preserve">Market reach</t>
  </si>
  <si>
    <t xml:space="preserve">Tier-weighted count of in-scope markets where the molecule is listed for this company (EU markets = molecule-level reach)</t>
  </si>
  <si>
    <t xml:space="preserve">Price per presentation</t>
  </si>
  <si>
    <t xml:space="preserve">Average listed price (USD) across the company's presentations of the API</t>
  </si>
  <si>
    <t xml:space="preserve">Injectable-adjusted export</t>
  </si>
  <si>
    <t xml:space="preserve">India API export × average injectable share (API-level volume proxy)</t>
  </si>
  <si>
    <t xml:space="preserve">Target-company breadth</t>
  </si>
  <si>
    <t xml:space="preserve">Number of the 19 target companies with this API (sector-wide syringe volume)</t>
  </si>
  <si>
    <t xml:space="preserve">Total</t>
  </si>
  <si>
    <t xml:space="preserve">Score = volume and value only (team guidance). Reach and breadth are kept at 0% and used as filters below. Scores re-normalise over factors with data.</t>
  </si>
  <si>
    <t xml:space="preserve">Tier points</t>
  </si>
  <si>
    <t xml:space="preserve">Tier 1</t>
  </si>
  <si>
    <t xml:space="preserve">Points per market by Country Regulations tier (user workbook). Used for Market reach.</t>
  </si>
  <si>
    <t xml:space="preserve">Tier 2</t>
  </si>
  <si>
    <t xml:space="preserve">Tier 3</t>
  </si>
  <si>
    <t xml:space="preserve">Filters</t>
  </si>
  <si>
    <t xml:space="preserve">Filter</t>
  </si>
  <si>
    <t xml:space="preserve">Mode (Exclude / Flag only)</t>
  </si>
  <si>
    <t xml:space="preserve">Rule / parameter</t>
  </si>
  <si>
    <t xml:space="preserve">Parameter</t>
  </si>
  <si>
    <t xml:space="preserve">Has a Tier 1 market</t>
  </si>
  <si>
    <t xml:space="preserve">Exclude</t>
  </si>
  <si>
    <t xml:space="preserve">Drug is listed for the company in ≥1 Tier 1 market (USA, UK, UK-NI, Germany, France, Netherlands, Belgium, Canada) – where SED mandates are strongest</t>
  </si>
  <si>
    <t xml:space="preserve">Price headroom</t>
  </si>
  <si>
    <t xml:space="preserve">Average price per presentation ≥ parameter (USD); pairs with no price pass but are flagged</t>
  </si>
  <si>
    <t xml:space="preserve">Flag only</t>
  </si>
  <si>
    <t xml:space="preserve">At least one vial or ampoule presentation (else prefilled-only → safety-upgrade pitch; client asked to keep these)</t>
  </si>
  <si>
    <t xml:space="preserve">Cytotoxic antineoplastic</t>
  </si>
  <si>
    <t xml:space="preserve">Classical cytotoxic – usually pharmacy-prepared under hazardous-drug handling (closed-system devices); check syringe compatibility</t>
  </si>
  <si>
    <t xml:space="preserve">Powder / lyophilised presentation – may need a second syringe or transfer device</t>
  </si>
  <si>
    <t xml:space="preserve">≥ parameter of the 19 target companies make it – differentiation motive (positive signal)</t>
  </si>
  <si>
    <t xml:space="preserve">Priority buckets</t>
  </si>
  <si>
    <t xml:space="preserve">Lead drugs per company</t>
  </si>
  <si>
    <t xml:space="preserve">Next-wave drugs per company</t>
  </si>
  <si>
    <t xml:space="preserve">Country (as in Shortlist 5)</t>
  </si>
  <si>
    <t xml:space="preserve">Country Regulations name</t>
  </si>
  <si>
    <t xml:space="preserve">Priority tier</t>
  </si>
  <si>
    <t xml:space="preserve">Basis</t>
  </si>
  <si>
    <t xml:space="preserve">Australia</t>
  </si>
  <si>
    <t xml:space="preserve">Country Regulations tab</t>
  </si>
  <si>
    <t xml:space="preserve">Austria</t>
  </si>
  <si>
    <t xml:space="preserve">—</t>
  </si>
  <si>
    <t xml:space="preserve">Not in Country Regulations top-30 export list → Tier 3 per tab definition ("all remaining countries")</t>
  </si>
  <si>
    <t xml:space="preserve">Belgium</t>
  </si>
  <si>
    <t xml:space="preserve">Bulgaria</t>
  </si>
  <si>
    <t xml:space="preserve">Canada</t>
  </si>
  <si>
    <t xml:space="preserve">Croatia</t>
  </si>
  <si>
    <t xml:space="preserve">Cyprus</t>
  </si>
  <si>
    <t xml:space="preserve">Czech Republic</t>
  </si>
  <si>
    <t xml:space="preserve">Denmark</t>
  </si>
  <si>
    <t xml:space="preserve">Estonia</t>
  </si>
  <si>
    <t xml:space="preserve">Finland</t>
  </si>
  <si>
    <t xml:space="preserve">France</t>
  </si>
  <si>
    <t xml:space="preserve">Germany</t>
  </si>
  <si>
    <t xml:space="preserve">Greece</t>
  </si>
  <si>
    <t xml:space="preserve">Hungary</t>
  </si>
  <si>
    <t xml:space="preserve">Iceland</t>
  </si>
  <si>
    <t xml:space="preserve">Ireland</t>
  </si>
  <si>
    <t xml:space="preserve">Italy</t>
  </si>
  <si>
    <t xml:space="preserve">Latvia</t>
  </si>
  <si>
    <t xml:space="preserve">Liechtenstein</t>
  </si>
  <si>
    <t xml:space="preserve">Lithuania</t>
  </si>
  <si>
    <t xml:space="preserve">Luxembourg</t>
  </si>
  <si>
    <t xml:space="preserve">Malta</t>
  </si>
  <si>
    <t xml:space="preserve">Netherlands</t>
  </si>
  <si>
    <t xml:space="preserve">Norway</t>
  </si>
  <si>
    <t xml:space="preserve">Poland</t>
  </si>
  <si>
    <t xml:space="preserve">Portugal</t>
  </si>
  <si>
    <t xml:space="preserve">Romania</t>
  </si>
  <si>
    <t xml:space="preserve">SA</t>
  </si>
  <si>
    <t xml:space="preserve">South Africa</t>
  </si>
  <si>
    <t xml:space="preserve">Slovakia</t>
  </si>
  <si>
    <t xml:space="preserve">Slovenia</t>
  </si>
  <si>
    <t xml:space="preserve">Spain</t>
  </si>
  <si>
    <t xml:space="preserve">Sweden</t>
  </si>
  <si>
    <t xml:space="preserve">UK</t>
  </si>
  <si>
    <t xml:space="preserve">United Kingdom</t>
  </si>
  <si>
    <t xml:space="preserve">USA</t>
  </si>
  <si>
    <t xml:space="preserve">United States</t>
  </si>
  <si>
    <t xml:space="preserve">United Kingdom (Northern Ireland)</t>
  </si>
  <si>
    <t xml:space="preserve">Export ('000 USD)</t>
  </si>
  <si>
    <t xml:space="preserve">Avg injectable share</t>
  </si>
  <si>
    <t xml:space="preserve">Share spread flag</t>
  </si>
  <si>
    <t xml:space="preserve">Source</t>
  </si>
  <si>
    <t xml:space="preserve">Ophthalmic – acute angle-closure glaucoma / IOP reduction (also oedema)</t>
  </si>
  <si>
    <t xml:space="preserve">API_Injectable_Share.xlsx (7 regulator databases); export from Shortlist (6)</t>
  </si>
  <si>
    <t xml:space="preserve">No</t>
  </si>
  <si>
    <t xml:space="preserve">Cardiovascular – PSVT conversion; cardiac stress imaging agent</t>
  </si>
  <si>
    <t xml:space="preserve">Review</t>
  </si>
  <si>
    <t xml:space="preserve">Anaesthesia – short-acting opioid analgesia during surgery</t>
  </si>
  <si>
    <t xml:space="preserve">Anti-infective – serious/MDR Gram-negative infections; MDR-TB</t>
  </si>
  <si>
    <t xml:space="preserve">Cardiovascular – ventricular arrhythmias, cardiac arrest (VF/VT)</t>
  </si>
  <si>
    <t xml:space="preserve">Anti-infective – broad-use penicillin (IV for serious infections; oral dominant)</t>
  </si>
  <si>
    <t xml:space="preserve">Anti-infective – meningitis, endocarditis, neonatal sepsis</t>
  </si>
  <si>
    <t xml:space="preserve">Haematology – anticoagulant for heparin-induced thrombocytopenia (HIT)</t>
  </si>
  <si>
    <t xml:space="preserve">Psychiatry – long-acting injectable for schizophrenia / bipolar I</t>
  </si>
  <si>
    <t xml:space="preserve">Anaesthesia – muscle relaxant for intubation &amp; surgery</t>
  </si>
  <si>
    <t xml:space="preserve">Critical care – bradycardia, pre-anaesthetic, organophosphate poisoning</t>
  </si>
  <si>
    <t xml:space="preserve">Oncology – myelodysplastic syndromes (MDS) &amp; AML</t>
  </si>
  <si>
    <t xml:space="preserve">Yes</t>
  </si>
  <si>
    <t xml:space="preserve">Neurology – severe spasticity (intrathecal pump)</t>
  </si>
  <si>
    <t xml:space="preserve">Cardiovascular – anticoagulant during PCI / angioplasty</t>
  </si>
  <si>
    <t xml:space="preserve">Oncology – Hodgkin lymphoma, testicular &amp; squamous cell cancers</t>
  </si>
  <si>
    <t xml:space="preserve">Oncology – multiple myeloma &amp; mantle cell lymphoma</t>
  </si>
  <si>
    <t xml:space="preserve">Neurology – epilepsy (partial-onset seizures)</t>
  </si>
  <si>
    <t xml:space="preserve">Anaesthesia – long-acting local anaesthetic (spinal, epidural, nerve block)</t>
  </si>
  <si>
    <t xml:space="preserve">Neonatology – apnoea of prematurity</t>
  </si>
  <si>
    <t xml:space="preserve">Women's health – postpartum haemorrhage (PPH); pregnancy termination</t>
  </si>
  <si>
    <t xml:space="preserve">Anti-infective – surgical prophylaxis; MSSA infections</t>
  </si>
  <si>
    <t xml:space="preserve">Anti-infective – hospital Gram-negative/Pseudomonas, febrile neutropenia</t>
  </si>
  <si>
    <t xml:space="preserve">Anti-infective – Pseudomonas &amp; hospital Gram-negative infections</t>
  </si>
  <si>
    <t xml:space="preserve">Anti-infective – pneumonia, meningitis, sepsis, gonorrhoea, typhoid</t>
  </si>
  <si>
    <t xml:space="preserve">Cardiovascular / Renal – IV diuretic for oedema</t>
  </si>
  <si>
    <t xml:space="preserve">Immunology / Allergy – anaphylaxis adjunct, acute allergic reactions</t>
  </si>
  <si>
    <t xml:space="preserve">Psychiatry – acute psychosis/agitation; severe nausea &amp; vomiting</t>
  </si>
  <si>
    <t xml:space="preserve">Anaesthesia – muscle relaxant for surgery &amp; ICU ventilation</t>
  </si>
  <si>
    <t xml:space="preserve">Anti-infective – last-resort for MDR Gram-negative infections</t>
  </si>
  <si>
    <t xml:space="preserve">Nutrition / Haematology – vitamin B12 deficiency, pernicious anaemia</t>
  </si>
  <si>
    <t xml:space="preserve">Gastroenterology – nausea &amp; vomiting (post-operative, opioid-induced)</t>
  </si>
  <si>
    <t xml:space="preserve">Oncology – lymphoma, leukaemia, breast cancer; transplant conditioning</t>
  </si>
  <si>
    <t xml:space="preserve">Oncology – acute myeloid &amp; lymphoblastic leukaemia (AML/ALL)</t>
  </si>
  <si>
    <t xml:space="preserve">Oncology – paediatric tumours (Wilms, rhabdomyosarcoma, Ewing)</t>
  </si>
  <si>
    <t xml:space="preserve">Anti-infective – MRSA skin infections &amp; bacteraemia</t>
  </si>
  <si>
    <t xml:space="preserve">Oncology – advanced prostate cancer (hormone therapy)</t>
  </si>
  <si>
    <t xml:space="preserve">Ortho / Oncology – bone metastases (120 mg); osteoporosis (60 mg)</t>
  </si>
  <si>
    <t xml:space="preserve">Endocrinology / Haematology – diabetes insipidus; haemophilia A &amp; von Willebrand</t>
  </si>
  <si>
    <t xml:space="preserve">Neurology – status epilepticus, seizures, acute anxiety/sedation</t>
  </si>
  <si>
    <t xml:space="preserve">Immunology / Allergy – acute allergic reactions; drug-induced dystonia</t>
  </si>
  <si>
    <t xml:space="preserve">Oncology – breast cancer, lymphomas, sarcomas, leukaemia</t>
  </si>
  <si>
    <t xml:space="preserve">Anaesthesia – post-operative nausea &amp; vomiting (PONV)</t>
  </si>
  <si>
    <t xml:space="preserve">Haematology / Nephrology – IV iron for iron-deficiency anaemia (iron sucrose)</t>
  </si>
  <si>
    <t xml:space="preserve">Anaesthesia – hypotension during anaesthesia (spinal / C-section)</t>
  </si>
  <si>
    <t xml:space="preserve">Critical care – anaphylaxis, cardiac arrest, shock</t>
  </si>
  <si>
    <t xml:space="preserve">Oncology – breast cancer (adjuvant)</t>
  </si>
  <si>
    <t xml:space="preserve">Cardiovascular – acute coronary syndrome &amp; PCI (antiplatelet)</t>
  </si>
  <si>
    <t xml:space="preserve">Oncology – metastatic breast cancer; liposarcoma</t>
  </si>
  <si>
    <t xml:space="preserve">Anti-infective – intra-abdominal, skin, urinary infections, pneumonia</t>
  </si>
  <si>
    <t xml:space="preserve">Cardiovascular – rapid heart-rate control (SVT, peri-operative)</t>
  </si>
  <si>
    <t xml:space="preserve">Gastroenterology – GERD; peptic ulcer re-bleeding prevention (IV PPI)</t>
  </si>
  <si>
    <t xml:space="preserve">Cardiovascular / Renal – loop diuretic for sulfa-allergic patients</t>
  </si>
  <si>
    <t xml:space="preserve">Anaesthesia – induction of general anaesthesia (unstable patients)</t>
  </si>
  <si>
    <t xml:space="preserve">Gastroenterology – ulcers, GERD, hypersecretory states (IV H2 blocker)</t>
  </si>
  <si>
    <t xml:space="preserve">Anaesthesia / Pain – surgical &amp; ICU analgesia (opioid)</t>
  </si>
  <si>
    <t xml:space="preserve">Haematology / Nephrology – IV iron for iron-deficiency anaemia (CKD, heart failure)</t>
  </si>
  <si>
    <t xml:space="preserve">Anti-infective – staphylococcal skin, bone &amp; heart infections</t>
  </si>
  <si>
    <t xml:space="preserve">Oncology – chronic lymphocytic leukaemia; transplant / CAR-T conditioning</t>
  </si>
  <si>
    <t xml:space="preserve">Ophthalmic – diagnostic retinal angiography</t>
  </si>
  <si>
    <t xml:space="preserve">Oncology – colorectal, breast, gastric, pancreatic, head &amp; neck cancers</t>
  </si>
  <si>
    <t xml:space="preserve">Psychiatry – schizophrenia maintenance (long-acting depot)</t>
  </si>
  <si>
    <t xml:space="preserve">Oncology supportive – methotrexate rescue; with 5-FU in colorectal cancer</t>
  </si>
  <si>
    <t xml:space="preserve">Oncology – HR+ advanced breast cancer</t>
  </si>
  <si>
    <t xml:space="preserve">Diagnostics – MRI contrast agent</t>
  </si>
  <si>
    <t xml:space="preserve">Anaesthesia – reduce secretions; reversal of muscle relaxants (with neostigmine)</t>
  </si>
  <si>
    <t xml:space="preserve">Oncology supportive – chemotherapy &amp; post-op nausea/vomiting</t>
  </si>
  <si>
    <t xml:space="preserve">Psychiatry – acute agitation, psychosis, delirium</t>
  </si>
  <si>
    <t xml:space="preserve">Anaesthesia / Other – enhances dispersion of injected drugs &amp; fluids</t>
  </si>
  <si>
    <t xml:space="preserve">Cardiovascular – severe hypertension in pregnancy, hypertensive emergency</t>
  </si>
  <si>
    <t xml:space="preserve">Endocrinology / Critical care – adrenal crisis, anaphylaxis, severe asthma, shock</t>
  </si>
  <si>
    <t xml:space="preserve">Nutrition / Haematology – vitamin B12 deficiency (also cyanide poisoning)</t>
  </si>
  <si>
    <t xml:space="preserve">Palliative care / Anaesthesia – reduce secretions; nausea</t>
  </si>
  <si>
    <t xml:space="preserve">Ortho – postmenopausal osteoporosis (3-monthly IV)</t>
  </si>
  <si>
    <t xml:space="preserve">Oncology – acute myeloid leukaemia (AML)</t>
  </si>
  <si>
    <t xml:space="preserve">Diagnostics – cardiac output, liver function, ophthalmic &amp; surgical imaging</t>
  </si>
  <si>
    <t xml:space="preserve">Haematology / Nephrology – IV iron for iron-deficiency anaemia in CKD</t>
  </si>
  <si>
    <t xml:space="preserve">Cardiovascular – heart block, severe bradycardia</t>
  </si>
  <si>
    <t xml:space="preserve">Endocrinology / Oncology – acromegaly; neuroendocrine tumours</t>
  </si>
  <si>
    <t xml:space="preserve">Neurology – epilepsy &amp; status epilepticus (when oral not possible)</t>
  </si>
  <si>
    <t xml:space="preserve">Anaesthesia – local anaesthetic (also ventricular arrhythmias)</t>
  </si>
  <si>
    <t xml:space="preserve">Anti-infective – serious Gram-positive infections (penicillin-allergic)</t>
  </si>
  <si>
    <t xml:space="preserve">Women's health / Critical care – eclampsia seizures; low magnesium</t>
  </si>
  <si>
    <t xml:space="preserve">Vaccines – childhood measles immunisation</t>
  </si>
  <si>
    <t xml:space="preserve">Women's health – 3-monthly contraceptive injection</t>
  </si>
  <si>
    <t xml:space="preserve">Oncology – multiple myeloma (stem-cell transplant conditioning)</t>
  </si>
  <si>
    <t xml:space="preserve">Anti-infective – severe hospital infections (ICU, sepsis, meningitis, MDR)</t>
  </si>
  <si>
    <t xml:space="preserve">Oncology supportive – prevents bladder toxicity of ifosfamide/cyclophosphamide</t>
  </si>
  <si>
    <t xml:space="preserve">Anaesthesia – hypotension during anaesthesia (vasopressor)</t>
  </si>
  <si>
    <t xml:space="preserve">Anaesthesia – anaesthesia for ECT &amp; short procedures</t>
  </si>
  <si>
    <t xml:space="preserve">Oncology / Immunology – leukaemia, lymphoma, osteosarcoma; rheumatoid arthritis, psoriasis</t>
  </si>
  <si>
    <t xml:space="preserve">Ortho / Immunology – joint injections (arthritis, bursitis); inflammatory conditions</t>
  </si>
  <si>
    <t xml:space="preserve">Anaesthesia – sedation (procedural, ICU) &amp; anaesthesia induction; seizures</t>
  </si>
  <si>
    <t xml:space="preserve">Cardiovascular – acute decompensated heart failure</t>
  </si>
  <si>
    <t xml:space="preserve">Oncology – gastric, pancreatic, anal &amp; bladder cancers</t>
  </si>
  <si>
    <t xml:space="preserve">Oncology / Neurology – AML, prostate cancer; multiple sclerosis</t>
  </si>
  <si>
    <t xml:space="preserve">Pain management – severe acute &amp; palliative pain</t>
  </si>
  <si>
    <t xml:space="preserve">Anti-infective – staphylococcal (MSSA) infections</t>
  </si>
  <si>
    <t xml:space="preserve">Critical care – opioid overdose reversal</t>
  </si>
  <si>
    <t xml:space="preserve">Anaesthesia – reversal of muscle relaxants after surgery</t>
  </si>
  <si>
    <t xml:space="preserve">Endocrinology / Oncology – acromegaly; carcinoid &amp; neuroendocrine tumours</t>
  </si>
  <si>
    <t xml:space="preserve">Psychiatry – acute agitation in schizophrenia / bipolar mania</t>
  </si>
  <si>
    <t xml:space="preserve">Women's health – labour induction; postpartum haemorrhage</t>
  </si>
  <si>
    <t xml:space="preserve">Oncology – breast, ovarian &amp; lung cancers</t>
  </si>
  <si>
    <t xml:space="preserve">Psychiatry – schizophrenia (long-acting injectable)</t>
  </si>
  <si>
    <t xml:space="preserve">Oncology supportive – chemotherapy-induced nausea/vomiting</t>
  </si>
  <si>
    <t xml:space="preserve">Gastroenterology – GERD, GI bleeding, stress-ulcer prophylaxis (IV PPI)</t>
  </si>
  <si>
    <t xml:space="preserve">Nephrology – secondary hyperparathyroidism in dialysis patients</t>
  </si>
  <si>
    <t xml:space="preserve">Oncology supportive – prevents chemotherapy-induced neutropenia</t>
  </si>
  <si>
    <t xml:space="preserve">Anti-infective – Pneumocystis pneumonia; leishmaniasis</t>
  </si>
  <si>
    <t xml:space="preserve">Neurology – status epilepticus; seizure prevention</t>
  </si>
  <si>
    <t xml:space="preserve">Haematology – newborn vitamin K bleeding prophylaxis; warfarin reversal</t>
  </si>
  <si>
    <t xml:space="preserve">Anti-infective – broad-spectrum hospital infections (pneumonia, sepsis, intra-abdominal)</t>
  </si>
  <si>
    <t xml:space="preserve">Oncology supportive – stem-cell mobilisation (myeloma, lymphoma)</t>
  </si>
  <si>
    <t xml:space="preserve">Women's health – IVF luteal support; amenorrhoea, abnormal uterine bleeding</t>
  </si>
  <si>
    <t xml:space="preserve">Anaesthesia – general anaesthesia induction/maintenance; ICU sedation</t>
  </si>
  <si>
    <t xml:space="preserve">Haematology – heparin reversal (cardiac surgery)</t>
  </si>
  <si>
    <t xml:space="preserve">Ophthalmic – wet AMD, diabetic macular oedema, retinal vein occlusion</t>
  </si>
  <si>
    <t xml:space="preserve">Diagnostics / Cardiovascular – cardiac stress imaging agent</t>
  </si>
  <si>
    <t xml:space="preserve">Anaesthesia – ultra-short-acting opioid analgesia during surgery</t>
  </si>
  <si>
    <t xml:space="preserve">Anaesthesia – local anaesthetic (epidural, labour, nerve block)</t>
  </si>
  <si>
    <t xml:space="preserve">Cardiovascular – pulmonary arterial hypertension (IV)</t>
  </si>
  <si>
    <t xml:space="preserve">Critical care – metabolic acidosis, cardiac arrest, overdose</t>
  </si>
  <si>
    <t xml:space="preserve">Cardiovascular – clot-buster for heart attack (STEMI), pulmonary embolism</t>
  </si>
  <si>
    <t xml:space="preserve">Anaesthesia – rapid-sequence intubation (muscle relaxant)</t>
  </si>
  <si>
    <t xml:space="preserve">Anaesthesia – reversal of rocuronium/vecuronium muscle relaxation</t>
  </si>
  <si>
    <t xml:space="preserve">Anti-infective – MRSA &amp; serious Gram-positive infections</t>
  </si>
  <si>
    <t xml:space="preserve">Hepatology – hepatorenal syndrome; variceal bleeding</t>
  </si>
  <si>
    <t xml:space="preserve">Endocrinology – male hypogonadism (testosterone replacement)</t>
  </si>
  <si>
    <t xml:space="preserve">Endocrinology – male hypogonadism; delayed puberty</t>
  </si>
  <si>
    <t xml:space="preserve">Endocrinology – male hypogonadism (long-acting, ~3-monthly)</t>
  </si>
  <si>
    <t xml:space="preserve">Oncology – stem-cell transplant conditioning; breast, ovarian &amp; bladder cancers</t>
  </si>
  <si>
    <t xml:space="preserve">Anti-infective – complicated skin &amp; intra-abdominal infections, MDR organisms</t>
  </si>
  <si>
    <t xml:space="preserve">Cardiovascular – acute coronary syndrome (antiplatelet)</t>
  </si>
  <si>
    <t xml:space="preserve">Haematology – bleeding control (surgery, trauma, postpartum haemorrhage)</t>
  </si>
  <si>
    <t xml:space="preserve">Oncology – HER2+ breast &amp; gastric cancer (biosimilar)</t>
  </si>
  <si>
    <t xml:space="preserve">Ortho / Immunology – joint &amp; soft-tissue injections; allergic &amp; skin conditions</t>
  </si>
  <si>
    <t xml:space="preserve">Immunology – psoriasis, psoriatic arthritis, Crohn's disease, ulcerative colitis</t>
  </si>
  <si>
    <t xml:space="preserve">Cardiovascular – supraventricular tachycardia, atrial fibrillation rate control</t>
  </si>
  <si>
    <t xml:space="preserve">Oncology – Hodgkin lymphoma, testicular cancer, Kaposi sarcoma</t>
  </si>
  <si>
    <t xml:space="preserve">Oncology – leukaemia (ALL), lymphomas, paediatric tumours</t>
  </si>
  <si>
    <t xml:space="preserve">Oncology – non-small cell lung cancer; breast cancer</t>
  </si>
  <si>
    <t xml:space="preserve">Anti-infective – invasive aspergillosis &amp; serious fungal infections</t>
  </si>
  <si>
    <t xml:space="preserve">Country</t>
  </si>
  <si>
    <t xml:space="preserve">Tier</t>
  </si>
  <si>
    <t xml:space="preserve">Product name</t>
  </si>
  <si>
    <t xml:space="preserve">Strength</t>
  </si>
  <si>
    <t xml:space="preserve">Packaging</t>
  </si>
  <si>
    <t xml:space="preserve">Pre-filled type</t>
  </si>
  <si>
    <t xml:space="preserve">Presentation (derived)</t>
  </si>
  <si>
    <t xml:space="preserve">Price (USD / presentation)</t>
  </si>
  <si>
    <t xml:space="preserve">Needs reconstitution (derived)</t>
  </si>
  <si>
    <t xml:space="preserve">10MG/2ML (5MG/ML)</t>
  </si>
  <si>
    <t xml:space="preserve">10 × 2 mL pre-filled syringes</t>
  </si>
  <si>
    <t xml:space="preserve">Syringe</t>
  </si>
  <si>
    <t xml:space="preserve">Methotrexate Sodium</t>
  </si>
  <si>
    <t xml:space="preserve">EQ 1GM BASE/40ML (EQ 25MG BASE/ML)</t>
  </si>
  <si>
    <t xml:space="preserve">1 single dose vial</t>
  </si>
  <si>
    <t xml:space="preserve">EQ 50MG BASE/2ML (EQ 25MG BASE/ML)</t>
  </si>
  <si>
    <t xml:space="preserve">5 multiple-dose vials</t>
  </si>
  <si>
    <t xml:space="preserve">1MG/0.5ML</t>
  </si>
  <si>
    <t xml:space="preserve">1 Prefilled Syringe (0.5 mL)</t>
  </si>
  <si>
    <t xml:space="preserve">40MG/ML</t>
  </si>
  <si>
    <t xml:space="preserve">-</t>
  </si>
  <si>
    <t xml:space="preserve">Unspecified</t>
  </si>
  <si>
    <t xml:space="preserve">250MG/5ML (50MG/ML)</t>
  </si>
  <si>
    <t xml:space="preserve">2 × 5 mL single-dose syringes + safety needles; NDC 62332-650-10</t>
  </si>
  <si>
    <t xml:space="preserve">Prefilled glass syringe</t>
  </si>
  <si>
    <t xml:space="preserve">Carboprost Alembic</t>
  </si>
  <si>
    <t xml:space="preserve">0.25 mg/mL (250 mcg/1 mL)</t>
  </si>
  <si>
    <t xml:space="preserve">1 x 1 mL glass vial</t>
  </si>
  <si>
    <t xml:space="preserve">Carboprost Tromethamine</t>
  </si>
  <si>
    <t xml:space="preserve">EQ 0.25MG BASE/ML</t>
  </si>
  <si>
    <t xml:space="preserve">1 mL Single-Dose Vial x 10-Vial Carton</t>
  </si>
  <si>
    <t xml:space="preserve">Chlorpromazine Hydrochloride</t>
  </si>
  <si>
    <t xml:space="preserve">25MG/ML</t>
  </si>
  <si>
    <t xml:space="preserve">1mL or 2 mL Single-Dose Ampule x 25-Ampule Carton</t>
  </si>
  <si>
    <t xml:space="preserve">0.5MG/VIAL</t>
  </si>
  <si>
    <t xml:space="preserve">1 × 0.5 mg single-dose vial (lyophilized powder)</t>
  </si>
  <si>
    <t xml:space="preserve">2MG/ML</t>
  </si>
  <si>
    <t xml:space="preserve">1 × 10 mL single-dose vial; 1 × 100 mL single-dose vial</t>
  </si>
  <si>
    <t xml:space="preserve">Esmolol Hydrochloride</t>
  </si>
  <si>
    <t xml:space="preserve">1GM/100ML</t>
  </si>
  <si>
    <t xml:space="preserve">2GM/100ML</t>
  </si>
  <si>
    <t xml:space="preserve">10 × 100 mL bags</t>
  </si>
  <si>
    <t xml:space="preserve">Bag</t>
  </si>
  <si>
    <t xml:space="preserve">1GM/20ML (50MG/ML)</t>
  </si>
  <si>
    <t xml:space="preserve">10 × 20 mL single-dose vials</t>
  </si>
  <si>
    <t xml:space="preserve">1 × 5 mL multi-dose vial</t>
  </si>
  <si>
    <t xml:space="preserve">150MG/ML</t>
  </si>
  <si>
    <t xml:space="preserve">1 Single-dose Vial (1 mL) / 25 Single-dose Vials (1 mL)</t>
  </si>
  <si>
    <t xml:space="preserve">1 Prefilled Syringe (1 mL)</t>
  </si>
  <si>
    <t xml:space="preserve">Methotrexate Sodium Preservative Free</t>
  </si>
  <si>
    <t xml:space="preserve">2ml single-dose vial</t>
  </si>
  <si>
    <t xml:space="preserve">EQ 200MG BASE/8ML (EQ 25MG BASE/ML)</t>
  </si>
  <si>
    <t xml:space="preserve">Single-Dose Vials in a carton of 10</t>
  </si>
  <si>
    <t xml:space="preserve">EQ 250MG BASE/10ML (EQ 25MG BASE/ML)</t>
  </si>
  <si>
    <t xml:space="preserve">Single-Dose Vial </t>
  </si>
  <si>
    <t xml:space="preserve">Single-Dose Vials in a Carton of 25, powder form </t>
  </si>
  <si>
    <t xml:space="preserve">80MG/ML</t>
  </si>
  <si>
    <t xml:space="preserve">Powder Vial </t>
  </si>
  <si>
    <t xml:space="preserve">Nafcillin Sodium</t>
  </si>
  <si>
    <t xml:space="preserve">EQ 1GM BASE/VIAL</t>
  </si>
  <si>
    <t xml:space="preserve">Powder Vial (1 g) </t>
  </si>
  <si>
    <t xml:space="preserve">EQ 2GM BASE/VIAL</t>
  </si>
  <si>
    <t xml:space="preserve">Powder Vial (2 g) </t>
  </si>
  <si>
    <t xml:space="preserve">Naloxone Hydrochloride</t>
  </si>
  <si>
    <t xml:space="preserve">1MG/ML</t>
  </si>
  <si>
    <t xml:space="preserve">1 Prefilled Syringe (2 mL)</t>
  </si>
  <si>
    <t xml:space="preserve">0.4MG/ML</t>
  </si>
  <si>
    <t xml:space="preserve">10 or 25 Single-dose Vials (1 mL) / 10 or 25 Multi-dose Vials (10 mL)</t>
  </si>
  <si>
    <t xml:space="preserve">Oxacillin Sodium</t>
  </si>
  <si>
    <t xml:space="preserve">10 Vials, powder (1 g)</t>
  </si>
  <si>
    <t xml:space="preserve">50MG/ML</t>
  </si>
  <si>
    <t xml:space="preserve">10 mL (500 mg/10 mL) Multiple-Dose Vial, packaged individually </t>
  </si>
  <si>
    <t xml:space="preserve">100MG/ML</t>
  </si>
  <si>
    <t xml:space="preserve">1,000 mg per 10 mL (100 mg/mL) 10 mL multiple-dose vial, packaged individually (NDC 55150-276-01)</t>
  </si>
  <si>
    <t xml:space="preserve">200MG/ML</t>
  </si>
  <si>
    <t xml:space="preserve">200 mg/mL: 1 mL single-dose vial, packaged individually (NDC 55150-277-01); 2,000 mg per 10 mL 10 mL multiple-dose vial, packaged individually (NDC 55150-278-01)</t>
  </si>
  <si>
    <t xml:space="preserve">1,000 mg per 5 mL (200 mg/mL) 5 mL multiple-dose vial, packaged individually</t>
  </si>
  <si>
    <t xml:space="preserve">Vecuronium Bromide</t>
  </si>
  <si>
    <t xml:space="preserve">10MG/VIAL</t>
  </si>
  <si>
    <t xml:space="preserve">10 mg per vial, 10 vials in a carton</t>
  </si>
  <si>
    <t xml:space="preserve">20MG/VIAL</t>
  </si>
  <si>
    <t xml:space="preserve">20 mg per vial, 10 vials in a carton</t>
  </si>
  <si>
    <t xml:space="preserve">Verapamil Hydrochloride</t>
  </si>
  <si>
    <t xml:space="preserve">2.5MG/ML</t>
  </si>
  <si>
    <t xml:space="preserve">Single-dose vials: 2 mL (5 mg per 2 mL) and 4 mL (10 mg per 4 mL); available as 1-unit, 5-pack and 25-pack cartons</t>
  </si>
  <si>
    <t xml:space="preserve">Ertapenem Sodium</t>
  </si>
  <si>
    <t xml:space="preserve">1 gram/vial Single-Dose Vials in a carton of 10 (NDC 55150-282-20)</t>
  </si>
  <si>
    <t xml:space="preserve">Ibandronate Sodium</t>
  </si>
  <si>
    <t xml:space="preserve">EQ 3MG BASE/3ML</t>
  </si>
  <si>
    <t xml:space="preserve">3 mg per 3 mL (1 mg/mL) single-dose prefilled syringe, packaged in a carton with 1 needle (NDC 55150-191-83)</t>
  </si>
  <si>
    <t xml:space="preserve">1 g per 10 mL (100 mg/mL) multiple-dose vial, 1 x 10 mL vial per carton</t>
  </si>
  <si>
    <t xml:space="preserve">Palonosetron Hydrochloride</t>
  </si>
  <si>
    <t xml:space="preserve">EQ 0.25MG BASE/5ML (EQ 0.05MG BASE/ML)</t>
  </si>
  <si>
    <t xml:space="preserve">0.25 mg (free base)/5 mL (0.05 mg/mL) 5 mL Single-Dose Vials, packaged in cartons of 1 (NDC 55150-186-05)</t>
  </si>
  <si>
    <t xml:space="preserve">3.5MG/VIAL</t>
  </si>
  <si>
    <t xml:space="preserve">3.5 mg/vial single-dose vial, lyophilized powder, 1 vial per carton </t>
  </si>
  <si>
    <t xml:space="preserve">Ropivacaine Hydrochloride</t>
  </si>
  <si>
    <t xml:space="preserve">40MG/20ML (2MG/ML)</t>
  </si>
  <si>
    <t xml:space="preserve">25 × 20 mL single-dose vials; NDC 55150-195-20</t>
  </si>
  <si>
    <t xml:space="preserve">100MG/20ML (5MG/ML)</t>
  </si>
  <si>
    <t xml:space="preserve">25 × 20 mL single-dose vials; NDC 55150-197-20</t>
  </si>
  <si>
    <t xml:space="preserve">100MG/10ML (10MG/ML)</t>
  </si>
  <si>
    <t xml:space="preserve">25 × 10 mL single-dose vials; NDC 55150-200-10</t>
  </si>
  <si>
    <t xml:space="preserve">150MG/30ML (5MG/ML)</t>
  </si>
  <si>
    <t xml:space="preserve">25 × 30 mL single-dose vials; NDC 55150-198-30</t>
  </si>
  <si>
    <t xml:space="preserve">150MG/20ML (7.5MG/ML)</t>
  </si>
  <si>
    <t xml:space="preserve">25 × 20 mL single-dose vials; NDC 55150-199-20</t>
  </si>
  <si>
    <t xml:space="preserve">200MG/20ML (10MG/ML)</t>
  </si>
  <si>
    <t xml:space="preserve">25 × 20 mL single-dose vials; NDC 55150-201-20</t>
  </si>
  <si>
    <t xml:space="preserve">Argatroban In Sodium Chloride</t>
  </si>
  <si>
    <t xml:space="preserve">50MG/50ML (1MG/ML)</t>
  </si>
  <si>
    <t xml:space="preserve">1 × 50 mL single-dose vial; NDC 55150-241-01</t>
  </si>
  <si>
    <t xml:space="preserve">1GM/5ML (200MG/ML)</t>
  </si>
  <si>
    <t xml:space="preserve">1 × 5 mL multidose vial; NDC 55150-271-99</t>
  </si>
  <si>
    <t xml:space="preserve">2GM/10ML (200MG/ML)</t>
  </si>
  <si>
    <t xml:space="preserve">1 × 10 mL multidose vial; NDC 55150-272-01</t>
  </si>
  <si>
    <t xml:space="preserve">500MG/2.5ML (200MG/ML)</t>
  </si>
  <si>
    <t xml:space="preserve">1 × 2.5 mL multidose vial; NDC 55150-270-99</t>
  </si>
  <si>
    <t xml:space="preserve">Ephedrine Sulfate</t>
  </si>
  <si>
    <t xml:space="preserve">50MG/ML (50MG/ML)</t>
  </si>
  <si>
    <t xml:space="preserve">25 × 1 mL single-dose vials; NDC 55150-373-25</t>
  </si>
  <si>
    <t xml:space="preserve">0.4MG/5ML (0.08MG/ML)</t>
  </si>
  <si>
    <t xml:space="preserve">5 mL single-dose prefilled syringe; 1 per carton; NDC 55150-443-01</t>
  </si>
  <si>
    <t xml:space="preserve">Yes — prefilled syringe</t>
  </si>
  <si>
    <t xml:space="preserve">Sildenafil Citrate</t>
  </si>
  <si>
    <t xml:space="preserve">EQ 10MG BASE/12.5ML (EQ 0.8MG BASE/ML)</t>
  </si>
  <si>
    <t xml:space="preserve">12.5 mL single-dose glass vial (in a 20 mL container); NDC 55150-166-13</t>
  </si>
  <si>
    <t xml:space="preserve">Tirofiban Hydrochloride</t>
  </si>
  <si>
    <t xml:space="preserve">EQ 5MG BASE/100ML (EQ 0.05MG BASE/ML)</t>
  </si>
  <si>
    <t xml:space="preserve">1 × 100 mL bag</t>
  </si>
  <si>
    <t xml:space="preserve">EQ 12.5MG BASE/250ML (EQ 0.05MG BASE/ML)</t>
  </si>
  <si>
    <t xml:space="preserve">1 × 250 mL bag</t>
  </si>
  <si>
    <t xml:space="preserve">24MG/1.2ML (20MG/ML)</t>
  </si>
  <si>
    <t xml:space="preserve">1 × 1.2 mL single-dose vial</t>
  </si>
  <si>
    <t xml:space="preserve">Bortezomib Milpharm</t>
  </si>
  <si>
    <t xml:space="preserve">3.5 MG</t>
  </si>
  <si>
    <t xml:space="preserve">1 x 3.5 mg vial (powder)</t>
  </si>
  <si>
    <t xml:space="preserve">250 MG</t>
  </si>
  <si>
    <t xml:space="preserve">2 x 5 mL pre-filled syringes (250 mg each; priced pack)</t>
  </si>
  <si>
    <t xml:space="preserve">20 MG/ML</t>
  </si>
  <si>
    <t xml:space="preserve">1 x 1.2 mL vial</t>
  </si>
  <si>
    <t xml:space="preserve">25 MG/ML</t>
  </si>
  <si>
    <t xml:space="preserve">1 x 100 mg vial (powder)</t>
  </si>
  <si>
    <t xml:space="preserve">40 MG</t>
  </si>
  <si>
    <t xml:space="preserve">1 x vial (priced pack)</t>
  </si>
  <si>
    <t xml:space="preserve">2 MG/ML</t>
  </si>
  <si>
    <t xml:space="preserve">5 ampoules (priced pack)</t>
  </si>
  <si>
    <t xml:space="preserve">Azacitidin Puren</t>
  </si>
  <si>
    <t xml:space="preserve">100 mg</t>
  </si>
  <si>
    <t xml:space="preserve">Bortezomib Arrow</t>
  </si>
  <si>
    <t xml:space="preserve">3.5 mg</t>
  </si>
  <si>
    <t xml:space="preserve">Bupivan</t>
  </si>
  <si>
    <t xml:space="preserve">5 mg/mL (25 mg/5 mL)</t>
  </si>
  <si>
    <t xml:space="preserve">5 x 5 mL glass ampoules</t>
  </si>
  <si>
    <t xml:space="preserve">Ceftazidime Arrow</t>
  </si>
  <si>
    <t xml:space="preserve">1 g</t>
  </si>
  <si>
    <t xml:space="preserve">1 x 1 g vial (powder)</t>
  </si>
  <si>
    <t xml:space="preserve">Ceftriaxon Puren</t>
  </si>
  <si>
    <t xml:space="preserve">1 x 1 g powder vial + 1 x 3.5 mL solvent ampoule</t>
  </si>
  <si>
    <t xml:space="preserve">Ceftriaxone Almus</t>
  </si>
  <si>
    <t xml:space="preserve">1 x 1 g powder (IM) + 1 x 3.5 mL solvent ampoule</t>
  </si>
  <si>
    <t xml:space="preserve">Daptomicina Aurobindo</t>
  </si>
  <si>
    <t xml:space="preserve">350 mg</t>
  </si>
  <si>
    <t xml:space="preserve">1 x 350 mg vial (powder)</t>
  </si>
  <si>
    <t xml:space="preserve">Doxorubicin Aurobindo</t>
  </si>
  <si>
    <t xml:space="preserve">10 mg/5 mL</t>
  </si>
  <si>
    <t xml:space="preserve">1 x 5 mL vial</t>
  </si>
  <si>
    <t xml:space="preserve">Epirubicin Ab</t>
  </si>
  <si>
    <t xml:space="preserve">50 mg/25 mL</t>
  </si>
  <si>
    <t xml:space="preserve">1 x 25 mL vial (50 mg)</t>
  </si>
  <si>
    <t xml:space="preserve">Folinsäure Aurobindo</t>
  </si>
  <si>
    <t xml:space="preserve">10 mg/mL</t>
  </si>
  <si>
    <t xml:space="preserve">1 x 100 mL vial</t>
  </si>
  <si>
    <t xml:space="preserve">Fulvestrant Arrow</t>
  </si>
  <si>
    <t xml:space="preserve">250 mg/5 mL</t>
  </si>
  <si>
    <t xml:space="preserve">2 x 5 mL pre-filled syringes</t>
  </si>
  <si>
    <t xml:space="preserve">Melfalan Eugia</t>
  </si>
  <si>
    <t xml:space="preserve">50 mg</t>
  </si>
  <si>
    <t xml:space="preserve">1 x 50 mg vial (powder) + 1 solvent vial</t>
  </si>
  <si>
    <t xml:space="preserve">Meropenem Arrow</t>
  </si>
  <si>
    <t xml:space="preserve">500 mg</t>
  </si>
  <si>
    <t xml:space="preserve">10 x 500 mg vials (powder)</t>
  </si>
  <si>
    <t xml:space="preserve">Meropenem Aurovit</t>
  </si>
  <si>
    <t xml:space="preserve">Meropenem Aurovitas</t>
  </si>
  <si>
    <t xml:space="preserve">Mitomicina Aurovitas</t>
  </si>
  <si>
    <t xml:space="preserve">20 mg</t>
  </si>
  <si>
    <t xml:space="preserve">1 x 20 mg vial (powder)</t>
  </si>
  <si>
    <t xml:space="preserve">Ondansetron Ab</t>
  </si>
  <si>
    <t xml:space="preserve">4 mg/2 mL</t>
  </si>
  <si>
    <t xml:space="preserve">10 x 2 mL ampoules</t>
  </si>
  <si>
    <t xml:space="preserve">Plerixafor Arrow</t>
  </si>
  <si>
    <t xml:space="preserve">24 mg/1.2 mL</t>
  </si>
  <si>
    <t xml:space="preserve">Remifentanil Hydrochloride Aurobindo</t>
  </si>
  <si>
    <t xml:space="preserve">1 mg</t>
  </si>
  <si>
    <t xml:space="preserve">5 x 1 mg vials (powder)</t>
  </si>
  <si>
    <t xml:space="preserve">Vinorelbin Aurobindo</t>
  </si>
  <si>
    <t xml:space="preserve">10 mg/1 mL</t>
  </si>
  <si>
    <t xml:space="preserve">1 x 1 mL vial</t>
  </si>
  <si>
    <t xml:space="preserve">Vinorelbin Eugia</t>
  </si>
  <si>
    <t xml:space="preserve">40 MG/VIAL</t>
  </si>
  <si>
    <t xml:space="preserve">40 mg vial; 10 vials/carton</t>
  </si>
  <si>
    <t xml:space="preserve">Ampicillin Sodium</t>
  </si>
  <si>
    <t xml:space="preserve">2 G/VIAL</t>
  </si>
  <si>
    <t xml:space="preserve">20 mL vial; 10 vials/carton</t>
  </si>
  <si>
    <t xml:space="preserve">500 MG/VIAL</t>
  </si>
  <si>
    <t xml:space="preserve">30 mL vial; 10 vials/carton</t>
  </si>
  <si>
    <t xml:space="preserve">1 G/VIAL</t>
  </si>
  <si>
    <t xml:space="preserve">40 mL vial; 10 vials/carton</t>
  </si>
  <si>
    <t xml:space="preserve">100 MG/ML</t>
  </si>
  <si>
    <t xml:space="preserve">5 mL single-use ampoule; 10 ampoules/carton</t>
  </si>
  <si>
    <t xml:space="preserve">Auro-Ondansetron</t>
  </si>
  <si>
    <t xml:space="preserve">2 mL single-use vial (4 mg/2 mL, preservative-free); 10 vials/carton</t>
  </si>
  <si>
    <t xml:space="preserve">4 mL fill in 5 mL single-use vial (8 mg/4 mL, preservative-free); 5 vials/carton</t>
  </si>
  <si>
    <t xml:space="preserve">Lyophilized powder, 1 g single-dose glass vial</t>
  </si>
  <si>
    <t xml:space="preserve">Hydralazine Hydrochloride</t>
  </si>
  <si>
    <t xml:space="preserve">1 mL single-use vial; 10 vials/carton</t>
  </si>
  <si>
    <t xml:space="preserve">30 mL single-use vial; 10 vials/box</t>
  </si>
  <si>
    <t xml:space="preserve">40 mL single-use vial; 10 vials/box</t>
  </si>
  <si>
    <t xml:space="preserve">10 mL single-use glass vial; 10 vials/pack</t>
  </si>
  <si>
    <t xml:space="preserve">20 mL clear glass vial; 10 × 10 vials/pack</t>
  </si>
  <si>
    <t xml:space="preserve">5 mL (500 mg) / 10 mL (1000 mg) single-use glass ampoules; 10 ampoules/carton</t>
  </si>
  <si>
    <t xml:space="preserve">5 mL (500 mg) / 10 mL (1000 mg) single-use glass vials; 10 vials/carton</t>
  </si>
  <si>
    <t xml:space="preserve">4 MG/10 ML</t>
  </si>
  <si>
    <t xml:space="preserve">10 mL multidose vial; 1 vial/box</t>
  </si>
  <si>
    <t xml:space="preserve">1 g single-dose glass vial</t>
  </si>
  <si>
    <t xml:space="preserve">1 mL single-use glass vial; 10 vials/carton</t>
  </si>
  <si>
    <t xml:space="preserve">1.2 mL (24 mg) single-use glass vial</t>
  </si>
  <si>
    <t xml:space="preserve">Eugia-Ondansetron</t>
  </si>
  <si>
    <t xml:space="preserve">4 mL preservative-free single-use vial (8 mg/4 mL); 5 vials/carton</t>
  </si>
  <si>
    <t xml:space="preserve">EUG-Flucloxacillin</t>
  </si>
  <si>
    <t xml:space="preserve">500 mg/vial</t>
  </si>
  <si>
    <t xml:space="preserve">1 × 500 mg vial (powder)</t>
  </si>
  <si>
    <t xml:space="preserve">1000 mg/vial</t>
  </si>
  <si>
    <t xml:space="preserve">1 × 1000 mg vial (powder)</t>
  </si>
  <si>
    <t xml:space="preserve">2000 mg/vial</t>
  </si>
  <si>
    <t xml:space="preserve">1 × 2000 mg vial (powder)</t>
  </si>
  <si>
    <t xml:space="preserve">EUG-Fulvestrant</t>
  </si>
  <si>
    <t xml:space="preserve">250 mg/5 mL (50 mg/mL)</t>
  </si>
  <si>
    <t xml:space="preserve">1 × 5 mL pre-filled syringe</t>
  </si>
  <si>
    <t xml:space="preserve">Azacitidine Eugia</t>
  </si>
  <si>
    <t xml:space="preserve">100 mg/vial</t>
  </si>
  <si>
    <t xml:space="preserve">1 × 100 mg vial (powder)</t>
  </si>
  <si>
    <t xml:space="preserve">EUG-Bortezomib</t>
  </si>
  <si>
    <t xml:space="preserve">3.5 mg/vial</t>
  </si>
  <si>
    <t xml:space="preserve">1 × 3.5 mg vial (powder)</t>
  </si>
  <si>
    <t xml:space="preserve">Plerixafor Eugia</t>
  </si>
  <si>
    <t xml:space="preserve">24 mg/1.2 mL (20 mg/mL)</t>
  </si>
  <si>
    <t xml:space="preserve">1 × 1.2 mL vial</t>
  </si>
  <si>
    <t xml:space="preserve">Etamep</t>
  </si>
  <si>
    <t xml:space="preserve">1g</t>
  </si>
  <si>
    <t xml:space="preserve">1 x 20 mL vial (powder)</t>
  </si>
  <si>
    <t xml:space="preserve">10 x 20 mL vials (powder)</t>
  </si>
  <si>
    <t xml:space="preserve">Auro Cefepime</t>
  </si>
  <si>
    <t xml:space="preserve">1000mg</t>
  </si>
  <si>
    <t xml:space="preserve">2000mg</t>
  </si>
  <si>
    <t xml:space="preserve">1 x 50 mL vial (powder)</t>
  </si>
  <si>
    <t xml:space="preserve">10 x 50 mL vials (powder)</t>
  </si>
  <si>
    <t xml:space="preserve">Iverzam</t>
  </si>
  <si>
    <t xml:space="preserve">Hydrocortisone Sodium Succinate</t>
  </si>
  <si>
    <t xml:space="preserve">EQ 100MG BASE/VIAL</t>
  </si>
  <si>
    <t xml:space="preserve">Vial (100 mg / 2 mL) - pack count not verified</t>
  </si>
  <si>
    <t xml:space="preserve">10 Prefilled Syringes (0.5 mL)</t>
  </si>
  <si>
    <t xml:space="preserve">10MG/ML</t>
  </si>
  <si>
    <t xml:space="preserve">0.5ml single dose vial</t>
  </si>
  <si>
    <t xml:space="preserve">No </t>
  </si>
  <si>
    <t xml:space="preserve">1,000 mg/10 mL (100 mg/mL) multiple-dose vial, one 10 mL vial per carton (NDC 69097-536-37)</t>
  </si>
  <si>
    <t xml:space="preserve">200 mg/mL: 1 mL single-dose vial, one vial per carton (NDC 69097-537-31); 2,000 mg/10 mL multiple-dose vial, one 10 mL vial per carton (NDC 69097-537-37)</t>
  </si>
  <si>
    <t xml:space="preserve">Lanreotide Acetate</t>
  </si>
  <si>
    <t xml:space="preserve">EQ 60MG BASE/0.2ML (EQ 60MG BASE/0.2ML)</t>
  </si>
  <si>
    <t xml:space="preserve">1 × 0.2 mL pre-filled syringe</t>
  </si>
  <si>
    <t xml:space="preserve">EQ 90MG BASE/0.3ML (EQ 90MG BASE/0.3ML)</t>
  </si>
  <si>
    <t xml:space="preserve">1 × 0.3 mL pre-filled syringe</t>
  </si>
  <si>
    <t xml:space="preserve">EQ 120MG BASE/0.5ML (EQ 120MG BASE/0.5ML)</t>
  </si>
  <si>
    <t xml:space="preserve">1 × 0.5 mL pre-filled syringe</t>
  </si>
  <si>
    <t xml:space="preserve">350 MG</t>
  </si>
  <si>
    <t xml:space="preserve">10mL x 1 vial / pack of 5</t>
  </si>
  <si>
    <t xml:space="preserve">Daptomicina Cipla</t>
  </si>
  <si>
    <t xml:space="preserve">Fulvestrant Cipla</t>
  </si>
  <si>
    <t xml:space="preserve">1 x 5 mL pre-filled syringe (250 mg) + safety needle</t>
  </si>
  <si>
    <t xml:space="preserve">Sugammadex Cipla</t>
  </si>
  <si>
    <t xml:space="preserve">100 mg/mL</t>
  </si>
  <si>
    <t xml:space="preserve">10 x 2 mL vials (200 mg each)</t>
  </si>
  <si>
    <t xml:space="preserve">Cipla Sugammadex</t>
  </si>
  <si>
    <t xml:space="preserve">200 mg/2 mL (100 mg/mL)</t>
  </si>
  <si>
    <t xml:space="preserve">1 × 2 mL vial</t>
  </si>
  <si>
    <t xml:space="preserve">500 mg/5 mL (100 mg/mL)</t>
  </si>
  <si>
    <t xml:space="preserve">1 × 5 mL vial</t>
  </si>
  <si>
    <t xml:space="preserve">Cipla Daptomycin</t>
  </si>
  <si>
    <t xml:space="preserve">350 mg/vial</t>
  </si>
  <si>
    <t xml:space="preserve">1 × 350 mg vial (powder)</t>
  </si>
  <si>
    <t xml:space="preserve">Trastucip</t>
  </si>
  <si>
    <t xml:space="preserve">150 mg/vial</t>
  </si>
  <si>
    <t xml:space="preserve">1 × 150 mg vial (powder)</t>
  </si>
  <si>
    <t xml:space="preserve">Cipla Hydrocortisone</t>
  </si>
  <si>
    <t xml:space="preserve">Cipla Isoprenaline</t>
  </si>
  <si>
    <t xml:space="preserve">0.2 mg/1 mL</t>
  </si>
  <si>
    <t xml:space="preserve">1 × 1 mL ampoule</t>
  </si>
  <si>
    <t xml:space="preserve">Isocipraline</t>
  </si>
  <si>
    <t xml:space="preserve">1 mg/5 mL (0.2 mg/mL)</t>
  </si>
  <si>
    <t xml:space="preserve">1 × 5 mL ampoule</t>
  </si>
  <si>
    <t xml:space="preserve">Cipla Medroxyprogesterone</t>
  </si>
  <si>
    <t xml:space="preserve">150 mg/1 mL</t>
  </si>
  <si>
    <t xml:space="preserve">1 × 1 mL vial</t>
  </si>
  <si>
    <t xml:space="preserve">Phenylephrine Cipla</t>
  </si>
  <si>
    <t xml:space="preserve">Azacitidine Cipla</t>
  </si>
  <si>
    <t xml:space="preserve">Palocip</t>
  </si>
  <si>
    <t xml:space="preserve">250 microgram/5 mL (50 microgram/mL)</t>
  </si>
  <si>
    <t xml:space="preserve">Cipla Bleomycin 15K</t>
  </si>
  <si>
    <t xml:space="preserve">15000 IU/vial</t>
  </si>
  <si>
    <t xml:space="preserve">1 × 15000 IU vial (powder)</t>
  </si>
  <si>
    <t xml:space="preserve">Streptase</t>
  </si>
  <si>
    <t xml:space="preserve">750000iu</t>
  </si>
  <si>
    <t xml:space="preserve">1 vial (powder)</t>
  </si>
  <si>
    <t xml:space="preserve">1500000iu</t>
  </si>
  <si>
    <t xml:space="preserve">Cefect</t>
  </si>
  <si>
    <t xml:space="preserve">2g</t>
  </si>
  <si>
    <t xml:space="preserve">Testosterone Cipla</t>
  </si>
  <si>
    <t xml:space="preserve">1000mg/4ml</t>
  </si>
  <si>
    <t xml:space="preserve">1 x 4 mL vial</t>
  </si>
  <si>
    <t xml:space="preserve">Senuom</t>
  </si>
  <si>
    <t xml:space="preserve">100 mg/ml</t>
  </si>
  <si>
    <t xml:space="preserve">10 x 2 mL vials</t>
  </si>
  <si>
    <t xml:space="preserve">Onbort</t>
  </si>
  <si>
    <t xml:space="preserve">3.5mg</t>
  </si>
  <si>
    <t xml:space="preserve">1 x 1.4 mL vial</t>
  </si>
  <si>
    <t xml:space="preserve">Cipla Vinorelbine</t>
  </si>
  <si>
    <t xml:space="preserve">10mg/ml</t>
  </si>
  <si>
    <t xml:space="preserve">50mg/ml</t>
  </si>
  <si>
    <t xml:space="preserve">Cytoblastin Aqueous</t>
  </si>
  <si>
    <t xml:space="preserve">10mg/10ml</t>
  </si>
  <si>
    <t xml:space="preserve">1 x 10 mL ampoule/vial</t>
  </si>
  <si>
    <t xml:space="preserve">Cipla Doxorubicin</t>
  </si>
  <si>
    <t xml:space="preserve">10mg</t>
  </si>
  <si>
    <t xml:space="preserve">1 x 5 mL vial (powder)</t>
  </si>
  <si>
    <t xml:space="preserve">50mg</t>
  </si>
  <si>
    <t xml:space="preserve">1 x 25 mL vial (powder)</t>
  </si>
  <si>
    <t xml:space="preserve">Cipla Teicoplanin</t>
  </si>
  <si>
    <t xml:space="preserve">400mg</t>
  </si>
  <si>
    <t xml:space="preserve">1 x 3 mL vial (powder)</t>
  </si>
  <si>
    <t xml:space="preserve">Measles Vaccine Cipla</t>
  </si>
  <si>
    <t xml:space="preserve">1000ccid50/0.5ml</t>
  </si>
  <si>
    <t xml:space="preserve">1 vial</t>
  </si>
  <si>
    <t xml:space="preserve">1 x 10-dose vial (0.5 mL per dose)</t>
  </si>
  <si>
    <t xml:space="preserve">Cipla Bleomycin</t>
  </si>
  <si>
    <t xml:space="preserve">15iu/vial</t>
  </si>
  <si>
    <t xml:space="preserve">1 mL Single-Dose Vial x 10-Vial Carton or 1mL Preefilled Single Dose Syringe x 10</t>
  </si>
  <si>
    <t xml:space="preserve">Desmopressin Acetate</t>
  </si>
  <si>
    <t xml:space="preserve">0.004MG/ML</t>
  </si>
  <si>
    <t xml:space="preserve">1 × 10 mL vial</t>
  </si>
  <si>
    <t xml:space="preserve">1 Prefilled Syringe (2 mL) / 10 Prefilled Syringes (2 mL)</t>
  </si>
  <si>
    <t xml:space="preserve">25 x 1ml single dose ampules</t>
  </si>
  <si>
    <t xml:space="preserve">Succinylcholine Chloride</t>
  </si>
  <si>
    <t xml:space="preserve">20MG/ML</t>
  </si>
  <si>
    <t xml:space="preserve">25 x 10 ml (Multi Dose Vial)</t>
  </si>
  <si>
    <t xml:space="preserve">15MG/VIAL</t>
  </si>
  <si>
    <t xml:space="preserve">15 mg thiotepa sterile lyophilized powder in a single-dose vial</t>
  </si>
  <si>
    <t xml:space="preserve">`</t>
  </si>
  <si>
    <t xml:space="preserve">250 mg/vial, sterile lyophilized powder (NDC 55111-0652-37)</t>
  </si>
  <si>
    <t xml:space="preserve">0.25 mg palonosetron in 5 mL (0.05 mg/mL) single-dose vial, individually packaged in a carton (NDC 55111-694-07)</t>
  </si>
  <si>
    <t xml:space="preserve">Single-dose vial, lyophilized powder, 1 vial per carton </t>
  </si>
  <si>
    <t xml:space="preserve">2 × 5 mL single-dose syringes + safety needles; NDC 43598-262-23</t>
  </si>
  <si>
    <t xml:space="preserve">1 × 5 mL multidose vial; NDC 75907-190-07</t>
  </si>
  <si>
    <t xml:space="preserve">1 × 10 mL multidose vial; NDC 75907-189-35</t>
  </si>
  <si>
    <t xml:space="preserve">1 × 2.5 mL multidose vial; NDC 75907-191-02</t>
  </si>
  <si>
    <t xml:space="preserve">25 × 1 mL single-dose vials; NDC 43598-725-25</t>
  </si>
  <si>
    <t xml:space="preserve">Eribulin Mesylate</t>
  </si>
  <si>
    <t xml:space="preserve">1MG/2ML (0.5MG/ML)</t>
  </si>
  <si>
    <t xml:space="preserve">2 mL single-dose vial, 1 mg; U.S. NDC 43598-125-11</t>
  </si>
  <si>
    <t xml:space="preserve">Neostigmine Methylsulfate</t>
  </si>
  <si>
    <t xml:space="preserve">3MG/3ML (1MG/ML)</t>
  </si>
  <si>
    <t xml:space="preserve">10 × 3 mL single-dose prefilled syringes; NDC 43598-945-58</t>
  </si>
  <si>
    <t xml:space="preserve">Yes—single-dose prefilled syringe</t>
  </si>
  <si>
    <t xml:space="preserve">5MG/10ML (0.5MG/ML)</t>
  </si>
  <si>
    <t xml:space="preserve">10 mL multidose vial (0.5 mg/mL), carton of 1; NDC 43598-528-11</t>
  </si>
  <si>
    <t xml:space="preserve">10MG/10ML (1MG/ML)</t>
  </si>
  <si>
    <t xml:space="preserve">10 mL multidose vial (1 mg/mL), carton of 1; NDC 43598-529 </t>
  </si>
  <si>
    <t xml:space="preserve">5 mL single-dose prefilled plastic syringe with Luer lock; NDC 43598-616-11</t>
  </si>
  <si>
    <t xml:space="preserve">Sugammadex Sodium</t>
  </si>
  <si>
    <t xml:space="preserve">EQ 200MG BASE/2ML (EQ 100MG BASE/ML)</t>
  </si>
  <si>
    <t xml:space="preserve">2 mL single-dose vial; carton of 10; NDC 43598-924-26</t>
  </si>
  <si>
    <t xml:space="preserve">EQ 500MG BASE/5ML (EQ 100MG BASE/ML)</t>
  </si>
  <si>
    <t xml:space="preserve">5 mL single-dose vial; carton/NDC not independently verified</t>
  </si>
  <si>
    <t xml:space="preserve">Bortezomib Dr. Reddy's</t>
  </si>
  <si>
    <t xml:space="preserve">Daptomycin Dr. Reddy's</t>
  </si>
  <si>
    <t xml:space="preserve">Fulvestrant Dr. Reddy's</t>
  </si>
  <si>
    <t xml:space="preserve">0.44 MG/ML</t>
  </si>
  <si>
    <t xml:space="preserve">1 x 2 mL vial (0.88 mg eribulin)</t>
  </si>
  <si>
    <t xml:space="preserve">Azacitidine Betapharm</t>
  </si>
  <si>
    <t xml:space="preserve">Ciclofosfamida Dr. Reddy</t>
  </si>
  <si>
    <t xml:space="preserve">500 mg/1 mL</t>
  </si>
  <si>
    <t xml:space="preserve">Daptomicina Dr. Reddy's</t>
  </si>
  <si>
    <t xml:space="preserve">Eribulin Beta</t>
  </si>
  <si>
    <t xml:space="preserve">880 mcg/2 mL</t>
  </si>
  <si>
    <t xml:space="preserve">1 x 2 mL vial (Advanz comparator pack; Betapharm pack not confirmed from an EU leaflet)</t>
  </si>
  <si>
    <t xml:space="preserve">Fulvestrant Beta</t>
  </si>
  <si>
    <t xml:space="preserve">Ibandronsäure Beta</t>
  </si>
  <si>
    <t xml:space="preserve">3 mg</t>
  </si>
  <si>
    <t xml:space="preserve">1 x 3 mg pre-filled syringe</t>
  </si>
  <si>
    <t xml:space="preserve">Palonosetron Beta</t>
  </si>
  <si>
    <t xml:space="preserve">250 mcg/5 mL</t>
  </si>
  <si>
    <t xml:space="preserve">200 mg/2 mL</t>
  </si>
  <si>
    <t xml:space="preserve">3.5 MG/VIAL</t>
  </si>
  <si>
    <t xml:space="preserve">3.5 mg single-use vial</t>
  </si>
  <si>
    <t xml:space="preserve">100 MG/VIAL</t>
  </si>
  <si>
    <t xml:space="preserve">100 mg single-use vial</t>
  </si>
  <si>
    <t xml:space="preserve">500 mg vial; powder for solution for injection</t>
  </si>
  <si>
    <t xml:space="preserve">10 mL multi-dose vial (200 mg/10 mL)</t>
  </si>
  <si>
    <t xml:space="preserve">0.5 MG/ML</t>
  </si>
  <si>
    <t xml:space="preserve">2 mL single-use vial (1 mg); 1 vial/carton</t>
  </si>
  <si>
    <t xml:space="preserve">Ferricarbo</t>
  </si>
  <si>
    <t xml:space="preserve">500 mg/10 mL (50 mg/mL)</t>
  </si>
  <si>
    <t xml:space="preserve">1000 mg/20 mL (50 mg/mL)</t>
  </si>
  <si>
    <t xml:space="preserve">1 × 20 mL vial</t>
  </si>
  <si>
    <t xml:space="preserve">100 mg/2 mL (50 mg/mL)</t>
  </si>
  <si>
    <t xml:space="preserve">Eribulin-RZ</t>
  </si>
  <si>
    <t xml:space="preserve">1 mg/2 mL (0.5 mg/mL)</t>
  </si>
  <si>
    <t xml:space="preserve">Carboprost Dr. Reddy's</t>
  </si>
  <si>
    <t xml:space="preserve">250 microgram/1 mL</t>
  </si>
  <si>
    <t xml:space="preserve">Daptomycin-DRLA</t>
  </si>
  <si>
    <t xml:space="preserve">Sugammadex-Reddy's</t>
  </si>
  <si>
    <t xml:space="preserve">Sugammadex-DRLA</t>
  </si>
  <si>
    <t xml:space="preserve">Palonoset</t>
  </si>
  <si>
    <t xml:space="preserve">Reddaza</t>
  </si>
  <si>
    <t xml:space="preserve">Eribulin DRL</t>
  </si>
  <si>
    <t xml:space="preserve">1mg/2ml</t>
  </si>
  <si>
    <t xml:space="preserve">1 x 2 mL vial</t>
  </si>
  <si>
    <t xml:space="preserve">Neuvysi</t>
  </si>
  <si>
    <t xml:space="preserve">Eranfu</t>
  </si>
  <si>
    <t xml:space="preserve">250mg/5ml</t>
  </si>
  <si>
    <t xml:space="preserve">Bertred</t>
  </si>
  <si>
    <t xml:space="preserve">1 x 10 mL vial (powder)</t>
  </si>
  <si>
    <t xml:space="preserve">Azacitidine DRL</t>
  </si>
  <si>
    <t xml:space="preserve">100mg</t>
  </si>
  <si>
    <t xml:space="preserve">1 x 30 mL vial (powder)</t>
  </si>
  <si>
    <t xml:space="preserve">Azacitidine Tillomed</t>
  </si>
  <si>
    <t xml:space="preserve">Daptomycin Tillomed</t>
  </si>
  <si>
    <t xml:space="preserve">350 mg vial x 1 vial/ pack of 10</t>
  </si>
  <si>
    <t xml:space="preserve">Pentamidine Isetionate Tillomed</t>
  </si>
  <si>
    <t xml:space="preserve">300 MG</t>
  </si>
  <si>
    <t xml:space="preserve">5 x 300 mg vials (powder)</t>
  </si>
  <si>
    <t xml:space="preserve">1 x 40 mg vial (powder)</t>
  </si>
  <si>
    <t xml:space="preserve">1 MG/ML</t>
  </si>
  <si>
    <t xml:space="preserve">10 x 10 mL vials</t>
  </si>
  <si>
    <t xml:space="preserve">50 MG</t>
  </si>
  <si>
    <t xml:space="preserve">1 x 50 mg vial (powder) + 1 x 10 mL solvent vial</t>
  </si>
  <si>
    <t xml:space="preserve">250 MG/ML</t>
  </si>
  <si>
    <t xml:space="preserve">5 x 2 mL vials</t>
  </si>
  <si>
    <t xml:space="preserve">Acetazolamide Tillomed</t>
  </si>
  <si>
    <t xml:space="preserve">500 MG</t>
  </si>
  <si>
    <t xml:space="preserve">500 mg powder vial</t>
  </si>
  <si>
    <t xml:space="preserve">Amikacin Tillomed Laboratories</t>
  </si>
  <si>
    <t xml:space="preserve">500 mg/2 mL</t>
  </si>
  <si>
    <t xml:space="preserve">Ampicillina Tillomed</t>
  </si>
  <si>
    <t xml:space="preserve">50 x 1 g glass vials</t>
  </si>
  <si>
    <t xml:space="preserve">Azacitidin Tillomed</t>
  </si>
  <si>
    <t xml:space="preserve">Bortezomib Tillomed</t>
  </si>
  <si>
    <t xml:space="preserve">Daptomicina Tillomed</t>
  </si>
  <si>
    <t xml:space="preserve">Eribulin Tillomed</t>
  </si>
  <si>
    <t xml:space="preserve">0.44 mg/mL</t>
  </si>
  <si>
    <t xml:space="preserve">Esomeprazol Tillomed</t>
  </si>
  <si>
    <t xml:space="preserve">40 mg</t>
  </si>
  <si>
    <t xml:space="preserve">10 x 40 mg vials (powder)</t>
  </si>
  <si>
    <t xml:space="preserve">Melfalan Tillomed</t>
  </si>
  <si>
    <t xml:space="preserve">Melphalan Tillomed</t>
  </si>
  <si>
    <t xml:space="preserve">Milrinon Tillomed</t>
  </si>
  <si>
    <t xml:space="preserve">10 mg/10 mL</t>
  </si>
  <si>
    <t xml:space="preserve">Ondansetron Tillomed</t>
  </si>
  <si>
    <t xml:space="preserve">5 x 2 mL ampoules</t>
  </si>
  <si>
    <t xml:space="preserve">Pentamidindiisetionat Tillomed</t>
  </si>
  <si>
    <t xml:space="preserve">300 mg</t>
  </si>
  <si>
    <t xml:space="preserve">1 x 300 mg vial (powder)</t>
  </si>
  <si>
    <t xml:space="preserve">Plerixafor Tillomed</t>
  </si>
  <si>
    <t xml:space="preserve">Sugammadex Tillomed</t>
  </si>
  <si>
    <t xml:space="preserve">50 MG/VIAL</t>
  </si>
  <si>
    <t xml:space="preserve">1 × 50 mg powder vial + 1 × 10 mL diluent vial</t>
  </si>
  <si>
    <t xml:space="preserve">10 × 10 mL multidose vials</t>
  </si>
  <si>
    <t xml:space="preserve">Amikacin Sulfate</t>
  </si>
  <si>
    <t xml:space="preserve">500 MG/2 ML</t>
  </si>
  <si>
    <t xml:space="preserve">2 mL vial; 10 vials/pack</t>
  </si>
  <si>
    <t xml:space="preserve">Lyophilized powder, 3.5 mg in 10 mL single-use vial; 1 vial/carton</t>
  </si>
  <si>
    <t xml:space="preserve">Isoproterenol Hydrochloride</t>
  </si>
  <si>
    <t xml:space="preserve">0.2 MG/ML</t>
  </si>
  <si>
    <t xml:space="preserve">1 mL single-use vial; 10 vials/box</t>
  </si>
  <si>
    <t xml:space="preserve">1 MG/5 ML</t>
  </si>
  <si>
    <t xml:space="preserve">5 mL single-use vial; 10 vials/box</t>
  </si>
  <si>
    <t xml:space="preserve">Pentamidine Isetionate</t>
  </si>
  <si>
    <t xml:space="preserve">300 MG/VIAL</t>
  </si>
  <si>
    <t xml:space="preserve">20 mL single-dose vial (lyophilized powder); 5 vials/pack</t>
  </si>
  <si>
    <t xml:space="preserve">10 MG/ML</t>
  </si>
  <si>
    <t xml:space="preserve">20 mL / 50 mL / 100 mL single-use glass vials</t>
  </si>
  <si>
    <t xml:space="preserve">Colistimethate</t>
  </si>
  <si>
    <t xml:space="preserve">150 MG/VIAL</t>
  </si>
  <si>
    <t xml:space="preserve">150 mg single vial (10 mL vial); 1 vial/pack</t>
  </si>
  <si>
    <t xml:space="preserve">1000 MG/VIAL</t>
  </si>
  <si>
    <t xml:space="preserve">1000 mg single-use 100 mL vial; 1 vial/carton</t>
  </si>
  <si>
    <t xml:space="preserve">2000 MG/VIAL</t>
  </si>
  <si>
    <t xml:space="preserve">2000 mg single-use 100 mL vial; 1 vial/carton</t>
  </si>
  <si>
    <t xml:space="preserve">Pentamidine-EMC</t>
  </si>
  <si>
    <t xml:space="preserve">300 mg/vial</t>
  </si>
  <si>
    <t xml:space="preserve">1 × 300 mg vial (powder)</t>
  </si>
  <si>
    <t xml:space="preserve">Amikacin EMC</t>
  </si>
  <si>
    <t xml:space="preserve">500 mg/2 mL (250 mg/mL)</t>
  </si>
  <si>
    <t xml:space="preserve">Melpha</t>
  </si>
  <si>
    <t xml:space="preserve">50 mg/vial</t>
  </si>
  <si>
    <t xml:space="preserve">1 × 50 mg powder vial + diluent (composite pack)</t>
  </si>
  <si>
    <t xml:space="preserve">2 × 5 mL single-dose syringes + safety needles; NDC 68462-317-32</t>
  </si>
  <si>
    <t xml:space="preserve">2 mL single-dose vial, 1 mg; U.S. NDC 68462-770-20</t>
  </si>
  <si>
    <t xml:space="preserve">1 x pre-filled syringe (price normalized per unit; marketed pack unconfirmed)</t>
  </si>
  <si>
    <t xml:space="preserve">10 vials (priced pack)</t>
  </si>
  <si>
    <t xml:space="preserve">Azacitidina Glenmark</t>
  </si>
  <si>
    <t xml:space="preserve">Bortezomib Glenmark</t>
  </si>
  <si>
    <t xml:space="preserve">1 x 1 mg vial (powder)</t>
  </si>
  <si>
    <t xml:space="preserve">Eribulin Glenmark Pharmaceuticals Europe</t>
  </si>
  <si>
    <t xml:space="preserve">Fulvestrant Glenmark</t>
  </si>
  <si>
    <t xml:space="preserve">250 mg</t>
  </si>
  <si>
    <t xml:space="preserve">1 x 250 mg pre-filled syringe</t>
  </si>
  <si>
    <t xml:space="preserve">Plerixafor Glenmark</t>
  </si>
  <si>
    <t xml:space="preserve">20 mg/mL</t>
  </si>
  <si>
    <t xml:space="preserve">1 x 1.2 mL vial (24 mg)</t>
  </si>
  <si>
    <t xml:space="preserve">Sugammadex Glenmark</t>
  </si>
  <si>
    <t xml:space="preserve">Bortraczo</t>
  </si>
  <si>
    <t xml:space="preserve">2.5 mg/1 mL</t>
  </si>
  <si>
    <t xml:space="preserve">3.5 mg/1.4 mL (2.5 mg/mL)</t>
  </si>
  <si>
    <t xml:space="preserve">1 × 1.4 mL vial</t>
  </si>
  <si>
    <t xml:space="preserve">1mL or 2 mL Single-Dose Vial x 25-Unit Carton</t>
  </si>
  <si>
    <t xml:space="preserve">0.2MG/ML</t>
  </si>
  <si>
    <t xml:space="preserve">Lidocaine Hydrochloride</t>
  </si>
  <si>
    <t xml:space="preserve">1%</t>
  </si>
  <si>
    <t xml:space="preserve">10 or 25 × 20 mL multi-dose vials; 10 or 25 × 50 mL multi-dose vials (1%)</t>
  </si>
  <si>
    <t xml:space="preserve">10 mL (200 mg/10 mL) Multiple-dose Fliptop Vial (NDC 31722-981-10); 25 vials in a carton (NDC 31722-981-31)</t>
  </si>
  <si>
    <t xml:space="preserve">1 × 3.5 mg single-dose powder vial; NDC 31722-303-31 (Camber / Hetero)</t>
  </si>
  <si>
    <t xml:space="preserve">25GM/50ML (500MG/ML)</t>
  </si>
  <si>
    <t xml:space="preserve">25 × 50 mL single-dose vials; NDC 31722-394-35; Camber / Aspiro</t>
  </si>
  <si>
    <t xml:space="preserve">5MEQ/10ML (0.5MEQ/ML)</t>
  </si>
  <si>
    <t xml:space="preserve">10 mL vial, 0.5 mEq/mL</t>
  </si>
  <si>
    <t xml:space="preserve">2 mL single-dose vial; carton/NDC not independently verified</t>
  </si>
  <si>
    <t xml:space="preserve">1 × 1.2 mL single-use vial</t>
  </si>
  <si>
    <t xml:space="preserve">10 x 5 mL vials</t>
  </si>
  <si>
    <t xml:space="preserve">2.5 MG/ML</t>
  </si>
  <si>
    <t xml:space="preserve">1 x 0.4 mL vial (1 mg bortezomib; calibrated priced presentation)</t>
  </si>
  <si>
    <t xml:space="preserve">400 MG</t>
  </si>
  <si>
    <t xml:space="preserve">1/5 x 400 mg vial (powder) </t>
  </si>
  <si>
    <t xml:space="preserve">Azacitidine Amarox</t>
  </si>
  <si>
    <t xml:space="preserve">Bortezomib Amarox</t>
  </si>
  <si>
    <t xml:space="preserve">2.5 mg/mL (3.5 mg/1.4 mL)</t>
  </si>
  <si>
    <t xml:space="preserve">1 x 1.4 mL vial (3.5 mg; ready solution)</t>
  </si>
  <si>
    <t xml:space="preserve">Brivaracetam Amarox</t>
  </si>
  <si>
    <t xml:space="preserve">Daptomicin Tarbis</t>
  </si>
  <si>
    <t xml:space="preserve">Melfalan Amarox</t>
  </si>
  <si>
    <t xml:space="preserve">1 x 50 mg vial (powder) + 10 mL solvent vial</t>
  </si>
  <si>
    <t xml:space="preserve">Melfalán Tarbis</t>
  </si>
  <si>
    <t xml:space="preserve">Pantoprazol Amarox</t>
  </si>
  <si>
    <t xml:space="preserve">Plerixafor Amarox</t>
  </si>
  <si>
    <t xml:space="preserve">Rocuronium Bromide Amarox</t>
  </si>
  <si>
    <t xml:space="preserve">50 mg/5 mL</t>
  </si>
  <si>
    <t xml:space="preserve">Sugammadex Amarox</t>
  </si>
  <si>
    <t xml:space="preserve">10 x 2 mL (100 mg/mL solution for injection)</t>
  </si>
  <si>
    <t xml:space="preserve">Teicoplanin Amarox</t>
  </si>
  <si>
    <t xml:space="preserve">400 mg</t>
  </si>
  <si>
    <t xml:space="preserve">1 x 400 mg vial (powder) + 1 x 3 mL solvent ampoule</t>
  </si>
  <si>
    <t xml:space="preserve">Bortezomib Hetero</t>
  </si>
  <si>
    <t xml:space="preserve">Glyopy</t>
  </si>
  <si>
    <t xml:space="preserve">1mg/mL</t>
  </si>
  <si>
    <t xml:space="preserve">1 x 5 mL ampoule/vial</t>
  </si>
  <si>
    <t xml:space="preserve">Bortiv</t>
  </si>
  <si>
    <t xml:space="preserve">2.5mg/1.0ml</t>
  </si>
  <si>
    <t xml:space="preserve">3.5mg/1.4ml</t>
  </si>
  <si>
    <t xml:space="preserve">1mg/0.4ml</t>
  </si>
  <si>
    <t xml:space="preserve">1 x 0.4 mL vial</t>
  </si>
  <si>
    <t xml:space="preserve">Hetnoset</t>
  </si>
  <si>
    <t xml:space="preserve">0.25mg / 5ml</t>
  </si>
  <si>
    <t xml:space="preserve">Sugmasol</t>
  </si>
  <si>
    <t xml:space="preserve">100mgmg/ml</t>
  </si>
  <si>
    <t xml:space="preserve">10 x 2 mL ampoules/vials</t>
  </si>
  <si>
    <t xml:space="preserve">Heterix</t>
  </si>
  <si>
    <t xml:space="preserve">20mg/ml</t>
  </si>
  <si>
    <t xml:space="preserve">3.5mg/10ml</t>
  </si>
  <si>
    <t xml:space="preserve">Ondansetron Hydrochloride</t>
  </si>
  <si>
    <t xml:space="preserve">EQ 2MG BASE/ML</t>
  </si>
  <si>
    <t xml:space="preserve">20ml multi-dose vial</t>
  </si>
  <si>
    <t xml:space="preserve">250MG/VIAL</t>
  </si>
  <si>
    <t xml:space="preserve">250 mg bivalirudin lyophilized powder in a single-dose glass vial</t>
  </si>
  <si>
    <t xml:space="preserve">Kit containing one 3 mg/3 mL single-dose glass prefilled syringe, a 25-gauge 3/4 inch needle with wings and 9 cm tubing</t>
  </si>
  <si>
    <t xml:space="preserve">2 × 5 mL single-dose syringes + safety needles; NDC 16729-436-30</t>
  </si>
  <si>
    <t xml:space="preserve">1 × 50 mL single-dose vial; NDC 16729-430-11</t>
  </si>
  <si>
    <t xml:space="preserve">Atropine Sulfate</t>
  </si>
  <si>
    <t xml:space="preserve">0.25MG/5ML (0.05MG/ML)</t>
  </si>
  <si>
    <t xml:space="preserve">10 × 5 mL single-dose syringes; NDC 16729-483-03</t>
  </si>
  <si>
    <t xml:space="preserve">Prefilled syringe</t>
  </si>
  <si>
    <t xml:space="preserve">0.4MG/ML (0.4MG/ML)</t>
  </si>
  <si>
    <t xml:space="preserve">25 × 1 mL single-dose vials; NDC 16729-525-08</t>
  </si>
  <si>
    <t xml:space="preserve">0.5MG/5ML (0.1MG/ML)</t>
  </si>
  <si>
    <t xml:space="preserve">10 × 5 mL single-dose syringes; NDC 16729-484-90</t>
  </si>
  <si>
    <t xml:space="preserve">1MG/10ML (0.1MG/ML)</t>
  </si>
  <si>
    <t xml:space="preserve">10 × 10 mL single-dose syringes; NDC 16729-484-45</t>
  </si>
  <si>
    <t xml:space="preserve">1MG/ML (1MG/ML)</t>
  </si>
  <si>
    <t xml:space="preserve">25 × 1 mL single-dose vials; NDC 16729-526-08</t>
  </si>
  <si>
    <t xml:space="preserve">0.005MG/ML (0.005MG/ML)</t>
  </si>
  <si>
    <t xml:space="preserve">1 or 25 × 1 mL single-dose vials (5 mcg/mL); NDC 16729-311-63 / -08</t>
  </si>
  <si>
    <t xml:space="preserve">0.01MG/2ML (0.005MG/ML)</t>
  </si>
  <si>
    <t xml:space="preserve">1 or 25 × 2 mL multidose vials (10 mcg/2 mL); NDC 16729-311-30 / -93</t>
  </si>
  <si>
    <t xml:space="preserve">5 mL single-dose glass prefilled syringe; NDC 16729-477-31</t>
  </si>
  <si>
    <t xml:space="preserve">5 x 250 mg vials (powder)</t>
  </si>
  <si>
    <t xml:space="preserve">2.0 MG</t>
  </si>
  <si>
    <t xml:space="preserve">Pre-filled Syringe</t>
  </si>
  <si>
    <t xml:space="preserve">Jubereq</t>
  </si>
  <si>
    <t xml:space="preserve">120 MG</t>
  </si>
  <si>
    <t xml:space="preserve">1 x 1.7 mL vial</t>
  </si>
  <si>
    <t xml:space="preserve">Fovlussea</t>
  </si>
  <si>
    <t xml:space="preserve">1 x 0.23 mL vial</t>
  </si>
  <si>
    <t xml:space="preserve">Ibandronic Acid Accord</t>
  </si>
  <si>
    <t xml:space="preserve">3 MG</t>
  </si>
  <si>
    <t xml:space="preserve">3 mL pre-filled syringe x 1 / pack of 10</t>
  </si>
  <si>
    <t xml:space="preserve">Palonosetron Accord</t>
  </si>
  <si>
    <t xml:space="preserve">250 MICROGRAMS</t>
  </si>
  <si>
    <t xml:space="preserve">1 x 6 mL vial</t>
  </si>
  <si>
    <t xml:space="preserve">Pelgraz</t>
  </si>
  <si>
    <t xml:space="preserve">6 MG</t>
  </si>
  <si>
    <t xml:space="preserve">1 x 0.6 mL pre-filled syringe (6 mg; priced pack)</t>
  </si>
  <si>
    <t xml:space="preserve">Azacitidine Accord</t>
  </si>
  <si>
    <t xml:space="preserve">100mg/150mg vial (priced pack)</t>
  </si>
  <si>
    <t xml:space="preserve">80 MG</t>
  </si>
  <si>
    <t xml:space="preserve">80 mg vial/ pack of 3</t>
  </si>
  <si>
    <t xml:space="preserve">Imuldosa</t>
  </si>
  <si>
    <t xml:space="preserve">45 MG</t>
  </si>
  <si>
    <t xml:space="preserve">1 x 0.5 mL pre-filled syringe (45 mg; priced pack)</t>
  </si>
  <si>
    <t xml:space="preserve">8 MG</t>
  </si>
  <si>
    <t xml:space="preserve">1 x 4 mL pre-filled syringe (8 mg; priced pack)</t>
  </si>
  <si>
    <t xml:space="preserve">400 MICROGRAMS/ML</t>
  </si>
  <si>
    <t xml:space="preserve">10 pre-filled syringes (priced pack)</t>
  </si>
  <si>
    <t xml:space="preserve">1 x 1 mL concentrate vial + 1 x 9 mL solvent vial</t>
  </si>
  <si>
    <t xml:space="preserve">50 MG/ML</t>
  </si>
  <si>
    <t xml:space="preserve">1 x 10 mL vial</t>
  </si>
  <si>
    <t xml:space="preserve">Epirubicin Hydrochloride</t>
  </si>
  <si>
    <t xml:space="preserve">5 x 5 mL vials</t>
  </si>
  <si>
    <t xml:space="preserve">Cyclophosphamide Accord</t>
  </si>
  <si>
    <t xml:space="preserve">2000 MG</t>
  </si>
  <si>
    <t xml:space="preserve">1 x 2000 mg vial (powder)</t>
  </si>
  <si>
    <t xml:space="preserve">2 MILLION INTERNATIONAL UNITS (IU)</t>
  </si>
  <si>
    <t xml:space="preserve">Packs of 1 vial &amp; 10 x 2 million IU vials (powder)</t>
  </si>
  <si>
    <t xml:space="preserve">5 MG/ML</t>
  </si>
  <si>
    <t xml:space="preserve">1 x 30 mL vial</t>
  </si>
  <si>
    <t xml:space="preserve">15000 IU</t>
  </si>
  <si>
    <t xml:space="preserve">1 x 15,000 units vial (powder)</t>
  </si>
  <si>
    <t xml:space="preserve">0.1 MG/ML</t>
  </si>
  <si>
    <t xml:space="preserve">1 x pre-filled syringe (priced pack)</t>
  </si>
  <si>
    <t xml:space="preserve">Pre filled Syringe</t>
  </si>
  <si>
    <t xml:space="preserve">Camcevi</t>
  </si>
  <si>
    <t xml:space="preserve">21 MG</t>
  </si>
  <si>
    <t xml:space="preserve">1 x 21 mg pre-filled syringe (with safety needle)</t>
  </si>
  <si>
    <t xml:space="preserve">Adrenaline Accord</t>
  </si>
  <si>
    <t xml:space="preserve">1 mg/10 mL</t>
  </si>
  <si>
    <t xml:space="preserve">1 x 10 mL pre-filled syringe</t>
  </si>
  <si>
    <t xml:space="preserve">Amiodarone Accord</t>
  </si>
  <si>
    <t xml:space="preserve">300 mg/10 mL</t>
  </si>
  <si>
    <t xml:space="preserve">Amoxicillin Accord Healthcare</t>
  </si>
  <si>
    <t xml:space="preserve">Atracurium Accord Healthcare</t>
  </si>
  <si>
    <t xml:space="preserve">Atropin Accord</t>
  </si>
  <si>
    <t xml:space="preserve">500 mcg/5 mL</t>
  </si>
  <si>
    <t xml:space="preserve">1 x 5 mL pre-filled syringe</t>
  </si>
  <si>
    <t xml:space="preserve">Atropina Accord</t>
  </si>
  <si>
    <t xml:space="preserve">0.1 mg/mL (500 mcg/5 mL)</t>
  </si>
  <si>
    <t xml:space="preserve">Bivalirudin Accord</t>
  </si>
  <si>
    <t xml:space="preserve">10 x 250 mg vials</t>
  </si>
  <si>
    <t xml:space="preserve">Bleomicina Accord</t>
  </si>
  <si>
    <t xml:space="preserve">1 x 15000 IU vial (powder)</t>
  </si>
  <si>
    <t xml:space="preserve">Bortezomib Accord</t>
  </si>
  <si>
    <t xml:space="preserve">21 mg</t>
  </si>
  <si>
    <t xml:space="preserve">1 x 0.25 mL pre-filled syringe + 1 safety needle</t>
  </si>
  <si>
    <t xml:space="preserve">Cefepim Accord</t>
  </si>
  <si>
    <t xml:space="preserve">10 x 1 g vials (powder)</t>
  </si>
  <si>
    <t xml:space="preserve">Cefepime Accord</t>
  </si>
  <si>
    <t xml:space="preserve">Ceftriaxone Accord</t>
  </si>
  <si>
    <t xml:space="preserve">1 g, assumed</t>
  </si>
  <si>
    <t xml:space="preserve">Colistimetato Accord</t>
  </si>
  <si>
    <t xml:space="preserve">1 MU (approx. 80 mg colistimetato de sodio)</t>
  </si>
  <si>
    <t xml:space="preserve">10 x 1 MU vials (powder)</t>
  </si>
  <si>
    <t xml:space="preserve">Daptomicin Accord Healthcare</t>
  </si>
  <si>
    <t xml:space="preserve">Degarelix Accord</t>
  </si>
  <si>
    <t xml:space="preserve">80 mg</t>
  </si>
  <si>
    <t xml:space="preserve">1 x 80 mg drug-powder vial + 1 x 4.2 mL solvent PFS, adaptor, plunger and needle</t>
  </si>
  <si>
    <t xml:space="preserve">Doxorubicin Accord</t>
  </si>
  <si>
    <t xml:space="preserve">Epirubicin Hydrochloride Accord Healthcare</t>
  </si>
  <si>
    <t xml:space="preserve">Eptifibatide Accord</t>
  </si>
  <si>
    <t xml:space="preserve">20 mg/10 mL</t>
  </si>
  <si>
    <t xml:space="preserve">Eribuline Accord</t>
  </si>
  <si>
    <t xml:space="preserve">1 x 2 mL vial (Advanz comparator pack; Accord pack not confirmed from an EU leaflet)</t>
  </si>
  <si>
    <t xml:space="preserve">Esomeprazol Accord</t>
  </si>
  <si>
    <t xml:space="preserve">Floxapen</t>
  </si>
  <si>
    <t xml:space="preserve">10 x 500 mg powder vials</t>
  </si>
  <si>
    <t xml:space="preserve">Fludarabin Accord</t>
  </si>
  <si>
    <t xml:space="preserve">50 mg/2 mL</t>
  </si>
  <si>
    <t xml:space="preserve">Fulvestrant Accord</t>
  </si>
  <si>
    <t xml:space="preserve">Hydroxocobalamin Accord Healthcare</t>
  </si>
  <si>
    <t xml:space="preserve">1 mg/mL</t>
  </si>
  <si>
    <t xml:space="preserve">3 x 1 mL (1 mg/mL) injection solution (priced comparator pack)</t>
  </si>
  <si>
    <t xml:space="preserve">3 mg/3 mL</t>
  </si>
  <si>
    <t xml:space="preserve">1 x 3 mL pre-filled syringe</t>
  </si>
  <si>
    <t xml:space="preserve">Idarubicin Accord Healthcare</t>
  </si>
  <si>
    <t xml:space="preserve">5 mg/5 mL</t>
  </si>
  <si>
    <t xml:space="preserve">Melphalan Accord</t>
  </si>
  <si>
    <t xml:space="preserve">Mitomicina Accord</t>
  </si>
  <si>
    <t xml:space="preserve">10 mg</t>
  </si>
  <si>
    <t xml:space="preserve">1 x 10 mg vial (powder)</t>
  </si>
  <si>
    <t xml:space="preserve">Mitoxantron Accord</t>
  </si>
  <si>
    <t xml:space="preserve">Ondansetron Accord</t>
  </si>
  <si>
    <t xml:space="preserve">Pantoprazol Accord</t>
  </si>
  <si>
    <t xml:space="preserve">Phenytoin Accord</t>
  </si>
  <si>
    <t xml:space="preserve">100 mg/2 mL</t>
  </si>
  <si>
    <t xml:space="preserve">Plerixafor Accord</t>
  </si>
  <si>
    <t xml:space="preserve">Rocuronio Accord</t>
  </si>
  <si>
    <t xml:space="preserve">10 x 5 mL ampoules</t>
  </si>
  <si>
    <t xml:space="preserve">Sugammadex Accord</t>
  </si>
  <si>
    <t xml:space="preserve">Teicoplanina Accord</t>
  </si>
  <si>
    <t xml:space="preserve">200 mg</t>
  </si>
  <si>
    <t xml:space="preserve">1 x 200 mg vial (powder)</t>
  </si>
  <si>
    <t xml:space="preserve">Vinorelbin Accord</t>
  </si>
  <si>
    <t xml:space="preserve">Vinorelbine Accord</t>
  </si>
  <si>
    <t xml:space="preserve">2 mL preservative-free single-use vial</t>
  </si>
  <si>
    <t xml:space="preserve">5 mL / 25 mL / 100 mL vials</t>
  </si>
  <si>
    <t xml:space="preserve">6 MG/ML</t>
  </si>
  <si>
    <t xml:space="preserve">5 mL / 16.7 mL multidose vials; 50 mL pharmacy bulk vial</t>
  </si>
  <si>
    <t xml:space="preserve">100 mL pharmacy bulk vial</t>
  </si>
  <si>
    <t xml:space="preserve">2 mL multidose vial (50 mg/2 mL), with preservative; 10 vials/carton</t>
  </si>
  <si>
    <t xml:space="preserve">20 MG/VIAL</t>
  </si>
  <si>
    <t xml:space="preserve">20 mg single-use vial; individually packaged</t>
  </si>
  <si>
    <t xml:space="preserve">20 mL preservative-free single-use vial</t>
  </si>
  <si>
    <t xml:space="preserve">40 mL preservative-free single-use vial</t>
  </si>
  <si>
    <t xml:space="preserve">Methotrexate Subcutaneous</t>
  </si>
  <si>
    <t xml:space="preserve">10 MG/0.2 ML</t>
  </si>
  <si>
    <t xml:space="preserve">0.2 mL single-use pre-filled syringe</t>
  </si>
  <si>
    <t xml:space="preserve">12.5 MG/0.25 ML</t>
  </si>
  <si>
    <t xml:space="preserve">0.25 mL single-use pre-filled syringe</t>
  </si>
  <si>
    <t xml:space="preserve">Dostiva</t>
  </si>
  <si>
    <t xml:space="preserve">120 mg/1.7 mL (70 mg/mL)</t>
  </si>
  <si>
    <t xml:space="preserve">1 × 1.7 mL vial</t>
  </si>
  <si>
    <t xml:space="preserve">Bleomycin Accord</t>
  </si>
  <si>
    <t xml:space="preserve">15,000 IU/vial</t>
  </si>
  <si>
    <t xml:space="preserve">1 × 15,000 IU vial (powder)</t>
  </si>
  <si>
    <t xml:space="preserve">Bortezomib Intas</t>
  </si>
  <si>
    <t xml:space="preserve">Cyclophosphamide Intas</t>
  </si>
  <si>
    <t xml:space="preserve">Suxamethonium Intas</t>
  </si>
  <si>
    <t xml:space="preserve">1 × 2 mL pre-filled syringe</t>
  </si>
  <si>
    <t xml:space="preserve">Tigecycline Accord</t>
  </si>
  <si>
    <t xml:space="preserve">1 × 50 mg vial (powder)</t>
  </si>
  <si>
    <t xml:space="preserve">1 mg/vial</t>
  </si>
  <si>
    <t xml:space="preserve">1 × 1 mg vial (powder)</t>
  </si>
  <si>
    <t xml:space="preserve">Fulvestrant Intas</t>
  </si>
  <si>
    <t xml:space="preserve">Phenylephrine Accord</t>
  </si>
  <si>
    <t xml:space="preserve">4 mg/2 mL (2 mg/mL)</t>
  </si>
  <si>
    <t xml:space="preserve">8 mg/4 mL (2 mg/mL)</t>
  </si>
  <si>
    <t xml:space="preserve">1 × 4 mL pre-filled syringe</t>
  </si>
  <si>
    <t xml:space="preserve">Midazolam Accord</t>
  </si>
  <si>
    <t xml:space="preserve">50 mg/10 mL (5 mg/mL)</t>
  </si>
  <si>
    <t xml:space="preserve">1 × 10 mL syringe</t>
  </si>
  <si>
    <t xml:space="preserve">5 mg/5 mL (1 mg/mL)</t>
  </si>
  <si>
    <t xml:space="preserve">1 × 5 mL syringe</t>
  </si>
  <si>
    <t xml:space="preserve">Daptomycin Accord</t>
  </si>
  <si>
    <t xml:space="preserve">Lidocaine Accord</t>
  </si>
  <si>
    <t xml:space="preserve">100 mg/5 mL (20 mg/mL)</t>
  </si>
  <si>
    <t xml:space="preserve">400 mg/20 mL (20 mg/mL)</t>
  </si>
  <si>
    <t xml:space="preserve">Lidocaine Intas</t>
  </si>
  <si>
    <t xml:space="preserve">40 mg/2 mL (20 mg/mL)</t>
  </si>
  <si>
    <t xml:space="preserve">1 × 2 mL ampoule</t>
  </si>
  <si>
    <t xml:space="preserve">200 mg/20 mL (10 mg/mL)</t>
  </si>
  <si>
    <t xml:space="preserve">Cytarabine Accord</t>
  </si>
  <si>
    <t xml:space="preserve">4000 mg/40 mL (100 mg/mL)</t>
  </si>
  <si>
    <t xml:space="preserve">1 × 40 mL vial</t>
  </si>
  <si>
    <t xml:space="preserve">Cytarabine ACC</t>
  </si>
  <si>
    <t xml:space="preserve">2000 mg/20 mL (100 mg/mL)</t>
  </si>
  <si>
    <t xml:space="preserve">1000 mg/10 mL (100 mg/mL)</t>
  </si>
  <si>
    <t xml:space="preserve">5000 mg/50 mL (100 mg/mL)</t>
  </si>
  <si>
    <t xml:space="preserve">1 × 50 mL vial</t>
  </si>
  <si>
    <t xml:space="preserve">Azaccord</t>
  </si>
  <si>
    <t xml:space="preserve">Glycopyrrolate Accord</t>
  </si>
  <si>
    <t xml:space="preserve">0.6 mg/3 mL (0.2 mg/mL)</t>
  </si>
  <si>
    <t xml:space="preserve">1 × 3 mL ampoule</t>
  </si>
  <si>
    <t xml:space="preserve">Cisatracurium Accord</t>
  </si>
  <si>
    <t xml:space="preserve">10 mg/5 mL (2 mg/mL)</t>
  </si>
  <si>
    <t xml:space="preserve">50 mg/25 mL (2 mg/mL)</t>
  </si>
  <si>
    <t xml:space="preserve">1 × 25 mL vial</t>
  </si>
  <si>
    <t xml:space="preserve">20 mg/10 mL (2 mg/mL)</t>
  </si>
  <si>
    <t xml:space="preserve">5 mg/2.5 mL (2 mg/mL)</t>
  </si>
  <si>
    <t xml:space="preserve">1 × 2.5 mL vial</t>
  </si>
  <si>
    <t xml:space="preserve">150 mg/30 mL (5 mg/mL)</t>
  </si>
  <si>
    <t xml:space="preserve">1 × 30 mL vial</t>
  </si>
  <si>
    <t xml:space="preserve">Methotrexate Intas</t>
  </si>
  <si>
    <t xml:space="preserve">1 × 10 mL glass vial</t>
  </si>
  <si>
    <t xml:space="preserve">Epirubicin Accord</t>
  </si>
  <si>
    <t xml:space="preserve">1 × 25 mL glass vial</t>
  </si>
  <si>
    <t xml:space="preserve">200 mg/100 mL (2 mg/mL)</t>
  </si>
  <si>
    <t xml:space="preserve">1 × 100 mL glass vial</t>
  </si>
  <si>
    <t xml:space="preserve">Intas Midazolam</t>
  </si>
  <si>
    <t xml:space="preserve">15 mg/3 mL (5 mg/mL)</t>
  </si>
  <si>
    <t xml:space="preserve">1 × 100 mL vial</t>
  </si>
  <si>
    <t xml:space="preserve">Amiodarone Prefilled Syringe Accord</t>
  </si>
  <si>
    <t xml:space="preserve">300mg/10ml</t>
  </si>
  <si>
    <t xml:space="preserve">Phenylcord</t>
  </si>
  <si>
    <t xml:space="preserve">Dabucor</t>
  </si>
  <si>
    <t xml:space="preserve">500mg</t>
  </si>
  <si>
    <t xml:space="preserve">1 x 20 mL vial</t>
  </si>
  <si>
    <t xml:space="preserve">Fuldexa</t>
  </si>
  <si>
    <t xml:space="preserve">Palcita</t>
  </si>
  <si>
    <t xml:space="preserve">Valtib</t>
  </si>
  <si>
    <t xml:space="preserve">1mg/ml</t>
  </si>
  <si>
    <t xml:space="preserve">1 vial (powder for solution for injection)</t>
  </si>
  <si>
    <t xml:space="preserve">Accord-Vincristine</t>
  </si>
  <si>
    <t xml:space="preserve">2mg/2ml</t>
  </si>
  <si>
    <t xml:space="preserve">Accord Epirubicin</t>
  </si>
  <si>
    <t xml:space="preserve">2mg/ml</t>
  </si>
  <si>
    <t xml:space="preserve">1 x 25 mL vial</t>
  </si>
  <si>
    <t xml:space="preserve">Epicord</t>
  </si>
  <si>
    <t xml:space="preserve">Rubexet</t>
  </si>
  <si>
    <t xml:space="preserve">50mg/25ml</t>
  </si>
  <si>
    <t xml:space="preserve">200mg/100ml</t>
  </si>
  <si>
    <t xml:space="preserve">2 mL single-dose vial; carton of 10; NDC 70748-370-02</t>
  </si>
  <si>
    <t xml:space="preserve">10 × 5 mL single-dose vials</t>
  </si>
  <si>
    <t xml:space="preserve">Olanzapine GH IM</t>
  </si>
  <si>
    <t xml:space="preserve">10 mg/vial</t>
  </si>
  <si>
    <t xml:space="preserve">1 × 10 mg vial (powder)</t>
  </si>
  <si>
    <t xml:space="preserve">Sugammadex Lupin</t>
  </si>
  <si>
    <t xml:space="preserve">Sugammadex LAPL</t>
  </si>
  <si>
    <t xml:space="preserve">Daptomycin Lupin</t>
  </si>
  <si>
    <t xml:space="preserve">Cefazolin SXP</t>
  </si>
  <si>
    <t xml:space="preserve">Teicoplanin SXP</t>
  </si>
  <si>
    <t xml:space="preserve">400 mg/vial</t>
  </si>
  <si>
    <t xml:space="preserve">1 × 400 mg powder vial + 1 diluent ampoule</t>
  </si>
  <si>
    <t xml:space="preserve">Droperidol Lupin</t>
  </si>
  <si>
    <t xml:space="preserve">1 × 1 mL glass ampoule</t>
  </si>
  <si>
    <t xml:space="preserve">Droperidol AJS</t>
  </si>
  <si>
    <t xml:space="preserve">5 mg/2 mL (2.5 mg/mL)</t>
  </si>
  <si>
    <t xml:space="preserve">1 × 2 mL glass ampoule</t>
  </si>
  <si>
    <t xml:space="preserve">Ephedrine Hydrochloride AJS</t>
  </si>
  <si>
    <t xml:space="preserve">30 mg/mL</t>
  </si>
  <si>
    <t xml:space="preserve">1 × ampoule</t>
  </si>
  <si>
    <t xml:space="preserve">Meropenem GH</t>
  </si>
  <si>
    <t xml:space="preserve">1 g/vial</t>
  </si>
  <si>
    <t xml:space="preserve">1 × 1 g vial (powder)</t>
  </si>
  <si>
    <t xml:space="preserve">Fentanyl GH</t>
  </si>
  <si>
    <t xml:space="preserve">500 microgram/10 mL (50 microgram/mL)</t>
  </si>
  <si>
    <t xml:space="preserve">1 × 10 mL glass ampoule</t>
  </si>
  <si>
    <t xml:space="preserve">100 microgram/2 mL (50 microgram/mL)</t>
  </si>
  <si>
    <t xml:space="preserve">Oxytocin GH</t>
  </si>
  <si>
    <t xml:space="preserve">10 IU/1 mL</t>
  </si>
  <si>
    <t xml:space="preserve">Milrinone GH</t>
  </si>
  <si>
    <t xml:space="preserve">10 mg/10 mL (1 mg/mL)</t>
  </si>
  <si>
    <t xml:space="preserve">1 × 10 mL ampoule</t>
  </si>
  <si>
    <t xml:space="preserve">Alfentanil GH</t>
  </si>
  <si>
    <t xml:space="preserve">5 mg/10 mL (0.5 mg/mL)</t>
  </si>
  <si>
    <t xml:space="preserve">Cisatracurium AJS</t>
  </si>
  <si>
    <t xml:space="preserve">Testosterone PD</t>
  </si>
  <si>
    <t xml:space="preserve">Invabex</t>
  </si>
  <si>
    <t xml:space="preserve">Altirem IV</t>
  </si>
  <si>
    <t xml:space="preserve">5 x 5 mL vials (powder)</t>
  </si>
  <si>
    <t xml:space="preserve">5mg/ml</t>
  </si>
  <si>
    <t xml:space="preserve">5 x 10 mL vials (powder)</t>
  </si>
  <si>
    <t xml:space="preserve">Meroject</t>
  </si>
  <si>
    <t xml:space="preserve">1000mg/30ml</t>
  </si>
  <si>
    <t xml:space="preserve">10 x 30 mL vials (powder)</t>
  </si>
  <si>
    <t xml:space="preserve">Dyna Teicoplanin</t>
  </si>
  <si>
    <t xml:space="preserve">200mg</t>
  </si>
  <si>
    <t xml:space="preserve">1 x 20 mL vial (powder) + 1 x 3.2 mL solvent ampoule</t>
  </si>
  <si>
    <t xml:space="preserve">Teicoplanin PD</t>
  </si>
  <si>
    <t xml:space="preserve">Sucrofer</t>
  </si>
  <si>
    <t xml:space="preserve">5 x 5 mL ampoules/vials</t>
  </si>
  <si>
    <t xml:space="preserve">Diphenhydramine Hydrochloride</t>
  </si>
  <si>
    <t xml:space="preserve">1ml single dose ampul</t>
  </si>
  <si>
    <t xml:space="preserve">Lincomycin Hydrochloride</t>
  </si>
  <si>
    <t xml:space="preserve">EQ 300MG BASE/ML</t>
  </si>
  <si>
    <t xml:space="preserve">2ml multi-dose vial</t>
  </si>
  <si>
    <t xml:space="preserve">25 x 10 mL (200 mg/10 mL) Multi-Dose Vials (NDC 42571-371-87)</t>
  </si>
  <si>
    <t xml:space="preserve">50MG/5ML (10MG/ML)</t>
  </si>
  <si>
    <t xml:space="preserve">10 × 5 mL single-dose vials; NDC 42571-370-99</t>
  </si>
  <si>
    <t xml:space="preserve">Vial single dose</t>
  </si>
  <si>
    <t xml:space="preserve">5MG/2ML (2.5MG/ML)</t>
  </si>
  <si>
    <t xml:space="preserve">10MG/4ML (2.5MG/ML)</t>
  </si>
  <si>
    <t xml:space="preserve">1 × 4 mL vial; 5 × 4 mL vials</t>
  </si>
  <si>
    <t xml:space="preserve">Caffeine Citrate Brown &amp; Burk</t>
  </si>
  <si>
    <t xml:space="preserve">60 mg caffeine citrate/3 mL (= 30 mg caffeine base)</t>
  </si>
  <si>
    <t xml:space="preserve">10 x 3 mL vials</t>
  </si>
  <si>
    <t xml:space="preserve">1 x 3 mL fill in a 5 mL vial</t>
  </si>
  <si>
    <t xml:space="preserve">Cyclact</t>
  </si>
  <si>
    <t xml:space="preserve">50 mg/1 mL</t>
  </si>
  <si>
    <t xml:space="preserve">Levetiracetam WP</t>
  </si>
  <si>
    <t xml:space="preserve">Isoprika</t>
  </si>
  <si>
    <t xml:space="preserve">1mL or 2 mL Single-Dose Vial x 25-Vial Carton</t>
  </si>
  <si>
    <t xml:space="preserve">1 Multi-dose Vial (5 mL)</t>
  </si>
  <si>
    <t xml:space="preserve">1 × 3.5 mg single-dose powder vial; NDC 72205-183-01 (Novadoz / MSN)</t>
  </si>
  <si>
    <t xml:space="preserve">10 × 5 mL single-dose vials; NDC 72205-272-07 (Novadoz / MSN)</t>
  </si>
  <si>
    <t xml:space="preserve">10 × 2 mL single-dose vials</t>
  </si>
  <si>
    <t xml:space="preserve">1.0 MMOL/ML</t>
  </si>
  <si>
    <t xml:space="preserve">2ml, 7.5ml, 15ml, 30ml, 67ml vial x 1 vial/ pack of 10</t>
  </si>
  <si>
    <t xml:space="preserve">Bortezomib MSN Laboratories Europe</t>
  </si>
  <si>
    <t xml:space="preserve">Gadobutrol MSN Laboratories Europe</t>
  </si>
  <si>
    <t xml:space="preserve">1 mmol/mL</t>
  </si>
  <si>
    <t xml:space="preserve">Sugammadex MSN</t>
  </si>
  <si>
    <t xml:space="preserve">MSN-Bortezomib</t>
  </si>
  <si>
    <t xml:space="preserve">Bupivacaine Hydrochloride</t>
  </si>
  <si>
    <t xml:space="preserve">0.25%</t>
  </si>
  <si>
    <t xml:space="preserve">10 × 10 mL vials; 1 × 30 mL single-dose vial</t>
  </si>
  <si>
    <t xml:space="preserve">0.5%</t>
  </si>
  <si>
    <t xml:space="preserve">1 × 30 mL single-dose vial; 10 × 10 mL vials</t>
  </si>
  <si>
    <t xml:space="preserve">Methohexital Sodium</t>
  </si>
  <si>
    <t xml:space="preserve">500MG/VIAL</t>
  </si>
  <si>
    <t xml:space="preserve">multi dose vial</t>
  </si>
  <si>
    <t xml:space="preserve">Powder Vial (1 g) - pack count not verified</t>
  </si>
  <si>
    <t xml:space="preserve">Powder Vial (2 g) - pack count not verified</t>
  </si>
  <si>
    <t xml:space="preserve">Meropenem Steriscience</t>
  </si>
  <si>
    <t xml:space="preserve">2 g</t>
  </si>
  <si>
    <t xml:space="preserve">1 x 2 g vial (powder)</t>
  </si>
  <si>
    <t xml:space="preserve">Cisatracurium Besylate</t>
  </si>
  <si>
    <t xml:space="preserve">10 × 5 mL single-dose vials; 10 × 10 mL multi-dose vials</t>
  </si>
  <si>
    <t xml:space="preserve">EQ 10MG BASE/ML</t>
  </si>
  <si>
    <t xml:space="preserve">Gablofen</t>
  </si>
  <si>
    <t xml:space="preserve">0.05MG/ML</t>
  </si>
  <si>
    <t xml:space="preserve">1 mL single-dose syringe, 50 mcg per mL (NDC 66794-151-01)</t>
  </si>
  <si>
    <t xml:space="preserve">Rapifen</t>
  </si>
  <si>
    <t xml:space="preserve">10 x 2 mL ampoules (1 mg/2 mL; current Sep-2026 tariff pack); 5 x 10 mL Rapifen pack deleted Sep-2026</t>
  </si>
  <si>
    <t xml:space="preserve">Alfentanil Piramal</t>
  </si>
  <si>
    <t xml:space="preserve">0.5 mg/mL</t>
  </si>
  <si>
    <t xml:space="preserve">5 x 10 mL ampoules</t>
  </si>
  <si>
    <t xml:space="preserve">Hypnomidate</t>
  </si>
  <si>
    <t xml:space="preserve">2 mg/mL</t>
  </si>
  <si>
    <t xml:space="preserve">Remifentanil Piramal</t>
  </si>
  <si>
    <t xml:space="preserve">Sugammadex Piramal</t>
  </si>
  <si>
    <t xml:space="preserve">0.5mg/ml</t>
  </si>
  <si>
    <t xml:space="preserve">Sublimaze</t>
  </si>
  <si>
    <t xml:space="preserve">50mcg/ml</t>
  </si>
  <si>
    <t xml:space="preserve">1 x vial (price normalized per unit; marketed pack unconfirmed)</t>
  </si>
  <si>
    <t xml:space="preserve">Meropenem Strides Pharma</t>
  </si>
  <si>
    <t xml:space="preserve">10 x 500 mg vials (powder) (priced comparator pack)</t>
  </si>
  <si>
    <t xml:space="preserve">Zetaf</t>
  </si>
  <si>
    <t xml:space="preserve">2 g/vial</t>
  </si>
  <si>
    <t xml:space="preserve">1 × 2 g vial (powder)</t>
  </si>
  <si>
    <t xml:space="preserve">Bindozef</t>
  </si>
  <si>
    <t xml:space="preserve">Auro Piptaz</t>
  </si>
  <si>
    <t xml:space="preserve">2 g + 250 mg/vial</t>
  </si>
  <si>
    <t xml:space="preserve">1 × 2 g/250 mg vial (powder)</t>
  </si>
  <si>
    <t xml:space="preserve">Auro-Piptaz</t>
  </si>
  <si>
    <t xml:space="preserve">4 g + 500 mg/vial</t>
  </si>
  <si>
    <t xml:space="preserve">1 × 4 g/500 mg vial (powder)</t>
  </si>
  <si>
    <t xml:space="preserve">Cortaject</t>
  </si>
  <si>
    <t xml:space="preserve">100mg /5ml</t>
  </si>
  <si>
    <t xml:space="preserve">100 mg vial (current SA pack count unresolved)</t>
  </si>
  <si>
    <t xml:space="preserve">Chlorothiazide Sodium</t>
  </si>
  <si>
    <t xml:space="preserve">EQ 500MG BASE/VIAL</t>
  </si>
  <si>
    <t xml:space="preserve">1 Single-Dose Vial (18mL fill, lyophilized)</t>
  </si>
  <si>
    <t xml:space="preserve">Doxorubicin Hydrochloride</t>
  </si>
  <si>
    <t xml:space="preserve">1 × 25 mL single-dose vial; 1 × 100 mL multi-dose vial</t>
  </si>
  <si>
    <t xml:space="preserve">Sugammadex Sun</t>
  </si>
  <si>
    <t xml:space="preserve">1 x 300 mg vial (powder) + 1 x 2 mL solvent vial</t>
  </si>
  <si>
    <t xml:space="preserve">Fulvestrant Sun</t>
  </si>
  <si>
    <t xml:space="preserve">Bortezomib Sun</t>
  </si>
  <si>
    <t xml:space="preserve">Vecuronium Sun</t>
  </si>
  <si>
    <t xml:space="preserve">10 MG</t>
  </si>
  <si>
    <t xml:space="preserve">1/4/10/20 x 10mL vial </t>
  </si>
  <si>
    <t xml:space="preserve">Testosterone</t>
  </si>
  <si>
    <t xml:space="preserve">1000 MG/4 ML</t>
  </si>
  <si>
    <t xml:space="preserve">Terlipressin Acetate Sun</t>
  </si>
  <si>
    <t xml:space="preserve">0.12 MG/ML</t>
  </si>
  <si>
    <t xml:space="preserve">5 x 8.5 mL ampoules</t>
  </si>
  <si>
    <t xml:space="preserve">1/5/10/24 x 20mL vial </t>
  </si>
  <si>
    <t xml:space="preserve">Esomeprazol Sun</t>
  </si>
  <si>
    <t xml:space="preserve">Melfalan Sun</t>
  </si>
  <si>
    <t xml:space="preserve">Meropenem Basics</t>
  </si>
  <si>
    <t xml:space="preserve">500 mg (powder)</t>
  </si>
  <si>
    <t xml:space="preserve">10 x 500 mg powder vials (30 mL container capacity)</t>
  </si>
  <si>
    <t xml:space="preserve">Meropenem Ranbaxy</t>
  </si>
  <si>
    <t xml:space="preserve">Pantoprazol Sun</t>
  </si>
  <si>
    <t xml:space="preserve">Paricalcitol Sun</t>
  </si>
  <si>
    <t xml:space="preserve">2 mcg/mL</t>
  </si>
  <si>
    <t xml:space="preserve">5 x 1 mL vials</t>
  </si>
  <si>
    <t xml:space="preserve">Teicoplanin Ranbaxy</t>
  </si>
  <si>
    <t xml:space="preserve">1 x 400 mg powder vial + 1 x 3 mL solvent ampoule</t>
  </si>
  <si>
    <t xml:space="preserve">Terlipresina Sun</t>
  </si>
  <si>
    <t xml:space="preserve">850 mcg/8.5 mL</t>
  </si>
  <si>
    <t xml:space="preserve">Testosteron Basics</t>
  </si>
  <si>
    <t xml:space="preserve">1 g/4 mL</t>
  </si>
  <si>
    <t xml:space="preserve">10 x 10 mg vials (powder)</t>
  </si>
  <si>
    <t xml:space="preserve">Taro-Meropenem</t>
  </si>
  <si>
    <t xml:space="preserve">30 mL single-use vial; 10 vials/carton</t>
  </si>
  <si>
    <t xml:space="preserve">40 mL single-use vial; 10 vials/carton</t>
  </si>
  <si>
    <t xml:space="preserve">Taro-Melphalan</t>
  </si>
  <si>
    <t xml:space="preserve">Kit containing 50 mg melphalan vial + 10 mL buffer/solvent vial</t>
  </si>
  <si>
    <t xml:space="preserve">Taro-Testosterone Cypionate</t>
  </si>
  <si>
    <t xml:space="preserve">10 mL multi-dose vial (contains benzyl alcohol preservative)</t>
  </si>
  <si>
    <t xml:space="preserve">Taro-Bortezomib</t>
  </si>
  <si>
    <t xml:space="preserve">3.5 mg in 10 mL single-use vial; 1 vial/carton</t>
  </si>
  <si>
    <t xml:space="preserve">Aripena</t>
  </si>
  <si>
    <t xml:space="preserve">1 × 300 mg powder vial + diluent (kit)</t>
  </si>
  <si>
    <t xml:space="preserve">Empty Syringes</t>
  </si>
  <si>
    <t xml:space="preserve">1 × 400 mg powder vial + diluent (kit)</t>
  </si>
  <si>
    <t xml:space="preserve">Testosterone Sun</t>
  </si>
  <si>
    <t xml:space="preserve">1000 mg/4 mL (250 mg/mL)</t>
  </si>
  <si>
    <t xml:space="preserve">1 × 4 mL vial</t>
  </si>
  <si>
    <t xml:space="preserve">Octreotide Sun</t>
  </si>
  <si>
    <t xml:space="preserve">500 microgram/1 mL</t>
  </si>
  <si>
    <t xml:space="preserve">1 × 10 mg powder vial</t>
  </si>
  <si>
    <t xml:space="preserve">Esomeprazole Sun</t>
  </si>
  <si>
    <t xml:space="preserve">40 mg/vial</t>
  </si>
  <si>
    <t xml:space="preserve">1 × 40 mg glass vial (powder)</t>
  </si>
  <si>
    <t xml:space="preserve">Sumabid IV</t>
  </si>
  <si>
    <t xml:space="preserve">100mg/ml</t>
  </si>
  <si>
    <t xml:space="preserve">Botigen</t>
  </si>
  <si>
    <t xml:space="preserve">Muscuron</t>
  </si>
  <si>
    <t xml:space="preserve">4mg/2ml</t>
  </si>
  <si>
    <t xml:space="preserve">5 x 2 mL vials (powder)</t>
  </si>
  <si>
    <t xml:space="preserve">10 x 2 mL vials (powder)</t>
  </si>
  <si>
    <t xml:space="preserve">Mercide</t>
  </si>
  <si>
    <t xml:space="preserve">1 x 40 mL vial (powder)</t>
  </si>
  <si>
    <t xml:space="preserve">3 MG/3 ML</t>
  </si>
  <si>
    <t xml:space="preserve">5 x 3 mL ampoules</t>
  </si>
  <si>
    <t xml:space="preserve">Fulvestrant Heumann</t>
  </si>
  <si>
    <t xml:space="preserve">Granisetron Torrent Pharma</t>
  </si>
  <si>
    <t xml:space="preserve">5 x 3 mL ampoules (priced comparator pack)</t>
  </si>
  <si>
    <t xml:space="preserve">Levetiracetam Heumann</t>
  </si>
  <si>
    <t xml:space="preserve">Meropenem Heumann</t>
  </si>
  <si>
    <t xml:space="preserve">Paliperidon Heumann</t>
  </si>
  <si>
    <t xml:space="preserve">1 x 0.5 mL pre-filled syringe</t>
  </si>
  <si>
    <t xml:space="preserve">Voriconazol Heumann</t>
  </si>
  <si>
    <t xml:space="preserve">Rocuronium IV Biotech</t>
  </si>
  <si>
    <t xml:space="preserve">Meropenem Venus Pharma</t>
  </si>
  <si>
    <t xml:space="preserve">2 G</t>
  </si>
  <si>
    <t xml:space="preserve">10 x 2 g vials (powder)</t>
  </si>
  <si>
    <t xml:space="preserve">Ceftazidime Venus Pharma</t>
  </si>
  <si>
    <t xml:space="preserve">Bleomycin Venus Pharma</t>
  </si>
  <si>
    <t xml:space="preserve">15,000 IU</t>
  </si>
  <si>
    <t xml:space="preserve">1 x 15,000 IU vial (powder)</t>
  </si>
  <si>
    <t xml:space="preserve">Meropenem Venus</t>
  </si>
  <si>
    <t xml:space="preserve">1 gram powder vial, packaged in carton of ten vials</t>
  </si>
  <si>
    <t xml:space="preserve">EQ 250MG BASE/VIAL</t>
  </si>
  <si>
    <t xml:space="preserve">250 mg vials (glass); Box of 1 (NDC 64679-701-01), Box of 10 (NDC 64679-701-02), Box of 25 (NDC 64679-701-03)</t>
  </si>
  <si>
    <t xml:space="preserve">500 mg vials (glass); Box of 1 (NDC 64679-702-01) and Box of 10 (NDC 64679-702-02)</t>
  </si>
  <si>
    <t xml:space="preserve">5 x 4 mL ampoules</t>
  </si>
  <si>
    <t xml:space="preserve">5 MG</t>
  </si>
  <si>
    <t xml:space="preserve">5 x 5 mg vials (powder)</t>
  </si>
  <si>
    <t xml:space="preserve">Protamine Sulfate</t>
  </si>
  <si>
    <t xml:space="preserve">Morphine Sulfate</t>
  </si>
  <si>
    <t xml:space="preserve">30 MG/ML</t>
  </si>
  <si>
    <t xml:space="preserve">10 x 1 mL ampoules</t>
  </si>
  <si>
    <t xml:space="preserve">10 x 10 mL ampoules</t>
  </si>
  <si>
    <t xml:space="preserve">600 MCG/ML</t>
  </si>
  <si>
    <t xml:space="preserve">5 x 1 mL ampoules</t>
  </si>
  <si>
    <t xml:space="preserve">Caffeine Citrate</t>
  </si>
  <si>
    <t xml:space="preserve">3 MG/ML</t>
  </si>
  <si>
    <t xml:space="preserve">6 x 2 mL vials</t>
  </si>
  <si>
    <t xml:space="preserve">Adenosine Wockhardt</t>
  </si>
  <si>
    <t xml:space="preserve">3 mg/mL</t>
  </si>
  <si>
    <t xml:space="preserve">Ceftazadime</t>
  </si>
  <si>
    <t xml:space="preserve">Daptomycin Wockhardt</t>
  </si>
  <si>
    <t xml:space="preserve">Hyalase</t>
  </si>
  <si>
    <t xml:space="preserve">1500 IU</t>
  </si>
  <si>
    <t xml:space="preserve">10 x 1500 IU ampoules (powder)</t>
  </si>
  <si>
    <t xml:space="preserve">Metaraminol Wockhardt</t>
  </si>
  <si>
    <t xml:space="preserve">Milrinone Wockhardt</t>
  </si>
  <si>
    <t xml:space="preserve">Ondansetron Wockhardt</t>
  </si>
  <si>
    <t xml:space="preserve">Prosulf</t>
  </si>
  <si>
    <t xml:space="preserve">5 x 5 mL ampoules</t>
  </si>
  <si>
    <t xml:space="preserve">Remifentanil Wockhardt</t>
  </si>
  <si>
    <t xml:space="preserve">5 mg</t>
  </si>
  <si>
    <t xml:space="preserve">Sodium Valproate Wockhardt</t>
  </si>
  <si>
    <t xml:space="preserve">400 mg/4 mL</t>
  </si>
  <si>
    <t xml:space="preserve">5 x 4 mL vials</t>
  </si>
  <si>
    <t xml:space="preserve">Vancomycin Wockhardt</t>
  </si>
  <si>
    <t xml:space="preserve">Daptomycin WKT</t>
  </si>
  <si>
    <t xml:space="preserve">Amikacin Wockhardt</t>
  </si>
  <si>
    <t xml:space="preserve">400 mg/4 mL (100 mg/mL)</t>
  </si>
  <si>
    <t xml:space="preserve">1 × 4 mL ampoule</t>
  </si>
  <si>
    <t xml:space="preserve">Acetazolamide Sodium</t>
  </si>
  <si>
    <t xml:space="preserve">1 mL or 2mL Single-Dose Vial x 25-Vial Carton</t>
  </si>
  <si>
    <t xml:space="preserve">5mL Single-Dose Vial x 10-Vial Carton</t>
  </si>
  <si>
    <t xml:space="preserve">20mL Single-Dose Vial x 10-Vial Carton</t>
  </si>
  <si>
    <t xml:space="preserve">25 × 1 mL multi-dose vials; 10 × 10 mL multi-dose vials; 25 × 10 mL multi-dose vials; 1 × 30 mL multi-dose vial; 5 × 30 mL multi-dose vials</t>
  </si>
  <si>
    <t xml:space="preserve">EQ 50MG BASE/VIAL</t>
  </si>
  <si>
    <t xml:space="preserve">EQ 50MG BASE/ML</t>
  </si>
  <si>
    <t xml:space="preserve">1 mL Single-Dose Vial,5 mL Multiple-Dose Vial</t>
  </si>
  <si>
    <t xml:space="preserve">EQ 100MG BASE/ML</t>
  </si>
  <si>
    <t xml:space="preserve">Single -dose, 2 mL in 1 VIAL</t>
  </si>
  <si>
    <t xml:space="preserve">25MG/VIAL</t>
  </si>
  <si>
    <t xml:space="preserve">Not found (not in current FDA NDC listing)</t>
  </si>
  <si>
    <t xml:space="preserve">25 × 10 mL multi-dose vials</t>
  </si>
  <si>
    <t xml:space="preserve">Single-dose fliptop vial (verapamil hydrochloride injection 2.5 mg/mL)</t>
  </si>
  <si>
    <t xml:space="preserve">5 ml single dose vial</t>
  </si>
  <si>
    <t xml:space="preserve">EQ 500MG BASE/2ML (EQ 250MG BASE/ML)</t>
  </si>
  <si>
    <t xml:space="preserve">1 × 3.5 mg single-dose powder vial; NDC 70710-1411-1 (Zydus)</t>
  </si>
  <si>
    <t xml:space="preserve">2 × 5 mL single-dose syringes + safety needles; NDC 70710-1688-8</t>
  </si>
  <si>
    <t xml:space="preserve">Bortezomib Combix</t>
  </si>
  <si>
    <t xml:space="preserve">Ceftriaxone Zydus</t>
  </si>
  <si>
    <t xml:space="preserve">Zymib</t>
  </si>
  <si>
    <t xml:space="preserve">Zydus-Ondansetron</t>
  </si>
  <si>
    <t xml:space="preserve">8mg</t>
  </si>
  <si>
    <t xml:space="preserve">5 ampoules/vials</t>
  </si>
  <si>
    <t xml:space="preserve">Zypiron</t>
  </si>
  <si>
    <t xml:space="preserve">100mg/5ml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</si>
</sst>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#,##0.00"/>
    <numFmt numFmtId="167" formatCode="#,##0"/>
    <numFmt numFmtId="168" formatCode="0.00"/>
    <numFmt numFmtId="169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7F6000"/>
        <bgColor rgb="FF993300"/>
      </patternFill>
    </fill>
    <fill>
      <patternFill patternType="solid">
        <fgColor rgb="FFFFF2C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3864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F6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8" min="6" style="0" width="8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6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0"/>
    <col collapsed="false" customWidth="true" hidden="false" outlineLevel="0" max="20" min="17" style="0" width="8"/>
    <col collapsed="false" customWidth="true" hidden="false" outlineLevel="0" max="21" min="21" style="0" width="10"/>
    <col collapsed="false" customWidth="true" hidden="false" outlineLevel="0" max="25" min="22" style="0" width="9"/>
    <col collapsed="false" customWidth="true" hidden="false" outlineLevel="0" max="26" min="26" style="0" width="11"/>
    <col collapsed="false" customWidth="true" hidden="false" outlineLevel="0" max="27" min="27" style="0" width="9"/>
    <col collapsed="false" customWidth="true" hidden="false" outlineLevel="0" max="28" min="28" style="0" width="8"/>
    <col collapsed="false" customWidth="true" hidden="false" outlineLevel="0" max="29" min="29" style="0" width="9"/>
    <col collapsed="false" customWidth="true" hidden="false" outlineLevel="0" max="30" min="30" style="0" width="11"/>
    <col collapsed="false" customWidth="true" hidden="false" outlineLevel="0" max="31" min="31" style="0" width="30"/>
    <col collapsed="false" customWidth="true" hidden="true" outlineLevel="0" max="32" min="32" style="0" width="8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</row>
    <row r="5" customFormat="false" ht="15" hidden="false" customHeight="false" outlineLevel="0" collapsed="false">
      <c r="A5" s="5" t="n">
        <f aca="false">IF(ISNUMBER(U5),RANK(U5,$U$5:$U$337),"")</f>
        <v>277</v>
      </c>
      <c r="B5" s="5" t="s">
        <v>34</v>
      </c>
      <c r="C5" s="5" t="s">
        <v>35</v>
      </c>
      <c r="D5" s="5" t="str">
        <f aca="false">INDEX('API Data'!$B$2:$B$152,MATCH(B5,'API Data'!$A$2:$A$152,0))</f>
        <v>Ophthalmic – acute angle-closure glaucoma / IOP reduction (also oedema)</v>
      </c>
      <c r="E5" s="5" t="n">
        <f aca="false">COUNTIFS('Market Listing'!$A$2:$A$4054,B5,'Market Listing'!$B$2:$B$4054,C5)</f>
        <v>27</v>
      </c>
      <c r="F5" s="5" t="n">
        <f aca="false">COUNTIFS('Market Listing'!$A$2:$A$4054,B5,'Market Listing'!$B$2:$B$4054,C5,'Market Listing'!$D$2:$D$4054,"Tier 1")</f>
        <v>6</v>
      </c>
      <c r="G5" s="5" t="n">
        <f aca="false">COUNTIFS('Market Listing'!$A$2:$A$4054,B5,'Market Listing'!$B$2:$B$4054,C5,'Market Listing'!$D$2:$D$4054,"Tier 2")</f>
        <v>3</v>
      </c>
      <c r="H5" s="5" t="n">
        <f aca="false">COUNTIFS('Market Listing'!$A$2:$A$4054,B5,'Market Listing'!$B$2:$B$4054,C5,'Market Listing'!$D$2:$D$4054,"Tier 3")</f>
        <v>18</v>
      </c>
      <c r="I5" s="5" t="n">
        <f aca="false">SUMIFS('Market Listing'!$E$2:$E$4054,'Market Listing'!$A$2:$A$4054,B5,'Market Listing'!$B$2:$B$4054,C5)</f>
        <v>42</v>
      </c>
      <c r="J5" s="5" t="n">
        <f aca="false">COUNTIFS('Product Rows'!$A$2:$A$696,B5,'Product Rows'!$B$2:$B$696,C5)</f>
        <v>2</v>
      </c>
      <c r="K5" s="5" t="n">
        <f aca="false">COUNTIFS('Product Rows'!$A$2:$A$696,B5,'Product Rows'!$B$2:$B$696,C5,'Product Rows'!$G$2:$G$696,"Vial")</f>
        <v>2</v>
      </c>
      <c r="L5" s="5" t="n">
        <f aca="false">COUNTIFS('Product Rows'!$A$2:$A$696,B5,'Product Rows'!$B$2:$B$696,C5,'Product Rows'!$G$2:$G$696,"Ampoule")</f>
        <v>0</v>
      </c>
      <c r="M5" s="5" t="n">
        <f aca="false">COUNTIFS('Product Rows'!$A$2:$A$696,B5,'Product Rows'!$B$2:$B$696,C5,'Product Rows'!$G$2:$G$696,"Prefilled syringe/pen")</f>
        <v>0</v>
      </c>
      <c r="N5" s="6" t="n">
        <f aca="false">IFERROR(AVERAGEIFS('Product Rows'!$H$2:$H$696,'Product Rows'!$A$2:$A$696,B5,'Product Rows'!$B$2:$B$696,C5),"")</f>
        <v>17.80625</v>
      </c>
      <c r="O5" s="7" t="n">
        <f aca="false">INDEX('API Data'!$E$2:$E$152,MATCH(B5,'API Data'!$A$2:$A$152,0))</f>
        <v>1405.18517391305</v>
      </c>
      <c r="P5" s="5" t="n">
        <f aca="false">COUNTIF($B$5:$B$337,B5)</f>
        <v>2</v>
      </c>
      <c r="Q5" s="8" t="n">
        <f aca="false">IF(ISNUMBER(I5),PERCENTRANK($I$5:$I$337,I5),"")</f>
        <v>0.729</v>
      </c>
      <c r="R5" s="8" t="n">
        <f aca="false">IF(ISNUMBER(N5),PERCENTRANK($N$5:$N$337,N5),"")</f>
        <v>0.341</v>
      </c>
      <c r="S5" s="8" t="n">
        <f aca="false">IF(ISNUMBER(O5),PERCENTRANK($O$5:$O$337,O5),"")</f>
        <v>0.202</v>
      </c>
      <c r="T5" s="8" t="n">
        <f aca="false">IF(ISNUMBER(P5),PERCENTRANK($P$5:$P$337,P5),"")</f>
        <v>0.235</v>
      </c>
      <c r="U5" s="9" t="n">
        <f aca="false">IF((IF(ISNUMBER(Q5),Inputs!$B$4,0)+IF(ISNUMBER(R5),Inputs!$B$5,0)+IF(ISNUMBER(S5),Inputs!$B$6,0)+IF(ISNUMBER(T5),Inputs!$B$7,0))=0,"",(IF(ISNUMBER(Q5),Inputs!$B$4*Q5,0)+IF(ISNUMBER(R5),Inputs!$B$5*R5,0)+IF(ISNUMBER(S5),Inputs!$B$6*S5,0)+IF(ISNUMBER(T5),Inputs!$B$7*T5,0))/(IF(ISNUMBER(Q5),Inputs!$B$4,0)+IF(ISNUMBER(R5),Inputs!$B$5,0)+IF(ISNUMBER(S5),Inputs!$B$6,0)+IF(ISNUMBER(T5),Inputs!$B$7,0)))</f>
        <v>0.2715</v>
      </c>
      <c r="V5" s="5" t="str">
        <f aca="false">IF(F5&gt;0,"Yes","No")</f>
        <v>Yes</v>
      </c>
      <c r="W5" s="5" t="str">
        <f aca="false">IF(ISNUMBER(N5),IF(N5&gt;=Inputs!$D$18,"Yes","No"),"No price")</f>
        <v>Yes</v>
      </c>
      <c r="X5" s="5" t="str">
        <f aca="false">IF(K5+L5&gt;0,"Yes",IF(M5&gt;0,"No","Unclear"))</f>
        <v>Yes</v>
      </c>
      <c r="Y5" s="5" t="str">
        <f aca="false">INDEX('API Data'!$H$2:$H$152,MATCH(B5,'API Data'!$A$2:$A$152,0))</f>
        <v>No</v>
      </c>
      <c r="Z5" s="5" t="str">
        <f aca="false">IF(COUNTIFS('Product Rows'!$A$2:$A$696,B5,'Product Rows'!$B$2:$B$696,C5,'Product Rows'!$I$2:$I$696,"Yes")&gt;0,"Yes","No")</f>
        <v>Yes</v>
      </c>
      <c r="AA5" s="5" t="str">
        <f aca="false">IF(P5&gt;=Inputs!$D$22,"Yes","No")</f>
        <v>No</v>
      </c>
      <c r="AB5" s="10" t="b">
        <f aca="false">AND(OR(Inputs!$B$17&lt;&gt;"Exclude",V5="Yes"),OR(Inputs!$B$18&lt;&gt;"Exclude",W5&lt;&gt;"No"),OR(Inputs!$B$19&lt;&gt;"Exclude",X5&lt;&gt;"No"),OR(Inputs!$B$20&lt;&gt;"Exclude",Y5="No"),OR(Inputs!$B$21&lt;&gt;"Exclude",Z5="No"),OR(Inputs!$B$22&lt;&gt;"Exclude",AA5="Yes"),ISNUMBER(U5))</f>
        <v>1</v>
      </c>
      <c r="AC5" s="5" t="n">
        <f aca="false">IF(AB5,COUNTIFS($C$5:$C$337,C5,$AB$5:$AB$337,TRUE(),$U$5:$U$337,"&gt;"&amp;U5)+COUNTIFS($C$5:C5,C5,$AB$5:AB5,TRUE(),$U$5:U5,U5),"")</f>
        <v>19</v>
      </c>
      <c r="AD5" s="5" t="str">
        <f aca="false">IF(AC5="","Not eligible",IF(AC5&lt;=Inputs!$B$25,"Lead",IF(AC5&lt;=Inputs!$B$25+Inputs!$B$26,"Next wave","Long list")))</f>
        <v>Long list</v>
      </c>
      <c r="AE5" s="5" t="str">
        <f aca="false">IF(AND(K5+L5=0,M5&gt;0),"Safety upgrade of existing prefilled syringe",IF(K5+L5+M5=0,"Confirm presentation (not stated in source)",IF(AA5="Yes","Differentiation in crowded generic market","Safety-device mandate compliance")))</f>
        <v>Safety-device mandate compliance</v>
      </c>
      <c r="AF5" s="5" t="str">
        <f aca="false">IF(AC5="","",C5&amp;"|"&amp;AC5)</f>
        <v>Emcure Pharmaceuticals|19</v>
      </c>
    </row>
    <row r="6" customFormat="false" ht="15" hidden="false" customHeight="false" outlineLevel="0" collapsed="false">
      <c r="A6" s="5" t="n">
        <f aca="false">IF(ISNUMBER(U6),RANK(U6,$U$5:$U$337),"")</f>
        <v>258</v>
      </c>
      <c r="B6" s="5" t="s">
        <v>34</v>
      </c>
      <c r="C6" s="5" t="s">
        <v>36</v>
      </c>
      <c r="D6" s="5" t="str">
        <f aca="false">INDEX('API Data'!$B$2:$B$152,MATCH(B6,'API Data'!$A$2:$A$152,0))</f>
        <v>Ophthalmic – acute angle-closure glaucoma / IOP reduction (also oedema)</v>
      </c>
      <c r="E6" s="5" t="n">
        <f aca="false">COUNTIFS('Market Listing'!$A$2:$A$4054,B6,'Market Listing'!$B$2:$B$4054,C6)</f>
        <v>1</v>
      </c>
      <c r="F6" s="5" t="n">
        <f aca="false">COUNTIFS('Market Listing'!$A$2:$A$4054,B6,'Market Listing'!$B$2:$B$4054,C6,'Market Listing'!$D$2:$D$4054,"Tier 1")</f>
        <v>1</v>
      </c>
      <c r="G6" s="5" t="n">
        <f aca="false">COUNTIFS('Market Listing'!$A$2:$A$4054,B6,'Market Listing'!$B$2:$B$4054,C6,'Market Listing'!$D$2:$D$4054,"Tier 2")</f>
        <v>0</v>
      </c>
      <c r="H6" s="5" t="n">
        <f aca="false">COUNTIFS('Market Listing'!$A$2:$A$4054,B6,'Market Listing'!$B$2:$B$4054,C6,'Market Listing'!$D$2:$D$4054,"Tier 3")</f>
        <v>0</v>
      </c>
      <c r="I6" s="5" t="n">
        <f aca="false">SUMIFS('Market Listing'!$E$2:$E$4054,'Market Listing'!$A$2:$A$4054,B6,'Market Listing'!$B$2:$B$4054,C6)</f>
        <v>3</v>
      </c>
      <c r="J6" s="5" t="n">
        <f aca="false">COUNTIFS('Product Rows'!$A$2:$A$696,B6,'Product Rows'!$B$2:$B$696,C6)</f>
        <v>1</v>
      </c>
      <c r="K6" s="5" t="n">
        <f aca="false">COUNTIFS('Product Rows'!$A$2:$A$696,B6,'Product Rows'!$B$2:$B$696,C6,'Product Rows'!$G$2:$G$696,"Vial")</f>
        <v>0</v>
      </c>
      <c r="L6" s="5" t="n">
        <f aca="false">COUNTIFS('Product Rows'!$A$2:$A$696,B6,'Product Rows'!$B$2:$B$696,C6,'Product Rows'!$G$2:$G$696,"Ampoule")</f>
        <v>0</v>
      </c>
      <c r="M6" s="5" t="n">
        <f aca="false">COUNTIFS('Product Rows'!$A$2:$A$696,B6,'Product Rows'!$B$2:$B$696,C6,'Product Rows'!$G$2:$G$696,"Prefilled syringe/pen")</f>
        <v>0</v>
      </c>
      <c r="N6" s="6" t="n">
        <f aca="false">IFERROR(AVERAGEIFS('Product Rows'!$H$2:$H$696,'Product Rows'!$A$2:$A$696,B6,'Product Rows'!$B$2:$B$696,C6),"")</f>
        <v>24.95</v>
      </c>
      <c r="O6" s="7" t="n">
        <f aca="false">INDEX('API Data'!$E$2:$E$152,MATCH(B6,'API Data'!$A$2:$A$152,0))</f>
        <v>1405.18517391305</v>
      </c>
      <c r="P6" s="5" t="n">
        <f aca="false">COUNTIF($B$5:$B$337,B6)</f>
        <v>2</v>
      </c>
      <c r="Q6" s="8" t="n">
        <f aca="false">IF(ISNUMBER(I6),PERCENTRANK($I$5:$I$337,I6),"")</f>
        <v>0.157</v>
      </c>
      <c r="R6" s="8" t="n">
        <f aca="false">IF(ISNUMBER(N6),PERCENTRANK($N$5:$N$337,N6),"")</f>
        <v>0.441</v>
      </c>
      <c r="S6" s="8" t="n">
        <f aca="false">IF(ISNUMBER(O6),PERCENTRANK($O$5:$O$337,O6),"")</f>
        <v>0.202</v>
      </c>
      <c r="T6" s="8" t="n">
        <f aca="false">IF(ISNUMBER(P6),PERCENTRANK($P$5:$P$337,P6),"")</f>
        <v>0.235</v>
      </c>
      <c r="U6" s="9" t="n">
        <f aca="false">IF((IF(ISNUMBER(Q6),Inputs!$B$4,0)+IF(ISNUMBER(R6),Inputs!$B$5,0)+IF(ISNUMBER(S6),Inputs!$B$6,0)+IF(ISNUMBER(T6),Inputs!$B$7,0))=0,"",(IF(ISNUMBER(Q6),Inputs!$B$4*Q6,0)+IF(ISNUMBER(R6),Inputs!$B$5*R6,0)+IF(ISNUMBER(S6),Inputs!$B$6*S6,0)+IF(ISNUMBER(T6),Inputs!$B$7*T6,0))/(IF(ISNUMBER(Q6),Inputs!$B$4,0)+IF(ISNUMBER(R6),Inputs!$B$5,0)+IF(ISNUMBER(S6),Inputs!$B$6,0)+IF(ISNUMBER(T6),Inputs!$B$7,0)))</f>
        <v>0.3215</v>
      </c>
      <c r="V6" s="5" t="str">
        <f aca="false">IF(F6&gt;0,"Yes","No")</f>
        <v>Yes</v>
      </c>
      <c r="W6" s="5" t="str">
        <f aca="false">IF(ISNUMBER(N6),IF(N6&gt;=Inputs!$D$18,"Yes","No"),"No price")</f>
        <v>Yes</v>
      </c>
      <c r="X6" s="5" t="str">
        <f aca="false">IF(K6+L6&gt;0,"Yes",IF(M6&gt;0,"No","Unclear"))</f>
        <v>Unclear</v>
      </c>
      <c r="Y6" s="5" t="str">
        <f aca="false">INDEX('API Data'!$H$2:$H$152,MATCH(B6,'API Data'!$A$2:$A$152,0))</f>
        <v>No</v>
      </c>
      <c r="Z6" s="5" t="str">
        <f aca="false">IF(COUNTIFS('Product Rows'!$A$2:$A$696,B6,'Product Rows'!$B$2:$B$696,C6,'Product Rows'!$I$2:$I$696,"Yes")&gt;0,"Yes","No")</f>
        <v>No</v>
      </c>
      <c r="AA6" s="5" t="str">
        <f aca="false">IF(P6&gt;=Inputs!$D$22,"Yes","No")</f>
        <v>No</v>
      </c>
      <c r="AB6" s="10" t="b">
        <f aca="false">AND(OR(Inputs!$B$17&lt;&gt;"Exclude",V6="Yes"),OR(Inputs!$B$18&lt;&gt;"Exclude",W6&lt;&gt;"No"),OR(Inputs!$B$19&lt;&gt;"Exclude",X6&lt;&gt;"No"),OR(Inputs!$B$20&lt;&gt;"Exclude",Y6="No"),OR(Inputs!$B$21&lt;&gt;"Exclude",Z6="No"),OR(Inputs!$B$22&lt;&gt;"Exclude",AA6="Yes"),ISNUMBER(U6))</f>
        <v>1</v>
      </c>
      <c r="AC6" s="5" t="n">
        <f aca="false">IF(AB6,COUNTIFS($C$5:$C$337,C6,$AB$5:$AB$337,TRUE(),$U$5:$U$337,"&gt;"&amp;U6)+COUNTIFS($C$5:C6,C6,$AB$5:AB6,TRUE(),$U$5:U6,U6),"")</f>
        <v>12</v>
      </c>
      <c r="AD6" s="5" t="str">
        <f aca="false">IF(AC6="","Not eligible",IF(AC6&lt;=Inputs!$B$25,"Lead",IF(AC6&lt;=Inputs!$B$25+Inputs!$B$26,"Next wave","Long list")))</f>
        <v>Long list</v>
      </c>
      <c r="AE6" s="5" t="str">
        <f aca="false">IF(AND(K6+L6=0,M6&gt;0),"Safety upgrade of existing prefilled syringe",IF(K6+L6+M6=0,"Confirm presentation (not stated in source)",IF(AA6="Yes","Differentiation in crowded generic market","Safety-device mandate compliance")))</f>
        <v>Confirm presentation (not stated in source)</v>
      </c>
      <c r="AF6" s="5" t="str">
        <f aca="false">IF(AC6="","",C6&amp;"|"&amp;AC6)</f>
        <v>Zydus Lifesciences|12</v>
      </c>
    </row>
    <row r="7" customFormat="false" ht="15" hidden="false" customHeight="false" outlineLevel="0" collapsed="false">
      <c r="A7" s="5" t="n">
        <f aca="false">IF(ISNUMBER(U7),RANK(U7,$U$5:$U$337),"")</f>
        <v>296</v>
      </c>
      <c r="B7" s="5" t="s">
        <v>37</v>
      </c>
      <c r="C7" s="5" t="s">
        <v>38</v>
      </c>
      <c r="D7" s="5" t="str">
        <f aca="false">INDEX('API Data'!$B$2:$B$152,MATCH(B7,'API Data'!$A$2:$A$152,0))</f>
        <v>Cardiovascular – PSVT conversion; cardiac stress imaging agent</v>
      </c>
      <c r="E7" s="5" t="n">
        <f aca="false">COUNTIFS('Market Listing'!$A$2:$A$4054,B7,'Market Listing'!$B$2:$B$4054,C7)</f>
        <v>24</v>
      </c>
      <c r="F7" s="5" t="n">
        <f aca="false">COUNTIFS('Market Listing'!$A$2:$A$4054,B7,'Market Listing'!$B$2:$B$4054,C7,'Market Listing'!$D$2:$D$4054,"Tier 1")</f>
        <v>6</v>
      </c>
      <c r="G7" s="5" t="n">
        <f aca="false">COUNTIFS('Market Listing'!$A$2:$A$4054,B7,'Market Listing'!$B$2:$B$4054,C7,'Market Listing'!$D$2:$D$4054,"Tier 2")</f>
        <v>2</v>
      </c>
      <c r="H7" s="5" t="n">
        <f aca="false">COUNTIFS('Market Listing'!$A$2:$A$4054,B7,'Market Listing'!$B$2:$B$4054,C7,'Market Listing'!$D$2:$D$4054,"Tier 3")</f>
        <v>16</v>
      </c>
      <c r="I7" s="5" t="n">
        <f aca="false">SUMIFS('Market Listing'!$E$2:$E$4054,'Market Listing'!$A$2:$A$4054,B7,'Market Listing'!$B$2:$B$4054,C7)</f>
        <v>38</v>
      </c>
      <c r="J7" s="5" t="n">
        <f aca="false">COUNTIFS('Product Rows'!$A$2:$A$696,B7,'Product Rows'!$B$2:$B$696,C7)</f>
        <v>2</v>
      </c>
      <c r="K7" s="5" t="n">
        <f aca="false">COUNTIFS('Product Rows'!$A$2:$A$696,B7,'Product Rows'!$B$2:$B$696,C7,'Product Rows'!$G$2:$G$696,"Vial")</f>
        <v>2</v>
      </c>
      <c r="L7" s="5" t="n">
        <f aca="false">COUNTIFS('Product Rows'!$A$2:$A$696,B7,'Product Rows'!$B$2:$B$696,C7,'Product Rows'!$G$2:$G$696,"Ampoule")</f>
        <v>0</v>
      </c>
      <c r="M7" s="5" t="n">
        <f aca="false">COUNTIFS('Product Rows'!$A$2:$A$696,B7,'Product Rows'!$B$2:$B$696,C7,'Product Rows'!$G$2:$G$696,"Prefilled syringe/pen")</f>
        <v>0</v>
      </c>
      <c r="N7" s="6" t="n">
        <f aca="false">IFERROR(AVERAGEIFS('Product Rows'!$H$2:$H$696,'Product Rows'!$A$2:$A$696,B7,'Product Rows'!$B$2:$B$696,C7),"")</f>
        <v>6.78765</v>
      </c>
      <c r="O7" s="7" t="n">
        <f aca="false">INDEX('API Data'!$E$2:$E$152,MATCH(B7,'API Data'!$A$2:$A$152,0))</f>
        <v>2850.55227440681</v>
      </c>
      <c r="P7" s="5" t="n">
        <f aca="false">COUNTIF($B$5:$B$337,B7)</f>
        <v>1</v>
      </c>
      <c r="Q7" s="8" t="n">
        <f aca="false">IF(ISNUMBER(I7),PERCENTRANK($I$5:$I$337,I7),"")</f>
        <v>0.666</v>
      </c>
      <c r="R7" s="8" t="n">
        <f aca="false">IF(ISNUMBER(N7),PERCENTRANK($N$5:$N$337,N7),"")</f>
        <v>0.0932</v>
      </c>
      <c r="S7" s="8" t="n">
        <f aca="false">IF(ISNUMBER(O7),PERCENTRANK($O$5:$O$337,O7),"")</f>
        <v>0.37</v>
      </c>
      <c r="T7" s="8" t="n">
        <f aca="false">IF(ISNUMBER(P7),PERCENTRANK($P$5:$P$337,P7),"")</f>
        <v>0</v>
      </c>
      <c r="U7" s="9" t="n">
        <f aca="false">IF((IF(ISNUMBER(Q7),Inputs!$B$4,0)+IF(ISNUMBER(R7),Inputs!$B$5,0)+IF(ISNUMBER(S7),Inputs!$B$6,0)+IF(ISNUMBER(T7),Inputs!$B$7,0))=0,"",(IF(ISNUMBER(Q7),Inputs!$B$4*Q7,0)+IF(ISNUMBER(R7),Inputs!$B$5*R7,0)+IF(ISNUMBER(S7),Inputs!$B$6*S7,0)+IF(ISNUMBER(T7),Inputs!$B$7*T7,0))/(IF(ISNUMBER(Q7),Inputs!$B$4,0)+IF(ISNUMBER(R7),Inputs!$B$5,0)+IF(ISNUMBER(S7),Inputs!$B$6,0)+IF(ISNUMBER(T7),Inputs!$B$7,0)))</f>
        <v>0.2316</v>
      </c>
      <c r="V7" s="5" t="str">
        <f aca="false">IF(F7&gt;0,"Yes","No")</f>
        <v>Yes</v>
      </c>
      <c r="W7" s="5" t="str">
        <f aca="false">IF(ISNUMBER(N7),IF(N7&gt;=Inputs!$D$18,"Yes","No"),"No price")</f>
        <v>Yes</v>
      </c>
      <c r="X7" s="5" t="str">
        <f aca="false">IF(K7+L7&gt;0,"Yes",IF(M7&gt;0,"No","Unclear"))</f>
        <v>Yes</v>
      </c>
      <c r="Y7" s="5" t="str">
        <f aca="false">INDEX('API Data'!$H$2:$H$152,MATCH(B7,'API Data'!$A$2:$A$152,0))</f>
        <v>No</v>
      </c>
      <c r="Z7" s="5" t="str">
        <f aca="false">IF(COUNTIFS('Product Rows'!$A$2:$A$696,B7,'Product Rows'!$B$2:$B$696,C7,'Product Rows'!$I$2:$I$696,"Yes")&gt;0,"Yes","No")</f>
        <v>No</v>
      </c>
      <c r="AA7" s="5" t="str">
        <f aca="false">IF(P7&gt;=Inputs!$D$22,"Yes","No")</f>
        <v>No</v>
      </c>
      <c r="AB7" s="10" t="b">
        <f aca="false">AND(OR(Inputs!$B$17&lt;&gt;"Exclude",V7="Yes"),OR(Inputs!$B$18&lt;&gt;"Exclude",W7&lt;&gt;"No"),OR(Inputs!$B$19&lt;&gt;"Exclude",X7&lt;&gt;"No"),OR(Inputs!$B$20&lt;&gt;"Exclude",Y7="No"),OR(Inputs!$B$21&lt;&gt;"Exclude",Z7="No"),OR(Inputs!$B$22&lt;&gt;"Exclude",AA7="Yes"),ISNUMBER(U7))</f>
        <v>1</v>
      </c>
      <c r="AC7" s="5" t="n">
        <f aca="false">IF(AB7,COUNTIFS($C$5:$C$337,C7,$AB$5:$AB$337,TRUE(),$U$5:$U$337,"&gt;"&amp;U7)+COUNTIFS($C$5:C7,C7,$AB$5:AB7,TRUE(),$U$5:U7,U7),"")</f>
        <v>15</v>
      </c>
      <c r="AD7" s="5" t="str">
        <f aca="false">IF(AC7="","Not eligible",IF(AC7&lt;=Inputs!$B$25,"Lead",IF(AC7&lt;=Inputs!$B$25+Inputs!$B$26,"Next wave","Long list")))</f>
        <v>Long list</v>
      </c>
      <c r="AE7" s="5" t="str">
        <f aca="false">IF(AND(K7+L7=0,M7&gt;0),"Safety upgrade of existing prefilled syringe",IF(K7+L7+M7=0,"Confirm presentation (not stated in source)",IF(AA7="Yes","Differentiation in crowded generic market","Safety-device mandate compliance")))</f>
        <v>Safety-device mandate compliance</v>
      </c>
      <c r="AF7" s="5" t="str">
        <f aca="false">IF(AC7="","",C7&amp;"|"&amp;AC7)</f>
        <v>Wockhardt|15</v>
      </c>
    </row>
    <row r="8" customFormat="false" ht="15" hidden="false" customHeight="false" outlineLevel="0" collapsed="false">
      <c r="A8" s="5" t="n">
        <f aca="false">IF(ISNUMBER(U8),RANK(U8,$U$5:$U$337),"")</f>
        <v>302</v>
      </c>
      <c r="B8" s="5" t="s">
        <v>39</v>
      </c>
      <c r="C8" s="5" t="s">
        <v>40</v>
      </c>
      <c r="D8" s="5" t="str">
        <f aca="false">INDEX('API Data'!$B$2:$B$152,MATCH(B8,'API Data'!$A$2:$A$152,0))</f>
        <v>Anaesthesia – short-acting opioid analgesia during surgery</v>
      </c>
      <c r="E8" s="5" t="n">
        <f aca="false">COUNTIFS('Market Listing'!$A$2:$A$4054,B8,'Market Listing'!$B$2:$B$4054,C8)</f>
        <v>1</v>
      </c>
      <c r="F8" s="5" t="n">
        <f aca="false">COUNTIFS('Market Listing'!$A$2:$A$4054,B8,'Market Listing'!$B$2:$B$4054,C8,'Market Listing'!$D$2:$D$4054,"Tier 1")</f>
        <v>0</v>
      </c>
      <c r="G8" s="5" t="n">
        <f aca="false">COUNTIFS('Market Listing'!$A$2:$A$4054,B8,'Market Listing'!$B$2:$B$4054,C8,'Market Listing'!$D$2:$D$4054,"Tier 2")</f>
        <v>1</v>
      </c>
      <c r="H8" s="5" t="n">
        <f aca="false">COUNTIFS('Market Listing'!$A$2:$A$4054,B8,'Market Listing'!$B$2:$B$4054,C8,'Market Listing'!$D$2:$D$4054,"Tier 3")</f>
        <v>0</v>
      </c>
      <c r="I8" s="5" t="n">
        <f aca="false">SUMIFS('Market Listing'!$E$2:$E$4054,'Market Listing'!$A$2:$A$4054,B8,'Market Listing'!$B$2:$B$4054,C8)</f>
        <v>2</v>
      </c>
      <c r="J8" s="5" t="n">
        <f aca="false">COUNTIFS('Product Rows'!$A$2:$A$696,B8,'Product Rows'!$B$2:$B$696,C8)</f>
        <v>1</v>
      </c>
      <c r="K8" s="5" t="n">
        <f aca="false">COUNTIFS('Product Rows'!$A$2:$A$696,B8,'Product Rows'!$B$2:$B$696,C8,'Product Rows'!$G$2:$G$696,"Vial")</f>
        <v>0</v>
      </c>
      <c r="L8" s="5" t="n">
        <f aca="false">COUNTIFS('Product Rows'!$A$2:$A$696,B8,'Product Rows'!$B$2:$B$696,C8,'Product Rows'!$G$2:$G$696,"Ampoule")</f>
        <v>1</v>
      </c>
      <c r="M8" s="5" t="n">
        <f aca="false">COUNTIFS('Product Rows'!$A$2:$A$696,B8,'Product Rows'!$B$2:$B$696,C8,'Product Rows'!$G$2:$G$696,"Prefilled syringe/pen")</f>
        <v>0</v>
      </c>
      <c r="N8" s="6" t="n">
        <f aca="false">IFERROR(AVERAGEIFS('Product Rows'!$H$2:$H$696,'Product Rows'!$A$2:$A$696,B8,'Product Rows'!$B$2:$B$696,C8),"")</f>
        <v>24.71</v>
      </c>
      <c r="O8" s="7" t="n">
        <f aca="false">INDEX('API Data'!$E$2:$E$152,MATCH(B8,'API Data'!$A$2:$A$152,0))</f>
        <v>14.3047619047619</v>
      </c>
      <c r="P8" s="5" t="n">
        <f aca="false">COUNTIF($B$5:$B$337,B8)</f>
        <v>2</v>
      </c>
      <c r="Q8" s="8" t="n">
        <f aca="false">IF(ISNUMBER(I8),PERCENTRANK($I$5:$I$337,I8),"")</f>
        <v>0</v>
      </c>
      <c r="R8" s="8" t="n">
        <f aca="false">IF(ISNUMBER(N8),PERCENTRANK($N$5:$N$337,N8),"")</f>
        <v>0.437</v>
      </c>
      <c r="S8" s="8" t="n">
        <f aca="false">IF(ISNUMBER(O8),PERCENTRANK($O$5:$O$337,O8),"")</f>
        <v>0.00301</v>
      </c>
      <c r="T8" s="8" t="n">
        <f aca="false">IF(ISNUMBER(P8),PERCENTRANK($P$5:$P$337,P8),"")</f>
        <v>0.235</v>
      </c>
      <c r="U8" s="9" t="n">
        <f aca="false">IF((IF(ISNUMBER(Q8),Inputs!$B$4,0)+IF(ISNUMBER(R8),Inputs!$B$5,0)+IF(ISNUMBER(S8),Inputs!$B$6,0)+IF(ISNUMBER(T8),Inputs!$B$7,0))=0,"",(IF(ISNUMBER(Q8),Inputs!$B$4*Q8,0)+IF(ISNUMBER(R8),Inputs!$B$5*R8,0)+IF(ISNUMBER(S8),Inputs!$B$6*S8,0)+IF(ISNUMBER(T8),Inputs!$B$7*T8,0))/(IF(ISNUMBER(Q8),Inputs!$B$4,0)+IF(ISNUMBER(R8),Inputs!$B$5,0)+IF(ISNUMBER(S8),Inputs!$B$6,0)+IF(ISNUMBER(T8),Inputs!$B$7,0)))</f>
        <v>0.220005</v>
      </c>
      <c r="V8" s="5" t="str">
        <f aca="false">IF(F8&gt;0,"Yes","No")</f>
        <v>No</v>
      </c>
      <c r="W8" s="5" t="str">
        <f aca="false">IF(ISNUMBER(N8),IF(N8&gt;=Inputs!$D$18,"Yes","No"),"No price")</f>
        <v>Yes</v>
      </c>
      <c r="X8" s="5" t="str">
        <f aca="false">IF(K8+L8&gt;0,"Yes",IF(M8&gt;0,"No","Unclear"))</f>
        <v>Yes</v>
      </c>
      <c r="Y8" s="5" t="str">
        <f aca="false">INDEX('API Data'!$H$2:$H$152,MATCH(B8,'API Data'!$A$2:$A$152,0))</f>
        <v>No</v>
      </c>
      <c r="Z8" s="5" t="str">
        <f aca="false">IF(COUNTIFS('Product Rows'!$A$2:$A$696,B8,'Product Rows'!$B$2:$B$696,C8,'Product Rows'!$I$2:$I$696,"Yes")&gt;0,"Yes","No")</f>
        <v>No</v>
      </c>
      <c r="AA8" s="5" t="str">
        <f aca="false">IF(P8&gt;=Inputs!$D$22,"Yes","No")</f>
        <v>No</v>
      </c>
      <c r="AB8" s="10" t="b">
        <f aca="false">AND(OR(Inputs!$B$17&lt;&gt;"Exclude",V8="Yes"),OR(Inputs!$B$18&lt;&gt;"Exclude",W8&lt;&gt;"No"),OR(Inputs!$B$19&lt;&gt;"Exclude",X8&lt;&gt;"No"),OR(Inputs!$B$20&lt;&gt;"Exclude",Y8="No"),OR(Inputs!$B$21&lt;&gt;"Exclude",Z8="No"),OR(Inputs!$B$22&lt;&gt;"Exclude",AA8="Yes"),ISNUMBER(U8))</f>
        <v>0</v>
      </c>
      <c r="AC8" s="5" t="str">
        <f aca="false">IF(AB8,COUNTIFS($C$5:$C$337,C8,$AB$5:$AB$337,TRUE(),$U$5:$U$337,"&gt;"&amp;U8)+COUNTIFS($C$5:C8,C8,$AB$5:AB8,TRUE(),$U$5:U8,U8),"")</f>
        <v/>
      </c>
      <c r="AD8" s="5" t="str">
        <f aca="false">IF(AC8="","Not eligible",IF(AC8&lt;=Inputs!$B$25,"Lead",IF(AC8&lt;=Inputs!$B$25+Inputs!$B$26,"Next wave","Long list")))</f>
        <v>Not eligible</v>
      </c>
      <c r="AE8" s="5" t="str">
        <f aca="false">IF(AND(K8+L8=0,M8&gt;0),"Safety upgrade of existing prefilled syringe",IF(K8+L8+M8=0,"Confirm presentation (not stated in source)",IF(AA8="Yes","Differentiation in crowded generic market","Safety-device mandate compliance")))</f>
        <v>Safety-device mandate compliance</v>
      </c>
      <c r="AF8" s="5" t="str">
        <f aca="false">IF(AC8="","",C8&amp;"|"&amp;AC8)</f>
        <v/>
      </c>
    </row>
    <row r="9" customFormat="false" ht="15" hidden="false" customHeight="false" outlineLevel="0" collapsed="false">
      <c r="A9" s="5" t="n">
        <f aca="false">IF(ISNUMBER(U9),RANK(U9,$U$5:$U$337),"")</f>
        <v>214</v>
      </c>
      <c r="B9" s="5" t="s">
        <v>39</v>
      </c>
      <c r="C9" s="5" t="s">
        <v>41</v>
      </c>
      <c r="D9" s="5" t="str">
        <f aca="false">INDEX('API Data'!$B$2:$B$152,MATCH(B9,'API Data'!$A$2:$A$152,0))</f>
        <v>Anaesthesia – short-acting opioid analgesia during surgery</v>
      </c>
      <c r="E9" s="5" t="n">
        <f aca="false">COUNTIFS('Market Listing'!$A$2:$A$4054,B9,'Market Listing'!$B$2:$B$4054,C9)</f>
        <v>16</v>
      </c>
      <c r="F9" s="5" t="n">
        <f aca="false">COUNTIFS('Market Listing'!$A$2:$A$4054,B9,'Market Listing'!$B$2:$B$4054,C9,'Market Listing'!$D$2:$D$4054,"Tier 1")</f>
        <v>6</v>
      </c>
      <c r="G9" s="5" t="n">
        <f aca="false">COUNTIFS('Market Listing'!$A$2:$A$4054,B9,'Market Listing'!$B$2:$B$4054,C9,'Market Listing'!$D$2:$D$4054,"Tier 2")</f>
        <v>3</v>
      </c>
      <c r="H9" s="5" t="n">
        <f aca="false">COUNTIFS('Market Listing'!$A$2:$A$4054,B9,'Market Listing'!$B$2:$B$4054,C9,'Market Listing'!$D$2:$D$4054,"Tier 3")</f>
        <v>7</v>
      </c>
      <c r="I9" s="5" t="n">
        <f aca="false">SUMIFS('Market Listing'!$E$2:$E$4054,'Market Listing'!$A$2:$A$4054,B9,'Market Listing'!$B$2:$B$4054,C9)</f>
        <v>31</v>
      </c>
      <c r="J9" s="5" t="n">
        <f aca="false">COUNTIFS('Product Rows'!$A$2:$A$696,B9,'Product Rows'!$B$2:$B$696,C9)</f>
        <v>4</v>
      </c>
      <c r="K9" s="5" t="n">
        <f aca="false">COUNTIFS('Product Rows'!$A$2:$A$696,B9,'Product Rows'!$B$2:$B$696,C9,'Product Rows'!$G$2:$G$696,"Vial")</f>
        <v>0</v>
      </c>
      <c r="L9" s="5" t="n">
        <f aca="false">COUNTIFS('Product Rows'!$A$2:$A$696,B9,'Product Rows'!$B$2:$B$696,C9,'Product Rows'!$G$2:$G$696,"Ampoule")</f>
        <v>4</v>
      </c>
      <c r="M9" s="5" t="n">
        <f aca="false">COUNTIFS('Product Rows'!$A$2:$A$696,B9,'Product Rows'!$B$2:$B$696,C9,'Product Rows'!$G$2:$G$696,"Prefilled syringe/pen")</f>
        <v>0</v>
      </c>
      <c r="N9" s="6" t="n">
        <f aca="false">IFERROR(AVERAGEIFS('Product Rows'!$H$2:$H$696,'Product Rows'!$A$2:$A$696,B9,'Product Rows'!$B$2:$B$696,C9),"")</f>
        <v>163.506225</v>
      </c>
      <c r="O9" s="7" t="n">
        <f aca="false">INDEX('API Data'!$E$2:$E$152,MATCH(B9,'API Data'!$A$2:$A$152,0))</f>
        <v>14.3047619047619</v>
      </c>
      <c r="P9" s="5" t="n">
        <f aca="false">COUNTIF($B$5:$B$337,B9)</f>
        <v>2</v>
      </c>
      <c r="Q9" s="8" t="n">
        <f aca="false">IF(ISNUMBER(I9),PERCENTRANK($I$5:$I$337,I9),"")</f>
        <v>0.617</v>
      </c>
      <c r="R9" s="8" t="n">
        <f aca="false">IF(ISNUMBER(N9),PERCENTRANK($N$5:$N$337,N9),"")</f>
        <v>0.817</v>
      </c>
      <c r="S9" s="8" t="n">
        <f aca="false">IF(ISNUMBER(O9),PERCENTRANK($O$5:$O$337,O9),"")</f>
        <v>0.00301</v>
      </c>
      <c r="T9" s="8" t="n">
        <f aca="false">IF(ISNUMBER(P9),PERCENTRANK($P$5:$P$337,P9),"")</f>
        <v>0.235</v>
      </c>
      <c r="U9" s="9" t="n">
        <f aca="false">IF((IF(ISNUMBER(Q9),Inputs!$B$4,0)+IF(ISNUMBER(R9),Inputs!$B$5,0)+IF(ISNUMBER(S9),Inputs!$B$6,0)+IF(ISNUMBER(T9),Inputs!$B$7,0))=0,"",(IF(ISNUMBER(Q9),Inputs!$B$4*Q9,0)+IF(ISNUMBER(R9),Inputs!$B$5*R9,0)+IF(ISNUMBER(S9),Inputs!$B$6*S9,0)+IF(ISNUMBER(T9),Inputs!$B$7*T9,0))/(IF(ISNUMBER(Q9),Inputs!$B$4,0)+IF(ISNUMBER(R9),Inputs!$B$5,0)+IF(ISNUMBER(S9),Inputs!$B$6,0)+IF(ISNUMBER(T9),Inputs!$B$7,0)))</f>
        <v>0.410005</v>
      </c>
      <c r="V9" s="5" t="str">
        <f aca="false">IF(F9&gt;0,"Yes","No")</f>
        <v>Yes</v>
      </c>
      <c r="W9" s="5" t="str">
        <f aca="false">IF(ISNUMBER(N9),IF(N9&gt;=Inputs!$D$18,"Yes","No"),"No price")</f>
        <v>Yes</v>
      </c>
      <c r="X9" s="5" t="str">
        <f aca="false">IF(K9+L9&gt;0,"Yes",IF(M9&gt;0,"No","Unclear"))</f>
        <v>Yes</v>
      </c>
      <c r="Y9" s="5" t="str">
        <f aca="false">INDEX('API Data'!$H$2:$H$152,MATCH(B9,'API Data'!$A$2:$A$152,0))</f>
        <v>No</v>
      </c>
      <c r="Z9" s="5" t="str">
        <f aca="false">IF(COUNTIFS('Product Rows'!$A$2:$A$696,B9,'Product Rows'!$B$2:$B$696,C9,'Product Rows'!$I$2:$I$696,"Yes")&gt;0,"Yes","No")</f>
        <v>No</v>
      </c>
      <c r="AA9" s="5" t="str">
        <f aca="false">IF(P9&gt;=Inputs!$D$22,"Yes","No")</f>
        <v>No</v>
      </c>
      <c r="AB9" s="10" t="b">
        <f aca="false">AND(OR(Inputs!$B$17&lt;&gt;"Exclude",V9="Yes"),OR(Inputs!$B$18&lt;&gt;"Exclude",W9&lt;&gt;"No"),OR(Inputs!$B$19&lt;&gt;"Exclude",X9&lt;&gt;"No"),OR(Inputs!$B$20&lt;&gt;"Exclude",Y9="No"),OR(Inputs!$B$21&lt;&gt;"Exclude",Z9="No"),OR(Inputs!$B$22&lt;&gt;"Exclude",AA9="Yes"),ISNUMBER(U9))</f>
        <v>1</v>
      </c>
      <c r="AC9" s="5" t="n">
        <f aca="false">IF(AB9,COUNTIFS($C$5:$C$337,C9,$AB$5:$AB$337,TRUE(),$U$5:$U$337,"&gt;"&amp;U9)+COUNTIFS($C$5:C9,C9,$AB$5:AB9,TRUE(),$U$5:U9,U9),"")</f>
        <v>3</v>
      </c>
      <c r="AD9" s="5" t="str">
        <f aca="false">IF(AC9="","Not eligible",IF(AC9&lt;=Inputs!$B$25,"Lead",IF(AC9&lt;=Inputs!$B$25+Inputs!$B$26,"Next wave","Long list")))</f>
        <v>Lead</v>
      </c>
      <c r="AE9" s="5" t="str">
        <f aca="false">IF(AND(K9+L9=0,M9&gt;0),"Safety upgrade of existing prefilled syringe",IF(K9+L9+M9=0,"Confirm presentation (not stated in source)",IF(AA9="Yes","Differentiation in crowded generic market","Safety-device mandate compliance")))</f>
        <v>Safety-device mandate compliance</v>
      </c>
      <c r="AF9" s="5" t="str">
        <f aca="false">IF(AC9="","",C9&amp;"|"&amp;AC9)</f>
        <v>Piramal Pharma|3</v>
      </c>
    </row>
    <row r="10" customFormat="false" ht="15" hidden="false" customHeight="false" outlineLevel="0" collapsed="false">
      <c r="A10" s="5" t="n">
        <f aca="false">IF(ISNUMBER(U10),RANK(U10,$U$5:$U$337),"")</f>
        <v>116</v>
      </c>
      <c r="B10" s="5" t="s">
        <v>42</v>
      </c>
      <c r="C10" s="5" t="s">
        <v>35</v>
      </c>
      <c r="D10" s="5" t="str">
        <f aca="false">INDEX('API Data'!$B$2:$B$152,MATCH(B10,'API Data'!$A$2:$A$152,0))</f>
        <v>Anti-infective – serious/MDR Gram-negative infections; MDR-TB</v>
      </c>
      <c r="E10" s="5" t="n">
        <f aca="false">COUNTIFS('Market Listing'!$A$2:$A$4054,B10,'Market Listing'!$B$2:$B$4054,C10)</f>
        <v>32</v>
      </c>
      <c r="F10" s="5" t="n">
        <f aca="false">COUNTIFS('Market Listing'!$A$2:$A$4054,B10,'Market Listing'!$B$2:$B$4054,C10,'Market Listing'!$D$2:$D$4054,"Tier 1")</f>
        <v>6</v>
      </c>
      <c r="G10" s="5" t="n">
        <f aca="false">COUNTIFS('Market Listing'!$A$2:$A$4054,B10,'Market Listing'!$B$2:$B$4054,C10,'Market Listing'!$D$2:$D$4054,"Tier 2")</f>
        <v>4</v>
      </c>
      <c r="H10" s="5" t="n">
        <f aca="false">COUNTIFS('Market Listing'!$A$2:$A$4054,B10,'Market Listing'!$B$2:$B$4054,C10,'Market Listing'!$D$2:$D$4054,"Tier 3")</f>
        <v>22</v>
      </c>
      <c r="I10" s="5" t="n">
        <f aca="false">SUMIFS('Market Listing'!$E$2:$E$4054,'Market Listing'!$A$2:$A$4054,B10,'Market Listing'!$B$2:$B$4054,C10)</f>
        <v>48</v>
      </c>
      <c r="J10" s="5" t="n">
        <f aca="false">COUNTIFS('Product Rows'!$A$2:$A$696,B10,'Product Rows'!$B$2:$B$696,C10)</f>
        <v>4</v>
      </c>
      <c r="K10" s="5" t="n">
        <f aca="false">COUNTIFS('Product Rows'!$A$2:$A$696,B10,'Product Rows'!$B$2:$B$696,C10,'Product Rows'!$G$2:$G$696,"Vial")</f>
        <v>4</v>
      </c>
      <c r="L10" s="5" t="n">
        <f aca="false">COUNTIFS('Product Rows'!$A$2:$A$696,B10,'Product Rows'!$B$2:$B$696,C10,'Product Rows'!$G$2:$G$696,"Ampoule")</f>
        <v>0</v>
      </c>
      <c r="M10" s="5" t="n">
        <f aca="false">COUNTIFS('Product Rows'!$A$2:$A$696,B10,'Product Rows'!$B$2:$B$696,C10,'Product Rows'!$G$2:$G$696,"Prefilled syringe/pen")</f>
        <v>0</v>
      </c>
      <c r="N10" s="6" t="n">
        <f aca="false">IFERROR(AVERAGEIFS('Product Rows'!$H$2:$H$696,'Product Rows'!$A$2:$A$696,B10,'Product Rows'!$B$2:$B$696,C10),"")</f>
        <v>27.9815666666667</v>
      </c>
      <c r="O10" s="7" t="n">
        <f aca="false">INDEX('API Data'!$E$2:$E$152,MATCH(B10,'API Data'!$A$2:$A$152,0))</f>
        <v>8433.58324110672</v>
      </c>
      <c r="P10" s="5" t="n">
        <f aca="false">COUNTIF($B$5:$B$337,B10)</f>
        <v>2</v>
      </c>
      <c r="Q10" s="8" t="n">
        <f aca="false">IF(ISNUMBER(I10),PERCENTRANK($I$5:$I$337,I10),"")</f>
        <v>0.916</v>
      </c>
      <c r="R10" s="8" t="n">
        <f aca="false">IF(ISNUMBER(N10),PERCENTRANK($N$5:$N$337,N10),"")</f>
        <v>0.455</v>
      </c>
      <c r="S10" s="8" t="n">
        <f aca="false">IF(ISNUMBER(O10),PERCENTRANK($O$5:$O$337,O10),"")</f>
        <v>0.675</v>
      </c>
      <c r="T10" s="8" t="n">
        <f aca="false">IF(ISNUMBER(P10),PERCENTRANK($P$5:$P$337,P10),"")</f>
        <v>0.235</v>
      </c>
      <c r="U10" s="9" t="n">
        <f aca="false">IF((IF(ISNUMBER(Q10),Inputs!$B$4,0)+IF(ISNUMBER(R10),Inputs!$B$5,0)+IF(ISNUMBER(S10),Inputs!$B$6,0)+IF(ISNUMBER(T10),Inputs!$B$7,0))=0,"",(IF(ISNUMBER(Q10),Inputs!$B$4*Q10,0)+IF(ISNUMBER(R10),Inputs!$B$5*R10,0)+IF(ISNUMBER(S10),Inputs!$B$6*S10,0)+IF(ISNUMBER(T10),Inputs!$B$7*T10,0))/(IF(ISNUMBER(Q10),Inputs!$B$4,0)+IF(ISNUMBER(R10),Inputs!$B$5,0)+IF(ISNUMBER(S10),Inputs!$B$6,0)+IF(ISNUMBER(T10),Inputs!$B$7,0)))</f>
        <v>0.565</v>
      </c>
      <c r="V10" s="5" t="str">
        <f aca="false">IF(F10&gt;0,"Yes","No")</f>
        <v>Yes</v>
      </c>
      <c r="W10" s="5" t="str">
        <f aca="false">IF(ISNUMBER(N10),IF(N10&gt;=Inputs!$D$18,"Yes","No"),"No price")</f>
        <v>Yes</v>
      </c>
      <c r="X10" s="5" t="str">
        <f aca="false">IF(K10+L10&gt;0,"Yes",IF(M10&gt;0,"No","Unclear"))</f>
        <v>Yes</v>
      </c>
      <c r="Y10" s="5" t="str">
        <f aca="false">INDEX('API Data'!$H$2:$H$152,MATCH(B10,'API Data'!$A$2:$A$152,0))</f>
        <v>No</v>
      </c>
      <c r="Z10" s="5" t="str">
        <f aca="false">IF(COUNTIFS('Product Rows'!$A$2:$A$696,B10,'Product Rows'!$B$2:$B$696,C10,'Product Rows'!$I$2:$I$696,"Yes")&gt;0,"Yes","No")</f>
        <v>No</v>
      </c>
      <c r="AA10" s="5" t="str">
        <f aca="false">IF(P10&gt;=Inputs!$D$22,"Yes","No")</f>
        <v>No</v>
      </c>
      <c r="AB10" s="10" t="b">
        <f aca="false">AND(OR(Inputs!$B$17&lt;&gt;"Exclude",V10="Yes"),OR(Inputs!$B$18&lt;&gt;"Exclude",W10&lt;&gt;"No"),OR(Inputs!$B$19&lt;&gt;"Exclude",X10&lt;&gt;"No"),OR(Inputs!$B$20&lt;&gt;"Exclude",Y10="No"),OR(Inputs!$B$21&lt;&gt;"Exclude",Z10="No"),OR(Inputs!$B$22&lt;&gt;"Exclude",AA10="Yes"),ISNUMBER(U10))</f>
        <v>1</v>
      </c>
      <c r="AC10" s="5" t="n">
        <f aca="false">IF(AB10,COUNTIFS($C$5:$C$337,C10,$AB$5:$AB$337,TRUE(),$U$5:$U$337,"&gt;"&amp;U10)+COUNTIFS($C$5:C10,C10,$AB$5:AB10,TRUE(),$U$5:U10,U10),"")</f>
        <v>9</v>
      </c>
      <c r="AD10" s="5" t="str">
        <f aca="false">IF(AC10="","Not eligible",IF(AC10&lt;=Inputs!$B$25,"Lead",IF(AC10&lt;=Inputs!$B$25+Inputs!$B$26,"Next wave","Long list")))</f>
        <v>Next wave</v>
      </c>
      <c r="AE10" s="5" t="str">
        <f aca="false">IF(AND(K10+L10=0,M10&gt;0),"Safety upgrade of existing prefilled syringe",IF(K10+L10+M10=0,"Confirm presentation (not stated in source)",IF(AA10="Yes","Differentiation in crowded generic market","Safety-device mandate compliance")))</f>
        <v>Safety-device mandate compliance</v>
      </c>
      <c r="AF10" s="5" t="str">
        <f aca="false">IF(AC10="","",C10&amp;"|"&amp;AC10)</f>
        <v>Emcure Pharmaceuticals|9</v>
      </c>
    </row>
    <row r="11" customFormat="false" ht="15" hidden="false" customHeight="false" outlineLevel="0" collapsed="false">
      <c r="A11" s="5" t="n">
        <f aca="false">IF(ISNUMBER(U11),RANK(U11,$U$5:$U$337),"")</f>
        <v>70</v>
      </c>
      <c r="B11" s="5" t="s">
        <v>42</v>
      </c>
      <c r="C11" s="5" t="s">
        <v>38</v>
      </c>
      <c r="D11" s="5" t="str">
        <f aca="false">INDEX('API Data'!$B$2:$B$152,MATCH(B11,'API Data'!$A$2:$A$152,0))</f>
        <v>Anti-infective – serious/MDR Gram-negative infections; MDR-TB</v>
      </c>
      <c r="E11" s="5" t="n">
        <f aca="false">COUNTIFS('Market Listing'!$A$2:$A$4054,B11,'Market Listing'!$B$2:$B$4054,C11)</f>
        <v>1</v>
      </c>
      <c r="F11" s="5" t="n">
        <f aca="false">COUNTIFS('Market Listing'!$A$2:$A$4054,B11,'Market Listing'!$B$2:$B$4054,C11,'Market Listing'!$D$2:$D$4054,"Tier 1")</f>
        <v>0</v>
      </c>
      <c r="G11" s="5" t="n">
        <f aca="false">COUNTIFS('Market Listing'!$A$2:$A$4054,B11,'Market Listing'!$B$2:$B$4054,C11,'Market Listing'!$D$2:$D$4054,"Tier 2")</f>
        <v>1</v>
      </c>
      <c r="H11" s="5" t="n">
        <f aca="false">COUNTIFS('Market Listing'!$A$2:$A$4054,B11,'Market Listing'!$B$2:$B$4054,C11,'Market Listing'!$D$2:$D$4054,"Tier 3")</f>
        <v>0</v>
      </c>
      <c r="I11" s="5" t="n">
        <f aca="false">SUMIFS('Market Listing'!$E$2:$E$4054,'Market Listing'!$A$2:$A$4054,B11,'Market Listing'!$B$2:$B$4054,C11)</f>
        <v>2</v>
      </c>
      <c r="J11" s="5" t="n">
        <f aca="false">COUNTIFS('Product Rows'!$A$2:$A$696,B11,'Product Rows'!$B$2:$B$696,C11)</f>
        <v>1</v>
      </c>
      <c r="K11" s="5" t="n">
        <f aca="false">COUNTIFS('Product Rows'!$A$2:$A$696,B11,'Product Rows'!$B$2:$B$696,C11,'Product Rows'!$G$2:$G$696,"Vial")</f>
        <v>1</v>
      </c>
      <c r="L11" s="5" t="n">
        <f aca="false">COUNTIFS('Product Rows'!$A$2:$A$696,B11,'Product Rows'!$B$2:$B$696,C11,'Product Rows'!$G$2:$G$696,"Ampoule")</f>
        <v>0</v>
      </c>
      <c r="M11" s="5" t="n">
        <f aca="false">COUNTIFS('Product Rows'!$A$2:$A$696,B11,'Product Rows'!$B$2:$B$696,C11,'Product Rows'!$G$2:$G$696,"Prefilled syringe/pen")</f>
        <v>0</v>
      </c>
      <c r="N11" s="6" t="str">
        <f aca="false">IFERROR(AVERAGEIFS('Product Rows'!$H$2:$H$696,'Product Rows'!$A$2:$A$696,B11,'Product Rows'!$B$2:$B$696,C11),"")</f>
        <v/>
      </c>
      <c r="O11" s="7" t="n">
        <f aca="false">INDEX('API Data'!$E$2:$E$152,MATCH(B11,'API Data'!$A$2:$A$152,0))</f>
        <v>8433.58324110672</v>
      </c>
      <c r="P11" s="5" t="n">
        <f aca="false">COUNTIF($B$5:$B$337,B11)</f>
        <v>2</v>
      </c>
      <c r="Q11" s="8" t="n">
        <f aca="false">IF(ISNUMBER(I11),PERCENTRANK($I$5:$I$337,I11),"")</f>
        <v>0</v>
      </c>
      <c r="R11" s="8" t="str">
        <f aca="false">IF(ISNUMBER(N11),PERCENTRANK($N$5:$N$337,N11),"")</f>
        <v/>
      </c>
      <c r="S11" s="8" t="n">
        <f aca="false">IF(ISNUMBER(O11),PERCENTRANK($O$5:$O$337,O11),"")</f>
        <v>0.675</v>
      </c>
      <c r="T11" s="8" t="n">
        <f aca="false">IF(ISNUMBER(P11),PERCENTRANK($P$5:$P$337,P11),"")</f>
        <v>0.235</v>
      </c>
      <c r="U11" s="9" t="n">
        <f aca="false">IF((IF(ISNUMBER(Q11),Inputs!$B$4,0)+IF(ISNUMBER(R11),Inputs!$B$5,0)+IF(ISNUMBER(S11),Inputs!$B$6,0)+IF(ISNUMBER(T11),Inputs!$B$7,0))=0,"",(IF(ISNUMBER(Q11),Inputs!$B$4*Q11,0)+IF(ISNUMBER(R11),Inputs!$B$5*R11,0)+IF(ISNUMBER(S11),Inputs!$B$6*S11,0)+IF(ISNUMBER(T11),Inputs!$B$7*T11,0))/(IF(ISNUMBER(Q11),Inputs!$B$4,0)+IF(ISNUMBER(R11),Inputs!$B$5,0)+IF(ISNUMBER(S11),Inputs!$B$6,0)+IF(ISNUMBER(T11),Inputs!$B$7,0)))</f>
        <v>0.675</v>
      </c>
      <c r="V11" s="5" t="str">
        <f aca="false">IF(F11&gt;0,"Yes","No")</f>
        <v>No</v>
      </c>
      <c r="W11" s="5" t="str">
        <f aca="false">IF(ISNUMBER(N11),IF(N11&gt;=Inputs!$D$18,"Yes","No"),"No price")</f>
        <v>No price</v>
      </c>
      <c r="X11" s="5" t="str">
        <f aca="false">IF(K11+L11&gt;0,"Yes",IF(M11&gt;0,"No","Unclear"))</f>
        <v>Yes</v>
      </c>
      <c r="Y11" s="5" t="str">
        <f aca="false">INDEX('API Data'!$H$2:$H$152,MATCH(B11,'API Data'!$A$2:$A$152,0))</f>
        <v>No</v>
      </c>
      <c r="Z11" s="5" t="str">
        <f aca="false">IF(COUNTIFS('Product Rows'!$A$2:$A$696,B11,'Product Rows'!$B$2:$B$696,C11,'Product Rows'!$I$2:$I$696,"Yes")&gt;0,"Yes","No")</f>
        <v>No</v>
      </c>
      <c r="AA11" s="5" t="str">
        <f aca="false">IF(P11&gt;=Inputs!$D$22,"Yes","No")</f>
        <v>No</v>
      </c>
      <c r="AB11" s="10" t="b">
        <f aca="false">AND(OR(Inputs!$B$17&lt;&gt;"Exclude",V11="Yes"),OR(Inputs!$B$18&lt;&gt;"Exclude",W11&lt;&gt;"No"),OR(Inputs!$B$19&lt;&gt;"Exclude",X11&lt;&gt;"No"),OR(Inputs!$B$20&lt;&gt;"Exclude",Y11="No"),OR(Inputs!$B$21&lt;&gt;"Exclude",Z11="No"),OR(Inputs!$B$22&lt;&gt;"Exclude",AA11="Yes"),ISNUMBER(U11))</f>
        <v>0</v>
      </c>
      <c r="AC11" s="5" t="str">
        <f aca="false">IF(AB11,COUNTIFS($C$5:$C$337,C11,$AB$5:$AB$337,TRUE(),$U$5:$U$337,"&gt;"&amp;U11)+COUNTIFS($C$5:C11,C11,$AB$5:AB11,TRUE(),$U$5:U11,U11),"")</f>
        <v/>
      </c>
      <c r="AD11" s="5" t="str">
        <f aca="false">IF(AC11="","Not eligible",IF(AC11&lt;=Inputs!$B$25,"Lead",IF(AC11&lt;=Inputs!$B$25+Inputs!$B$26,"Next wave","Long list")))</f>
        <v>Not eligible</v>
      </c>
      <c r="AE11" s="5" t="str">
        <f aca="false">IF(AND(K11+L11=0,M11&gt;0),"Safety upgrade of existing prefilled syringe",IF(K11+L11+M11=0,"Confirm presentation (not stated in source)",IF(AA11="Yes","Differentiation in crowded generic market","Safety-device mandate compliance")))</f>
        <v>Safety-device mandate compliance</v>
      </c>
      <c r="AF11" s="5" t="str">
        <f aca="false">IF(AC11="","",C11&amp;"|"&amp;AC11)</f>
        <v/>
      </c>
    </row>
    <row r="12" customFormat="false" ht="15" hidden="false" customHeight="false" outlineLevel="0" collapsed="false">
      <c r="A12" s="5" t="n">
        <f aca="false">IF(ISNUMBER(U12),RANK(U12,$U$5:$U$337),"")</f>
        <v>198</v>
      </c>
      <c r="B12" s="5" t="s">
        <v>43</v>
      </c>
      <c r="C12" s="5" t="s">
        <v>44</v>
      </c>
      <c r="D12" s="5" t="str">
        <f aca="false">INDEX('API Data'!$B$2:$B$152,MATCH(B12,'API Data'!$A$2:$A$152,0))</f>
        <v>Cardiovascular – ventricular arrhythmias, cardiac arrest (VF/VT)</v>
      </c>
      <c r="E12" s="5" t="n">
        <f aca="false">COUNTIFS('Market Listing'!$A$2:$A$4054,B12,'Market Listing'!$B$2:$B$4054,C12)</f>
        <v>31</v>
      </c>
      <c r="F12" s="5" t="n">
        <f aca="false">COUNTIFS('Market Listing'!$A$2:$A$4054,B12,'Market Listing'!$B$2:$B$4054,C12,'Market Listing'!$D$2:$D$4054,"Tier 1")</f>
        <v>5</v>
      </c>
      <c r="G12" s="5" t="n">
        <f aca="false">COUNTIFS('Market Listing'!$A$2:$A$4054,B12,'Market Listing'!$B$2:$B$4054,C12,'Market Listing'!$D$2:$D$4054,"Tier 2")</f>
        <v>4</v>
      </c>
      <c r="H12" s="5" t="n">
        <f aca="false">COUNTIFS('Market Listing'!$A$2:$A$4054,B12,'Market Listing'!$B$2:$B$4054,C12,'Market Listing'!$D$2:$D$4054,"Tier 3")</f>
        <v>22</v>
      </c>
      <c r="I12" s="5" t="n">
        <f aca="false">SUMIFS('Market Listing'!$E$2:$E$4054,'Market Listing'!$A$2:$A$4054,B12,'Market Listing'!$B$2:$B$4054,C12)</f>
        <v>45</v>
      </c>
      <c r="J12" s="5" t="n">
        <f aca="false">COUNTIFS('Product Rows'!$A$2:$A$696,B12,'Product Rows'!$B$2:$B$696,C12)</f>
        <v>2</v>
      </c>
      <c r="K12" s="5" t="n">
        <f aca="false">COUNTIFS('Product Rows'!$A$2:$A$696,B12,'Product Rows'!$B$2:$B$696,C12,'Product Rows'!$G$2:$G$696,"Vial")</f>
        <v>0</v>
      </c>
      <c r="L12" s="5" t="n">
        <f aca="false">COUNTIFS('Product Rows'!$A$2:$A$696,B12,'Product Rows'!$B$2:$B$696,C12,'Product Rows'!$G$2:$G$696,"Ampoule")</f>
        <v>0</v>
      </c>
      <c r="M12" s="5" t="n">
        <f aca="false">COUNTIFS('Product Rows'!$A$2:$A$696,B12,'Product Rows'!$B$2:$B$696,C12,'Product Rows'!$G$2:$G$696,"Prefilled syringe/pen")</f>
        <v>2</v>
      </c>
      <c r="N12" s="6" t="n">
        <f aca="false">IFERROR(AVERAGEIFS('Product Rows'!$H$2:$H$696,'Product Rows'!$A$2:$A$696,B12,'Product Rows'!$B$2:$B$696,C12),"")</f>
        <v>14.69</v>
      </c>
      <c r="O12" s="7" t="n">
        <f aca="false">INDEX('API Data'!$E$2:$E$152,MATCH(B12,'API Data'!$A$2:$A$152,0))</f>
        <v>5633.91608876147</v>
      </c>
      <c r="P12" s="5" t="n">
        <f aca="false">COUNTIF($B$5:$B$337,B12)</f>
        <v>1</v>
      </c>
      <c r="Q12" s="8" t="n">
        <f aca="false">IF(ISNUMBER(I12),PERCENTRANK($I$5:$I$337,I12),"")</f>
        <v>0.837</v>
      </c>
      <c r="R12" s="8" t="n">
        <f aca="false">IF(ISNUMBER(N12),PERCENTRANK($N$5:$N$337,N12),"")</f>
        <v>0.29</v>
      </c>
      <c r="S12" s="8" t="n">
        <f aca="false">IF(ISNUMBER(O12),PERCENTRANK($O$5:$O$337,O12),"")</f>
        <v>0.56</v>
      </c>
      <c r="T12" s="8" t="n">
        <f aca="false">IF(ISNUMBER(P12),PERCENTRANK($P$5:$P$337,P12),"")</f>
        <v>0</v>
      </c>
      <c r="U12" s="9" t="n">
        <f aca="false">IF((IF(ISNUMBER(Q12),Inputs!$B$4,0)+IF(ISNUMBER(R12),Inputs!$B$5,0)+IF(ISNUMBER(S12),Inputs!$B$6,0)+IF(ISNUMBER(T12),Inputs!$B$7,0))=0,"",(IF(ISNUMBER(Q12),Inputs!$B$4*Q12,0)+IF(ISNUMBER(R12),Inputs!$B$5*R12,0)+IF(ISNUMBER(S12),Inputs!$B$6*S12,0)+IF(ISNUMBER(T12),Inputs!$B$7*T12,0))/(IF(ISNUMBER(Q12),Inputs!$B$4,0)+IF(ISNUMBER(R12),Inputs!$B$5,0)+IF(ISNUMBER(S12),Inputs!$B$6,0)+IF(ISNUMBER(T12),Inputs!$B$7,0)))</f>
        <v>0.425</v>
      </c>
      <c r="V12" s="5" t="str">
        <f aca="false">IF(F12&gt;0,"Yes","No")</f>
        <v>Yes</v>
      </c>
      <c r="W12" s="5" t="str">
        <f aca="false">IF(ISNUMBER(N12),IF(N12&gt;=Inputs!$D$18,"Yes","No"),"No price")</f>
        <v>Yes</v>
      </c>
      <c r="X12" s="5" t="str">
        <f aca="false">IF(K12+L12&gt;0,"Yes",IF(M12&gt;0,"No","Unclear"))</f>
        <v>No</v>
      </c>
      <c r="Y12" s="5" t="str">
        <f aca="false">INDEX('API Data'!$H$2:$H$152,MATCH(B12,'API Data'!$A$2:$A$152,0))</f>
        <v>No</v>
      </c>
      <c r="Z12" s="5" t="str">
        <f aca="false">IF(COUNTIFS('Product Rows'!$A$2:$A$696,B12,'Product Rows'!$B$2:$B$696,C12,'Product Rows'!$I$2:$I$696,"Yes")&gt;0,"Yes","No")</f>
        <v>No</v>
      </c>
      <c r="AA12" s="5" t="str">
        <f aca="false">IF(P12&gt;=Inputs!$D$22,"Yes","No")</f>
        <v>No</v>
      </c>
      <c r="AB12" s="10" t="b">
        <f aca="false">AND(OR(Inputs!$B$17&lt;&gt;"Exclude",V12="Yes"),OR(Inputs!$B$18&lt;&gt;"Exclude",W12&lt;&gt;"No"),OR(Inputs!$B$19&lt;&gt;"Exclude",X12&lt;&gt;"No"),OR(Inputs!$B$20&lt;&gt;"Exclude",Y12="No"),OR(Inputs!$B$21&lt;&gt;"Exclude",Z12="No"),OR(Inputs!$B$22&lt;&gt;"Exclude",AA12="Yes"),ISNUMBER(U12))</f>
        <v>1</v>
      </c>
      <c r="AC12" s="5" t="n">
        <f aca="false">IF(AB12,COUNTIFS($C$5:$C$337,C12,$AB$5:$AB$337,TRUE(),$U$5:$U$337,"&gt;"&amp;U12)+COUNTIFS($C$5:C12,C12,$AB$5:AB12,TRUE(),$U$5:U12,U12),"")</f>
        <v>37</v>
      </c>
      <c r="AD12" s="5" t="str">
        <f aca="false">IF(AC12="","Not eligible",IF(AC12&lt;=Inputs!$B$25,"Lead",IF(AC12&lt;=Inputs!$B$25+Inputs!$B$26,"Next wave","Long list")))</f>
        <v>Long list</v>
      </c>
      <c r="AE12" s="5" t="str">
        <f aca="false">IF(AND(K12+L12=0,M12&gt;0),"Safety upgrade of existing prefilled syringe",IF(K12+L12+M12=0,"Confirm presentation (not stated in source)",IF(AA12="Yes","Differentiation in crowded generic market","Safety-device mandate compliance")))</f>
        <v>Safety upgrade of existing prefilled syringe</v>
      </c>
      <c r="AF12" s="5" t="str">
        <f aca="false">IF(AC12="","",C12&amp;"|"&amp;AC12)</f>
        <v>Intas Pharmaceuticals|37</v>
      </c>
    </row>
    <row r="13" customFormat="false" ht="15" hidden="false" customHeight="false" outlineLevel="0" collapsed="false">
      <c r="A13" s="5" t="n">
        <f aca="false">IF(ISNUMBER(U13),RANK(U13,$U$5:$U$337),"")</f>
        <v>18</v>
      </c>
      <c r="B13" s="5" t="s">
        <v>45</v>
      </c>
      <c r="C13" s="5" t="s">
        <v>44</v>
      </c>
      <c r="D13" s="5" t="str">
        <f aca="false">INDEX('API Data'!$B$2:$B$152,MATCH(B13,'API Data'!$A$2:$A$152,0))</f>
        <v>Anti-infective – broad-use penicillin (IV for serious infections; oral dominant)</v>
      </c>
      <c r="E13" s="5" t="n">
        <f aca="false">COUNTIFS('Market Listing'!$A$2:$A$4054,B13,'Market Listing'!$B$2:$B$4054,C13)</f>
        <v>29</v>
      </c>
      <c r="F13" s="5" t="n">
        <f aca="false">COUNTIFS('Market Listing'!$A$2:$A$4054,B13,'Market Listing'!$B$2:$B$4054,C13,'Market Listing'!$D$2:$D$4054,"Tier 1")</f>
        <v>5</v>
      </c>
      <c r="G13" s="5" t="n">
        <f aca="false">COUNTIFS('Market Listing'!$A$2:$A$4054,B13,'Market Listing'!$B$2:$B$4054,C13,'Market Listing'!$D$2:$D$4054,"Tier 2")</f>
        <v>3</v>
      </c>
      <c r="H13" s="5" t="n">
        <f aca="false">COUNTIFS('Market Listing'!$A$2:$A$4054,B13,'Market Listing'!$B$2:$B$4054,C13,'Market Listing'!$D$2:$D$4054,"Tier 3")</f>
        <v>21</v>
      </c>
      <c r="I13" s="5" t="n">
        <f aca="false">SUMIFS('Market Listing'!$E$2:$E$4054,'Market Listing'!$A$2:$A$4054,B13,'Market Listing'!$B$2:$B$4054,C13)</f>
        <v>42</v>
      </c>
      <c r="J13" s="5" t="n">
        <f aca="false">COUNTIFS('Product Rows'!$A$2:$A$696,B13,'Product Rows'!$B$2:$B$696,C13)</f>
        <v>1</v>
      </c>
      <c r="K13" s="5" t="n">
        <f aca="false">COUNTIFS('Product Rows'!$A$2:$A$696,B13,'Product Rows'!$B$2:$B$696,C13,'Product Rows'!$G$2:$G$696,"Vial")</f>
        <v>0</v>
      </c>
      <c r="L13" s="5" t="n">
        <f aca="false">COUNTIFS('Product Rows'!$A$2:$A$696,B13,'Product Rows'!$B$2:$B$696,C13,'Product Rows'!$G$2:$G$696,"Ampoule")</f>
        <v>0</v>
      </c>
      <c r="M13" s="5" t="n">
        <f aca="false">COUNTIFS('Product Rows'!$A$2:$A$696,B13,'Product Rows'!$B$2:$B$696,C13,'Product Rows'!$G$2:$G$696,"Prefilled syringe/pen")</f>
        <v>0</v>
      </c>
      <c r="N13" s="6" t="str">
        <f aca="false">IFERROR(AVERAGEIFS('Product Rows'!$H$2:$H$696,'Product Rows'!$A$2:$A$696,B13,'Product Rows'!$B$2:$B$696,C13),"")</f>
        <v/>
      </c>
      <c r="O13" s="7" t="n">
        <f aca="false">INDEX('API Data'!$E$2:$E$152,MATCH(B13,'API Data'!$A$2:$A$152,0))</f>
        <v>33794.9479741985</v>
      </c>
      <c r="P13" s="5" t="n">
        <f aca="false">COUNTIF($B$5:$B$337,B13)</f>
        <v>1</v>
      </c>
      <c r="Q13" s="8" t="n">
        <f aca="false">IF(ISNUMBER(I13),PERCENTRANK($I$5:$I$337,I13),"")</f>
        <v>0.729</v>
      </c>
      <c r="R13" s="8" t="str">
        <f aca="false">IF(ISNUMBER(N13),PERCENTRANK($N$5:$N$337,N13),"")</f>
        <v/>
      </c>
      <c r="S13" s="8" t="n">
        <f aca="false">IF(ISNUMBER(O13),PERCENTRANK($O$5:$O$337,O13),"")</f>
        <v>0.861</v>
      </c>
      <c r="T13" s="8" t="n">
        <f aca="false">IF(ISNUMBER(P13),PERCENTRANK($P$5:$P$337,P13),"")</f>
        <v>0</v>
      </c>
      <c r="U13" s="9" t="n">
        <f aca="false">IF((IF(ISNUMBER(Q13),Inputs!$B$4,0)+IF(ISNUMBER(R13),Inputs!$B$5,0)+IF(ISNUMBER(S13),Inputs!$B$6,0)+IF(ISNUMBER(T13),Inputs!$B$7,0))=0,"",(IF(ISNUMBER(Q13),Inputs!$B$4*Q13,0)+IF(ISNUMBER(R13),Inputs!$B$5*R13,0)+IF(ISNUMBER(S13),Inputs!$B$6*S13,0)+IF(ISNUMBER(T13),Inputs!$B$7*T13,0))/(IF(ISNUMBER(Q13),Inputs!$B$4,0)+IF(ISNUMBER(R13),Inputs!$B$5,0)+IF(ISNUMBER(S13),Inputs!$B$6,0)+IF(ISNUMBER(T13),Inputs!$B$7,0)))</f>
        <v>0.861</v>
      </c>
      <c r="V13" s="5" t="str">
        <f aca="false">IF(F13&gt;0,"Yes","No")</f>
        <v>Yes</v>
      </c>
      <c r="W13" s="5" t="str">
        <f aca="false">IF(ISNUMBER(N13),IF(N13&gt;=Inputs!$D$18,"Yes","No"),"No price")</f>
        <v>No price</v>
      </c>
      <c r="X13" s="5" t="str">
        <f aca="false">IF(K13+L13&gt;0,"Yes",IF(M13&gt;0,"No","Unclear"))</f>
        <v>Unclear</v>
      </c>
      <c r="Y13" s="5" t="str">
        <f aca="false">INDEX('API Data'!$H$2:$H$152,MATCH(B13,'API Data'!$A$2:$A$152,0))</f>
        <v>No</v>
      </c>
      <c r="Z13" s="5" t="str">
        <f aca="false">IF(COUNTIFS('Product Rows'!$A$2:$A$696,B13,'Product Rows'!$B$2:$B$696,C13,'Product Rows'!$I$2:$I$696,"Yes")&gt;0,"Yes","No")</f>
        <v>No</v>
      </c>
      <c r="AA13" s="5" t="str">
        <f aca="false">IF(P13&gt;=Inputs!$D$22,"Yes","No")</f>
        <v>No</v>
      </c>
      <c r="AB13" s="10" t="b">
        <f aca="false">AND(OR(Inputs!$B$17&lt;&gt;"Exclude",V13="Yes"),OR(Inputs!$B$18&lt;&gt;"Exclude",W13&lt;&gt;"No"),OR(Inputs!$B$19&lt;&gt;"Exclude",X13&lt;&gt;"No"),OR(Inputs!$B$20&lt;&gt;"Exclude",Y13="No"),OR(Inputs!$B$21&lt;&gt;"Exclude",Z13="No"),OR(Inputs!$B$22&lt;&gt;"Exclude",AA13="Yes"),ISNUMBER(U13))</f>
        <v>1</v>
      </c>
      <c r="AC13" s="5" t="n">
        <f aca="false">IF(AB13,COUNTIFS($C$5:$C$337,C13,$AB$5:$AB$337,TRUE(),$U$5:$U$337,"&gt;"&amp;U13)+COUNTIFS($C$5:C13,C13,$AB$5:AB13,TRUE(),$U$5:U13,U13),"")</f>
        <v>5</v>
      </c>
      <c r="AD13" s="5" t="str">
        <f aca="false">IF(AC13="","Not eligible",IF(AC13&lt;=Inputs!$B$25,"Lead",IF(AC13&lt;=Inputs!$B$25+Inputs!$B$26,"Next wave","Long list")))</f>
        <v>Lead</v>
      </c>
      <c r="AE13" s="5" t="str">
        <f aca="false">IF(AND(K13+L13=0,M13&gt;0),"Safety upgrade of existing prefilled syringe",IF(K13+L13+M13=0,"Confirm presentation (not stated in source)",IF(AA13="Yes","Differentiation in crowded generic market","Safety-device mandate compliance")))</f>
        <v>Confirm presentation (not stated in source)</v>
      </c>
      <c r="AF13" s="5" t="str">
        <f aca="false">IF(AC13="","",C13&amp;"|"&amp;AC13)</f>
        <v>Intas Pharmaceuticals|5</v>
      </c>
    </row>
    <row r="14" customFormat="false" ht="15" hidden="false" customHeight="false" outlineLevel="0" collapsed="false">
      <c r="A14" s="5" t="n">
        <f aca="false">IF(ISNUMBER(U14),RANK(U14,$U$5:$U$337),"")</f>
        <v>149</v>
      </c>
      <c r="B14" s="5" t="s">
        <v>46</v>
      </c>
      <c r="C14" s="5" t="s">
        <v>47</v>
      </c>
      <c r="D14" s="5" t="str">
        <f aca="false">INDEX('API Data'!$B$2:$B$152,MATCH(B14,'API Data'!$A$2:$A$152,0))</f>
        <v>Anti-infective – meningitis, endocarditis, neonatal sepsis</v>
      </c>
      <c r="E14" s="5" t="n">
        <f aca="false">COUNTIFS('Market Listing'!$A$2:$A$4054,B14,'Market Listing'!$B$2:$B$4054,C14)</f>
        <v>1</v>
      </c>
      <c r="F14" s="5" t="n">
        <f aca="false">COUNTIFS('Market Listing'!$A$2:$A$4054,B14,'Market Listing'!$B$2:$B$4054,C14,'Market Listing'!$D$2:$D$4054,"Tier 1")</f>
        <v>1</v>
      </c>
      <c r="G14" s="5" t="n">
        <f aca="false">COUNTIFS('Market Listing'!$A$2:$A$4054,B14,'Market Listing'!$B$2:$B$4054,C14,'Market Listing'!$D$2:$D$4054,"Tier 2")</f>
        <v>0</v>
      </c>
      <c r="H14" s="5" t="n">
        <f aca="false">COUNTIFS('Market Listing'!$A$2:$A$4054,B14,'Market Listing'!$B$2:$B$4054,C14,'Market Listing'!$D$2:$D$4054,"Tier 3")</f>
        <v>0</v>
      </c>
      <c r="I14" s="5" t="n">
        <f aca="false">SUMIFS('Market Listing'!$E$2:$E$4054,'Market Listing'!$A$2:$A$4054,B14,'Market Listing'!$B$2:$B$4054,C14)</f>
        <v>3</v>
      </c>
      <c r="J14" s="5" t="n">
        <f aca="false">COUNTIFS('Product Rows'!$A$2:$A$696,B14,'Product Rows'!$B$2:$B$696,C14)</f>
        <v>2</v>
      </c>
      <c r="K14" s="5" t="n">
        <f aca="false">COUNTIFS('Product Rows'!$A$2:$A$696,B14,'Product Rows'!$B$2:$B$696,C14,'Product Rows'!$G$2:$G$696,"Vial")</f>
        <v>2</v>
      </c>
      <c r="L14" s="5" t="n">
        <f aca="false">COUNTIFS('Product Rows'!$A$2:$A$696,B14,'Product Rows'!$B$2:$B$696,C14,'Product Rows'!$G$2:$G$696,"Ampoule")</f>
        <v>0</v>
      </c>
      <c r="M14" s="5" t="n">
        <f aca="false">COUNTIFS('Product Rows'!$A$2:$A$696,B14,'Product Rows'!$B$2:$B$696,C14,'Product Rows'!$G$2:$G$696,"Prefilled syringe/pen")</f>
        <v>0</v>
      </c>
      <c r="N14" s="6" t="n">
        <f aca="false">IFERROR(AVERAGEIFS('Product Rows'!$H$2:$H$696,'Product Rows'!$A$2:$A$696,B14,'Product Rows'!$B$2:$B$696,C14),"")</f>
        <v>7.7889</v>
      </c>
      <c r="O14" s="7" t="n">
        <f aca="false">INDEX('API Data'!$E$2:$E$152,MATCH(B14,'API Data'!$A$2:$A$152,0))</f>
        <v>35129.7716640463</v>
      </c>
      <c r="P14" s="5" t="n">
        <f aca="false">COUNTIF($B$5:$B$337,B14)</f>
        <v>2</v>
      </c>
      <c r="Q14" s="8" t="n">
        <f aca="false">IF(ISNUMBER(I14),PERCENTRANK($I$5:$I$337,I14),"")</f>
        <v>0.157</v>
      </c>
      <c r="R14" s="8" t="n">
        <f aca="false">IF(ISNUMBER(N14),PERCENTRANK($N$5:$N$337,N14),"")</f>
        <v>0.143</v>
      </c>
      <c r="S14" s="8" t="n">
        <f aca="false">IF(ISNUMBER(O14),PERCENTRANK($O$5:$O$337,O14),"")</f>
        <v>0.864</v>
      </c>
      <c r="T14" s="8" t="n">
        <f aca="false">IF(ISNUMBER(P14),PERCENTRANK($P$5:$P$337,P14),"")</f>
        <v>0.235</v>
      </c>
      <c r="U14" s="9" t="n">
        <f aca="false">IF((IF(ISNUMBER(Q14),Inputs!$B$4,0)+IF(ISNUMBER(R14),Inputs!$B$5,0)+IF(ISNUMBER(S14),Inputs!$B$6,0)+IF(ISNUMBER(T14),Inputs!$B$7,0))=0,"",(IF(ISNUMBER(Q14),Inputs!$B$4*Q14,0)+IF(ISNUMBER(R14),Inputs!$B$5*R14,0)+IF(ISNUMBER(S14),Inputs!$B$6*S14,0)+IF(ISNUMBER(T14),Inputs!$B$7*T14,0))/(IF(ISNUMBER(Q14),Inputs!$B$4,0)+IF(ISNUMBER(R14),Inputs!$B$5,0)+IF(ISNUMBER(S14),Inputs!$B$6,0)+IF(ISNUMBER(T14),Inputs!$B$7,0)))</f>
        <v>0.5035</v>
      </c>
      <c r="V14" s="5" t="str">
        <f aca="false">IF(F14&gt;0,"Yes","No")</f>
        <v>Yes</v>
      </c>
      <c r="W14" s="5" t="str">
        <f aca="false">IF(ISNUMBER(N14),IF(N14&gt;=Inputs!$D$18,"Yes","No"),"No price")</f>
        <v>Yes</v>
      </c>
      <c r="X14" s="5" t="str">
        <f aca="false">IF(K14+L14&gt;0,"Yes",IF(M14&gt;0,"No","Unclear"))</f>
        <v>Yes</v>
      </c>
      <c r="Y14" s="5" t="str">
        <f aca="false">INDEX('API Data'!$H$2:$H$152,MATCH(B14,'API Data'!$A$2:$A$152,0))</f>
        <v>No</v>
      </c>
      <c r="Z14" s="5" t="str">
        <f aca="false">IF(COUNTIFS('Product Rows'!$A$2:$A$696,B14,'Product Rows'!$B$2:$B$696,C14,'Product Rows'!$I$2:$I$696,"Yes")&gt;0,"Yes","No")</f>
        <v>No</v>
      </c>
      <c r="AA14" s="5" t="str">
        <f aca="false">IF(P14&gt;=Inputs!$D$22,"Yes","No")</f>
        <v>No</v>
      </c>
      <c r="AB14" s="10" t="b">
        <f aca="false">AND(OR(Inputs!$B$17&lt;&gt;"Exclude",V14="Yes"),OR(Inputs!$B$18&lt;&gt;"Exclude",W14&lt;&gt;"No"),OR(Inputs!$B$19&lt;&gt;"Exclude",X14&lt;&gt;"No"),OR(Inputs!$B$20&lt;&gt;"Exclude",Y14="No"),OR(Inputs!$B$21&lt;&gt;"Exclude",Z14="No"),OR(Inputs!$B$22&lt;&gt;"Exclude",AA14="Yes"),ISNUMBER(U14))</f>
        <v>1</v>
      </c>
      <c r="AC14" s="5" t="n">
        <f aca="false">IF(AB14,COUNTIFS($C$5:$C$337,C14,$AB$5:$AB$337,TRUE(),$U$5:$U$337,"&gt;"&amp;U14)+COUNTIFS($C$5:C14,C14,$AB$5:AB14,TRUE(),$U$5:U14,U14),"")</f>
        <v>23</v>
      </c>
      <c r="AD14" s="5" t="str">
        <f aca="false">IF(AC14="","Not eligible",IF(AC14&lt;=Inputs!$B$25,"Lead",IF(AC14&lt;=Inputs!$B$25+Inputs!$B$26,"Next wave","Long list")))</f>
        <v>Long list</v>
      </c>
      <c r="AE14" s="5" t="str">
        <f aca="false">IF(AND(K14+L14=0,M14&gt;0),"Safety upgrade of existing prefilled syringe",IF(K14+L14+M14=0,"Confirm presentation (not stated in source)",IF(AA14="Yes","Differentiation in crowded generic market","Safety-device mandate compliance")))</f>
        <v>Safety-device mandate compliance</v>
      </c>
      <c r="AF14" s="5" t="str">
        <f aca="false">IF(AC14="","",C14&amp;"|"&amp;AC14)</f>
        <v>Aurobindo Pharma|23</v>
      </c>
    </row>
    <row r="15" customFormat="false" ht="15" hidden="false" customHeight="false" outlineLevel="0" collapsed="false">
      <c r="A15" s="5" t="n">
        <f aca="false">IF(ISNUMBER(U15),RANK(U15,$U$5:$U$337),"")</f>
        <v>142</v>
      </c>
      <c r="B15" s="5" t="s">
        <v>46</v>
      </c>
      <c r="C15" s="5" t="s">
        <v>35</v>
      </c>
      <c r="D15" s="5" t="str">
        <f aca="false">INDEX('API Data'!$B$2:$B$152,MATCH(B15,'API Data'!$A$2:$A$152,0))</f>
        <v>Anti-infective – meningitis, endocarditis, neonatal sepsis</v>
      </c>
      <c r="E15" s="5" t="n">
        <f aca="false">COUNTIFS('Market Listing'!$A$2:$A$4054,B15,'Market Listing'!$B$2:$B$4054,C15)</f>
        <v>24</v>
      </c>
      <c r="F15" s="5" t="n">
        <f aca="false">COUNTIFS('Market Listing'!$A$2:$A$4054,B15,'Market Listing'!$B$2:$B$4054,C15,'Market Listing'!$D$2:$D$4054,"Tier 1")</f>
        <v>3</v>
      </c>
      <c r="G15" s="5" t="n">
        <f aca="false">COUNTIFS('Market Listing'!$A$2:$A$4054,B15,'Market Listing'!$B$2:$B$4054,C15,'Market Listing'!$D$2:$D$4054,"Tier 2")</f>
        <v>2</v>
      </c>
      <c r="H15" s="5" t="n">
        <f aca="false">COUNTIFS('Market Listing'!$A$2:$A$4054,B15,'Market Listing'!$B$2:$B$4054,C15,'Market Listing'!$D$2:$D$4054,"Tier 3")</f>
        <v>19</v>
      </c>
      <c r="I15" s="5" t="n">
        <f aca="false">SUMIFS('Market Listing'!$E$2:$E$4054,'Market Listing'!$A$2:$A$4054,B15,'Market Listing'!$B$2:$B$4054,C15)</f>
        <v>32</v>
      </c>
      <c r="J15" s="5" t="n">
        <f aca="false">COUNTIFS('Product Rows'!$A$2:$A$696,B15,'Product Rows'!$B$2:$B$696,C15)</f>
        <v>1</v>
      </c>
      <c r="K15" s="5" t="n">
        <f aca="false">COUNTIFS('Product Rows'!$A$2:$A$696,B15,'Product Rows'!$B$2:$B$696,C15,'Product Rows'!$G$2:$G$696,"Vial")</f>
        <v>1</v>
      </c>
      <c r="L15" s="5" t="n">
        <f aca="false">COUNTIFS('Product Rows'!$A$2:$A$696,B15,'Product Rows'!$B$2:$B$696,C15,'Product Rows'!$G$2:$G$696,"Ampoule")</f>
        <v>0</v>
      </c>
      <c r="M15" s="5" t="n">
        <f aca="false">COUNTIFS('Product Rows'!$A$2:$A$696,B15,'Product Rows'!$B$2:$B$696,C15,'Product Rows'!$G$2:$G$696,"Prefilled syringe/pen")</f>
        <v>0</v>
      </c>
      <c r="N15" s="6" t="n">
        <f aca="false">IFERROR(AVERAGEIFS('Product Rows'!$H$2:$H$696,'Product Rows'!$A$2:$A$696,B15,'Product Rows'!$B$2:$B$696,C15),"")</f>
        <v>9.04</v>
      </c>
      <c r="O15" s="7" t="n">
        <f aca="false">INDEX('API Data'!$E$2:$E$152,MATCH(B15,'API Data'!$A$2:$A$152,0))</f>
        <v>35129.7716640463</v>
      </c>
      <c r="P15" s="5" t="n">
        <f aca="false">COUNTIF($B$5:$B$337,B15)</f>
        <v>2</v>
      </c>
      <c r="Q15" s="8" t="n">
        <f aca="false">IF(ISNUMBER(I15),PERCENTRANK($I$5:$I$337,I15),"")</f>
        <v>0.633</v>
      </c>
      <c r="R15" s="8" t="n">
        <f aca="false">IF(ISNUMBER(N15),PERCENTRANK($N$5:$N$337,N15),"")</f>
        <v>0.172</v>
      </c>
      <c r="S15" s="8" t="n">
        <f aca="false">IF(ISNUMBER(O15),PERCENTRANK($O$5:$O$337,O15),"")</f>
        <v>0.864</v>
      </c>
      <c r="T15" s="8" t="n">
        <f aca="false">IF(ISNUMBER(P15),PERCENTRANK($P$5:$P$337,P15),"")</f>
        <v>0.235</v>
      </c>
      <c r="U15" s="9" t="n">
        <f aca="false">IF((IF(ISNUMBER(Q15),Inputs!$B$4,0)+IF(ISNUMBER(R15),Inputs!$B$5,0)+IF(ISNUMBER(S15),Inputs!$B$6,0)+IF(ISNUMBER(T15),Inputs!$B$7,0))=0,"",(IF(ISNUMBER(Q15),Inputs!$B$4*Q15,0)+IF(ISNUMBER(R15),Inputs!$B$5*R15,0)+IF(ISNUMBER(S15),Inputs!$B$6*S15,0)+IF(ISNUMBER(T15),Inputs!$B$7*T15,0))/(IF(ISNUMBER(Q15),Inputs!$B$4,0)+IF(ISNUMBER(R15),Inputs!$B$5,0)+IF(ISNUMBER(S15),Inputs!$B$6,0)+IF(ISNUMBER(T15),Inputs!$B$7,0)))</f>
        <v>0.518</v>
      </c>
      <c r="V15" s="5" t="str">
        <f aca="false">IF(F15&gt;0,"Yes","No")</f>
        <v>Yes</v>
      </c>
      <c r="W15" s="5" t="str">
        <f aca="false">IF(ISNUMBER(N15),IF(N15&gt;=Inputs!$D$18,"Yes","No"),"No price")</f>
        <v>Yes</v>
      </c>
      <c r="X15" s="5" t="str">
        <f aca="false">IF(K15+L15&gt;0,"Yes",IF(M15&gt;0,"No","Unclear"))</f>
        <v>Yes</v>
      </c>
      <c r="Y15" s="5" t="str">
        <f aca="false">INDEX('API Data'!$H$2:$H$152,MATCH(B15,'API Data'!$A$2:$A$152,0))</f>
        <v>No</v>
      </c>
      <c r="Z15" s="5" t="str">
        <f aca="false">IF(COUNTIFS('Product Rows'!$A$2:$A$696,B15,'Product Rows'!$B$2:$B$696,C15,'Product Rows'!$I$2:$I$696,"Yes")&gt;0,"Yes","No")</f>
        <v>No</v>
      </c>
      <c r="AA15" s="5" t="str">
        <f aca="false">IF(P15&gt;=Inputs!$D$22,"Yes","No")</f>
        <v>No</v>
      </c>
      <c r="AB15" s="10" t="b">
        <f aca="false">AND(OR(Inputs!$B$17&lt;&gt;"Exclude",V15="Yes"),OR(Inputs!$B$18&lt;&gt;"Exclude",W15&lt;&gt;"No"),OR(Inputs!$B$19&lt;&gt;"Exclude",X15&lt;&gt;"No"),OR(Inputs!$B$20&lt;&gt;"Exclude",Y15="No"),OR(Inputs!$B$21&lt;&gt;"Exclude",Z15="No"),OR(Inputs!$B$22&lt;&gt;"Exclude",AA15="Yes"),ISNUMBER(U15))</f>
        <v>1</v>
      </c>
      <c r="AC15" s="5" t="n">
        <f aca="false">IF(AB15,COUNTIFS($C$5:$C$337,C15,$AB$5:$AB$337,TRUE(),$U$5:$U$337,"&gt;"&amp;U15)+COUNTIFS($C$5:C15,C15,$AB$5:AB15,TRUE(),$U$5:U15,U15),"")</f>
        <v>11</v>
      </c>
      <c r="AD15" s="5" t="str">
        <f aca="false">IF(AC15="","Not eligible",IF(AC15&lt;=Inputs!$B$25,"Lead",IF(AC15&lt;=Inputs!$B$25+Inputs!$B$26,"Next wave","Long list")))</f>
        <v>Long list</v>
      </c>
      <c r="AE15" s="5" t="str">
        <f aca="false">IF(AND(K15+L15=0,M15&gt;0),"Safety upgrade of existing prefilled syringe",IF(K15+L15+M15=0,"Confirm presentation (not stated in source)",IF(AA15="Yes","Differentiation in crowded generic market","Safety-device mandate compliance")))</f>
        <v>Safety-device mandate compliance</v>
      </c>
      <c r="AF15" s="5" t="str">
        <f aca="false">IF(AC15="","",C15&amp;"|"&amp;AC15)</f>
        <v>Emcure Pharmaceuticals|11</v>
      </c>
    </row>
    <row r="16" customFormat="false" ht="15" hidden="false" customHeight="false" outlineLevel="0" collapsed="false">
      <c r="A16" s="5" t="n">
        <f aca="false">IF(ISNUMBER(U16),RANK(U16,$U$5:$U$337),"")</f>
        <v>158</v>
      </c>
      <c r="B16" s="5" t="s">
        <v>48</v>
      </c>
      <c r="C16" s="5" t="s">
        <v>47</v>
      </c>
      <c r="D16" s="5" t="str">
        <f aca="false">INDEX('API Data'!$B$2:$B$152,MATCH(B16,'API Data'!$A$2:$A$152,0))</f>
        <v>Haematology – anticoagulant for heparin-induced thrombocytopenia (HIT)</v>
      </c>
      <c r="E16" s="5" t="n">
        <f aca="false">COUNTIFS('Market Listing'!$A$2:$A$4054,B16,'Market Listing'!$B$2:$B$4054,C16)</f>
        <v>1</v>
      </c>
      <c r="F16" s="5" t="n">
        <f aca="false">COUNTIFS('Market Listing'!$A$2:$A$4054,B16,'Market Listing'!$B$2:$B$4054,C16,'Market Listing'!$D$2:$D$4054,"Tier 1")</f>
        <v>1</v>
      </c>
      <c r="G16" s="5" t="n">
        <f aca="false">COUNTIFS('Market Listing'!$A$2:$A$4054,B16,'Market Listing'!$B$2:$B$4054,C16,'Market Listing'!$D$2:$D$4054,"Tier 2")</f>
        <v>0</v>
      </c>
      <c r="H16" s="5" t="n">
        <f aca="false">COUNTIFS('Market Listing'!$A$2:$A$4054,B16,'Market Listing'!$B$2:$B$4054,C16,'Market Listing'!$D$2:$D$4054,"Tier 3")</f>
        <v>0</v>
      </c>
      <c r="I16" s="5" t="n">
        <f aca="false">SUMIFS('Market Listing'!$E$2:$E$4054,'Market Listing'!$A$2:$A$4054,B16,'Market Listing'!$B$2:$B$4054,C16)</f>
        <v>3</v>
      </c>
      <c r="J16" s="5" t="n">
        <f aca="false">COUNTIFS('Product Rows'!$A$2:$A$696,B16,'Product Rows'!$B$2:$B$696,C16)</f>
        <v>1</v>
      </c>
      <c r="K16" s="5" t="n">
        <f aca="false">COUNTIFS('Product Rows'!$A$2:$A$696,B16,'Product Rows'!$B$2:$B$696,C16,'Product Rows'!$G$2:$G$696,"Vial")</f>
        <v>1</v>
      </c>
      <c r="L16" s="5" t="n">
        <f aca="false">COUNTIFS('Product Rows'!$A$2:$A$696,B16,'Product Rows'!$B$2:$B$696,C16,'Product Rows'!$G$2:$G$696,"Ampoule")</f>
        <v>0</v>
      </c>
      <c r="M16" s="5" t="n">
        <f aca="false">COUNTIFS('Product Rows'!$A$2:$A$696,B16,'Product Rows'!$B$2:$B$696,C16,'Product Rows'!$G$2:$G$696,"Prefilled syringe/pen")</f>
        <v>0</v>
      </c>
      <c r="N16" s="6" t="n">
        <f aca="false">IFERROR(AVERAGEIFS('Product Rows'!$H$2:$H$696,'Product Rows'!$A$2:$A$696,B16,'Product Rows'!$B$2:$B$696,C16),"")</f>
        <v>90.4</v>
      </c>
      <c r="O16" s="7" t="n">
        <f aca="false">INDEX('API Data'!$E$2:$E$152,MATCH(B16,'API Data'!$A$2:$A$152,0))</f>
        <v>2127.31</v>
      </c>
      <c r="P16" s="5" t="n">
        <f aca="false">COUNTIF($B$5:$B$337,B16)</f>
        <v>2</v>
      </c>
      <c r="Q16" s="8" t="n">
        <f aca="false">IF(ISNUMBER(I16),PERCENTRANK($I$5:$I$337,I16),"")</f>
        <v>0.157</v>
      </c>
      <c r="R16" s="8" t="n">
        <f aca="false">IF(ISNUMBER(N16),PERCENTRANK($N$5:$N$337,N16),"")</f>
        <v>0.724</v>
      </c>
      <c r="S16" s="8" t="n">
        <f aca="false">IF(ISNUMBER(O16),PERCENTRANK($O$5:$O$337,O16),"")</f>
        <v>0.274</v>
      </c>
      <c r="T16" s="8" t="n">
        <f aca="false">IF(ISNUMBER(P16),PERCENTRANK($P$5:$P$337,P16),"")</f>
        <v>0.235</v>
      </c>
      <c r="U16" s="9" t="n">
        <f aca="false">IF((IF(ISNUMBER(Q16),Inputs!$B$4,0)+IF(ISNUMBER(R16),Inputs!$B$5,0)+IF(ISNUMBER(S16),Inputs!$B$6,0)+IF(ISNUMBER(T16),Inputs!$B$7,0))=0,"",(IF(ISNUMBER(Q16),Inputs!$B$4*Q16,0)+IF(ISNUMBER(R16),Inputs!$B$5*R16,0)+IF(ISNUMBER(S16),Inputs!$B$6*S16,0)+IF(ISNUMBER(T16),Inputs!$B$7*T16,0))/(IF(ISNUMBER(Q16),Inputs!$B$4,0)+IF(ISNUMBER(R16),Inputs!$B$5,0)+IF(ISNUMBER(S16),Inputs!$B$6,0)+IF(ISNUMBER(T16),Inputs!$B$7,0)))</f>
        <v>0.499</v>
      </c>
      <c r="V16" s="5" t="str">
        <f aca="false">IF(F16&gt;0,"Yes","No")</f>
        <v>Yes</v>
      </c>
      <c r="W16" s="5" t="str">
        <f aca="false">IF(ISNUMBER(N16),IF(N16&gt;=Inputs!$D$18,"Yes","No"),"No price")</f>
        <v>Yes</v>
      </c>
      <c r="X16" s="5" t="str">
        <f aca="false">IF(K16+L16&gt;0,"Yes",IF(M16&gt;0,"No","Unclear"))</f>
        <v>Yes</v>
      </c>
      <c r="Y16" s="5" t="str">
        <f aca="false">INDEX('API Data'!$H$2:$H$152,MATCH(B16,'API Data'!$A$2:$A$152,0))</f>
        <v>No</v>
      </c>
      <c r="Z16" s="5" t="str">
        <f aca="false">IF(COUNTIFS('Product Rows'!$A$2:$A$696,B16,'Product Rows'!$B$2:$B$696,C16,'Product Rows'!$I$2:$I$696,"Yes")&gt;0,"Yes","No")</f>
        <v>No</v>
      </c>
      <c r="AA16" s="5" t="str">
        <f aca="false">IF(P16&gt;=Inputs!$D$22,"Yes","No")</f>
        <v>No</v>
      </c>
      <c r="AB16" s="10" t="b">
        <f aca="false">AND(OR(Inputs!$B$17&lt;&gt;"Exclude",V16="Yes"),OR(Inputs!$B$18&lt;&gt;"Exclude",W16&lt;&gt;"No"),OR(Inputs!$B$19&lt;&gt;"Exclude",X16&lt;&gt;"No"),OR(Inputs!$B$20&lt;&gt;"Exclude",Y16="No"),OR(Inputs!$B$21&lt;&gt;"Exclude",Z16="No"),OR(Inputs!$B$22&lt;&gt;"Exclude",AA16="Yes"),ISNUMBER(U16))</f>
        <v>1</v>
      </c>
      <c r="AC16" s="5" t="n">
        <f aca="false">IF(AB16,COUNTIFS($C$5:$C$337,C16,$AB$5:$AB$337,TRUE(),$U$5:$U$337,"&gt;"&amp;U16)+COUNTIFS($C$5:C16,C16,$AB$5:AB16,TRUE(),$U$5:U16,U16),"")</f>
        <v>26</v>
      </c>
      <c r="AD16" s="5" t="str">
        <f aca="false">IF(AC16="","Not eligible",IF(AC16&lt;=Inputs!$B$25,"Lead",IF(AC16&lt;=Inputs!$B$25+Inputs!$B$26,"Next wave","Long list")))</f>
        <v>Long list</v>
      </c>
      <c r="AE16" s="5" t="str">
        <f aca="false">IF(AND(K16+L16=0,M16&gt;0),"Safety upgrade of existing prefilled syringe",IF(K16+L16+M16=0,"Confirm presentation (not stated in source)",IF(AA16="Yes","Differentiation in crowded generic market","Safety-device mandate compliance")))</f>
        <v>Safety-device mandate compliance</v>
      </c>
      <c r="AF16" s="5" t="str">
        <f aca="false">IF(AC16="","",C16&amp;"|"&amp;AC16)</f>
        <v>Aurobindo Pharma|26</v>
      </c>
    </row>
    <row r="17" customFormat="false" ht="15" hidden="false" customHeight="false" outlineLevel="0" collapsed="false">
      <c r="A17" s="5" t="n">
        <f aca="false">IF(ISNUMBER(U17),RANK(U17,$U$5:$U$337),"")</f>
        <v>158</v>
      </c>
      <c r="B17" s="5" t="s">
        <v>48</v>
      </c>
      <c r="C17" s="5" t="s">
        <v>44</v>
      </c>
      <c r="D17" s="5" t="str">
        <f aca="false">INDEX('API Data'!$B$2:$B$152,MATCH(B17,'API Data'!$A$2:$A$152,0))</f>
        <v>Haematology – anticoagulant for heparin-induced thrombocytopenia (HIT)</v>
      </c>
      <c r="E17" s="5" t="n">
        <f aca="false">COUNTIFS('Market Listing'!$A$2:$A$4054,B17,'Market Listing'!$B$2:$B$4054,C17)</f>
        <v>1</v>
      </c>
      <c r="F17" s="5" t="n">
        <f aca="false">COUNTIFS('Market Listing'!$A$2:$A$4054,B17,'Market Listing'!$B$2:$B$4054,C17,'Market Listing'!$D$2:$D$4054,"Tier 1")</f>
        <v>1</v>
      </c>
      <c r="G17" s="5" t="n">
        <f aca="false">COUNTIFS('Market Listing'!$A$2:$A$4054,B17,'Market Listing'!$B$2:$B$4054,C17,'Market Listing'!$D$2:$D$4054,"Tier 2")</f>
        <v>0</v>
      </c>
      <c r="H17" s="5" t="n">
        <f aca="false">COUNTIFS('Market Listing'!$A$2:$A$4054,B17,'Market Listing'!$B$2:$B$4054,C17,'Market Listing'!$D$2:$D$4054,"Tier 3")</f>
        <v>0</v>
      </c>
      <c r="I17" s="5" t="n">
        <f aca="false">SUMIFS('Market Listing'!$E$2:$E$4054,'Market Listing'!$A$2:$A$4054,B17,'Market Listing'!$B$2:$B$4054,C17)</f>
        <v>3</v>
      </c>
      <c r="J17" s="5" t="n">
        <f aca="false">COUNTIFS('Product Rows'!$A$2:$A$696,B17,'Product Rows'!$B$2:$B$696,C17)</f>
        <v>1</v>
      </c>
      <c r="K17" s="5" t="n">
        <f aca="false">COUNTIFS('Product Rows'!$A$2:$A$696,B17,'Product Rows'!$B$2:$B$696,C17,'Product Rows'!$G$2:$G$696,"Vial")</f>
        <v>1</v>
      </c>
      <c r="L17" s="5" t="n">
        <f aca="false">COUNTIFS('Product Rows'!$A$2:$A$696,B17,'Product Rows'!$B$2:$B$696,C17,'Product Rows'!$G$2:$G$696,"Ampoule")</f>
        <v>0</v>
      </c>
      <c r="M17" s="5" t="n">
        <f aca="false">COUNTIFS('Product Rows'!$A$2:$A$696,B17,'Product Rows'!$B$2:$B$696,C17,'Product Rows'!$G$2:$G$696,"Prefilled syringe/pen")</f>
        <v>0</v>
      </c>
      <c r="N17" s="6" t="n">
        <f aca="false">IFERROR(AVERAGEIFS('Product Rows'!$H$2:$H$696,'Product Rows'!$A$2:$A$696,B17,'Product Rows'!$B$2:$B$696,C17),"")</f>
        <v>90.4</v>
      </c>
      <c r="O17" s="7" t="n">
        <f aca="false">INDEX('API Data'!$E$2:$E$152,MATCH(B17,'API Data'!$A$2:$A$152,0))</f>
        <v>2127.31</v>
      </c>
      <c r="P17" s="5" t="n">
        <f aca="false">COUNTIF($B$5:$B$337,B17)</f>
        <v>2</v>
      </c>
      <c r="Q17" s="8" t="n">
        <f aca="false">IF(ISNUMBER(I17),PERCENTRANK($I$5:$I$337,I17),"")</f>
        <v>0.157</v>
      </c>
      <c r="R17" s="8" t="n">
        <f aca="false">IF(ISNUMBER(N17),PERCENTRANK($N$5:$N$337,N17),"")</f>
        <v>0.724</v>
      </c>
      <c r="S17" s="8" t="n">
        <f aca="false">IF(ISNUMBER(O17),PERCENTRANK($O$5:$O$337,O17),"")</f>
        <v>0.274</v>
      </c>
      <c r="T17" s="8" t="n">
        <f aca="false">IF(ISNUMBER(P17),PERCENTRANK($P$5:$P$337,P17),"")</f>
        <v>0.235</v>
      </c>
      <c r="U17" s="9" t="n">
        <f aca="false">IF((IF(ISNUMBER(Q17),Inputs!$B$4,0)+IF(ISNUMBER(R17),Inputs!$B$5,0)+IF(ISNUMBER(S17),Inputs!$B$6,0)+IF(ISNUMBER(T17),Inputs!$B$7,0))=0,"",(IF(ISNUMBER(Q17),Inputs!$B$4*Q17,0)+IF(ISNUMBER(R17),Inputs!$B$5*R17,0)+IF(ISNUMBER(S17),Inputs!$B$6*S17,0)+IF(ISNUMBER(T17),Inputs!$B$7*T17,0))/(IF(ISNUMBER(Q17),Inputs!$B$4,0)+IF(ISNUMBER(R17),Inputs!$B$5,0)+IF(ISNUMBER(S17),Inputs!$B$6,0)+IF(ISNUMBER(T17),Inputs!$B$7,0)))</f>
        <v>0.499</v>
      </c>
      <c r="V17" s="5" t="str">
        <f aca="false">IF(F17&gt;0,"Yes","No")</f>
        <v>Yes</v>
      </c>
      <c r="W17" s="5" t="str">
        <f aca="false">IF(ISNUMBER(N17),IF(N17&gt;=Inputs!$D$18,"Yes","No"),"No price")</f>
        <v>Yes</v>
      </c>
      <c r="X17" s="5" t="str">
        <f aca="false">IF(K17+L17&gt;0,"Yes",IF(M17&gt;0,"No","Unclear"))</f>
        <v>Yes</v>
      </c>
      <c r="Y17" s="5" t="str">
        <f aca="false">INDEX('API Data'!$H$2:$H$152,MATCH(B17,'API Data'!$A$2:$A$152,0))</f>
        <v>No</v>
      </c>
      <c r="Z17" s="5" t="str">
        <f aca="false">IF(COUNTIFS('Product Rows'!$A$2:$A$696,B17,'Product Rows'!$B$2:$B$696,C17,'Product Rows'!$I$2:$I$696,"Yes")&gt;0,"Yes","No")</f>
        <v>No</v>
      </c>
      <c r="AA17" s="5" t="str">
        <f aca="false">IF(P17&gt;=Inputs!$D$22,"Yes","No")</f>
        <v>No</v>
      </c>
      <c r="AB17" s="10" t="b">
        <f aca="false">AND(OR(Inputs!$B$17&lt;&gt;"Exclude",V17="Yes"),OR(Inputs!$B$18&lt;&gt;"Exclude",W17&lt;&gt;"No"),OR(Inputs!$B$19&lt;&gt;"Exclude",X17&lt;&gt;"No"),OR(Inputs!$B$20&lt;&gt;"Exclude",Y17="No"),OR(Inputs!$B$21&lt;&gt;"Exclude",Z17="No"),OR(Inputs!$B$22&lt;&gt;"Exclude",AA17="Yes"),ISNUMBER(U17))</f>
        <v>1</v>
      </c>
      <c r="AC17" s="5" t="n">
        <f aca="false">IF(AB17,COUNTIFS($C$5:$C$337,C17,$AB$5:$AB$337,TRUE(),$U$5:$U$337,"&gt;"&amp;U17)+COUNTIFS($C$5:C17,C17,$AB$5:AB17,TRUE(),$U$5:U17,U17),"")</f>
        <v>30</v>
      </c>
      <c r="AD17" s="5" t="str">
        <f aca="false">IF(AC17="","Not eligible",IF(AC17&lt;=Inputs!$B$25,"Lead",IF(AC17&lt;=Inputs!$B$25+Inputs!$B$26,"Next wave","Long list")))</f>
        <v>Long list</v>
      </c>
      <c r="AE17" s="5" t="str">
        <f aca="false">IF(AND(K17+L17=0,M17&gt;0),"Safety upgrade of existing prefilled syringe",IF(K17+L17+M17=0,"Confirm presentation (not stated in source)",IF(AA17="Yes","Differentiation in crowded generic market","Safety-device mandate compliance")))</f>
        <v>Safety-device mandate compliance</v>
      </c>
      <c r="AF17" s="5" t="str">
        <f aca="false">IF(AC17="","",C17&amp;"|"&amp;AC17)</f>
        <v>Intas Pharmaceuticals|30</v>
      </c>
    </row>
    <row r="18" customFormat="false" ht="15" hidden="false" customHeight="false" outlineLevel="0" collapsed="false">
      <c r="A18" s="5" t="n">
        <f aca="false">IF(ISNUMBER(U18),RANK(U18,$U$5:$U$337),"")</f>
        <v>125</v>
      </c>
      <c r="B18" s="5" t="s">
        <v>49</v>
      </c>
      <c r="C18" s="5" t="s">
        <v>50</v>
      </c>
      <c r="D18" s="5" t="str">
        <f aca="false">INDEX('API Data'!$B$2:$B$152,MATCH(B18,'API Data'!$A$2:$A$152,0))</f>
        <v>Psychiatry – long-acting injectable for schizophrenia / bipolar I</v>
      </c>
      <c r="E18" s="5" t="n">
        <f aca="false">COUNTIFS('Market Listing'!$A$2:$A$4054,B18,'Market Listing'!$B$2:$B$4054,C18)</f>
        <v>2</v>
      </c>
      <c r="F18" s="5" t="n">
        <f aca="false">COUNTIFS('Market Listing'!$A$2:$A$4054,B18,'Market Listing'!$B$2:$B$4054,C18,'Market Listing'!$D$2:$D$4054,"Tier 1")</f>
        <v>1</v>
      </c>
      <c r="G18" s="5" t="n">
        <f aca="false">COUNTIFS('Market Listing'!$A$2:$A$4054,B18,'Market Listing'!$B$2:$B$4054,C18,'Market Listing'!$D$2:$D$4054,"Tier 2")</f>
        <v>1</v>
      </c>
      <c r="H18" s="5" t="n">
        <f aca="false">COUNTIFS('Market Listing'!$A$2:$A$4054,B18,'Market Listing'!$B$2:$B$4054,C18,'Market Listing'!$D$2:$D$4054,"Tier 3")</f>
        <v>0</v>
      </c>
      <c r="I18" s="5" t="n">
        <f aca="false">SUMIFS('Market Listing'!$E$2:$E$4054,'Market Listing'!$A$2:$A$4054,B18,'Market Listing'!$B$2:$B$4054,C18)</f>
        <v>5</v>
      </c>
      <c r="J18" s="5" t="n">
        <f aca="false">COUNTIFS('Product Rows'!$A$2:$A$696,B18,'Product Rows'!$B$2:$B$696,C18)</f>
        <v>3</v>
      </c>
      <c r="K18" s="5" t="n">
        <f aca="false">COUNTIFS('Product Rows'!$A$2:$A$696,B18,'Product Rows'!$B$2:$B$696,C18,'Product Rows'!$G$2:$G$696,"Vial")</f>
        <v>3</v>
      </c>
      <c r="L18" s="5" t="n">
        <f aca="false">COUNTIFS('Product Rows'!$A$2:$A$696,B18,'Product Rows'!$B$2:$B$696,C18,'Product Rows'!$G$2:$G$696,"Ampoule")</f>
        <v>0</v>
      </c>
      <c r="M18" s="5" t="n">
        <f aca="false">COUNTIFS('Product Rows'!$A$2:$A$696,B18,'Product Rows'!$B$2:$B$696,C18,'Product Rows'!$G$2:$G$696,"Prefilled syringe/pen")</f>
        <v>0</v>
      </c>
      <c r="N18" s="6" t="n">
        <f aca="false">IFERROR(AVERAGEIFS('Product Rows'!$H$2:$H$696,'Product Rows'!$A$2:$A$696,B18,'Product Rows'!$B$2:$B$696,C18),"")</f>
        <v>198.737</v>
      </c>
      <c r="O18" s="7" t="n">
        <f aca="false">INDEX('API Data'!$E$2:$E$152,MATCH(B18,'API Data'!$A$2:$A$152,0))</f>
        <v>1976.61265255622</v>
      </c>
      <c r="P18" s="5" t="n">
        <f aca="false">COUNTIF($B$5:$B$337,B18)</f>
        <v>1</v>
      </c>
      <c r="Q18" s="8" t="n">
        <f aca="false">IF(ISNUMBER(I18),PERCENTRANK($I$5:$I$337,I18),"")</f>
        <v>0.521</v>
      </c>
      <c r="R18" s="8" t="n">
        <f aca="false">IF(ISNUMBER(N18),PERCENTRANK($N$5:$N$337,N18),"")</f>
        <v>0.842</v>
      </c>
      <c r="S18" s="8" t="n">
        <f aca="false">IF(ISNUMBER(O18),PERCENTRANK($O$5:$O$337,O18),"")</f>
        <v>0.262</v>
      </c>
      <c r="T18" s="8" t="n">
        <f aca="false">IF(ISNUMBER(P18),PERCENTRANK($P$5:$P$337,P18),"")</f>
        <v>0</v>
      </c>
      <c r="U18" s="9" t="n">
        <f aca="false">IF((IF(ISNUMBER(Q18),Inputs!$B$4,0)+IF(ISNUMBER(R18),Inputs!$B$5,0)+IF(ISNUMBER(S18),Inputs!$B$6,0)+IF(ISNUMBER(T18),Inputs!$B$7,0))=0,"",(IF(ISNUMBER(Q18),Inputs!$B$4*Q18,0)+IF(ISNUMBER(R18),Inputs!$B$5*R18,0)+IF(ISNUMBER(S18),Inputs!$B$6*S18,0)+IF(ISNUMBER(T18),Inputs!$B$7*T18,0))/(IF(ISNUMBER(Q18),Inputs!$B$4,0)+IF(ISNUMBER(R18),Inputs!$B$5,0)+IF(ISNUMBER(S18),Inputs!$B$6,0)+IF(ISNUMBER(T18),Inputs!$B$7,0)))</f>
        <v>0.552</v>
      </c>
      <c r="V18" s="5" t="str">
        <f aca="false">IF(F18&gt;0,"Yes","No")</f>
        <v>Yes</v>
      </c>
      <c r="W18" s="5" t="str">
        <f aca="false">IF(ISNUMBER(N18),IF(N18&gt;=Inputs!$D$18,"Yes","No"),"No price")</f>
        <v>Yes</v>
      </c>
      <c r="X18" s="5" t="str">
        <f aca="false">IF(K18+L18&gt;0,"Yes",IF(M18&gt;0,"No","Unclear"))</f>
        <v>Yes</v>
      </c>
      <c r="Y18" s="5" t="str">
        <f aca="false">INDEX('API Data'!$H$2:$H$152,MATCH(B18,'API Data'!$A$2:$A$152,0))</f>
        <v>No</v>
      </c>
      <c r="Z18" s="5" t="str">
        <f aca="false">IF(COUNTIFS('Product Rows'!$A$2:$A$696,B18,'Product Rows'!$B$2:$B$696,C18,'Product Rows'!$I$2:$I$696,"Yes")&gt;0,"Yes","No")</f>
        <v>Yes</v>
      </c>
      <c r="AA18" s="5" t="str">
        <f aca="false">IF(P18&gt;=Inputs!$D$22,"Yes","No")</f>
        <v>No</v>
      </c>
      <c r="AB18" s="10" t="b">
        <f aca="false">AND(OR(Inputs!$B$17&lt;&gt;"Exclude",V18="Yes"),OR(Inputs!$B$18&lt;&gt;"Exclude",W18&lt;&gt;"No"),OR(Inputs!$B$19&lt;&gt;"Exclude",X18&lt;&gt;"No"),OR(Inputs!$B$20&lt;&gt;"Exclude",Y18="No"),OR(Inputs!$B$21&lt;&gt;"Exclude",Z18="No"),OR(Inputs!$B$22&lt;&gt;"Exclude",AA18="Yes"),ISNUMBER(U18))</f>
        <v>1</v>
      </c>
      <c r="AC18" s="5" t="n">
        <f aca="false">IF(AB18,COUNTIFS($C$5:$C$337,C18,$AB$5:$AB$337,TRUE(),$U$5:$U$337,"&gt;"&amp;U18)+COUNTIFS($C$5:C18,C18,$AB$5:AB18,TRUE(),$U$5:U18,U18),"")</f>
        <v>8</v>
      </c>
      <c r="AD18" s="5" t="str">
        <f aca="false">IF(AC18="","Not eligible",IF(AC18&lt;=Inputs!$B$25,"Lead",IF(AC18&lt;=Inputs!$B$25+Inputs!$B$26,"Next wave","Long list")))</f>
        <v>Next wave</v>
      </c>
      <c r="AE18" s="5" t="str">
        <f aca="false">IF(AND(K18+L18=0,M18&gt;0),"Safety upgrade of existing prefilled syringe",IF(K18+L18+M18=0,"Confirm presentation (not stated in source)",IF(AA18="Yes","Differentiation in crowded generic market","Safety-device mandate compliance")))</f>
        <v>Safety-device mandate compliance</v>
      </c>
      <c r="AF18" s="5" t="str">
        <f aca="false">IF(AC18="","",C18&amp;"|"&amp;AC18)</f>
        <v>Sun Pharma|8</v>
      </c>
    </row>
    <row r="19" customFormat="false" ht="15" hidden="false" customHeight="false" outlineLevel="0" collapsed="false">
      <c r="A19" s="5" t="n">
        <f aca="false">IF(ISNUMBER(U19),RANK(U19,$U$5:$U$337),"")</f>
        <v>297</v>
      </c>
      <c r="B19" s="5" t="s">
        <v>51</v>
      </c>
      <c r="C19" s="5" t="s">
        <v>44</v>
      </c>
      <c r="D19" s="5" t="str">
        <f aca="false">INDEX('API Data'!$B$2:$B$152,MATCH(B19,'API Data'!$A$2:$A$152,0))</f>
        <v>Anaesthesia – muscle relaxant for intubation &amp; surgery</v>
      </c>
      <c r="E19" s="5" t="n">
        <f aca="false">COUNTIFS('Market Listing'!$A$2:$A$4054,B19,'Market Listing'!$B$2:$B$4054,C19)</f>
        <v>21</v>
      </c>
      <c r="F19" s="5" t="n">
        <f aca="false">COUNTIFS('Market Listing'!$A$2:$A$4054,B19,'Market Listing'!$B$2:$B$4054,C19,'Market Listing'!$D$2:$D$4054,"Tier 1")</f>
        <v>5</v>
      </c>
      <c r="G19" s="5" t="n">
        <f aca="false">COUNTIFS('Market Listing'!$A$2:$A$4054,B19,'Market Listing'!$B$2:$B$4054,C19,'Market Listing'!$D$2:$D$4054,"Tier 2")</f>
        <v>3</v>
      </c>
      <c r="H19" s="5" t="n">
        <f aca="false">COUNTIFS('Market Listing'!$A$2:$A$4054,B19,'Market Listing'!$B$2:$B$4054,C19,'Market Listing'!$D$2:$D$4054,"Tier 3")</f>
        <v>13</v>
      </c>
      <c r="I19" s="5" t="n">
        <f aca="false">SUMIFS('Market Listing'!$E$2:$E$4054,'Market Listing'!$A$2:$A$4054,B19,'Market Listing'!$B$2:$B$4054,C19)</f>
        <v>34</v>
      </c>
      <c r="J19" s="5" t="n">
        <f aca="false">COUNTIFS('Product Rows'!$A$2:$A$696,B19,'Product Rows'!$B$2:$B$696,C19)</f>
        <v>1</v>
      </c>
      <c r="K19" s="5" t="n">
        <f aca="false">COUNTIFS('Product Rows'!$A$2:$A$696,B19,'Product Rows'!$B$2:$B$696,C19,'Product Rows'!$G$2:$G$696,"Vial")</f>
        <v>0</v>
      </c>
      <c r="L19" s="5" t="n">
        <f aca="false">COUNTIFS('Product Rows'!$A$2:$A$696,B19,'Product Rows'!$B$2:$B$696,C19,'Product Rows'!$G$2:$G$696,"Ampoule")</f>
        <v>0</v>
      </c>
      <c r="M19" s="5" t="n">
        <f aca="false">COUNTIFS('Product Rows'!$A$2:$A$696,B19,'Product Rows'!$B$2:$B$696,C19,'Product Rows'!$G$2:$G$696,"Prefilled syringe/pen")</f>
        <v>0</v>
      </c>
      <c r="N19" s="6" t="n">
        <f aca="false">IFERROR(AVERAGEIFS('Product Rows'!$H$2:$H$696,'Product Rows'!$A$2:$A$696,B19,'Product Rows'!$B$2:$B$696,C19),"")</f>
        <v>5.4805</v>
      </c>
      <c r="O19" s="7" t="n">
        <f aca="false">INDEX('API Data'!$E$2:$E$152,MATCH(B19,'API Data'!$A$2:$A$152,0))</f>
        <v>3257.58</v>
      </c>
      <c r="P19" s="5" t="n">
        <f aca="false">COUNTIF($B$5:$B$337,B19)</f>
        <v>1</v>
      </c>
      <c r="Q19" s="8" t="n">
        <f aca="false">IF(ISNUMBER(I19),PERCENTRANK($I$5:$I$337,I19),"")</f>
        <v>0.648</v>
      </c>
      <c r="R19" s="8" t="n">
        <f aca="false">IF(ISNUMBER(N19),PERCENTRANK($N$5:$N$337,N19),"")</f>
        <v>0.0251</v>
      </c>
      <c r="S19" s="8" t="n">
        <f aca="false">IF(ISNUMBER(O19),PERCENTRANK($O$5:$O$337,O19),"")</f>
        <v>0.434</v>
      </c>
      <c r="T19" s="8" t="n">
        <f aca="false">IF(ISNUMBER(P19),PERCENTRANK($P$5:$P$337,P19),"")</f>
        <v>0</v>
      </c>
      <c r="U19" s="9" t="n">
        <f aca="false">IF((IF(ISNUMBER(Q19),Inputs!$B$4,0)+IF(ISNUMBER(R19),Inputs!$B$5,0)+IF(ISNUMBER(S19),Inputs!$B$6,0)+IF(ISNUMBER(T19),Inputs!$B$7,0))=0,"",(IF(ISNUMBER(Q19),Inputs!$B$4*Q19,0)+IF(ISNUMBER(R19),Inputs!$B$5*R19,0)+IF(ISNUMBER(S19),Inputs!$B$6*S19,0)+IF(ISNUMBER(T19),Inputs!$B$7*T19,0))/(IF(ISNUMBER(Q19),Inputs!$B$4,0)+IF(ISNUMBER(R19),Inputs!$B$5,0)+IF(ISNUMBER(S19),Inputs!$B$6,0)+IF(ISNUMBER(T19),Inputs!$B$7,0)))</f>
        <v>0.22955</v>
      </c>
      <c r="V19" s="5" t="str">
        <f aca="false">IF(F19&gt;0,"Yes","No")</f>
        <v>Yes</v>
      </c>
      <c r="W19" s="5" t="str">
        <f aca="false">IF(ISNUMBER(N19),IF(N19&gt;=Inputs!$D$18,"Yes","No"),"No price")</f>
        <v>Yes</v>
      </c>
      <c r="X19" s="5" t="str">
        <f aca="false">IF(K19+L19&gt;0,"Yes",IF(M19&gt;0,"No","Unclear"))</f>
        <v>Unclear</v>
      </c>
      <c r="Y19" s="5" t="str">
        <f aca="false">INDEX('API Data'!$H$2:$H$152,MATCH(B19,'API Data'!$A$2:$A$152,0))</f>
        <v>No</v>
      </c>
      <c r="Z19" s="5" t="str">
        <f aca="false">IF(COUNTIFS('Product Rows'!$A$2:$A$696,B19,'Product Rows'!$B$2:$B$696,C19,'Product Rows'!$I$2:$I$696,"Yes")&gt;0,"Yes","No")</f>
        <v>No</v>
      </c>
      <c r="AA19" s="5" t="str">
        <f aca="false">IF(P19&gt;=Inputs!$D$22,"Yes","No")</f>
        <v>No</v>
      </c>
      <c r="AB19" s="10" t="b">
        <f aca="false">AND(OR(Inputs!$B$17&lt;&gt;"Exclude",V19="Yes"),OR(Inputs!$B$18&lt;&gt;"Exclude",W19&lt;&gt;"No"),OR(Inputs!$B$19&lt;&gt;"Exclude",X19&lt;&gt;"No"),OR(Inputs!$B$20&lt;&gt;"Exclude",Y19="No"),OR(Inputs!$B$21&lt;&gt;"Exclude",Z19="No"),OR(Inputs!$B$22&lt;&gt;"Exclude",AA19="Yes"),ISNUMBER(U19))</f>
        <v>1</v>
      </c>
      <c r="AC19" s="5" t="n">
        <f aca="false">IF(AB19,COUNTIFS($C$5:$C$337,C19,$AB$5:$AB$337,TRUE(),$U$5:$U$337,"&gt;"&amp;U19)+COUNTIFS($C$5:C19,C19,$AB$5:AB19,TRUE(),$U$5:U19,U19),"")</f>
        <v>49</v>
      </c>
      <c r="AD19" s="5" t="str">
        <f aca="false">IF(AC19="","Not eligible",IF(AC19&lt;=Inputs!$B$25,"Lead",IF(AC19&lt;=Inputs!$B$25+Inputs!$B$26,"Next wave","Long list")))</f>
        <v>Long list</v>
      </c>
      <c r="AE19" s="5" t="str">
        <f aca="false">IF(AND(K19+L19=0,M19&gt;0),"Safety upgrade of existing prefilled syringe",IF(K19+L19+M19=0,"Confirm presentation (not stated in source)",IF(AA19="Yes","Differentiation in crowded generic market","Safety-device mandate compliance")))</f>
        <v>Confirm presentation (not stated in source)</v>
      </c>
      <c r="AF19" s="5" t="str">
        <f aca="false">IF(AC19="","",C19&amp;"|"&amp;AC19)</f>
        <v>Intas Pharmaceuticals|49</v>
      </c>
    </row>
    <row r="20" customFormat="false" ht="15" hidden="false" customHeight="false" outlineLevel="0" collapsed="false">
      <c r="A20" s="5" t="n">
        <f aca="false">IF(ISNUMBER(U20),RANK(U20,$U$5:$U$337),"")</f>
        <v>177</v>
      </c>
      <c r="B20" s="5" t="s">
        <v>52</v>
      </c>
      <c r="C20" s="5" t="s">
        <v>44</v>
      </c>
      <c r="D20" s="5" t="str">
        <f aca="false">INDEX('API Data'!$B$2:$B$152,MATCH(B20,'API Data'!$A$2:$A$152,0))</f>
        <v>Critical care – bradycardia, pre-anaesthetic, organophosphate poisoning</v>
      </c>
      <c r="E20" s="5" t="n">
        <f aca="false">COUNTIFS('Market Listing'!$A$2:$A$4054,B20,'Market Listing'!$B$2:$B$4054,C20)</f>
        <v>21</v>
      </c>
      <c r="F20" s="5" t="n">
        <f aca="false">COUNTIFS('Market Listing'!$A$2:$A$4054,B20,'Market Listing'!$B$2:$B$4054,C20,'Market Listing'!$D$2:$D$4054,"Tier 1")</f>
        <v>7</v>
      </c>
      <c r="G20" s="5" t="n">
        <f aca="false">COUNTIFS('Market Listing'!$A$2:$A$4054,B20,'Market Listing'!$B$2:$B$4054,C20,'Market Listing'!$D$2:$D$4054,"Tier 2")</f>
        <v>2</v>
      </c>
      <c r="H20" s="5" t="n">
        <f aca="false">COUNTIFS('Market Listing'!$A$2:$A$4054,B20,'Market Listing'!$B$2:$B$4054,C20,'Market Listing'!$D$2:$D$4054,"Tier 3")</f>
        <v>12</v>
      </c>
      <c r="I20" s="5" t="n">
        <f aca="false">SUMIFS('Market Listing'!$E$2:$E$4054,'Market Listing'!$A$2:$A$4054,B20,'Market Listing'!$B$2:$B$4054,C20)</f>
        <v>37</v>
      </c>
      <c r="J20" s="5" t="n">
        <f aca="false">COUNTIFS('Product Rows'!$A$2:$A$696,B20,'Product Rows'!$B$2:$B$696,C20)</f>
        <v>8</v>
      </c>
      <c r="K20" s="5" t="n">
        <f aca="false">COUNTIFS('Product Rows'!$A$2:$A$696,B20,'Product Rows'!$B$2:$B$696,C20,'Product Rows'!$G$2:$G$696,"Vial")</f>
        <v>2</v>
      </c>
      <c r="L20" s="5" t="n">
        <f aca="false">COUNTIFS('Product Rows'!$A$2:$A$696,B20,'Product Rows'!$B$2:$B$696,C20,'Product Rows'!$G$2:$G$696,"Ampoule")</f>
        <v>0</v>
      </c>
      <c r="M20" s="5" t="n">
        <f aca="false">COUNTIFS('Product Rows'!$A$2:$A$696,B20,'Product Rows'!$B$2:$B$696,C20,'Product Rows'!$G$2:$G$696,"Prefilled syringe/pen")</f>
        <v>6</v>
      </c>
      <c r="N20" s="6" t="n">
        <f aca="false">IFERROR(AVERAGEIFS('Product Rows'!$H$2:$H$696,'Product Rows'!$A$2:$A$696,B20,'Product Rows'!$B$2:$B$696,C20),"")</f>
        <v>16.4846</v>
      </c>
      <c r="O20" s="7" t="n">
        <f aca="false">INDEX('API Data'!$E$2:$E$152,MATCH(B20,'API Data'!$A$2:$A$152,0))</f>
        <v>6526.60450568254</v>
      </c>
      <c r="P20" s="5" t="n">
        <f aca="false">COUNTIF($B$5:$B$337,B20)</f>
        <v>1</v>
      </c>
      <c r="Q20" s="8" t="n">
        <f aca="false">IF(ISNUMBER(I20),PERCENTRANK($I$5:$I$337,I20),"")</f>
        <v>0.663</v>
      </c>
      <c r="R20" s="8" t="n">
        <f aca="false">IF(ISNUMBER(N20),PERCENTRANK($N$5:$N$337,N20),"")</f>
        <v>0.319</v>
      </c>
      <c r="S20" s="8" t="n">
        <f aca="false">IF(ISNUMBER(O20),PERCENTRANK($O$5:$O$337,O20),"")</f>
        <v>0.605</v>
      </c>
      <c r="T20" s="8" t="n">
        <f aca="false">IF(ISNUMBER(P20),PERCENTRANK($P$5:$P$337,P20),"")</f>
        <v>0</v>
      </c>
      <c r="U20" s="9" t="n">
        <f aca="false">IF((IF(ISNUMBER(Q20),Inputs!$B$4,0)+IF(ISNUMBER(R20),Inputs!$B$5,0)+IF(ISNUMBER(S20),Inputs!$B$6,0)+IF(ISNUMBER(T20),Inputs!$B$7,0))=0,"",(IF(ISNUMBER(Q20),Inputs!$B$4*Q20,0)+IF(ISNUMBER(R20),Inputs!$B$5*R20,0)+IF(ISNUMBER(S20),Inputs!$B$6*S20,0)+IF(ISNUMBER(T20),Inputs!$B$7*T20,0))/(IF(ISNUMBER(Q20),Inputs!$B$4,0)+IF(ISNUMBER(R20),Inputs!$B$5,0)+IF(ISNUMBER(S20),Inputs!$B$6,0)+IF(ISNUMBER(T20),Inputs!$B$7,0)))</f>
        <v>0.462</v>
      </c>
      <c r="V20" s="5" t="str">
        <f aca="false">IF(F20&gt;0,"Yes","No")</f>
        <v>Yes</v>
      </c>
      <c r="W20" s="5" t="str">
        <f aca="false">IF(ISNUMBER(N20),IF(N20&gt;=Inputs!$D$18,"Yes","No"),"No price")</f>
        <v>Yes</v>
      </c>
      <c r="X20" s="5" t="str">
        <f aca="false">IF(K20+L20&gt;0,"Yes",IF(M20&gt;0,"No","Unclear"))</f>
        <v>Yes</v>
      </c>
      <c r="Y20" s="5" t="str">
        <f aca="false">INDEX('API Data'!$H$2:$H$152,MATCH(B20,'API Data'!$A$2:$A$152,0))</f>
        <v>No</v>
      </c>
      <c r="Z20" s="5" t="str">
        <f aca="false">IF(COUNTIFS('Product Rows'!$A$2:$A$696,B20,'Product Rows'!$B$2:$B$696,C20,'Product Rows'!$I$2:$I$696,"Yes")&gt;0,"Yes","No")</f>
        <v>No</v>
      </c>
      <c r="AA20" s="5" t="str">
        <f aca="false">IF(P20&gt;=Inputs!$D$22,"Yes","No")</f>
        <v>No</v>
      </c>
      <c r="AB20" s="10" t="b">
        <f aca="false">AND(OR(Inputs!$B$17&lt;&gt;"Exclude",V20="Yes"),OR(Inputs!$B$18&lt;&gt;"Exclude",W20&lt;&gt;"No"),OR(Inputs!$B$19&lt;&gt;"Exclude",X20&lt;&gt;"No"),OR(Inputs!$B$20&lt;&gt;"Exclude",Y20="No"),OR(Inputs!$B$21&lt;&gt;"Exclude",Z20="No"),OR(Inputs!$B$22&lt;&gt;"Exclude",AA20="Yes"),ISNUMBER(U20))</f>
        <v>1</v>
      </c>
      <c r="AC20" s="5" t="n">
        <f aca="false">IF(AB20,COUNTIFS($C$5:$C$337,C20,$AB$5:$AB$337,TRUE(),$U$5:$U$337,"&gt;"&amp;U20)+COUNTIFS($C$5:C20,C20,$AB$5:AB20,TRUE(),$U$5:U20,U20),"")</f>
        <v>32</v>
      </c>
      <c r="AD20" s="5" t="str">
        <f aca="false">IF(AC20="","Not eligible",IF(AC20&lt;=Inputs!$B$25,"Lead",IF(AC20&lt;=Inputs!$B$25+Inputs!$B$26,"Next wave","Long list")))</f>
        <v>Long list</v>
      </c>
      <c r="AE20" s="5" t="str">
        <f aca="false">IF(AND(K20+L20=0,M20&gt;0),"Safety upgrade of existing prefilled syringe",IF(K20+L20+M20=0,"Confirm presentation (not stated in source)",IF(AA20="Yes","Differentiation in crowded generic market","Safety-device mandate compliance")))</f>
        <v>Safety-device mandate compliance</v>
      </c>
      <c r="AF20" s="5" t="str">
        <f aca="false">IF(AC20="","",C20&amp;"|"&amp;AC20)</f>
        <v>Intas Pharmaceuticals|32</v>
      </c>
    </row>
    <row r="21" customFormat="false" ht="15" hidden="false" customHeight="false" outlineLevel="0" collapsed="false">
      <c r="A21" s="5" t="n">
        <f aca="false">IF(ISNUMBER(U21),RANK(U21,$U$5:$U$337),"")</f>
        <v>10</v>
      </c>
      <c r="B21" s="5" t="s">
        <v>53</v>
      </c>
      <c r="C21" s="5" t="s">
        <v>47</v>
      </c>
      <c r="D21" s="5" t="str">
        <f aca="false">INDEX('API Data'!$B$2:$B$152,MATCH(B21,'API Data'!$A$2:$A$152,0))</f>
        <v>Oncology – myelodysplastic syndromes (MDS) &amp; AML</v>
      </c>
      <c r="E21" s="5" t="n">
        <f aca="false">COUNTIFS('Market Listing'!$A$2:$A$4054,B21,'Market Listing'!$B$2:$B$4054,C21)</f>
        <v>32</v>
      </c>
      <c r="F21" s="5" t="n">
        <f aca="false">COUNTIFS('Market Listing'!$A$2:$A$4054,B21,'Market Listing'!$B$2:$B$4054,C21,'Market Listing'!$D$2:$D$4054,"Tier 1")</f>
        <v>6</v>
      </c>
      <c r="G21" s="5" t="n">
        <f aca="false">COUNTIFS('Market Listing'!$A$2:$A$4054,B21,'Market Listing'!$B$2:$B$4054,C21,'Market Listing'!$D$2:$D$4054,"Tier 2")</f>
        <v>4</v>
      </c>
      <c r="H21" s="5" t="n">
        <f aca="false">COUNTIFS('Market Listing'!$A$2:$A$4054,B21,'Market Listing'!$B$2:$B$4054,C21,'Market Listing'!$D$2:$D$4054,"Tier 3")</f>
        <v>22</v>
      </c>
      <c r="I21" s="5" t="n">
        <f aca="false">SUMIFS('Market Listing'!$E$2:$E$4054,'Market Listing'!$A$2:$A$4054,B21,'Market Listing'!$B$2:$B$4054,C21)</f>
        <v>48</v>
      </c>
      <c r="J21" s="5" t="n">
        <f aca="false">COUNTIFS('Product Rows'!$A$2:$A$696,B21,'Product Rows'!$B$2:$B$696,C21)</f>
        <v>3</v>
      </c>
      <c r="K21" s="5" t="n">
        <f aca="false">COUNTIFS('Product Rows'!$A$2:$A$696,B21,'Product Rows'!$B$2:$B$696,C21,'Product Rows'!$G$2:$G$696,"Vial")</f>
        <v>3</v>
      </c>
      <c r="L21" s="5" t="n">
        <f aca="false">COUNTIFS('Product Rows'!$A$2:$A$696,B21,'Product Rows'!$B$2:$B$696,C21,'Product Rows'!$G$2:$G$696,"Ampoule")</f>
        <v>0</v>
      </c>
      <c r="M21" s="5" t="n">
        <f aca="false">COUNTIFS('Product Rows'!$A$2:$A$696,B21,'Product Rows'!$B$2:$B$696,C21,'Product Rows'!$G$2:$G$696,"Prefilled syringe/pen")</f>
        <v>0</v>
      </c>
      <c r="N21" s="6" t="n">
        <f aca="false">IFERROR(AVERAGEIFS('Product Rows'!$H$2:$H$696,'Product Rows'!$A$2:$A$696,B21,'Product Rows'!$B$2:$B$696,C21),"")</f>
        <v>256.124</v>
      </c>
      <c r="O21" s="7" t="n">
        <f aca="false">INDEX('API Data'!$E$2:$E$152,MATCH(B21,'API Data'!$A$2:$A$152,0))</f>
        <v>42181.730172451</v>
      </c>
      <c r="P21" s="5" t="n">
        <f aca="false">COUNTIF($B$5:$B$337,B21)</f>
        <v>7</v>
      </c>
      <c r="Q21" s="8" t="n">
        <f aca="false">IF(ISNUMBER(I21),PERCENTRANK($I$5:$I$337,I21),"")</f>
        <v>0.916</v>
      </c>
      <c r="R21" s="8" t="n">
        <f aca="false">IF(ISNUMBER(N21),PERCENTRANK($N$5:$N$337,N21),"")</f>
        <v>0.864</v>
      </c>
      <c r="S21" s="8" t="n">
        <f aca="false">IF(ISNUMBER(O21),PERCENTRANK($O$5:$O$337,O21),"")</f>
        <v>0.898</v>
      </c>
      <c r="T21" s="8" t="n">
        <f aca="false">IF(ISNUMBER(P21),PERCENTRANK($P$5:$P$337,P21),"")</f>
        <v>0.822</v>
      </c>
      <c r="U21" s="9" t="n">
        <f aca="false">IF((IF(ISNUMBER(Q21),Inputs!$B$4,0)+IF(ISNUMBER(R21),Inputs!$B$5,0)+IF(ISNUMBER(S21),Inputs!$B$6,0)+IF(ISNUMBER(T21),Inputs!$B$7,0))=0,"",(IF(ISNUMBER(Q21),Inputs!$B$4*Q21,0)+IF(ISNUMBER(R21),Inputs!$B$5*R21,0)+IF(ISNUMBER(S21),Inputs!$B$6*S21,0)+IF(ISNUMBER(T21),Inputs!$B$7*T21,0))/(IF(ISNUMBER(Q21),Inputs!$B$4,0)+IF(ISNUMBER(R21),Inputs!$B$5,0)+IF(ISNUMBER(S21),Inputs!$B$6,0)+IF(ISNUMBER(T21),Inputs!$B$7,0)))</f>
        <v>0.881</v>
      </c>
      <c r="V21" s="5" t="str">
        <f aca="false">IF(F21&gt;0,"Yes","No")</f>
        <v>Yes</v>
      </c>
      <c r="W21" s="5" t="str">
        <f aca="false">IF(ISNUMBER(N21),IF(N21&gt;=Inputs!$D$18,"Yes","No"),"No price")</f>
        <v>Yes</v>
      </c>
      <c r="X21" s="5" t="str">
        <f aca="false">IF(K21+L21&gt;0,"Yes",IF(M21&gt;0,"No","Unclear"))</f>
        <v>Yes</v>
      </c>
      <c r="Y21" s="5" t="str">
        <f aca="false">INDEX('API Data'!$H$2:$H$152,MATCH(B21,'API Data'!$A$2:$A$152,0))</f>
        <v>Yes</v>
      </c>
      <c r="Z21" s="5" t="str">
        <f aca="false">IF(COUNTIFS('Product Rows'!$A$2:$A$696,B21,'Product Rows'!$B$2:$B$696,C21,'Product Rows'!$I$2:$I$696,"Yes")&gt;0,"Yes","No")</f>
        <v>Yes</v>
      </c>
      <c r="AA21" s="5" t="str">
        <f aca="false">IF(P21&gt;=Inputs!$D$22,"Yes","No")</f>
        <v>Yes</v>
      </c>
      <c r="AB21" s="10" t="b">
        <f aca="false">AND(OR(Inputs!$B$17&lt;&gt;"Exclude",V21="Yes"),OR(Inputs!$B$18&lt;&gt;"Exclude",W21&lt;&gt;"No"),OR(Inputs!$B$19&lt;&gt;"Exclude",X21&lt;&gt;"No"),OR(Inputs!$B$20&lt;&gt;"Exclude",Y21="No"),OR(Inputs!$B$21&lt;&gt;"Exclude",Z21="No"),OR(Inputs!$B$22&lt;&gt;"Exclude",AA21="Yes"),ISNUMBER(U21))</f>
        <v>1</v>
      </c>
      <c r="AC21" s="5" t="n">
        <f aca="false">IF(AB21,COUNTIFS($C$5:$C$337,C21,$AB$5:$AB$337,TRUE(),$U$5:$U$337,"&gt;"&amp;U21)+COUNTIFS($C$5:C21,C21,$AB$5:AB21,TRUE(),$U$5:U21,U21),"")</f>
        <v>1</v>
      </c>
      <c r="AD21" s="5" t="str">
        <f aca="false">IF(AC21="","Not eligible",IF(AC21&lt;=Inputs!$B$25,"Lead",IF(AC21&lt;=Inputs!$B$25+Inputs!$B$26,"Next wave","Long list")))</f>
        <v>Lead</v>
      </c>
      <c r="AE21" s="5" t="str">
        <f aca="false">IF(AND(K21+L21=0,M21&gt;0),"Safety upgrade of existing prefilled syringe",IF(K21+L21+M21=0,"Confirm presentation (not stated in source)",IF(AA21="Yes","Differentiation in crowded generic market","Safety-device mandate compliance")))</f>
        <v>Differentiation in crowded generic market</v>
      </c>
      <c r="AF21" s="5" t="str">
        <f aca="false">IF(AC21="","",C21&amp;"|"&amp;AC21)</f>
        <v>Aurobindo Pharma|1</v>
      </c>
    </row>
    <row r="22" customFormat="false" ht="15" hidden="false" customHeight="false" outlineLevel="0" collapsed="false">
      <c r="A22" s="5" t="n">
        <f aca="false">IF(ISNUMBER(U22),RANK(U22,$U$5:$U$337),"")</f>
        <v>122</v>
      </c>
      <c r="B22" s="5" t="s">
        <v>53</v>
      </c>
      <c r="C22" s="5" t="s">
        <v>54</v>
      </c>
      <c r="D22" s="5" t="str">
        <f aca="false">INDEX('API Data'!$B$2:$B$152,MATCH(B22,'API Data'!$A$2:$A$152,0))</f>
        <v>Oncology – myelodysplastic syndromes (MDS) &amp; AML</v>
      </c>
      <c r="E22" s="5" t="n">
        <f aca="false">COUNTIFS('Market Listing'!$A$2:$A$4054,B22,'Market Listing'!$B$2:$B$4054,C22)</f>
        <v>1</v>
      </c>
      <c r="F22" s="5" t="n">
        <f aca="false">COUNTIFS('Market Listing'!$A$2:$A$4054,B22,'Market Listing'!$B$2:$B$4054,C22,'Market Listing'!$D$2:$D$4054,"Tier 1")</f>
        <v>0</v>
      </c>
      <c r="G22" s="5" t="n">
        <f aca="false">COUNTIFS('Market Listing'!$A$2:$A$4054,B22,'Market Listing'!$B$2:$B$4054,C22,'Market Listing'!$D$2:$D$4054,"Tier 2")</f>
        <v>1</v>
      </c>
      <c r="H22" s="5" t="n">
        <f aca="false">COUNTIFS('Market Listing'!$A$2:$A$4054,B22,'Market Listing'!$B$2:$B$4054,C22,'Market Listing'!$D$2:$D$4054,"Tier 3")</f>
        <v>0</v>
      </c>
      <c r="I22" s="5" t="n">
        <f aca="false">SUMIFS('Market Listing'!$E$2:$E$4054,'Market Listing'!$A$2:$A$4054,B22,'Market Listing'!$B$2:$B$4054,C22)</f>
        <v>2</v>
      </c>
      <c r="J22" s="5" t="n">
        <f aca="false">COUNTIFS('Product Rows'!$A$2:$A$696,B22,'Product Rows'!$B$2:$B$696,C22)</f>
        <v>1</v>
      </c>
      <c r="K22" s="5" t="n">
        <f aca="false">COUNTIFS('Product Rows'!$A$2:$A$696,B22,'Product Rows'!$B$2:$B$696,C22,'Product Rows'!$G$2:$G$696,"Vial")</f>
        <v>1</v>
      </c>
      <c r="L22" s="5" t="n">
        <f aca="false">COUNTIFS('Product Rows'!$A$2:$A$696,B22,'Product Rows'!$B$2:$B$696,C22,'Product Rows'!$G$2:$G$696,"Ampoule")</f>
        <v>0</v>
      </c>
      <c r="M22" s="5" t="n">
        <f aca="false">COUNTIFS('Product Rows'!$A$2:$A$696,B22,'Product Rows'!$B$2:$B$696,C22,'Product Rows'!$G$2:$G$696,"Prefilled syringe/pen")</f>
        <v>0</v>
      </c>
      <c r="N22" s="6" t="n">
        <f aca="false">IFERROR(AVERAGEIFS('Product Rows'!$H$2:$H$696,'Product Rows'!$A$2:$A$696,B22,'Product Rows'!$B$2:$B$696,C22),"")</f>
        <v>10.241</v>
      </c>
      <c r="O22" s="7" t="n">
        <f aca="false">INDEX('API Data'!$E$2:$E$152,MATCH(B22,'API Data'!$A$2:$A$152,0))</f>
        <v>42181.730172451</v>
      </c>
      <c r="P22" s="5" t="n">
        <f aca="false">COUNTIF($B$5:$B$337,B22)</f>
        <v>7</v>
      </c>
      <c r="Q22" s="8" t="n">
        <f aca="false">IF(ISNUMBER(I22),PERCENTRANK($I$5:$I$337,I22),"")</f>
        <v>0</v>
      </c>
      <c r="R22" s="8" t="n">
        <f aca="false">IF(ISNUMBER(N22),PERCENTRANK($N$5:$N$337,N22),"")</f>
        <v>0.215</v>
      </c>
      <c r="S22" s="8" t="n">
        <f aca="false">IF(ISNUMBER(O22),PERCENTRANK($O$5:$O$337,O22),"")</f>
        <v>0.898</v>
      </c>
      <c r="T22" s="8" t="n">
        <f aca="false">IF(ISNUMBER(P22),PERCENTRANK($P$5:$P$337,P22),"")</f>
        <v>0.822</v>
      </c>
      <c r="U22" s="9" t="n">
        <f aca="false">IF((IF(ISNUMBER(Q22),Inputs!$B$4,0)+IF(ISNUMBER(R22),Inputs!$B$5,0)+IF(ISNUMBER(S22),Inputs!$B$6,0)+IF(ISNUMBER(T22),Inputs!$B$7,0))=0,"",(IF(ISNUMBER(Q22),Inputs!$B$4*Q22,0)+IF(ISNUMBER(R22),Inputs!$B$5*R22,0)+IF(ISNUMBER(S22),Inputs!$B$6*S22,0)+IF(ISNUMBER(T22),Inputs!$B$7*T22,0))/(IF(ISNUMBER(Q22),Inputs!$B$4,0)+IF(ISNUMBER(R22),Inputs!$B$5,0)+IF(ISNUMBER(S22),Inputs!$B$6,0)+IF(ISNUMBER(T22),Inputs!$B$7,0)))</f>
        <v>0.5565</v>
      </c>
      <c r="V22" s="5" t="str">
        <f aca="false">IF(F22&gt;0,"Yes","No")</f>
        <v>No</v>
      </c>
      <c r="W22" s="5" t="str">
        <f aca="false">IF(ISNUMBER(N22),IF(N22&gt;=Inputs!$D$18,"Yes","No"),"No price")</f>
        <v>Yes</v>
      </c>
      <c r="X22" s="5" t="str">
        <f aca="false">IF(K22+L22&gt;0,"Yes",IF(M22&gt;0,"No","Unclear"))</f>
        <v>Yes</v>
      </c>
      <c r="Y22" s="5" t="str">
        <f aca="false">INDEX('API Data'!$H$2:$H$152,MATCH(B22,'API Data'!$A$2:$A$152,0))</f>
        <v>Yes</v>
      </c>
      <c r="Z22" s="5" t="str">
        <f aca="false">IF(COUNTIFS('Product Rows'!$A$2:$A$696,B22,'Product Rows'!$B$2:$B$696,C22,'Product Rows'!$I$2:$I$696,"Yes")&gt;0,"Yes","No")</f>
        <v>Yes</v>
      </c>
      <c r="AA22" s="5" t="str">
        <f aca="false">IF(P22&gt;=Inputs!$D$22,"Yes","No")</f>
        <v>Yes</v>
      </c>
      <c r="AB22" s="10" t="b">
        <f aca="false">AND(OR(Inputs!$B$17&lt;&gt;"Exclude",V22="Yes"),OR(Inputs!$B$18&lt;&gt;"Exclude",W22&lt;&gt;"No"),OR(Inputs!$B$19&lt;&gt;"Exclude",X22&lt;&gt;"No"),OR(Inputs!$B$20&lt;&gt;"Exclude",Y22="No"),OR(Inputs!$B$21&lt;&gt;"Exclude",Z22="No"),OR(Inputs!$B$22&lt;&gt;"Exclude",AA22="Yes"),ISNUMBER(U22))</f>
        <v>0</v>
      </c>
      <c r="AC22" s="5" t="str">
        <f aca="false">IF(AB22,COUNTIFS($C$5:$C$337,C22,$AB$5:$AB$337,TRUE(),$U$5:$U$337,"&gt;"&amp;U22)+COUNTIFS($C$5:C22,C22,$AB$5:AB22,TRUE(),$U$5:U22,U22),"")</f>
        <v/>
      </c>
      <c r="AD22" s="5" t="str">
        <f aca="false">IF(AC22="","Not eligible",IF(AC22&lt;=Inputs!$B$25,"Lead",IF(AC22&lt;=Inputs!$B$25+Inputs!$B$26,"Next wave","Long list")))</f>
        <v>Not eligible</v>
      </c>
      <c r="AE22" s="5" t="str">
        <f aca="false">IF(AND(K22+L22=0,M22&gt;0),"Safety upgrade of existing prefilled syringe",IF(K22+L22+M22=0,"Confirm presentation (not stated in source)",IF(AA22="Yes","Differentiation in crowded generic market","Safety-device mandate compliance")))</f>
        <v>Differentiation in crowded generic market</v>
      </c>
      <c r="AF22" s="5" t="str">
        <f aca="false">IF(AC22="","",C22&amp;"|"&amp;AC22)</f>
        <v/>
      </c>
    </row>
    <row r="23" customFormat="false" ht="15" hidden="false" customHeight="false" outlineLevel="0" collapsed="false">
      <c r="A23" s="5" t="n">
        <f aca="false">IF(ISNUMBER(U23),RANK(U23,$U$5:$U$337),"")</f>
        <v>8</v>
      </c>
      <c r="B23" s="5" t="s">
        <v>53</v>
      </c>
      <c r="C23" s="5" t="s">
        <v>55</v>
      </c>
      <c r="D23" s="5" t="str">
        <f aca="false">INDEX('API Data'!$B$2:$B$152,MATCH(B23,'API Data'!$A$2:$A$152,0))</f>
        <v>Oncology – myelodysplastic syndromes (MDS) &amp; AML</v>
      </c>
      <c r="E23" s="5" t="n">
        <f aca="false">COUNTIFS('Market Listing'!$A$2:$A$4054,B23,'Market Listing'!$B$2:$B$4054,C23)</f>
        <v>34</v>
      </c>
      <c r="F23" s="5" t="n">
        <f aca="false">COUNTIFS('Market Listing'!$A$2:$A$4054,B23,'Market Listing'!$B$2:$B$4054,C23,'Market Listing'!$D$2:$D$4054,"Tier 1")</f>
        <v>7</v>
      </c>
      <c r="G23" s="5" t="n">
        <f aca="false">COUNTIFS('Market Listing'!$A$2:$A$4054,B23,'Market Listing'!$B$2:$B$4054,C23,'Market Listing'!$D$2:$D$4054,"Tier 2")</f>
        <v>5</v>
      </c>
      <c r="H23" s="5" t="n">
        <f aca="false">COUNTIFS('Market Listing'!$A$2:$A$4054,B23,'Market Listing'!$B$2:$B$4054,C23,'Market Listing'!$D$2:$D$4054,"Tier 3")</f>
        <v>22</v>
      </c>
      <c r="I23" s="5" t="n">
        <f aca="false">SUMIFS('Market Listing'!$E$2:$E$4054,'Market Listing'!$A$2:$A$4054,B23,'Market Listing'!$B$2:$B$4054,C23)</f>
        <v>53</v>
      </c>
      <c r="J23" s="5" t="n">
        <f aca="false">COUNTIFS('Product Rows'!$A$2:$A$696,B23,'Product Rows'!$B$2:$B$696,C23)</f>
        <v>5</v>
      </c>
      <c r="K23" s="5" t="n">
        <f aca="false">COUNTIFS('Product Rows'!$A$2:$A$696,B23,'Product Rows'!$B$2:$B$696,C23,'Product Rows'!$G$2:$G$696,"Vial")</f>
        <v>5</v>
      </c>
      <c r="L23" s="5" t="n">
        <f aca="false">COUNTIFS('Product Rows'!$A$2:$A$696,B23,'Product Rows'!$B$2:$B$696,C23,'Product Rows'!$G$2:$G$696,"Ampoule")</f>
        <v>0</v>
      </c>
      <c r="M23" s="5" t="n">
        <f aca="false">COUNTIFS('Product Rows'!$A$2:$A$696,B23,'Product Rows'!$B$2:$B$696,C23,'Product Rows'!$G$2:$G$696,"Prefilled syringe/pen")</f>
        <v>0</v>
      </c>
      <c r="N23" s="6" t="n">
        <f aca="false">IFERROR(AVERAGEIFS('Product Rows'!$H$2:$H$696,'Product Rows'!$A$2:$A$696,B23,'Product Rows'!$B$2:$B$696,C23),"")</f>
        <v>259.2494</v>
      </c>
      <c r="O23" s="7" t="n">
        <f aca="false">INDEX('API Data'!$E$2:$E$152,MATCH(B23,'API Data'!$A$2:$A$152,0))</f>
        <v>42181.730172451</v>
      </c>
      <c r="P23" s="5" t="n">
        <f aca="false">COUNTIF($B$5:$B$337,B23)</f>
        <v>7</v>
      </c>
      <c r="Q23" s="8" t="n">
        <f aca="false">IF(ISNUMBER(I23),PERCENTRANK($I$5:$I$337,I23),"")</f>
        <v>0.988</v>
      </c>
      <c r="R23" s="8" t="n">
        <f aca="false">IF(ISNUMBER(N23),PERCENTRANK($N$5:$N$337,N23),"")</f>
        <v>0.871</v>
      </c>
      <c r="S23" s="8" t="n">
        <f aca="false">IF(ISNUMBER(O23),PERCENTRANK($O$5:$O$337,O23),"")</f>
        <v>0.898</v>
      </c>
      <c r="T23" s="8" t="n">
        <f aca="false">IF(ISNUMBER(P23),PERCENTRANK($P$5:$P$337,P23),"")</f>
        <v>0.822</v>
      </c>
      <c r="U23" s="9" t="n">
        <f aca="false">IF((IF(ISNUMBER(Q23),Inputs!$B$4,0)+IF(ISNUMBER(R23),Inputs!$B$5,0)+IF(ISNUMBER(S23),Inputs!$B$6,0)+IF(ISNUMBER(T23),Inputs!$B$7,0))=0,"",(IF(ISNUMBER(Q23),Inputs!$B$4*Q23,0)+IF(ISNUMBER(R23),Inputs!$B$5*R23,0)+IF(ISNUMBER(S23),Inputs!$B$6*S23,0)+IF(ISNUMBER(T23),Inputs!$B$7*T23,0))/(IF(ISNUMBER(Q23),Inputs!$B$4,0)+IF(ISNUMBER(R23),Inputs!$B$5,0)+IF(ISNUMBER(S23),Inputs!$B$6,0)+IF(ISNUMBER(T23),Inputs!$B$7,0)))</f>
        <v>0.8845</v>
      </c>
      <c r="V23" s="5" t="str">
        <f aca="false">IF(F23&gt;0,"Yes","No")</f>
        <v>Yes</v>
      </c>
      <c r="W23" s="5" t="str">
        <f aca="false">IF(ISNUMBER(N23),IF(N23&gt;=Inputs!$D$18,"Yes","No"),"No price")</f>
        <v>Yes</v>
      </c>
      <c r="X23" s="5" t="str">
        <f aca="false">IF(K23+L23&gt;0,"Yes",IF(M23&gt;0,"No","Unclear"))</f>
        <v>Yes</v>
      </c>
      <c r="Y23" s="5" t="str">
        <f aca="false">INDEX('API Data'!$H$2:$H$152,MATCH(B23,'API Data'!$A$2:$A$152,0))</f>
        <v>Yes</v>
      </c>
      <c r="Z23" s="5" t="str">
        <f aca="false">IF(COUNTIFS('Product Rows'!$A$2:$A$696,B23,'Product Rows'!$B$2:$B$696,C23,'Product Rows'!$I$2:$I$696,"Yes")&gt;0,"Yes","No")</f>
        <v>Yes</v>
      </c>
      <c r="AA23" s="5" t="str">
        <f aca="false">IF(P23&gt;=Inputs!$D$22,"Yes","No")</f>
        <v>Yes</v>
      </c>
      <c r="AB23" s="10" t="b">
        <f aca="false">AND(OR(Inputs!$B$17&lt;&gt;"Exclude",V23="Yes"),OR(Inputs!$B$18&lt;&gt;"Exclude",W23&lt;&gt;"No"),OR(Inputs!$B$19&lt;&gt;"Exclude",X23&lt;&gt;"No"),OR(Inputs!$B$20&lt;&gt;"Exclude",Y23="No"),OR(Inputs!$B$21&lt;&gt;"Exclude",Z23="No"),OR(Inputs!$B$22&lt;&gt;"Exclude",AA23="Yes"),ISNUMBER(U23))</f>
        <v>1</v>
      </c>
      <c r="AC23" s="5" t="n">
        <f aca="false">IF(AB23,COUNTIFS($C$5:$C$337,C23,$AB$5:$AB$337,TRUE(),$U$5:$U$337,"&gt;"&amp;U23)+COUNTIFS($C$5:C23,C23,$AB$5:AB23,TRUE(),$U$5:U23,U23),"")</f>
        <v>1</v>
      </c>
      <c r="AD23" s="5" t="str">
        <f aca="false">IF(AC23="","Not eligible",IF(AC23&lt;=Inputs!$B$25,"Lead",IF(AC23&lt;=Inputs!$B$25+Inputs!$B$26,"Next wave","Long list")))</f>
        <v>Lead</v>
      </c>
      <c r="AE23" s="5" t="str">
        <f aca="false">IF(AND(K23+L23=0,M23&gt;0),"Safety upgrade of existing prefilled syringe",IF(K23+L23+M23=0,"Confirm presentation (not stated in source)",IF(AA23="Yes","Differentiation in crowded generic market","Safety-device mandate compliance")))</f>
        <v>Differentiation in crowded generic market</v>
      </c>
      <c r="AF23" s="5" t="str">
        <f aca="false">IF(AC23="","",C23&amp;"|"&amp;AC23)</f>
        <v>Dr. Reddy's Laboratories|1</v>
      </c>
    </row>
    <row r="24" customFormat="false" ht="15" hidden="false" customHeight="false" outlineLevel="0" collapsed="false">
      <c r="A24" s="5" t="n">
        <f aca="false">IF(ISNUMBER(U24),RANK(U24,$U$5:$U$337),"")</f>
        <v>5</v>
      </c>
      <c r="B24" s="5" t="s">
        <v>53</v>
      </c>
      <c r="C24" s="5" t="s">
        <v>35</v>
      </c>
      <c r="D24" s="5" t="str">
        <f aca="false">INDEX('API Data'!$B$2:$B$152,MATCH(B24,'API Data'!$A$2:$A$152,0))</f>
        <v>Oncology – myelodysplastic syndromes (MDS) &amp; AML</v>
      </c>
      <c r="E24" s="5" t="n">
        <f aca="false">COUNTIFS('Market Listing'!$A$2:$A$4054,B24,'Market Listing'!$B$2:$B$4054,C24)</f>
        <v>31</v>
      </c>
      <c r="F24" s="5" t="n">
        <f aca="false">COUNTIFS('Market Listing'!$A$2:$A$4054,B24,'Market Listing'!$B$2:$B$4054,C24,'Market Listing'!$D$2:$D$4054,"Tier 1")</f>
        <v>6</v>
      </c>
      <c r="G24" s="5" t="n">
        <f aca="false">COUNTIFS('Market Listing'!$A$2:$A$4054,B24,'Market Listing'!$B$2:$B$4054,C24,'Market Listing'!$D$2:$D$4054,"Tier 2")</f>
        <v>3</v>
      </c>
      <c r="H24" s="5" t="n">
        <f aca="false">COUNTIFS('Market Listing'!$A$2:$A$4054,B24,'Market Listing'!$B$2:$B$4054,C24,'Market Listing'!$D$2:$D$4054,"Tier 3")</f>
        <v>22</v>
      </c>
      <c r="I24" s="5" t="n">
        <f aca="false">SUMIFS('Market Listing'!$E$2:$E$4054,'Market Listing'!$A$2:$A$4054,B24,'Market Listing'!$B$2:$B$4054,C24)</f>
        <v>46</v>
      </c>
      <c r="J24" s="5" t="n">
        <f aca="false">COUNTIFS('Product Rows'!$A$2:$A$696,B24,'Product Rows'!$B$2:$B$696,C24)</f>
        <v>2</v>
      </c>
      <c r="K24" s="5" t="n">
        <f aca="false">COUNTIFS('Product Rows'!$A$2:$A$696,B24,'Product Rows'!$B$2:$B$696,C24,'Product Rows'!$G$2:$G$696,"Vial")</f>
        <v>2</v>
      </c>
      <c r="L24" s="5" t="n">
        <f aca="false">COUNTIFS('Product Rows'!$A$2:$A$696,B24,'Product Rows'!$B$2:$B$696,C24,'Product Rows'!$G$2:$G$696,"Ampoule")</f>
        <v>0</v>
      </c>
      <c r="M24" s="5" t="n">
        <f aca="false">COUNTIFS('Product Rows'!$A$2:$A$696,B24,'Product Rows'!$B$2:$B$696,C24,'Product Rows'!$G$2:$G$696,"Prefilled syringe/pen")</f>
        <v>0</v>
      </c>
      <c r="N24" s="6" t="n">
        <f aca="false">IFERROR(AVERAGEIFS('Product Rows'!$H$2:$H$696,'Product Rows'!$A$2:$A$696,B24,'Product Rows'!$B$2:$B$696,C24),"")</f>
        <v>410.8905</v>
      </c>
      <c r="O24" s="7" t="n">
        <f aca="false">INDEX('API Data'!$E$2:$E$152,MATCH(B24,'API Data'!$A$2:$A$152,0))</f>
        <v>42181.730172451</v>
      </c>
      <c r="P24" s="5" t="n">
        <f aca="false">COUNTIF($B$5:$B$337,B24)</f>
        <v>7</v>
      </c>
      <c r="Q24" s="8" t="n">
        <f aca="false">IF(ISNUMBER(I24),PERCENTRANK($I$5:$I$337,I24),"")</f>
        <v>0.846</v>
      </c>
      <c r="R24" s="8" t="n">
        <f aca="false">IF(ISNUMBER(N24),PERCENTRANK($N$5:$N$337,N24),"")</f>
        <v>0.921</v>
      </c>
      <c r="S24" s="8" t="n">
        <f aca="false">IF(ISNUMBER(O24),PERCENTRANK($O$5:$O$337,O24),"")</f>
        <v>0.898</v>
      </c>
      <c r="T24" s="8" t="n">
        <f aca="false">IF(ISNUMBER(P24),PERCENTRANK($P$5:$P$337,P24),"")</f>
        <v>0.822</v>
      </c>
      <c r="U24" s="9" t="n">
        <f aca="false">IF((IF(ISNUMBER(Q24),Inputs!$B$4,0)+IF(ISNUMBER(R24),Inputs!$B$5,0)+IF(ISNUMBER(S24),Inputs!$B$6,0)+IF(ISNUMBER(T24),Inputs!$B$7,0))=0,"",(IF(ISNUMBER(Q24),Inputs!$B$4*Q24,0)+IF(ISNUMBER(R24),Inputs!$B$5*R24,0)+IF(ISNUMBER(S24),Inputs!$B$6*S24,0)+IF(ISNUMBER(T24),Inputs!$B$7*T24,0))/(IF(ISNUMBER(Q24),Inputs!$B$4,0)+IF(ISNUMBER(R24),Inputs!$B$5,0)+IF(ISNUMBER(S24),Inputs!$B$6,0)+IF(ISNUMBER(T24),Inputs!$B$7,0)))</f>
        <v>0.9095</v>
      </c>
      <c r="V24" s="5" t="str">
        <f aca="false">IF(F24&gt;0,"Yes","No")</f>
        <v>Yes</v>
      </c>
      <c r="W24" s="5" t="str">
        <f aca="false">IF(ISNUMBER(N24),IF(N24&gt;=Inputs!$D$18,"Yes","No"),"No price")</f>
        <v>Yes</v>
      </c>
      <c r="X24" s="5" t="str">
        <f aca="false">IF(K24+L24&gt;0,"Yes",IF(M24&gt;0,"No","Unclear"))</f>
        <v>Yes</v>
      </c>
      <c r="Y24" s="5" t="str">
        <f aca="false">INDEX('API Data'!$H$2:$H$152,MATCH(B24,'API Data'!$A$2:$A$152,0))</f>
        <v>Yes</v>
      </c>
      <c r="Z24" s="5" t="str">
        <f aca="false">IF(COUNTIFS('Product Rows'!$A$2:$A$696,B24,'Product Rows'!$B$2:$B$696,C24,'Product Rows'!$I$2:$I$696,"Yes")&gt;0,"Yes","No")</f>
        <v>Yes</v>
      </c>
      <c r="AA24" s="5" t="str">
        <f aca="false">IF(P24&gt;=Inputs!$D$22,"Yes","No")</f>
        <v>Yes</v>
      </c>
      <c r="AB24" s="10" t="b">
        <f aca="false">AND(OR(Inputs!$B$17&lt;&gt;"Exclude",V24="Yes"),OR(Inputs!$B$18&lt;&gt;"Exclude",W24&lt;&gt;"No"),OR(Inputs!$B$19&lt;&gt;"Exclude",X24&lt;&gt;"No"),OR(Inputs!$B$20&lt;&gt;"Exclude",Y24="No"),OR(Inputs!$B$21&lt;&gt;"Exclude",Z24="No"),OR(Inputs!$B$22&lt;&gt;"Exclude",AA24="Yes"),ISNUMBER(U24))</f>
        <v>1</v>
      </c>
      <c r="AC24" s="5" t="n">
        <f aca="false">IF(AB24,COUNTIFS($C$5:$C$337,C24,$AB$5:$AB$337,TRUE(),$U$5:$U$337,"&gt;"&amp;U24)+COUNTIFS($C$5:C24,C24,$AB$5:AB24,TRUE(),$U$5:U24,U24),"")</f>
        <v>1</v>
      </c>
      <c r="AD24" s="5" t="str">
        <f aca="false">IF(AC24="","Not eligible",IF(AC24&lt;=Inputs!$B$25,"Lead",IF(AC24&lt;=Inputs!$B$25+Inputs!$B$26,"Next wave","Long list")))</f>
        <v>Lead</v>
      </c>
      <c r="AE24" s="5" t="str">
        <f aca="false">IF(AND(K24+L24=0,M24&gt;0),"Safety upgrade of existing prefilled syringe",IF(K24+L24+M24=0,"Confirm presentation (not stated in source)",IF(AA24="Yes","Differentiation in crowded generic market","Safety-device mandate compliance")))</f>
        <v>Differentiation in crowded generic market</v>
      </c>
      <c r="AF24" s="5" t="str">
        <f aca="false">IF(AC24="","",C24&amp;"|"&amp;AC24)</f>
        <v>Emcure Pharmaceuticals|1</v>
      </c>
    </row>
    <row r="25" customFormat="false" ht="15" hidden="false" customHeight="false" outlineLevel="0" collapsed="false">
      <c r="A25" s="5" t="n">
        <f aca="false">IF(ISNUMBER(U25),RANK(U25,$U$5:$U$337),"")</f>
        <v>6</v>
      </c>
      <c r="B25" s="5" t="s">
        <v>53</v>
      </c>
      <c r="C25" s="5" t="s">
        <v>56</v>
      </c>
      <c r="D25" s="5" t="str">
        <f aca="false">INDEX('API Data'!$B$2:$B$152,MATCH(B25,'API Data'!$A$2:$A$152,0))</f>
        <v>Oncology – myelodysplastic syndromes (MDS) &amp; AML</v>
      </c>
      <c r="E25" s="5" t="n">
        <f aca="false">COUNTIFS('Market Listing'!$A$2:$A$4054,B25,'Market Listing'!$B$2:$B$4054,C25)</f>
        <v>30</v>
      </c>
      <c r="F25" s="5" t="n">
        <f aca="false">COUNTIFS('Market Listing'!$A$2:$A$4054,B25,'Market Listing'!$B$2:$B$4054,C25,'Market Listing'!$D$2:$D$4054,"Tier 1")</f>
        <v>5</v>
      </c>
      <c r="G25" s="5" t="n">
        <f aca="false">COUNTIFS('Market Listing'!$A$2:$A$4054,B25,'Market Listing'!$B$2:$B$4054,C25,'Market Listing'!$D$2:$D$4054,"Tier 2")</f>
        <v>3</v>
      </c>
      <c r="H25" s="5" t="n">
        <f aca="false">COUNTIFS('Market Listing'!$A$2:$A$4054,B25,'Market Listing'!$B$2:$B$4054,C25,'Market Listing'!$D$2:$D$4054,"Tier 3")</f>
        <v>22</v>
      </c>
      <c r="I25" s="5" t="n">
        <f aca="false">SUMIFS('Market Listing'!$E$2:$E$4054,'Market Listing'!$A$2:$A$4054,B25,'Market Listing'!$B$2:$B$4054,C25)</f>
        <v>43</v>
      </c>
      <c r="J25" s="5" t="n">
        <f aca="false">COUNTIFS('Product Rows'!$A$2:$A$696,B25,'Product Rows'!$B$2:$B$696,C25)</f>
        <v>1</v>
      </c>
      <c r="K25" s="5" t="n">
        <f aca="false">COUNTIFS('Product Rows'!$A$2:$A$696,B25,'Product Rows'!$B$2:$B$696,C25,'Product Rows'!$G$2:$G$696,"Vial")</f>
        <v>1</v>
      </c>
      <c r="L25" s="5" t="n">
        <f aca="false">COUNTIFS('Product Rows'!$A$2:$A$696,B25,'Product Rows'!$B$2:$B$696,C25,'Product Rows'!$G$2:$G$696,"Ampoule")</f>
        <v>0</v>
      </c>
      <c r="M25" s="5" t="n">
        <f aca="false">COUNTIFS('Product Rows'!$A$2:$A$696,B25,'Product Rows'!$B$2:$B$696,C25,'Product Rows'!$G$2:$G$696,"Prefilled syringe/pen")</f>
        <v>0</v>
      </c>
      <c r="N25" s="6" t="n">
        <f aca="false">IFERROR(AVERAGEIFS('Product Rows'!$H$2:$H$696,'Product Rows'!$A$2:$A$696,B25,'Product Rows'!$B$2:$B$696,C25),"")</f>
        <v>397.421</v>
      </c>
      <c r="O25" s="7" t="n">
        <f aca="false">INDEX('API Data'!$E$2:$E$152,MATCH(B25,'API Data'!$A$2:$A$152,0))</f>
        <v>42181.730172451</v>
      </c>
      <c r="P25" s="5" t="n">
        <f aca="false">COUNTIF($B$5:$B$337,B25)</f>
        <v>7</v>
      </c>
      <c r="Q25" s="8" t="n">
        <f aca="false">IF(ISNUMBER(I25),PERCENTRANK($I$5:$I$337,I25),"")</f>
        <v>0.75</v>
      </c>
      <c r="R25" s="8" t="n">
        <f aca="false">IF(ISNUMBER(N25),PERCENTRANK($N$5:$N$337,N25),"")</f>
        <v>0.91</v>
      </c>
      <c r="S25" s="8" t="n">
        <f aca="false">IF(ISNUMBER(O25),PERCENTRANK($O$5:$O$337,O25),"")</f>
        <v>0.898</v>
      </c>
      <c r="T25" s="8" t="n">
        <f aca="false">IF(ISNUMBER(P25),PERCENTRANK($P$5:$P$337,P25),"")</f>
        <v>0.822</v>
      </c>
      <c r="U25" s="9" t="n">
        <f aca="false">IF((IF(ISNUMBER(Q25),Inputs!$B$4,0)+IF(ISNUMBER(R25),Inputs!$B$5,0)+IF(ISNUMBER(S25),Inputs!$B$6,0)+IF(ISNUMBER(T25),Inputs!$B$7,0))=0,"",(IF(ISNUMBER(Q25),Inputs!$B$4*Q25,0)+IF(ISNUMBER(R25),Inputs!$B$5*R25,0)+IF(ISNUMBER(S25),Inputs!$B$6*S25,0)+IF(ISNUMBER(T25),Inputs!$B$7*T25,0))/(IF(ISNUMBER(Q25),Inputs!$B$4,0)+IF(ISNUMBER(R25),Inputs!$B$5,0)+IF(ISNUMBER(S25),Inputs!$B$6,0)+IF(ISNUMBER(T25),Inputs!$B$7,0)))</f>
        <v>0.904</v>
      </c>
      <c r="V25" s="5" t="str">
        <f aca="false">IF(F25&gt;0,"Yes","No")</f>
        <v>Yes</v>
      </c>
      <c r="W25" s="5" t="str">
        <f aca="false">IF(ISNUMBER(N25),IF(N25&gt;=Inputs!$D$18,"Yes","No"),"No price")</f>
        <v>Yes</v>
      </c>
      <c r="X25" s="5" t="str">
        <f aca="false">IF(K25+L25&gt;0,"Yes",IF(M25&gt;0,"No","Unclear"))</f>
        <v>Yes</v>
      </c>
      <c r="Y25" s="5" t="str">
        <f aca="false">INDEX('API Data'!$H$2:$H$152,MATCH(B25,'API Data'!$A$2:$A$152,0))</f>
        <v>Yes</v>
      </c>
      <c r="Z25" s="5" t="str">
        <f aca="false">IF(COUNTIFS('Product Rows'!$A$2:$A$696,B25,'Product Rows'!$B$2:$B$696,C25,'Product Rows'!$I$2:$I$696,"Yes")&gt;0,"Yes","No")</f>
        <v>Yes</v>
      </c>
      <c r="AA25" s="5" t="str">
        <f aca="false">IF(P25&gt;=Inputs!$D$22,"Yes","No")</f>
        <v>Yes</v>
      </c>
      <c r="AB25" s="10" t="b">
        <f aca="false">AND(OR(Inputs!$B$17&lt;&gt;"Exclude",V25="Yes"),OR(Inputs!$B$18&lt;&gt;"Exclude",W25&lt;&gt;"No"),OR(Inputs!$B$19&lt;&gt;"Exclude",X25&lt;&gt;"No"),OR(Inputs!$B$20&lt;&gt;"Exclude",Y25="No"),OR(Inputs!$B$21&lt;&gt;"Exclude",Z25="No"),OR(Inputs!$B$22&lt;&gt;"Exclude",AA25="Yes"),ISNUMBER(U25))</f>
        <v>1</v>
      </c>
      <c r="AC25" s="5" t="n">
        <f aca="false">IF(AB25,COUNTIFS($C$5:$C$337,C25,$AB$5:$AB$337,TRUE(),$U$5:$U$337,"&gt;"&amp;U25)+COUNTIFS($C$5:C25,C25,$AB$5:AB25,TRUE(),$U$5:U25,U25),"")</f>
        <v>1</v>
      </c>
      <c r="AD25" s="5" t="str">
        <f aca="false">IF(AC25="","Not eligible",IF(AC25&lt;=Inputs!$B$25,"Lead",IF(AC25&lt;=Inputs!$B$25+Inputs!$B$26,"Next wave","Long list")))</f>
        <v>Lead</v>
      </c>
      <c r="AE25" s="5" t="str">
        <f aca="false">IF(AND(K25+L25=0,M25&gt;0),"Safety upgrade of existing prefilled syringe",IF(K25+L25+M25=0,"Confirm presentation (not stated in source)",IF(AA25="Yes","Differentiation in crowded generic market","Safety-device mandate compliance")))</f>
        <v>Differentiation in crowded generic market</v>
      </c>
      <c r="AF25" s="5" t="str">
        <f aca="false">IF(AC25="","",C25&amp;"|"&amp;AC25)</f>
        <v>Glenmark Pharmaceuticals|1</v>
      </c>
    </row>
    <row r="26" customFormat="false" ht="15" hidden="false" customHeight="false" outlineLevel="0" collapsed="false">
      <c r="A26" s="5" t="n">
        <f aca="false">IF(ISNUMBER(U26),RANK(U26,$U$5:$U$337),"")</f>
        <v>7</v>
      </c>
      <c r="B26" s="5" t="s">
        <v>53</v>
      </c>
      <c r="C26" s="5" t="s">
        <v>57</v>
      </c>
      <c r="D26" s="5" t="str">
        <f aca="false">INDEX('API Data'!$B$2:$B$152,MATCH(B26,'API Data'!$A$2:$A$152,0))</f>
        <v>Oncology – myelodysplastic syndromes (MDS) &amp; AML</v>
      </c>
      <c r="E26" s="5" t="n">
        <f aca="false">COUNTIFS('Market Listing'!$A$2:$A$4054,B26,'Market Listing'!$B$2:$B$4054,C26)</f>
        <v>31</v>
      </c>
      <c r="F26" s="5" t="n">
        <f aca="false">COUNTIFS('Market Listing'!$A$2:$A$4054,B26,'Market Listing'!$B$2:$B$4054,C26,'Market Listing'!$D$2:$D$4054,"Tier 1")</f>
        <v>6</v>
      </c>
      <c r="G26" s="5" t="n">
        <f aca="false">COUNTIFS('Market Listing'!$A$2:$A$4054,B26,'Market Listing'!$B$2:$B$4054,C26,'Market Listing'!$D$2:$D$4054,"Tier 2")</f>
        <v>3</v>
      </c>
      <c r="H26" s="5" t="n">
        <f aca="false">COUNTIFS('Market Listing'!$A$2:$A$4054,B26,'Market Listing'!$B$2:$B$4054,C26,'Market Listing'!$D$2:$D$4054,"Tier 3")</f>
        <v>22</v>
      </c>
      <c r="I26" s="5" t="n">
        <f aca="false">SUMIFS('Market Listing'!$E$2:$E$4054,'Market Listing'!$A$2:$A$4054,B26,'Market Listing'!$B$2:$B$4054,C26)</f>
        <v>46</v>
      </c>
      <c r="J26" s="5" t="n">
        <f aca="false">COUNTIFS('Product Rows'!$A$2:$A$696,B26,'Product Rows'!$B$2:$B$696,C26)</f>
        <v>2</v>
      </c>
      <c r="K26" s="5" t="n">
        <f aca="false">COUNTIFS('Product Rows'!$A$2:$A$696,B26,'Product Rows'!$B$2:$B$696,C26,'Product Rows'!$G$2:$G$696,"Vial")</f>
        <v>1</v>
      </c>
      <c r="L26" s="5" t="n">
        <f aca="false">COUNTIFS('Product Rows'!$A$2:$A$696,B26,'Product Rows'!$B$2:$B$696,C26,'Product Rows'!$G$2:$G$696,"Ampoule")</f>
        <v>0</v>
      </c>
      <c r="M26" s="5" t="n">
        <f aca="false">COUNTIFS('Product Rows'!$A$2:$A$696,B26,'Product Rows'!$B$2:$B$696,C26,'Product Rows'!$G$2:$G$696,"Prefilled syringe/pen")</f>
        <v>0</v>
      </c>
      <c r="N26" s="6" t="n">
        <f aca="false">IFERROR(AVERAGEIFS('Product Rows'!$H$2:$H$696,'Product Rows'!$A$2:$A$696,B26,'Product Rows'!$B$2:$B$696,C26),"")</f>
        <v>360.71</v>
      </c>
      <c r="O26" s="7" t="n">
        <f aca="false">INDEX('API Data'!$E$2:$E$152,MATCH(B26,'API Data'!$A$2:$A$152,0))</f>
        <v>42181.730172451</v>
      </c>
      <c r="P26" s="5" t="n">
        <f aca="false">COUNTIF($B$5:$B$337,B26)</f>
        <v>7</v>
      </c>
      <c r="Q26" s="8" t="n">
        <f aca="false">IF(ISNUMBER(I26),PERCENTRANK($I$5:$I$337,I26),"")</f>
        <v>0.846</v>
      </c>
      <c r="R26" s="8" t="n">
        <f aca="false">IF(ISNUMBER(N26),PERCENTRANK($N$5:$N$337,N26),"")</f>
        <v>0.907</v>
      </c>
      <c r="S26" s="8" t="n">
        <f aca="false">IF(ISNUMBER(O26),PERCENTRANK($O$5:$O$337,O26),"")</f>
        <v>0.898</v>
      </c>
      <c r="T26" s="8" t="n">
        <f aca="false">IF(ISNUMBER(P26),PERCENTRANK($P$5:$P$337,P26),"")</f>
        <v>0.822</v>
      </c>
      <c r="U26" s="9" t="n">
        <f aca="false">IF((IF(ISNUMBER(Q26),Inputs!$B$4,0)+IF(ISNUMBER(R26),Inputs!$B$5,0)+IF(ISNUMBER(S26),Inputs!$B$6,0)+IF(ISNUMBER(T26),Inputs!$B$7,0))=0,"",(IF(ISNUMBER(Q26),Inputs!$B$4*Q26,0)+IF(ISNUMBER(R26),Inputs!$B$5*R26,0)+IF(ISNUMBER(S26),Inputs!$B$6*S26,0)+IF(ISNUMBER(T26),Inputs!$B$7*T26,0))/(IF(ISNUMBER(Q26),Inputs!$B$4,0)+IF(ISNUMBER(R26),Inputs!$B$5,0)+IF(ISNUMBER(S26),Inputs!$B$6,0)+IF(ISNUMBER(T26),Inputs!$B$7,0)))</f>
        <v>0.9025</v>
      </c>
      <c r="V26" s="5" t="str">
        <f aca="false">IF(F26&gt;0,"Yes","No")</f>
        <v>Yes</v>
      </c>
      <c r="W26" s="5" t="str">
        <f aca="false">IF(ISNUMBER(N26),IF(N26&gt;=Inputs!$D$18,"Yes","No"),"No price")</f>
        <v>Yes</v>
      </c>
      <c r="X26" s="5" t="str">
        <f aca="false">IF(K26+L26&gt;0,"Yes",IF(M26&gt;0,"No","Unclear"))</f>
        <v>Yes</v>
      </c>
      <c r="Y26" s="5" t="str">
        <f aca="false">INDEX('API Data'!$H$2:$H$152,MATCH(B26,'API Data'!$A$2:$A$152,0))</f>
        <v>Yes</v>
      </c>
      <c r="Z26" s="5" t="str">
        <f aca="false">IF(COUNTIFS('Product Rows'!$A$2:$A$696,B26,'Product Rows'!$B$2:$B$696,C26,'Product Rows'!$I$2:$I$696,"Yes")&gt;0,"Yes","No")</f>
        <v>Yes</v>
      </c>
      <c r="AA26" s="5" t="str">
        <f aca="false">IF(P26&gt;=Inputs!$D$22,"Yes","No")</f>
        <v>Yes</v>
      </c>
      <c r="AB26" s="10" t="b">
        <f aca="false">AND(OR(Inputs!$B$17&lt;&gt;"Exclude",V26="Yes"),OR(Inputs!$B$18&lt;&gt;"Exclude",W26&lt;&gt;"No"),OR(Inputs!$B$19&lt;&gt;"Exclude",X26&lt;&gt;"No"),OR(Inputs!$B$20&lt;&gt;"Exclude",Y26="No"),OR(Inputs!$B$21&lt;&gt;"Exclude",Z26="No"),OR(Inputs!$B$22&lt;&gt;"Exclude",AA26="Yes"),ISNUMBER(U26))</f>
        <v>1</v>
      </c>
      <c r="AC26" s="5" t="n">
        <f aca="false">IF(AB26,COUNTIFS($C$5:$C$337,C26,$AB$5:$AB$337,TRUE(),$U$5:$U$337,"&gt;"&amp;U26)+COUNTIFS($C$5:C26,C26,$AB$5:AB26,TRUE(),$U$5:U26,U26),"")</f>
        <v>2</v>
      </c>
      <c r="AD26" s="5" t="str">
        <f aca="false">IF(AC26="","Not eligible",IF(AC26&lt;=Inputs!$B$25,"Lead",IF(AC26&lt;=Inputs!$B$25+Inputs!$B$26,"Next wave","Long list")))</f>
        <v>Lead</v>
      </c>
      <c r="AE26" s="5" t="str">
        <f aca="false">IF(AND(K26+L26=0,M26&gt;0),"Safety upgrade of existing prefilled syringe",IF(K26+L26+M26=0,"Confirm presentation (not stated in source)",IF(AA26="Yes","Differentiation in crowded generic market","Safety-device mandate compliance")))</f>
        <v>Differentiation in crowded generic market</v>
      </c>
      <c r="AF26" s="5" t="str">
        <f aca="false">IF(AC26="","",C26&amp;"|"&amp;AC26)</f>
        <v>Hetero Labs|2</v>
      </c>
    </row>
    <row r="27" customFormat="false" ht="15" hidden="false" customHeight="false" outlineLevel="0" collapsed="false">
      <c r="A27" s="5" t="n">
        <f aca="false">IF(ISNUMBER(U27),RANK(U27,$U$5:$U$337),"")</f>
        <v>10</v>
      </c>
      <c r="B27" s="5" t="s">
        <v>53</v>
      </c>
      <c r="C27" s="5" t="s">
        <v>44</v>
      </c>
      <c r="D27" s="5" t="str">
        <f aca="false">INDEX('API Data'!$B$2:$B$152,MATCH(B27,'API Data'!$A$2:$A$152,0))</f>
        <v>Oncology – myelodysplastic syndromes (MDS) &amp; AML</v>
      </c>
      <c r="E27" s="5" t="n">
        <f aca="false">COUNTIFS('Market Listing'!$A$2:$A$4054,B27,'Market Listing'!$B$2:$B$4054,C27)</f>
        <v>32</v>
      </c>
      <c r="F27" s="5" t="n">
        <f aca="false">COUNTIFS('Market Listing'!$A$2:$A$4054,B27,'Market Listing'!$B$2:$B$4054,C27,'Market Listing'!$D$2:$D$4054,"Tier 1")</f>
        <v>6</v>
      </c>
      <c r="G27" s="5" t="n">
        <f aca="false">COUNTIFS('Market Listing'!$A$2:$A$4054,B27,'Market Listing'!$B$2:$B$4054,C27,'Market Listing'!$D$2:$D$4054,"Tier 2")</f>
        <v>4</v>
      </c>
      <c r="H27" s="5" t="n">
        <f aca="false">COUNTIFS('Market Listing'!$A$2:$A$4054,B27,'Market Listing'!$B$2:$B$4054,C27,'Market Listing'!$D$2:$D$4054,"Tier 3")</f>
        <v>22</v>
      </c>
      <c r="I27" s="5" t="n">
        <f aca="false">SUMIFS('Market Listing'!$E$2:$E$4054,'Market Listing'!$A$2:$A$4054,B27,'Market Listing'!$B$2:$B$4054,C27)</f>
        <v>48</v>
      </c>
      <c r="J27" s="5" t="n">
        <f aca="false">COUNTIFS('Product Rows'!$A$2:$A$696,B27,'Product Rows'!$B$2:$B$696,C27)</f>
        <v>3</v>
      </c>
      <c r="K27" s="5" t="n">
        <f aca="false">COUNTIFS('Product Rows'!$A$2:$A$696,B27,'Product Rows'!$B$2:$B$696,C27,'Product Rows'!$G$2:$G$696,"Vial")</f>
        <v>3</v>
      </c>
      <c r="L27" s="5" t="n">
        <f aca="false">COUNTIFS('Product Rows'!$A$2:$A$696,B27,'Product Rows'!$B$2:$B$696,C27,'Product Rows'!$G$2:$G$696,"Ampoule")</f>
        <v>0</v>
      </c>
      <c r="M27" s="5" t="n">
        <f aca="false">COUNTIFS('Product Rows'!$A$2:$A$696,B27,'Product Rows'!$B$2:$B$696,C27,'Product Rows'!$G$2:$G$696,"Prefilled syringe/pen")</f>
        <v>0</v>
      </c>
      <c r="N27" s="6" t="n">
        <f aca="false">IFERROR(AVERAGEIFS('Product Rows'!$H$2:$H$696,'Product Rows'!$A$2:$A$696,B27,'Product Rows'!$B$2:$B$696,C27),"")</f>
        <v>256.124</v>
      </c>
      <c r="O27" s="7" t="n">
        <f aca="false">INDEX('API Data'!$E$2:$E$152,MATCH(B27,'API Data'!$A$2:$A$152,0))</f>
        <v>42181.730172451</v>
      </c>
      <c r="P27" s="5" t="n">
        <f aca="false">COUNTIF($B$5:$B$337,B27)</f>
        <v>7</v>
      </c>
      <c r="Q27" s="8" t="n">
        <f aca="false">IF(ISNUMBER(I27),PERCENTRANK($I$5:$I$337,I27),"")</f>
        <v>0.916</v>
      </c>
      <c r="R27" s="8" t="n">
        <f aca="false">IF(ISNUMBER(N27),PERCENTRANK($N$5:$N$337,N27),"")</f>
        <v>0.864</v>
      </c>
      <c r="S27" s="8" t="n">
        <f aca="false">IF(ISNUMBER(O27),PERCENTRANK($O$5:$O$337,O27),"")</f>
        <v>0.898</v>
      </c>
      <c r="T27" s="8" t="n">
        <f aca="false">IF(ISNUMBER(P27),PERCENTRANK($P$5:$P$337,P27),"")</f>
        <v>0.822</v>
      </c>
      <c r="U27" s="9" t="n">
        <f aca="false">IF((IF(ISNUMBER(Q27),Inputs!$B$4,0)+IF(ISNUMBER(R27),Inputs!$B$5,0)+IF(ISNUMBER(S27),Inputs!$B$6,0)+IF(ISNUMBER(T27),Inputs!$B$7,0))=0,"",(IF(ISNUMBER(Q27),Inputs!$B$4*Q27,0)+IF(ISNUMBER(R27),Inputs!$B$5*R27,0)+IF(ISNUMBER(S27),Inputs!$B$6*S27,0)+IF(ISNUMBER(T27),Inputs!$B$7*T27,0))/(IF(ISNUMBER(Q27),Inputs!$B$4,0)+IF(ISNUMBER(R27),Inputs!$B$5,0)+IF(ISNUMBER(S27),Inputs!$B$6,0)+IF(ISNUMBER(T27),Inputs!$B$7,0)))</f>
        <v>0.881</v>
      </c>
      <c r="V27" s="5" t="str">
        <f aca="false">IF(F27&gt;0,"Yes","No")</f>
        <v>Yes</v>
      </c>
      <c r="W27" s="5" t="str">
        <f aca="false">IF(ISNUMBER(N27),IF(N27&gt;=Inputs!$D$18,"Yes","No"),"No price")</f>
        <v>Yes</v>
      </c>
      <c r="X27" s="5" t="str">
        <f aca="false">IF(K27+L27&gt;0,"Yes",IF(M27&gt;0,"No","Unclear"))</f>
        <v>Yes</v>
      </c>
      <c r="Y27" s="5" t="str">
        <f aca="false">INDEX('API Data'!$H$2:$H$152,MATCH(B27,'API Data'!$A$2:$A$152,0))</f>
        <v>Yes</v>
      </c>
      <c r="Z27" s="5" t="str">
        <f aca="false">IF(COUNTIFS('Product Rows'!$A$2:$A$696,B27,'Product Rows'!$B$2:$B$696,C27,'Product Rows'!$I$2:$I$696,"Yes")&gt;0,"Yes","No")</f>
        <v>Yes</v>
      </c>
      <c r="AA27" s="5" t="str">
        <f aca="false">IF(P27&gt;=Inputs!$D$22,"Yes","No")</f>
        <v>Yes</v>
      </c>
      <c r="AB27" s="10" t="b">
        <f aca="false">AND(OR(Inputs!$B$17&lt;&gt;"Exclude",V27="Yes"),OR(Inputs!$B$18&lt;&gt;"Exclude",W27&lt;&gt;"No"),OR(Inputs!$B$19&lt;&gt;"Exclude",X27&lt;&gt;"No"),OR(Inputs!$B$20&lt;&gt;"Exclude",Y27="No"),OR(Inputs!$B$21&lt;&gt;"Exclude",Z27="No"),OR(Inputs!$B$22&lt;&gt;"Exclude",AA27="Yes"),ISNUMBER(U27))</f>
        <v>1</v>
      </c>
      <c r="AC27" s="5" t="n">
        <f aca="false">IF(AB27,COUNTIFS($C$5:$C$337,C27,$AB$5:$AB$337,TRUE(),$U$5:$U$337,"&gt;"&amp;U27)+COUNTIFS($C$5:C27,C27,$AB$5:AB27,TRUE(),$U$5:U27,U27),"")</f>
        <v>2</v>
      </c>
      <c r="AD27" s="5" t="str">
        <f aca="false">IF(AC27="","Not eligible",IF(AC27&lt;=Inputs!$B$25,"Lead",IF(AC27&lt;=Inputs!$B$25+Inputs!$B$26,"Next wave","Long list")))</f>
        <v>Lead</v>
      </c>
      <c r="AE27" s="5" t="str">
        <f aca="false">IF(AND(K27+L27=0,M27&gt;0),"Safety upgrade of existing prefilled syringe",IF(K27+L27+M27=0,"Confirm presentation (not stated in source)",IF(AA27="Yes","Differentiation in crowded generic market","Safety-device mandate compliance")))</f>
        <v>Differentiation in crowded generic market</v>
      </c>
      <c r="AF27" s="5" t="str">
        <f aca="false">IF(AC27="","",C27&amp;"|"&amp;AC27)</f>
        <v>Intas Pharmaceuticals|2</v>
      </c>
    </row>
    <row r="28" customFormat="false" ht="15" hidden="false" customHeight="false" outlineLevel="0" collapsed="false">
      <c r="A28" s="5" t="n">
        <f aca="false">IF(ISNUMBER(U28),RANK(U28,$U$5:$U$337),"")</f>
        <v>126</v>
      </c>
      <c r="B28" s="5" t="s">
        <v>58</v>
      </c>
      <c r="C28" s="5" t="s">
        <v>41</v>
      </c>
      <c r="D28" s="5" t="str">
        <f aca="false">INDEX('API Data'!$B$2:$B$152,MATCH(B28,'API Data'!$A$2:$A$152,0))</f>
        <v>Neurology – severe spasticity (intrathecal pump)</v>
      </c>
      <c r="E28" s="5" t="n">
        <f aca="false">COUNTIFS('Market Listing'!$A$2:$A$4054,B28,'Market Listing'!$B$2:$B$4054,C28)</f>
        <v>2</v>
      </c>
      <c r="F28" s="5" t="n">
        <f aca="false">COUNTIFS('Market Listing'!$A$2:$A$4054,B28,'Market Listing'!$B$2:$B$4054,C28,'Market Listing'!$D$2:$D$4054,"Tier 1")</f>
        <v>2</v>
      </c>
      <c r="G28" s="5" t="n">
        <f aca="false">COUNTIFS('Market Listing'!$A$2:$A$4054,B28,'Market Listing'!$B$2:$B$4054,C28,'Market Listing'!$D$2:$D$4054,"Tier 2")</f>
        <v>0</v>
      </c>
      <c r="H28" s="5" t="n">
        <f aca="false">COUNTIFS('Market Listing'!$A$2:$A$4054,B28,'Market Listing'!$B$2:$B$4054,C28,'Market Listing'!$D$2:$D$4054,"Tier 3")</f>
        <v>0</v>
      </c>
      <c r="I28" s="5" t="n">
        <f aca="false">SUMIFS('Market Listing'!$E$2:$E$4054,'Market Listing'!$A$2:$A$4054,B28,'Market Listing'!$B$2:$B$4054,C28)</f>
        <v>6</v>
      </c>
      <c r="J28" s="5" t="n">
        <f aca="false">COUNTIFS('Product Rows'!$A$2:$A$696,B28,'Product Rows'!$B$2:$B$696,C28)</f>
        <v>2</v>
      </c>
      <c r="K28" s="5" t="n">
        <f aca="false">COUNTIFS('Product Rows'!$A$2:$A$696,B28,'Product Rows'!$B$2:$B$696,C28,'Product Rows'!$G$2:$G$696,"Vial")</f>
        <v>0</v>
      </c>
      <c r="L28" s="5" t="n">
        <f aca="false">COUNTIFS('Product Rows'!$A$2:$A$696,B28,'Product Rows'!$B$2:$B$696,C28,'Product Rows'!$G$2:$G$696,"Ampoule")</f>
        <v>0</v>
      </c>
      <c r="M28" s="5" t="n">
        <f aca="false">COUNTIFS('Product Rows'!$A$2:$A$696,B28,'Product Rows'!$B$2:$B$696,C28,'Product Rows'!$G$2:$G$696,"Prefilled syringe/pen")</f>
        <v>2</v>
      </c>
      <c r="N28" s="6" t="str">
        <f aca="false">IFERROR(AVERAGEIFS('Product Rows'!$H$2:$H$696,'Product Rows'!$A$2:$A$696,B28,'Product Rows'!$B$2:$B$696,C28),"")</f>
        <v/>
      </c>
      <c r="O28" s="7" t="n">
        <f aca="false">INDEX('API Data'!$E$2:$E$152,MATCH(B28,'API Data'!$A$2:$A$152,0))</f>
        <v>5118.1328632481</v>
      </c>
      <c r="P28" s="5" t="n">
        <f aca="false">COUNTIF($B$5:$B$337,B28)</f>
        <v>1</v>
      </c>
      <c r="Q28" s="8" t="n">
        <f aca="false">IF(ISNUMBER(I28),PERCENTRANK($I$5:$I$337,I28),"")</f>
        <v>0.551</v>
      </c>
      <c r="R28" s="8" t="str">
        <f aca="false">IF(ISNUMBER(N28),PERCENTRANK($N$5:$N$337,N28),"")</f>
        <v/>
      </c>
      <c r="S28" s="8" t="n">
        <f aca="false">IF(ISNUMBER(O28),PERCENTRANK($O$5:$O$337,O28),"")</f>
        <v>0.551</v>
      </c>
      <c r="T28" s="8" t="n">
        <f aca="false">IF(ISNUMBER(P28),PERCENTRANK($P$5:$P$337,P28),"")</f>
        <v>0</v>
      </c>
      <c r="U28" s="9" t="n">
        <f aca="false">IF((IF(ISNUMBER(Q28),Inputs!$B$4,0)+IF(ISNUMBER(R28),Inputs!$B$5,0)+IF(ISNUMBER(S28),Inputs!$B$6,0)+IF(ISNUMBER(T28),Inputs!$B$7,0))=0,"",(IF(ISNUMBER(Q28),Inputs!$B$4*Q28,0)+IF(ISNUMBER(R28),Inputs!$B$5*R28,0)+IF(ISNUMBER(S28),Inputs!$B$6*S28,0)+IF(ISNUMBER(T28),Inputs!$B$7*T28,0))/(IF(ISNUMBER(Q28),Inputs!$B$4,0)+IF(ISNUMBER(R28),Inputs!$B$5,0)+IF(ISNUMBER(S28),Inputs!$B$6,0)+IF(ISNUMBER(T28),Inputs!$B$7,0)))</f>
        <v>0.551</v>
      </c>
      <c r="V28" s="5" t="str">
        <f aca="false">IF(F28&gt;0,"Yes","No")</f>
        <v>Yes</v>
      </c>
      <c r="W28" s="5" t="str">
        <f aca="false">IF(ISNUMBER(N28),IF(N28&gt;=Inputs!$D$18,"Yes","No"),"No price")</f>
        <v>No price</v>
      </c>
      <c r="X28" s="5" t="str">
        <f aca="false">IF(K28+L28&gt;0,"Yes",IF(M28&gt;0,"No","Unclear"))</f>
        <v>No</v>
      </c>
      <c r="Y28" s="5" t="str">
        <f aca="false">INDEX('API Data'!$H$2:$H$152,MATCH(B28,'API Data'!$A$2:$A$152,0))</f>
        <v>No</v>
      </c>
      <c r="Z28" s="5" t="str">
        <f aca="false">IF(COUNTIFS('Product Rows'!$A$2:$A$696,B28,'Product Rows'!$B$2:$B$696,C28,'Product Rows'!$I$2:$I$696,"Yes")&gt;0,"Yes","No")</f>
        <v>No</v>
      </c>
      <c r="AA28" s="5" t="str">
        <f aca="false">IF(P28&gt;=Inputs!$D$22,"Yes","No")</f>
        <v>No</v>
      </c>
      <c r="AB28" s="10" t="b">
        <f aca="false">AND(OR(Inputs!$B$17&lt;&gt;"Exclude",V28="Yes"),OR(Inputs!$B$18&lt;&gt;"Exclude",W28&lt;&gt;"No"),OR(Inputs!$B$19&lt;&gt;"Exclude",X28&lt;&gt;"No"),OR(Inputs!$B$20&lt;&gt;"Exclude",Y28="No"),OR(Inputs!$B$21&lt;&gt;"Exclude",Z28="No"),OR(Inputs!$B$22&lt;&gt;"Exclude",AA28="Yes"),ISNUMBER(U28))</f>
        <v>1</v>
      </c>
      <c r="AC28" s="5" t="n">
        <f aca="false">IF(AB28,COUNTIFS($C$5:$C$337,C28,$AB$5:$AB$337,TRUE(),$U$5:$U$337,"&gt;"&amp;U28)+COUNTIFS($C$5:C28,C28,$AB$5:AB28,TRUE(),$U$5:U28,U28),"")</f>
        <v>2</v>
      </c>
      <c r="AD28" s="5" t="str">
        <f aca="false">IF(AC28="","Not eligible",IF(AC28&lt;=Inputs!$B$25,"Lead",IF(AC28&lt;=Inputs!$B$25+Inputs!$B$26,"Next wave","Long list")))</f>
        <v>Lead</v>
      </c>
      <c r="AE28" s="5" t="str">
        <f aca="false">IF(AND(K28+L28=0,M28&gt;0),"Safety upgrade of existing prefilled syringe",IF(K28+L28+M28=0,"Confirm presentation (not stated in source)",IF(AA28="Yes","Differentiation in crowded generic market","Safety-device mandate compliance")))</f>
        <v>Safety upgrade of existing prefilled syringe</v>
      </c>
      <c r="AF28" s="5" t="str">
        <f aca="false">IF(AC28="","",C28&amp;"|"&amp;AC28)</f>
        <v>Piramal Pharma|2</v>
      </c>
    </row>
    <row r="29" customFormat="false" ht="15" hidden="false" customHeight="false" outlineLevel="0" collapsed="false">
      <c r="A29" s="5" t="n">
        <f aca="false">IF(ISNUMBER(U29),RANK(U29,$U$5:$U$337),"")</f>
        <v>257</v>
      </c>
      <c r="B29" s="5" t="s">
        <v>59</v>
      </c>
      <c r="C29" s="5" t="s">
        <v>55</v>
      </c>
      <c r="D29" s="5" t="str">
        <f aca="false">INDEX('API Data'!$B$2:$B$152,MATCH(B29,'API Data'!$A$2:$A$152,0))</f>
        <v>Cardiovascular – anticoagulant during PCI / angioplasty</v>
      </c>
      <c r="E29" s="5" t="n">
        <f aca="false">COUNTIFS('Market Listing'!$A$2:$A$4054,B29,'Market Listing'!$B$2:$B$4054,C29)</f>
        <v>1</v>
      </c>
      <c r="F29" s="5" t="n">
        <f aca="false">COUNTIFS('Market Listing'!$A$2:$A$4054,B29,'Market Listing'!$B$2:$B$4054,C29,'Market Listing'!$D$2:$D$4054,"Tier 1")</f>
        <v>1</v>
      </c>
      <c r="G29" s="5" t="n">
        <f aca="false">COUNTIFS('Market Listing'!$A$2:$A$4054,B29,'Market Listing'!$B$2:$B$4054,C29,'Market Listing'!$D$2:$D$4054,"Tier 2")</f>
        <v>0</v>
      </c>
      <c r="H29" s="5" t="n">
        <f aca="false">COUNTIFS('Market Listing'!$A$2:$A$4054,B29,'Market Listing'!$B$2:$B$4054,C29,'Market Listing'!$D$2:$D$4054,"Tier 3")</f>
        <v>0</v>
      </c>
      <c r="I29" s="5" t="n">
        <f aca="false">SUMIFS('Market Listing'!$E$2:$E$4054,'Market Listing'!$A$2:$A$4054,B29,'Market Listing'!$B$2:$B$4054,C29)</f>
        <v>3</v>
      </c>
      <c r="J29" s="5" t="n">
        <f aca="false">COUNTIFS('Product Rows'!$A$2:$A$696,B29,'Product Rows'!$B$2:$B$696,C29)</f>
        <v>1</v>
      </c>
      <c r="K29" s="5" t="n">
        <f aca="false">COUNTIFS('Product Rows'!$A$2:$A$696,B29,'Product Rows'!$B$2:$B$696,C29,'Product Rows'!$G$2:$G$696,"Vial")</f>
        <v>1</v>
      </c>
      <c r="L29" s="5" t="n">
        <f aca="false">COUNTIFS('Product Rows'!$A$2:$A$696,B29,'Product Rows'!$B$2:$B$696,C29,'Product Rows'!$G$2:$G$696,"Ampoule")</f>
        <v>0</v>
      </c>
      <c r="M29" s="5" t="n">
        <f aca="false">COUNTIFS('Product Rows'!$A$2:$A$696,B29,'Product Rows'!$B$2:$B$696,C29,'Product Rows'!$G$2:$G$696,"Prefilled syringe/pen")</f>
        <v>0</v>
      </c>
      <c r="N29" s="6" t="n">
        <f aca="false">IFERROR(AVERAGEIFS('Product Rows'!$H$2:$H$696,'Product Rows'!$A$2:$A$696,B29,'Product Rows'!$B$2:$B$696,C29),"")</f>
        <v>31.16</v>
      </c>
      <c r="O29" s="7" t="n">
        <f aca="false">INDEX('API Data'!$E$2:$E$152,MATCH(B29,'API Data'!$A$2:$A$152,0))</f>
        <v>806.34</v>
      </c>
      <c r="P29" s="5" t="n">
        <f aca="false">COUNTIF($B$5:$B$337,B29)</f>
        <v>2</v>
      </c>
      <c r="Q29" s="8" t="n">
        <f aca="false">IF(ISNUMBER(I29),PERCENTRANK($I$5:$I$337,I29),"")</f>
        <v>0.157</v>
      </c>
      <c r="R29" s="8" t="n">
        <f aca="false">IF(ISNUMBER(N29),PERCENTRANK($N$5:$N$337,N29),"")</f>
        <v>0.505</v>
      </c>
      <c r="S29" s="8" t="n">
        <f aca="false">IF(ISNUMBER(O29),PERCENTRANK($O$5:$O$337,O29),"")</f>
        <v>0.139</v>
      </c>
      <c r="T29" s="8" t="n">
        <f aca="false">IF(ISNUMBER(P29),PERCENTRANK($P$5:$P$337,P29),"")</f>
        <v>0.235</v>
      </c>
      <c r="U29" s="9" t="n">
        <f aca="false">IF((IF(ISNUMBER(Q29),Inputs!$B$4,0)+IF(ISNUMBER(R29),Inputs!$B$5,0)+IF(ISNUMBER(S29),Inputs!$B$6,0)+IF(ISNUMBER(T29),Inputs!$B$7,0))=0,"",(IF(ISNUMBER(Q29),Inputs!$B$4*Q29,0)+IF(ISNUMBER(R29),Inputs!$B$5*R29,0)+IF(ISNUMBER(S29),Inputs!$B$6*S29,0)+IF(ISNUMBER(T29),Inputs!$B$7*T29,0))/(IF(ISNUMBER(Q29),Inputs!$B$4,0)+IF(ISNUMBER(R29),Inputs!$B$5,0)+IF(ISNUMBER(S29),Inputs!$B$6,0)+IF(ISNUMBER(T29),Inputs!$B$7,0)))</f>
        <v>0.322</v>
      </c>
      <c r="V29" s="5" t="str">
        <f aca="false">IF(F29&gt;0,"Yes","No")</f>
        <v>Yes</v>
      </c>
      <c r="W29" s="5" t="str">
        <f aca="false">IF(ISNUMBER(N29),IF(N29&gt;=Inputs!$D$18,"Yes","No"),"No price")</f>
        <v>Yes</v>
      </c>
      <c r="X29" s="5" t="str">
        <f aca="false">IF(K29+L29&gt;0,"Yes",IF(M29&gt;0,"No","Unclear"))</f>
        <v>Yes</v>
      </c>
      <c r="Y29" s="5" t="str">
        <f aca="false">INDEX('API Data'!$H$2:$H$152,MATCH(B29,'API Data'!$A$2:$A$152,0))</f>
        <v>No</v>
      </c>
      <c r="Z29" s="5" t="str">
        <f aca="false">IF(COUNTIFS('Product Rows'!$A$2:$A$696,B29,'Product Rows'!$B$2:$B$696,C29,'Product Rows'!$I$2:$I$696,"Yes")&gt;0,"Yes","No")</f>
        <v>Yes</v>
      </c>
      <c r="AA29" s="5" t="str">
        <f aca="false">IF(P29&gt;=Inputs!$D$22,"Yes","No")</f>
        <v>No</v>
      </c>
      <c r="AB29" s="10" t="b">
        <f aca="false">AND(OR(Inputs!$B$17&lt;&gt;"Exclude",V29="Yes"),OR(Inputs!$B$18&lt;&gt;"Exclude",W29&lt;&gt;"No"),OR(Inputs!$B$19&lt;&gt;"Exclude",X29&lt;&gt;"No"),OR(Inputs!$B$20&lt;&gt;"Exclude",Y29="No"),OR(Inputs!$B$21&lt;&gt;"Exclude",Z29="No"),OR(Inputs!$B$22&lt;&gt;"Exclude",AA29="Yes"),ISNUMBER(U29))</f>
        <v>1</v>
      </c>
      <c r="AC29" s="5" t="n">
        <f aca="false">IF(AB29,COUNTIFS($C$5:$C$337,C29,$AB$5:$AB$337,TRUE(),$U$5:$U$337,"&gt;"&amp;U29)+COUNTIFS($C$5:C29,C29,$AB$5:AB29,TRUE(),$U$5:U29,U29),"")</f>
        <v>18</v>
      </c>
      <c r="AD29" s="5" t="str">
        <f aca="false">IF(AC29="","Not eligible",IF(AC29&lt;=Inputs!$B$25,"Lead",IF(AC29&lt;=Inputs!$B$25+Inputs!$B$26,"Next wave","Long list")))</f>
        <v>Long list</v>
      </c>
      <c r="AE29" s="5" t="str">
        <f aca="false">IF(AND(K29+L29=0,M29&gt;0),"Safety upgrade of existing prefilled syringe",IF(K29+L29+M29=0,"Confirm presentation (not stated in source)",IF(AA29="Yes","Differentiation in crowded generic market","Safety-device mandate compliance")))</f>
        <v>Safety-device mandate compliance</v>
      </c>
      <c r="AF29" s="5" t="str">
        <f aca="false">IF(AC29="","",C29&amp;"|"&amp;AC29)</f>
        <v>Dr. Reddy's Laboratories|18</v>
      </c>
    </row>
    <row r="30" customFormat="false" ht="15" hidden="false" customHeight="false" outlineLevel="0" collapsed="false">
      <c r="A30" s="5" t="n">
        <f aca="false">IF(ISNUMBER(U30),RANK(U30,$U$5:$U$337),"")</f>
        <v>157</v>
      </c>
      <c r="B30" s="5" t="s">
        <v>59</v>
      </c>
      <c r="C30" s="5" t="s">
        <v>44</v>
      </c>
      <c r="D30" s="5" t="str">
        <f aca="false">INDEX('API Data'!$B$2:$B$152,MATCH(B30,'API Data'!$A$2:$A$152,0))</f>
        <v>Cardiovascular – anticoagulant during PCI / angioplasty</v>
      </c>
      <c r="E30" s="5" t="n">
        <f aca="false">COUNTIFS('Market Listing'!$A$2:$A$4054,B30,'Market Listing'!$B$2:$B$4054,C30)</f>
        <v>16</v>
      </c>
      <c r="F30" s="5" t="n">
        <f aca="false">COUNTIFS('Market Listing'!$A$2:$A$4054,B30,'Market Listing'!$B$2:$B$4054,C30,'Market Listing'!$D$2:$D$4054,"Tier 1")</f>
        <v>7</v>
      </c>
      <c r="G30" s="5" t="n">
        <f aca="false">COUNTIFS('Market Listing'!$A$2:$A$4054,B30,'Market Listing'!$B$2:$B$4054,C30,'Market Listing'!$D$2:$D$4054,"Tier 2")</f>
        <v>2</v>
      </c>
      <c r="H30" s="5" t="n">
        <f aca="false">COUNTIFS('Market Listing'!$A$2:$A$4054,B30,'Market Listing'!$B$2:$B$4054,C30,'Market Listing'!$D$2:$D$4054,"Tier 3")</f>
        <v>7</v>
      </c>
      <c r="I30" s="5" t="n">
        <f aca="false">SUMIFS('Market Listing'!$E$2:$E$4054,'Market Listing'!$A$2:$A$4054,B30,'Market Listing'!$B$2:$B$4054,C30)</f>
        <v>32</v>
      </c>
      <c r="J30" s="5" t="n">
        <f aca="false">COUNTIFS('Product Rows'!$A$2:$A$696,B30,'Product Rows'!$B$2:$B$696,C30)</f>
        <v>3</v>
      </c>
      <c r="K30" s="5" t="n">
        <f aca="false">COUNTIFS('Product Rows'!$A$2:$A$696,B30,'Product Rows'!$B$2:$B$696,C30,'Product Rows'!$G$2:$G$696,"Vial")</f>
        <v>3</v>
      </c>
      <c r="L30" s="5" t="n">
        <f aca="false">COUNTIFS('Product Rows'!$A$2:$A$696,B30,'Product Rows'!$B$2:$B$696,C30,'Product Rows'!$G$2:$G$696,"Ampoule")</f>
        <v>0</v>
      </c>
      <c r="M30" s="5" t="n">
        <f aca="false">COUNTIFS('Product Rows'!$A$2:$A$696,B30,'Product Rows'!$B$2:$B$696,C30,'Product Rows'!$G$2:$G$696,"Prefilled syringe/pen")</f>
        <v>0</v>
      </c>
      <c r="N30" s="6" t="n">
        <f aca="false">IFERROR(AVERAGEIFS('Product Rows'!$H$2:$H$696,'Product Rows'!$A$2:$A$696,B30,'Product Rows'!$B$2:$B$696,C30),"")</f>
        <v>255.349766666667</v>
      </c>
      <c r="O30" s="7" t="n">
        <f aca="false">INDEX('API Data'!$E$2:$E$152,MATCH(B30,'API Data'!$A$2:$A$152,0))</f>
        <v>806.34</v>
      </c>
      <c r="P30" s="5" t="n">
        <f aca="false">COUNTIF($B$5:$B$337,B30)</f>
        <v>2</v>
      </c>
      <c r="Q30" s="8" t="n">
        <f aca="false">IF(ISNUMBER(I30),PERCENTRANK($I$5:$I$337,I30),"")</f>
        <v>0.633</v>
      </c>
      <c r="R30" s="8" t="n">
        <f aca="false">IF(ISNUMBER(N30),PERCENTRANK($N$5:$N$337,N30),"")</f>
        <v>0.86</v>
      </c>
      <c r="S30" s="8" t="n">
        <f aca="false">IF(ISNUMBER(O30),PERCENTRANK($O$5:$O$337,O30),"")</f>
        <v>0.139</v>
      </c>
      <c r="T30" s="8" t="n">
        <f aca="false">IF(ISNUMBER(P30),PERCENTRANK($P$5:$P$337,P30),"")</f>
        <v>0.235</v>
      </c>
      <c r="U30" s="9" t="n">
        <f aca="false">IF((IF(ISNUMBER(Q30),Inputs!$B$4,0)+IF(ISNUMBER(R30),Inputs!$B$5,0)+IF(ISNUMBER(S30),Inputs!$B$6,0)+IF(ISNUMBER(T30),Inputs!$B$7,0))=0,"",(IF(ISNUMBER(Q30),Inputs!$B$4*Q30,0)+IF(ISNUMBER(R30),Inputs!$B$5*R30,0)+IF(ISNUMBER(S30),Inputs!$B$6*S30,0)+IF(ISNUMBER(T30),Inputs!$B$7*T30,0))/(IF(ISNUMBER(Q30),Inputs!$B$4,0)+IF(ISNUMBER(R30),Inputs!$B$5,0)+IF(ISNUMBER(S30),Inputs!$B$6,0)+IF(ISNUMBER(T30),Inputs!$B$7,0)))</f>
        <v>0.4995</v>
      </c>
      <c r="V30" s="5" t="str">
        <f aca="false">IF(F30&gt;0,"Yes","No")</f>
        <v>Yes</v>
      </c>
      <c r="W30" s="5" t="str">
        <f aca="false">IF(ISNUMBER(N30),IF(N30&gt;=Inputs!$D$18,"Yes","No"),"No price")</f>
        <v>Yes</v>
      </c>
      <c r="X30" s="5" t="str">
        <f aca="false">IF(K30+L30&gt;0,"Yes",IF(M30&gt;0,"No","Unclear"))</f>
        <v>Yes</v>
      </c>
      <c r="Y30" s="5" t="str">
        <f aca="false">INDEX('API Data'!$H$2:$H$152,MATCH(B30,'API Data'!$A$2:$A$152,0))</f>
        <v>No</v>
      </c>
      <c r="Z30" s="5" t="str">
        <f aca="false">IF(COUNTIFS('Product Rows'!$A$2:$A$696,B30,'Product Rows'!$B$2:$B$696,C30,'Product Rows'!$I$2:$I$696,"Yes")&gt;0,"Yes","No")</f>
        <v>Yes</v>
      </c>
      <c r="AA30" s="5" t="str">
        <f aca="false">IF(P30&gt;=Inputs!$D$22,"Yes","No")</f>
        <v>No</v>
      </c>
      <c r="AB30" s="10" t="b">
        <f aca="false">AND(OR(Inputs!$B$17&lt;&gt;"Exclude",V30="Yes"),OR(Inputs!$B$18&lt;&gt;"Exclude",W30&lt;&gt;"No"),OR(Inputs!$B$19&lt;&gt;"Exclude",X30&lt;&gt;"No"),OR(Inputs!$B$20&lt;&gt;"Exclude",Y30="No"),OR(Inputs!$B$21&lt;&gt;"Exclude",Z30="No"),OR(Inputs!$B$22&lt;&gt;"Exclude",AA30="Yes"),ISNUMBER(U30))</f>
        <v>1</v>
      </c>
      <c r="AC30" s="5" t="n">
        <f aca="false">IF(AB30,COUNTIFS($C$5:$C$337,C30,$AB$5:$AB$337,TRUE(),$U$5:$U$337,"&gt;"&amp;U30)+COUNTIFS($C$5:C30,C30,$AB$5:AB30,TRUE(),$U$5:U30,U30),"")</f>
        <v>29</v>
      </c>
      <c r="AD30" s="5" t="str">
        <f aca="false">IF(AC30="","Not eligible",IF(AC30&lt;=Inputs!$B$25,"Lead",IF(AC30&lt;=Inputs!$B$25+Inputs!$B$26,"Next wave","Long list")))</f>
        <v>Long list</v>
      </c>
      <c r="AE30" s="5" t="str">
        <f aca="false">IF(AND(K30+L30=0,M30&gt;0),"Safety upgrade of existing prefilled syringe",IF(K30+L30+M30=0,"Confirm presentation (not stated in source)",IF(AA30="Yes","Differentiation in crowded generic market","Safety-device mandate compliance")))</f>
        <v>Safety-device mandate compliance</v>
      </c>
      <c r="AF30" s="5" t="str">
        <f aca="false">IF(AC30="","",C30&amp;"|"&amp;AC30)</f>
        <v>Intas Pharmaceuticals|29</v>
      </c>
    </row>
    <row r="31" customFormat="false" ht="15" hidden="false" customHeight="false" outlineLevel="0" collapsed="false">
      <c r="A31" s="5" t="n">
        <f aca="false">IF(ISNUMBER(U31),RANK(U31,$U$5:$U$337),"")</f>
        <v>132</v>
      </c>
      <c r="B31" s="5" t="s">
        <v>60</v>
      </c>
      <c r="C31" s="5" t="s">
        <v>54</v>
      </c>
      <c r="D31" s="5" t="str">
        <f aca="false">INDEX('API Data'!$B$2:$B$152,MATCH(B31,'API Data'!$A$2:$A$152,0))</f>
        <v>Oncology – Hodgkin lymphoma, testicular &amp; squamous cell cancers</v>
      </c>
      <c r="E31" s="5" t="n">
        <f aca="false">COUNTIFS('Market Listing'!$A$2:$A$4054,B31,'Market Listing'!$B$2:$B$4054,C31)</f>
        <v>2</v>
      </c>
      <c r="F31" s="5" t="n">
        <f aca="false">COUNTIFS('Market Listing'!$A$2:$A$4054,B31,'Market Listing'!$B$2:$B$4054,C31,'Market Listing'!$D$2:$D$4054,"Tier 1")</f>
        <v>0</v>
      </c>
      <c r="G31" s="5" t="n">
        <f aca="false">COUNTIFS('Market Listing'!$A$2:$A$4054,B31,'Market Listing'!$B$2:$B$4054,C31,'Market Listing'!$D$2:$D$4054,"Tier 2")</f>
        <v>2</v>
      </c>
      <c r="H31" s="5" t="n">
        <f aca="false">COUNTIFS('Market Listing'!$A$2:$A$4054,B31,'Market Listing'!$B$2:$B$4054,C31,'Market Listing'!$D$2:$D$4054,"Tier 3")</f>
        <v>0</v>
      </c>
      <c r="I31" s="5" t="n">
        <f aca="false">SUMIFS('Market Listing'!$E$2:$E$4054,'Market Listing'!$A$2:$A$4054,B31,'Market Listing'!$B$2:$B$4054,C31)</f>
        <v>4</v>
      </c>
      <c r="J31" s="5" t="n">
        <f aca="false">COUNTIFS('Product Rows'!$A$2:$A$696,B31,'Product Rows'!$B$2:$B$696,C31)</f>
        <v>2</v>
      </c>
      <c r="K31" s="5" t="n">
        <f aca="false">COUNTIFS('Product Rows'!$A$2:$A$696,B31,'Product Rows'!$B$2:$B$696,C31,'Product Rows'!$G$2:$G$696,"Vial")</f>
        <v>2</v>
      </c>
      <c r="L31" s="5" t="n">
        <f aca="false">COUNTIFS('Product Rows'!$A$2:$A$696,B31,'Product Rows'!$B$2:$B$696,C31,'Product Rows'!$G$2:$G$696,"Ampoule")</f>
        <v>0</v>
      </c>
      <c r="M31" s="5" t="n">
        <f aca="false">COUNTIFS('Product Rows'!$A$2:$A$696,B31,'Product Rows'!$B$2:$B$696,C31,'Product Rows'!$G$2:$G$696,"Prefilled syringe/pen")</f>
        <v>0</v>
      </c>
      <c r="N31" s="6" t="n">
        <f aca="false">IFERROR(AVERAGEIFS('Product Rows'!$H$2:$H$696,'Product Rows'!$A$2:$A$696,B31,'Product Rows'!$B$2:$B$696,C31),"")</f>
        <v>41.2665</v>
      </c>
      <c r="O31" s="7" t="n">
        <f aca="false">INDEX('API Data'!$E$2:$E$152,MATCH(B31,'API Data'!$A$2:$A$152,0))</f>
        <v>3973.65</v>
      </c>
      <c r="P31" s="5" t="n">
        <f aca="false">COUNTIF($B$5:$B$337,B31)</f>
        <v>3</v>
      </c>
      <c r="Q31" s="8" t="n">
        <f aca="false">IF(ISNUMBER(I31),PERCENTRANK($I$5:$I$337,I31),"")</f>
        <v>0.509</v>
      </c>
      <c r="R31" s="8" t="n">
        <f aca="false">IF(ISNUMBER(N31),PERCENTRANK($N$5:$N$337,N31),"")</f>
        <v>0.577</v>
      </c>
      <c r="S31" s="8" t="n">
        <f aca="false">IF(ISNUMBER(O31),PERCENTRANK($O$5:$O$337,O31),"")</f>
        <v>0.494</v>
      </c>
      <c r="T31" s="8" t="n">
        <f aca="false">IF(ISNUMBER(P31),PERCENTRANK($P$5:$P$337,P31),"")</f>
        <v>0.416</v>
      </c>
      <c r="U31" s="9" t="n">
        <f aca="false">IF((IF(ISNUMBER(Q31),Inputs!$B$4,0)+IF(ISNUMBER(R31),Inputs!$B$5,0)+IF(ISNUMBER(S31),Inputs!$B$6,0)+IF(ISNUMBER(T31),Inputs!$B$7,0))=0,"",(IF(ISNUMBER(Q31),Inputs!$B$4*Q31,0)+IF(ISNUMBER(R31),Inputs!$B$5*R31,0)+IF(ISNUMBER(S31),Inputs!$B$6*S31,0)+IF(ISNUMBER(T31),Inputs!$B$7*T31,0))/(IF(ISNUMBER(Q31),Inputs!$B$4,0)+IF(ISNUMBER(R31),Inputs!$B$5,0)+IF(ISNUMBER(S31),Inputs!$B$6,0)+IF(ISNUMBER(T31),Inputs!$B$7,0)))</f>
        <v>0.5355</v>
      </c>
      <c r="V31" s="5" t="str">
        <f aca="false">IF(F31&gt;0,"Yes","No")</f>
        <v>No</v>
      </c>
      <c r="W31" s="5" t="str">
        <f aca="false">IF(ISNUMBER(N31),IF(N31&gt;=Inputs!$D$18,"Yes","No"),"No price")</f>
        <v>Yes</v>
      </c>
      <c r="X31" s="5" t="str">
        <f aca="false">IF(K31+L31&gt;0,"Yes",IF(M31&gt;0,"No","Unclear"))</f>
        <v>Yes</v>
      </c>
      <c r="Y31" s="5" t="str">
        <f aca="false">INDEX('API Data'!$H$2:$H$152,MATCH(B31,'API Data'!$A$2:$A$152,0))</f>
        <v>Yes</v>
      </c>
      <c r="Z31" s="5" t="str">
        <f aca="false">IF(COUNTIFS('Product Rows'!$A$2:$A$696,B31,'Product Rows'!$B$2:$B$696,C31,'Product Rows'!$I$2:$I$696,"Yes")&gt;0,"Yes","No")</f>
        <v>Yes</v>
      </c>
      <c r="AA31" s="5" t="str">
        <f aca="false">IF(P31&gt;=Inputs!$D$22,"Yes","No")</f>
        <v>Yes</v>
      </c>
      <c r="AB31" s="10" t="b">
        <f aca="false">AND(OR(Inputs!$B$17&lt;&gt;"Exclude",V31="Yes"),OR(Inputs!$B$18&lt;&gt;"Exclude",W31&lt;&gt;"No"),OR(Inputs!$B$19&lt;&gt;"Exclude",X31&lt;&gt;"No"),OR(Inputs!$B$20&lt;&gt;"Exclude",Y31="No"),OR(Inputs!$B$21&lt;&gt;"Exclude",Z31="No"),OR(Inputs!$B$22&lt;&gt;"Exclude",AA31="Yes"),ISNUMBER(U31))</f>
        <v>0</v>
      </c>
      <c r="AC31" s="5" t="str">
        <f aca="false">IF(AB31,COUNTIFS($C$5:$C$337,C31,$AB$5:$AB$337,TRUE(),$U$5:$U$337,"&gt;"&amp;U31)+COUNTIFS($C$5:C31,C31,$AB$5:AB31,TRUE(),$U$5:U31,U31),"")</f>
        <v/>
      </c>
      <c r="AD31" s="5" t="str">
        <f aca="false">IF(AC31="","Not eligible",IF(AC31&lt;=Inputs!$B$25,"Lead",IF(AC31&lt;=Inputs!$B$25+Inputs!$B$26,"Next wave","Long list")))</f>
        <v>Not eligible</v>
      </c>
      <c r="AE31" s="5" t="str">
        <f aca="false">IF(AND(K31+L31=0,M31&gt;0),"Safety upgrade of existing prefilled syringe",IF(K31+L31+M31=0,"Confirm presentation (not stated in source)",IF(AA31="Yes","Differentiation in crowded generic market","Safety-device mandate compliance")))</f>
        <v>Differentiation in crowded generic market</v>
      </c>
      <c r="AF31" s="5" t="str">
        <f aca="false">IF(AC31="","",C31&amp;"|"&amp;AC31)</f>
        <v/>
      </c>
    </row>
    <row r="32" customFormat="false" ht="15" hidden="false" customHeight="false" outlineLevel="0" collapsed="false">
      <c r="A32" s="5" t="n">
        <f aca="false">IF(ISNUMBER(U32),RANK(U32,$U$5:$U$337),"")</f>
        <v>129</v>
      </c>
      <c r="B32" s="5" t="s">
        <v>60</v>
      </c>
      <c r="C32" s="5" t="s">
        <v>44</v>
      </c>
      <c r="D32" s="5" t="str">
        <f aca="false">INDEX('API Data'!$B$2:$B$152,MATCH(B32,'API Data'!$A$2:$A$152,0))</f>
        <v>Oncology – Hodgkin lymphoma, testicular &amp; squamous cell cancers</v>
      </c>
      <c r="E32" s="5" t="n">
        <f aca="false">COUNTIFS('Market Listing'!$A$2:$A$4054,B32,'Market Listing'!$B$2:$B$4054,C32)</f>
        <v>18</v>
      </c>
      <c r="F32" s="5" t="n">
        <f aca="false">COUNTIFS('Market Listing'!$A$2:$A$4054,B32,'Market Listing'!$B$2:$B$4054,C32,'Market Listing'!$D$2:$D$4054,"Tier 1")</f>
        <v>6</v>
      </c>
      <c r="G32" s="5" t="n">
        <f aca="false">COUNTIFS('Market Listing'!$A$2:$A$4054,B32,'Market Listing'!$B$2:$B$4054,C32,'Market Listing'!$D$2:$D$4054,"Tier 2")</f>
        <v>2</v>
      </c>
      <c r="H32" s="5" t="n">
        <f aca="false">COUNTIFS('Market Listing'!$A$2:$A$4054,B32,'Market Listing'!$B$2:$B$4054,C32,'Market Listing'!$D$2:$D$4054,"Tier 3")</f>
        <v>10</v>
      </c>
      <c r="I32" s="5" t="n">
        <f aca="false">SUMIFS('Market Listing'!$E$2:$E$4054,'Market Listing'!$A$2:$A$4054,B32,'Market Listing'!$B$2:$B$4054,C32)</f>
        <v>32</v>
      </c>
      <c r="J32" s="5" t="n">
        <f aca="false">COUNTIFS('Product Rows'!$A$2:$A$696,B32,'Product Rows'!$B$2:$B$696,C32)</f>
        <v>3</v>
      </c>
      <c r="K32" s="5" t="n">
        <f aca="false">COUNTIFS('Product Rows'!$A$2:$A$696,B32,'Product Rows'!$B$2:$B$696,C32,'Product Rows'!$G$2:$G$696,"Vial")</f>
        <v>3</v>
      </c>
      <c r="L32" s="5" t="n">
        <f aca="false">COUNTIFS('Product Rows'!$A$2:$A$696,B32,'Product Rows'!$B$2:$B$696,C32,'Product Rows'!$G$2:$G$696,"Ampoule")</f>
        <v>0</v>
      </c>
      <c r="M32" s="5" t="n">
        <f aca="false">COUNTIFS('Product Rows'!$A$2:$A$696,B32,'Product Rows'!$B$2:$B$696,C32,'Product Rows'!$G$2:$G$696,"Prefilled syringe/pen")</f>
        <v>0</v>
      </c>
      <c r="N32" s="6" t="n">
        <f aca="false">IFERROR(AVERAGEIFS('Product Rows'!$H$2:$H$696,'Product Rows'!$A$2:$A$696,B32,'Product Rows'!$B$2:$B$696,C32),"")</f>
        <v>50.2682333333333</v>
      </c>
      <c r="O32" s="7" t="n">
        <f aca="false">INDEX('API Data'!$E$2:$E$152,MATCH(B32,'API Data'!$A$2:$A$152,0))</f>
        <v>3973.65</v>
      </c>
      <c r="P32" s="5" t="n">
        <f aca="false">COUNTIF($B$5:$B$337,B32)</f>
        <v>3</v>
      </c>
      <c r="Q32" s="8" t="n">
        <f aca="false">IF(ISNUMBER(I32),PERCENTRANK($I$5:$I$337,I32),"")</f>
        <v>0.633</v>
      </c>
      <c r="R32" s="8" t="n">
        <f aca="false">IF(ISNUMBER(N32),PERCENTRANK($N$5:$N$337,N32),"")</f>
        <v>0.595</v>
      </c>
      <c r="S32" s="8" t="n">
        <f aca="false">IF(ISNUMBER(O32),PERCENTRANK($O$5:$O$337,O32),"")</f>
        <v>0.494</v>
      </c>
      <c r="T32" s="8" t="n">
        <f aca="false">IF(ISNUMBER(P32),PERCENTRANK($P$5:$P$337,P32),"")</f>
        <v>0.416</v>
      </c>
      <c r="U32" s="9" t="n">
        <f aca="false">IF((IF(ISNUMBER(Q32),Inputs!$B$4,0)+IF(ISNUMBER(R32),Inputs!$B$5,0)+IF(ISNUMBER(S32),Inputs!$B$6,0)+IF(ISNUMBER(T32),Inputs!$B$7,0))=0,"",(IF(ISNUMBER(Q32),Inputs!$B$4*Q32,0)+IF(ISNUMBER(R32),Inputs!$B$5*R32,0)+IF(ISNUMBER(S32),Inputs!$B$6*S32,0)+IF(ISNUMBER(T32),Inputs!$B$7*T32,0))/(IF(ISNUMBER(Q32),Inputs!$B$4,0)+IF(ISNUMBER(R32),Inputs!$B$5,0)+IF(ISNUMBER(S32),Inputs!$B$6,0)+IF(ISNUMBER(T32),Inputs!$B$7,0)))</f>
        <v>0.5445</v>
      </c>
      <c r="V32" s="5" t="str">
        <f aca="false">IF(F32&gt;0,"Yes","No")</f>
        <v>Yes</v>
      </c>
      <c r="W32" s="5" t="str">
        <f aca="false">IF(ISNUMBER(N32),IF(N32&gt;=Inputs!$D$18,"Yes","No"),"No price")</f>
        <v>Yes</v>
      </c>
      <c r="X32" s="5" t="str">
        <f aca="false">IF(K32+L32&gt;0,"Yes",IF(M32&gt;0,"No","Unclear"))</f>
        <v>Yes</v>
      </c>
      <c r="Y32" s="5" t="str">
        <f aca="false">INDEX('API Data'!$H$2:$H$152,MATCH(B32,'API Data'!$A$2:$A$152,0))</f>
        <v>Yes</v>
      </c>
      <c r="Z32" s="5" t="str">
        <f aca="false">IF(COUNTIFS('Product Rows'!$A$2:$A$696,B32,'Product Rows'!$B$2:$B$696,C32,'Product Rows'!$I$2:$I$696,"Yes")&gt;0,"Yes","No")</f>
        <v>Yes</v>
      </c>
      <c r="AA32" s="5" t="str">
        <f aca="false">IF(P32&gt;=Inputs!$D$22,"Yes","No")</f>
        <v>Yes</v>
      </c>
      <c r="AB32" s="10" t="b">
        <f aca="false">AND(OR(Inputs!$B$17&lt;&gt;"Exclude",V32="Yes"),OR(Inputs!$B$18&lt;&gt;"Exclude",W32&lt;&gt;"No"),OR(Inputs!$B$19&lt;&gt;"Exclude",X32&lt;&gt;"No"),OR(Inputs!$B$20&lt;&gt;"Exclude",Y32="No"),OR(Inputs!$B$21&lt;&gt;"Exclude",Z32="No"),OR(Inputs!$B$22&lt;&gt;"Exclude",AA32="Yes"),ISNUMBER(U32))</f>
        <v>1</v>
      </c>
      <c r="AC32" s="5" t="n">
        <f aca="false">IF(AB32,COUNTIFS($C$5:$C$337,C32,$AB$5:$AB$337,TRUE(),$U$5:$U$337,"&gt;"&amp;U32)+COUNTIFS($C$5:C32,C32,$AB$5:AB32,TRUE(),$U$5:U32,U32),"")</f>
        <v>26</v>
      </c>
      <c r="AD32" s="5" t="str">
        <f aca="false">IF(AC32="","Not eligible",IF(AC32&lt;=Inputs!$B$25,"Lead",IF(AC32&lt;=Inputs!$B$25+Inputs!$B$26,"Next wave","Long list")))</f>
        <v>Long list</v>
      </c>
      <c r="AE32" s="5" t="str">
        <f aca="false">IF(AND(K32+L32=0,M32&gt;0),"Safety upgrade of existing prefilled syringe",IF(K32+L32+M32=0,"Confirm presentation (not stated in source)",IF(AA32="Yes","Differentiation in crowded generic market","Safety-device mandate compliance")))</f>
        <v>Differentiation in crowded generic market</v>
      </c>
      <c r="AF32" s="5" t="str">
        <f aca="false">IF(AC32="","",C32&amp;"|"&amp;AC32)</f>
        <v>Intas Pharmaceuticals|26</v>
      </c>
    </row>
    <row r="33" customFormat="false" ht="15" hidden="false" customHeight="false" outlineLevel="0" collapsed="false">
      <c r="A33" s="5" t="n">
        <f aca="false">IF(ISNUMBER(U33),RANK(U33,$U$5:$U$337),"")</f>
        <v>94</v>
      </c>
      <c r="B33" s="5" t="s">
        <v>60</v>
      </c>
      <c r="C33" s="5" t="s">
        <v>61</v>
      </c>
      <c r="D33" s="5" t="str">
        <f aca="false">INDEX('API Data'!$B$2:$B$152,MATCH(B33,'API Data'!$A$2:$A$152,0))</f>
        <v>Oncology – Hodgkin lymphoma, testicular &amp; squamous cell cancers</v>
      </c>
      <c r="E33" s="5" t="n">
        <f aca="false">COUNTIFS('Market Listing'!$A$2:$A$4054,B33,'Market Listing'!$B$2:$B$4054,C33)</f>
        <v>1</v>
      </c>
      <c r="F33" s="5" t="n">
        <f aca="false">COUNTIFS('Market Listing'!$A$2:$A$4054,B33,'Market Listing'!$B$2:$B$4054,C33,'Market Listing'!$D$2:$D$4054,"Tier 1")</f>
        <v>1</v>
      </c>
      <c r="G33" s="5" t="n">
        <f aca="false">COUNTIFS('Market Listing'!$A$2:$A$4054,B33,'Market Listing'!$B$2:$B$4054,C33,'Market Listing'!$D$2:$D$4054,"Tier 2")</f>
        <v>0</v>
      </c>
      <c r="H33" s="5" t="n">
        <f aca="false">COUNTIFS('Market Listing'!$A$2:$A$4054,B33,'Market Listing'!$B$2:$B$4054,C33,'Market Listing'!$D$2:$D$4054,"Tier 3")</f>
        <v>0</v>
      </c>
      <c r="I33" s="5" t="n">
        <f aca="false">SUMIFS('Market Listing'!$E$2:$E$4054,'Market Listing'!$A$2:$A$4054,B33,'Market Listing'!$B$2:$B$4054,C33)</f>
        <v>3</v>
      </c>
      <c r="J33" s="5" t="n">
        <f aca="false">COUNTIFS('Product Rows'!$A$2:$A$696,B33,'Product Rows'!$B$2:$B$696,C33)</f>
        <v>1</v>
      </c>
      <c r="K33" s="5" t="n">
        <f aca="false">COUNTIFS('Product Rows'!$A$2:$A$696,B33,'Product Rows'!$B$2:$B$696,C33,'Product Rows'!$G$2:$G$696,"Vial")</f>
        <v>1</v>
      </c>
      <c r="L33" s="5" t="n">
        <f aca="false">COUNTIFS('Product Rows'!$A$2:$A$696,B33,'Product Rows'!$B$2:$B$696,C33,'Product Rows'!$G$2:$G$696,"Ampoule")</f>
        <v>0</v>
      </c>
      <c r="M33" s="5" t="n">
        <f aca="false">COUNTIFS('Product Rows'!$A$2:$A$696,B33,'Product Rows'!$B$2:$B$696,C33,'Product Rows'!$G$2:$G$696,"Prefilled syringe/pen")</f>
        <v>0</v>
      </c>
      <c r="N33" s="6" t="n">
        <f aca="false">IFERROR(AVERAGEIFS('Product Rows'!$H$2:$H$696,'Product Rows'!$A$2:$A$696,B33,'Product Rows'!$B$2:$B$696,C33),"")</f>
        <v>81.96</v>
      </c>
      <c r="O33" s="7" t="n">
        <f aca="false">INDEX('API Data'!$E$2:$E$152,MATCH(B33,'API Data'!$A$2:$A$152,0))</f>
        <v>3973.65</v>
      </c>
      <c r="P33" s="5" t="n">
        <f aca="false">COUNTIF($B$5:$B$337,B33)</f>
        <v>3</v>
      </c>
      <c r="Q33" s="8" t="n">
        <f aca="false">IF(ISNUMBER(I33),PERCENTRANK($I$5:$I$337,I33),"")</f>
        <v>0.157</v>
      </c>
      <c r="R33" s="8" t="n">
        <f aca="false">IF(ISNUMBER(N33),PERCENTRANK($N$5:$N$337,N33),"")</f>
        <v>0.703</v>
      </c>
      <c r="S33" s="8" t="n">
        <f aca="false">IF(ISNUMBER(O33),PERCENTRANK($O$5:$O$337,O33),"")</f>
        <v>0.494</v>
      </c>
      <c r="T33" s="8" t="n">
        <f aca="false">IF(ISNUMBER(P33),PERCENTRANK($P$5:$P$337,P33),"")</f>
        <v>0.416</v>
      </c>
      <c r="U33" s="9" t="n">
        <f aca="false">IF((IF(ISNUMBER(Q33),Inputs!$B$4,0)+IF(ISNUMBER(R33),Inputs!$B$5,0)+IF(ISNUMBER(S33),Inputs!$B$6,0)+IF(ISNUMBER(T33),Inputs!$B$7,0))=0,"",(IF(ISNUMBER(Q33),Inputs!$B$4*Q33,0)+IF(ISNUMBER(R33),Inputs!$B$5*R33,0)+IF(ISNUMBER(S33),Inputs!$B$6*S33,0)+IF(ISNUMBER(T33),Inputs!$B$7*T33,0))/(IF(ISNUMBER(Q33),Inputs!$B$4,0)+IF(ISNUMBER(R33),Inputs!$B$5,0)+IF(ISNUMBER(S33),Inputs!$B$6,0)+IF(ISNUMBER(T33),Inputs!$B$7,0)))</f>
        <v>0.5985</v>
      </c>
      <c r="V33" s="5" t="str">
        <f aca="false">IF(F33&gt;0,"Yes","No")</f>
        <v>Yes</v>
      </c>
      <c r="W33" s="5" t="str">
        <f aca="false">IF(ISNUMBER(N33),IF(N33&gt;=Inputs!$D$18,"Yes","No"),"No price")</f>
        <v>Yes</v>
      </c>
      <c r="X33" s="5" t="str">
        <f aca="false">IF(K33+L33&gt;0,"Yes",IF(M33&gt;0,"No","Unclear"))</f>
        <v>Yes</v>
      </c>
      <c r="Y33" s="5" t="str">
        <f aca="false">INDEX('API Data'!$H$2:$H$152,MATCH(B33,'API Data'!$A$2:$A$152,0))</f>
        <v>Yes</v>
      </c>
      <c r="Z33" s="5" t="str">
        <f aca="false">IF(COUNTIFS('Product Rows'!$A$2:$A$696,B33,'Product Rows'!$B$2:$B$696,C33,'Product Rows'!$I$2:$I$696,"Yes")&gt;0,"Yes","No")</f>
        <v>Yes</v>
      </c>
      <c r="AA33" s="5" t="str">
        <f aca="false">IF(P33&gt;=Inputs!$D$22,"Yes","No")</f>
        <v>Yes</v>
      </c>
      <c r="AB33" s="10" t="b">
        <f aca="false">AND(OR(Inputs!$B$17&lt;&gt;"Exclude",V33="Yes"),OR(Inputs!$B$18&lt;&gt;"Exclude",W33&lt;&gt;"No"),OR(Inputs!$B$19&lt;&gt;"Exclude",X33&lt;&gt;"No"),OR(Inputs!$B$20&lt;&gt;"Exclude",Y33="No"),OR(Inputs!$B$21&lt;&gt;"Exclude",Z33="No"),OR(Inputs!$B$22&lt;&gt;"Exclude",AA33="Yes"),ISNUMBER(U33))</f>
        <v>1</v>
      </c>
      <c r="AC33" s="5" t="n">
        <f aca="false">IF(AB33,COUNTIFS($C$5:$C$337,C33,$AB$5:$AB$337,TRUE(),$U$5:$U$337,"&gt;"&amp;U33)+COUNTIFS($C$5:C33,C33,$AB$5:AB33,TRUE(),$U$5:U33,U33),"")</f>
        <v>2</v>
      </c>
      <c r="AD33" s="5" t="str">
        <f aca="false">IF(AC33="","Not eligible",IF(AC33&lt;=Inputs!$B$25,"Lead",IF(AC33&lt;=Inputs!$B$25+Inputs!$B$26,"Next wave","Long list")))</f>
        <v>Lead</v>
      </c>
      <c r="AE33" s="5" t="str">
        <f aca="false">IF(AND(K33+L33=0,M33&gt;0),"Safety upgrade of existing prefilled syringe",IF(K33+L33+M33=0,"Confirm presentation (not stated in source)",IF(AA33="Yes","Differentiation in crowded generic market","Safety-device mandate compliance")))</f>
        <v>Differentiation in crowded generic market</v>
      </c>
      <c r="AF33" s="5" t="str">
        <f aca="false">IF(AC33="","",C33&amp;"|"&amp;AC33)</f>
        <v>Venus Remedies|2</v>
      </c>
    </row>
    <row r="34" customFormat="false" ht="15" hidden="false" customHeight="false" outlineLevel="0" collapsed="false">
      <c r="A34" s="5" t="n">
        <f aca="false">IF(ISNUMBER(U34),RANK(U34,$U$5:$U$337),"")</f>
        <v>16</v>
      </c>
      <c r="B34" s="5" t="s">
        <v>62</v>
      </c>
      <c r="C34" s="5" t="s">
        <v>47</v>
      </c>
      <c r="D34" s="5" t="str">
        <f aca="false">INDEX('API Data'!$B$2:$B$152,MATCH(B34,'API Data'!$A$2:$A$152,0))</f>
        <v>Oncology – multiple myeloma &amp; mantle cell lymphoma</v>
      </c>
      <c r="E34" s="5" t="n">
        <f aca="false">COUNTIFS('Market Listing'!$A$2:$A$4054,B34,'Market Listing'!$B$2:$B$4054,C34)</f>
        <v>32</v>
      </c>
      <c r="F34" s="5" t="n">
        <f aca="false">COUNTIFS('Market Listing'!$A$2:$A$4054,B34,'Market Listing'!$B$2:$B$4054,C34,'Market Listing'!$D$2:$D$4054,"Tier 1")</f>
        <v>7</v>
      </c>
      <c r="G34" s="5" t="n">
        <f aca="false">COUNTIFS('Market Listing'!$A$2:$A$4054,B34,'Market Listing'!$B$2:$B$4054,C34,'Market Listing'!$D$2:$D$4054,"Tier 2")</f>
        <v>4</v>
      </c>
      <c r="H34" s="5" t="n">
        <f aca="false">COUNTIFS('Market Listing'!$A$2:$A$4054,B34,'Market Listing'!$B$2:$B$4054,C34,'Market Listing'!$D$2:$D$4054,"Tier 3")</f>
        <v>21</v>
      </c>
      <c r="I34" s="5" t="n">
        <f aca="false">SUMIFS('Market Listing'!$E$2:$E$4054,'Market Listing'!$A$2:$A$4054,B34,'Market Listing'!$B$2:$B$4054,C34)</f>
        <v>50</v>
      </c>
      <c r="J34" s="5" t="n">
        <f aca="false">COUNTIFS('Product Rows'!$A$2:$A$696,B34,'Product Rows'!$B$2:$B$696,C34)</f>
        <v>4</v>
      </c>
      <c r="K34" s="5" t="n">
        <f aca="false">COUNTIFS('Product Rows'!$A$2:$A$696,B34,'Product Rows'!$B$2:$B$696,C34,'Product Rows'!$G$2:$G$696,"Vial")</f>
        <v>4</v>
      </c>
      <c r="L34" s="5" t="n">
        <f aca="false">COUNTIFS('Product Rows'!$A$2:$A$696,B34,'Product Rows'!$B$2:$B$696,C34,'Product Rows'!$G$2:$G$696,"Ampoule")</f>
        <v>0</v>
      </c>
      <c r="M34" s="5" t="n">
        <f aca="false">COUNTIFS('Product Rows'!$A$2:$A$696,B34,'Product Rows'!$B$2:$B$696,C34,'Product Rows'!$G$2:$G$696,"Prefilled syringe/pen")</f>
        <v>0</v>
      </c>
      <c r="N34" s="6" t="n">
        <f aca="false">IFERROR(AVERAGEIFS('Product Rows'!$H$2:$H$696,'Product Rows'!$A$2:$A$696,B34,'Product Rows'!$B$2:$B$696,C34),"")</f>
        <v>584.3441</v>
      </c>
      <c r="O34" s="7" t="n">
        <f aca="false">INDEX('API Data'!$E$2:$E$152,MATCH(B34,'API Data'!$A$2:$A$152,0))</f>
        <v>28093.38</v>
      </c>
      <c r="P34" s="5" t="n">
        <f aca="false">COUNTIF($B$5:$B$337,B34)</f>
        <v>10</v>
      </c>
      <c r="Q34" s="8" t="n">
        <f aca="false">IF(ISNUMBER(I34),PERCENTRANK($I$5:$I$337,I34),"")</f>
        <v>0.955</v>
      </c>
      <c r="R34" s="8" t="n">
        <f aca="false">IF(ISNUMBER(N34),PERCENTRANK($N$5:$N$337,N34),"")</f>
        <v>0.95</v>
      </c>
      <c r="S34" s="8" t="n">
        <f aca="false">IF(ISNUMBER(O34),PERCENTRANK($O$5:$O$337,O34),"")</f>
        <v>0.792</v>
      </c>
      <c r="T34" s="8" t="n">
        <f aca="false">IF(ISNUMBER(P34),PERCENTRANK($P$5:$P$337,P34),"")</f>
        <v>0.937</v>
      </c>
      <c r="U34" s="9" t="n">
        <f aca="false">IF((IF(ISNUMBER(Q34),Inputs!$B$4,0)+IF(ISNUMBER(R34),Inputs!$B$5,0)+IF(ISNUMBER(S34),Inputs!$B$6,0)+IF(ISNUMBER(T34),Inputs!$B$7,0))=0,"",(IF(ISNUMBER(Q34),Inputs!$B$4*Q34,0)+IF(ISNUMBER(R34),Inputs!$B$5*R34,0)+IF(ISNUMBER(S34),Inputs!$B$6*S34,0)+IF(ISNUMBER(T34),Inputs!$B$7*T34,0))/(IF(ISNUMBER(Q34),Inputs!$B$4,0)+IF(ISNUMBER(R34),Inputs!$B$5,0)+IF(ISNUMBER(S34),Inputs!$B$6,0)+IF(ISNUMBER(T34),Inputs!$B$7,0)))</f>
        <v>0.871</v>
      </c>
      <c r="V34" s="5" t="str">
        <f aca="false">IF(F34&gt;0,"Yes","No")</f>
        <v>Yes</v>
      </c>
      <c r="W34" s="5" t="str">
        <f aca="false">IF(ISNUMBER(N34),IF(N34&gt;=Inputs!$D$18,"Yes","No"),"No price")</f>
        <v>Yes</v>
      </c>
      <c r="X34" s="5" t="str">
        <f aca="false">IF(K34+L34&gt;0,"Yes",IF(M34&gt;0,"No","Unclear"))</f>
        <v>Yes</v>
      </c>
      <c r="Y34" s="5" t="str">
        <f aca="false">INDEX('API Data'!$H$2:$H$152,MATCH(B34,'API Data'!$A$2:$A$152,0))</f>
        <v>Yes</v>
      </c>
      <c r="Z34" s="5" t="str">
        <f aca="false">IF(COUNTIFS('Product Rows'!$A$2:$A$696,B34,'Product Rows'!$B$2:$B$696,C34,'Product Rows'!$I$2:$I$696,"Yes")&gt;0,"Yes","No")</f>
        <v>Yes</v>
      </c>
      <c r="AA34" s="5" t="str">
        <f aca="false">IF(P34&gt;=Inputs!$D$22,"Yes","No")</f>
        <v>Yes</v>
      </c>
      <c r="AB34" s="10" t="b">
        <f aca="false">AND(OR(Inputs!$B$17&lt;&gt;"Exclude",V34="Yes"),OR(Inputs!$B$18&lt;&gt;"Exclude",W34&lt;&gt;"No"),OR(Inputs!$B$19&lt;&gt;"Exclude",X34&lt;&gt;"No"),OR(Inputs!$B$20&lt;&gt;"Exclude",Y34="No"),OR(Inputs!$B$21&lt;&gt;"Exclude",Z34="No"),OR(Inputs!$B$22&lt;&gt;"Exclude",AA34="Yes"),ISNUMBER(U34))</f>
        <v>1</v>
      </c>
      <c r="AC34" s="5" t="n">
        <f aca="false">IF(AB34,COUNTIFS($C$5:$C$337,C34,$AB$5:$AB$337,TRUE(),$U$5:$U$337,"&gt;"&amp;U34)+COUNTIFS($C$5:C34,C34,$AB$5:AB34,TRUE(),$U$5:U34,U34),"")</f>
        <v>2</v>
      </c>
      <c r="AD34" s="5" t="str">
        <f aca="false">IF(AC34="","Not eligible",IF(AC34&lt;=Inputs!$B$25,"Lead",IF(AC34&lt;=Inputs!$B$25+Inputs!$B$26,"Next wave","Long list")))</f>
        <v>Lead</v>
      </c>
      <c r="AE34" s="5" t="str">
        <f aca="false">IF(AND(K34+L34=0,M34&gt;0),"Safety upgrade of existing prefilled syringe",IF(K34+L34+M34=0,"Confirm presentation (not stated in source)",IF(AA34="Yes","Differentiation in crowded generic market","Safety-device mandate compliance")))</f>
        <v>Differentiation in crowded generic market</v>
      </c>
      <c r="AF34" s="5" t="str">
        <f aca="false">IF(AC34="","",C34&amp;"|"&amp;AC34)</f>
        <v>Aurobindo Pharma|2</v>
      </c>
    </row>
    <row r="35" customFormat="false" ht="15" hidden="false" customHeight="false" outlineLevel="0" collapsed="false">
      <c r="A35" s="5" t="n">
        <f aca="false">IF(ISNUMBER(U35),RANK(U35,$U$5:$U$337),"")</f>
        <v>39</v>
      </c>
      <c r="B35" s="5" t="s">
        <v>62</v>
      </c>
      <c r="C35" s="5" t="s">
        <v>54</v>
      </c>
      <c r="D35" s="5" t="str">
        <f aca="false">INDEX('API Data'!$B$2:$B$152,MATCH(B35,'API Data'!$A$2:$A$152,0))</f>
        <v>Oncology – multiple myeloma &amp; mantle cell lymphoma</v>
      </c>
      <c r="E35" s="5" t="n">
        <f aca="false">COUNTIFS('Market Listing'!$A$2:$A$4054,B35,'Market Listing'!$B$2:$B$4054,C35)</f>
        <v>1</v>
      </c>
      <c r="F35" s="5" t="n">
        <f aca="false">COUNTIFS('Market Listing'!$A$2:$A$4054,B35,'Market Listing'!$B$2:$B$4054,C35,'Market Listing'!$D$2:$D$4054,"Tier 1")</f>
        <v>0</v>
      </c>
      <c r="G35" s="5" t="n">
        <f aca="false">COUNTIFS('Market Listing'!$A$2:$A$4054,B35,'Market Listing'!$B$2:$B$4054,C35,'Market Listing'!$D$2:$D$4054,"Tier 2")</f>
        <v>1</v>
      </c>
      <c r="H35" s="5" t="n">
        <f aca="false">COUNTIFS('Market Listing'!$A$2:$A$4054,B35,'Market Listing'!$B$2:$B$4054,C35,'Market Listing'!$D$2:$D$4054,"Tier 3")</f>
        <v>0</v>
      </c>
      <c r="I35" s="5" t="n">
        <f aca="false">SUMIFS('Market Listing'!$E$2:$E$4054,'Market Listing'!$A$2:$A$4054,B35,'Market Listing'!$B$2:$B$4054,C35)</f>
        <v>2</v>
      </c>
      <c r="J35" s="5" t="n">
        <f aca="false">COUNTIFS('Product Rows'!$A$2:$A$696,B35,'Product Rows'!$B$2:$B$696,C35)</f>
        <v>1</v>
      </c>
      <c r="K35" s="5" t="n">
        <f aca="false">COUNTIFS('Product Rows'!$A$2:$A$696,B35,'Product Rows'!$B$2:$B$696,C35,'Product Rows'!$G$2:$G$696,"Vial")</f>
        <v>1</v>
      </c>
      <c r="L35" s="5" t="n">
        <f aca="false">COUNTIFS('Product Rows'!$A$2:$A$696,B35,'Product Rows'!$B$2:$B$696,C35,'Product Rows'!$G$2:$G$696,"Ampoule")</f>
        <v>0</v>
      </c>
      <c r="M35" s="5" t="n">
        <f aca="false">COUNTIFS('Product Rows'!$A$2:$A$696,B35,'Product Rows'!$B$2:$B$696,C35,'Product Rows'!$G$2:$G$696,"Prefilled syringe/pen")</f>
        <v>0</v>
      </c>
      <c r="N35" s="6" t="n">
        <f aca="false">IFERROR(AVERAGEIFS('Product Rows'!$H$2:$H$696,'Product Rows'!$A$2:$A$696,B35,'Product Rows'!$B$2:$B$696,C35),"")</f>
        <v>163.29</v>
      </c>
      <c r="O35" s="7" t="n">
        <f aca="false">INDEX('API Data'!$E$2:$E$152,MATCH(B35,'API Data'!$A$2:$A$152,0))</f>
        <v>28093.38</v>
      </c>
      <c r="P35" s="5" t="n">
        <f aca="false">COUNTIF($B$5:$B$337,B35)</f>
        <v>10</v>
      </c>
      <c r="Q35" s="8" t="n">
        <f aca="false">IF(ISNUMBER(I35),PERCENTRANK($I$5:$I$337,I35),"")</f>
        <v>0</v>
      </c>
      <c r="R35" s="8" t="n">
        <f aca="false">IF(ISNUMBER(N35),PERCENTRANK($N$5:$N$337,N35),"")</f>
        <v>0.814</v>
      </c>
      <c r="S35" s="8" t="n">
        <f aca="false">IF(ISNUMBER(O35),PERCENTRANK($O$5:$O$337,O35),"")</f>
        <v>0.792</v>
      </c>
      <c r="T35" s="8" t="n">
        <f aca="false">IF(ISNUMBER(P35),PERCENTRANK($P$5:$P$337,P35),"")</f>
        <v>0.937</v>
      </c>
      <c r="U35" s="9" t="n">
        <f aca="false">IF((IF(ISNUMBER(Q35),Inputs!$B$4,0)+IF(ISNUMBER(R35),Inputs!$B$5,0)+IF(ISNUMBER(S35),Inputs!$B$6,0)+IF(ISNUMBER(T35),Inputs!$B$7,0))=0,"",(IF(ISNUMBER(Q35),Inputs!$B$4*Q35,0)+IF(ISNUMBER(R35),Inputs!$B$5*R35,0)+IF(ISNUMBER(S35),Inputs!$B$6*S35,0)+IF(ISNUMBER(T35),Inputs!$B$7*T35,0))/(IF(ISNUMBER(Q35),Inputs!$B$4,0)+IF(ISNUMBER(R35),Inputs!$B$5,0)+IF(ISNUMBER(S35),Inputs!$B$6,0)+IF(ISNUMBER(T35),Inputs!$B$7,0)))</f>
        <v>0.803</v>
      </c>
      <c r="V35" s="5" t="str">
        <f aca="false">IF(F35&gt;0,"Yes","No")</f>
        <v>No</v>
      </c>
      <c r="W35" s="5" t="str">
        <f aca="false">IF(ISNUMBER(N35),IF(N35&gt;=Inputs!$D$18,"Yes","No"),"No price")</f>
        <v>Yes</v>
      </c>
      <c r="X35" s="5" t="str">
        <f aca="false">IF(K35+L35&gt;0,"Yes",IF(M35&gt;0,"No","Unclear"))</f>
        <v>Yes</v>
      </c>
      <c r="Y35" s="5" t="str">
        <f aca="false">INDEX('API Data'!$H$2:$H$152,MATCH(B35,'API Data'!$A$2:$A$152,0))</f>
        <v>Yes</v>
      </c>
      <c r="Z35" s="5" t="str">
        <f aca="false">IF(COUNTIFS('Product Rows'!$A$2:$A$696,B35,'Product Rows'!$B$2:$B$696,C35,'Product Rows'!$I$2:$I$696,"Yes")&gt;0,"Yes","No")</f>
        <v>No</v>
      </c>
      <c r="AA35" s="5" t="str">
        <f aca="false">IF(P35&gt;=Inputs!$D$22,"Yes","No")</f>
        <v>Yes</v>
      </c>
      <c r="AB35" s="10" t="b">
        <f aca="false">AND(OR(Inputs!$B$17&lt;&gt;"Exclude",V35="Yes"),OR(Inputs!$B$18&lt;&gt;"Exclude",W35&lt;&gt;"No"),OR(Inputs!$B$19&lt;&gt;"Exclude",X35&lt;&gt;"No"),OR(Inputs!$B$20&lt;&gt;"Exclude",Y35="No"),OR(Inputs!$B$21&lt;&gt;"Exclude",Z35="No"),OR(Inputs!$B$22&lt;&gt;"Exclude",AA35="Yes"),ISNUMBER(U35))</f>
        <v>0</v>
      </c>
      <c r="AC35" s="5" t="str">
        <f aca="false">IF(AB35,COUNTIFS($C$5:$C$337,C35,$AB$5:$AB$337,TRUE(),$U$5:$U$337,"&gt;"&amp;U35)+COUNTIFS($C$5:C35,C35,$AB$5:AB35,TRUE(),$U$5:U35,U35),"")</f>
        <v/>
      </c>
      <c r="AD35" s="5" t="str">
        <f aca="false">IF(AC35="","Not eligible",IF(AC35&lt;=Inputs!$B$25,"Lead",IF(AC35&lt;=Inputs!$B$25+Inputs!$B$26,"Next wave","Long list")))</f>
        <v>Not eligible</v>
      </c>
      <c r="AE35" s="5" t="str">
        <f aca="false">IF(AND(K35+L35=0,M35&gt;0),"Safety upgrade of existing prefilled syringe",IF(K35+L35+M35=0,"Confirm presentation (not stated in source)",IF(AA35="Yes","Differentiation in crowded generic market","Safety-device mandate compliance")))</f>
        <v>Differentiation in crowded generic market</v>
      </c>
      <c r="AF35" s="5" t="str">
        <f aca="false">IF(AC35="","",C35&amp;"|"&amp;AC35)</f>
        <v/>
      </c>
    </row>
    <row r="36" customFormat="false" ht="15" hidden="false" customHeight="false" outlineLevel="0" collapsed="false">
      <c r="A36" s="5" t="n">
        <f aca="false">IF(ISNUMBER(U36),RANK(U36,$U$5:$U$337),"")</f>
        <v>13</v>
      </c>
      <c r="B36" s="5" t="s">
        <v>62</v>
      </c>
      <c r="C36" s="5" t="s">
        <v>55</v>
      </c>
      <c r="D36" s="5" t="str">
        <f aca="false">INDEX('API Data'!$B$2:$B$152,MATCH(B36,'API Data'!$A$2:$A$152,0))</f>
        <v>Oncology – multiple myeloma &amp; mantle cell lymphoma</v>
      </c>
      <c r="E36" s="5" t="n">
        <f aca="false">COUNTIFS('Market Listing'!$A$2:$A$4054,B36,'Market Listing'!$B$2:$B$4054,C36)</f>
        <v>33</v>
      </c>
      <c r="F36" s="5" t="n">
        <f aca="false">COUNTIFS('Market Listing'!$A$2:$A$4054,B36,'Market Listing'!$B$2:$B$4054,C36,'Market Listing'!$D$2:$D$4054,"Tier 1")</f>
        <v>8</v>
      </c>
      <c r="G36" s="5" t="n">
        <f aca="false">COUNTIFS('Market Listing'!$A$2:$A$4054,B36,'Market Listing'!$B$2:$B$4054,C36,'Market Listing'!$D$2:$D$4054,"Tier 2")</f>
        <v>4</v>
      </c>
      <c r="H36" s="5" t="n">
        <f aca="false">COUNTIFS('Market Listing'!$A$2:$A$4054,B36,'Market Listing'!$B$2:$B$4054,C36,'Market Listing'!$D$2:$D$4054,"Tier 3")</f>
        <v>21</v>
      </c>
      <c r="I36" s="5" t="n">
        <f aca="false">SUMIFS('Market Listing'!$E$2:$E$4054,'Market Listing'!$A$2:$A$4054,B36,'Market Listing'!$B$2:$B$4054,C36)</f>
        <v>53</v>
      </c>
      <c r="J36" s="5" t="n">
        <f aca="false">COUNTIFS('Product Rows'!$A$2:$A$696,B36,'Product Rows'!$B$2:$B$696,C36)</f>
        <v>5</v>
      </c>
      <c r="K36" s="5" t="n">
        <f aca="false">COUNTIFS('Product Rows'!$A$2:$A$696,B36,'Product Rows'!$B$2:$B$696,C36,'Product Rows'!$G$2:$G$696,"Vial")</f>
        <v>5</v>
      </c>
      <c r="L36" s="5" t="n">
        <f aca="false">COUNTIFS('Product Rows'!$A$2:$A$696,B36,'Product Rows'!$B$2:$B$696,C36,'Product Rows'!$G$2:$G$696,"Ampoule")</f>
        <v>0</v>
      </c>
      <c r="M36" s="5" t="n">
        <f aca="false">COUNTIFS('Product Rows'!$A$2:$A$696,B36,'Product Rows'!$B$2:$B$696,C36,'Product Rows'!$G$2:$G$696,"Prefilled syringe/pen")</f>
        <v>0</v>
      </c>
      <c r="N36" s="6" t="n">
        <f aca="false">IFERROR(AVERAGEIFS('Product Rows'!$H$2:$H$696,'Product Rows'!$A$2:$A$696,B36,'Product Rows'!$B$2:$B$696,C36),"")</f>
        <v>711.75628</v>
      </c>
      <c r="O36" s="7" t="n">
        <f aca="false">INDEX('API Data'!$E$2:$E$152,MATCH(B36,'API Data'!$A$2:$A$152,0))</f>
        <v>28093.38</v>
      </c>
      <c r="P36" s="5" t="n">
        <f aca="false">COUNTIF($B$5:$B$337,B36)</f>
        <v>10</v>
      </c>
      <c r="Q36" s="8" t="n">
        <f aca="false">IF(ISNUMBER(I36),PERCENTRANK($I$5:$I$337,I36),"")</f>
        <v>0.988</v>
      </c>
      <c r="R36" s="8" t="n">
        <f aca="false">IF(ISNUMBER(N36),PERCENTRANK($N$5:$N$337,N36),"")</f>
        <v>0.961</v>
      </c>
      <c r="S36" s="8" t="n">
        <f aca="false">IF(ISNUMBER(O36),PERCENTRANK($O$5:$O$337,O36),"")</f>
        <v>0.792</v>
      </c>
      <c r="T36" s="8" t="n">
        <f aca="false">IF(ISNUMBER(P36),PERCENTRANK($P$5:$P$337,P36),"")</f>
        <v>0.937</v>
      </c>
      <c r="U36" s="9" t="n">
        <f aca="false">IF((IF(ISNUMBER(Q36),Inputs!$B$4,0)+IF(ISNUMBER(R36),Inputs!$B$5,0)+IF(ISNUMBER(S36),Inputs!$B$6,0)+IF(ISNUMBER(T36),Inputs!$B$7,0))=0,"",(IF(ISNUMBER(Q36),Inputs!$B$4*Q36,0)+IF(ISNUMBER(R36),Inputs!$B$5*R36,0)+IF(ISNUMBER(S36),Inputs!$B$6*S36,0)+IF(ISNUMBER(T36),Inputs!$B$7*T36,0))/(IF(ISNUMBER(Q36),Inputs!$B$4,0)+IF(ISNUMBER(R36),Inputs!$B$5,0)+IF(ISNUMBER(S36),Inputs!$B$6,0)+IF(ISNUMBER(T36),Inputs!$B$7,0)))</f>
        <v>0.8765</v>
      </c>
      <c r="V36" s="5" t="str">
        <f aca="false">IF(F36&gt;0,"Yes","No")</f>
        <v>Yes</v>
      </c>
      <c r="W36" s="5" t="str">
        <f aca="false">IF(ISNUMBER(N36),IF(N36&gt;=Inputs!$D$18,"Yes","No"),"No price")</f>
        <v>Yes</v>
      </c>
      <c r="X36" s="5" t="str">
        <f aca="false">IF(K36+L36&gt;0,"Yes",IF(M36&gt;0,"No","Unclear"))</f>
        <v>Yes</v>
      </c>
      <c r="Y36" s="5" t="str">
        <f aca="false">INDEX('API Data'!$H$2:$H$152,MATCH(B36,'API Data'!$A$2:$A$152,0))</f>
        <v>Yes</v>
      </c>
      <c r="Z36" s="5" t="str">
        <f aca="false">IF(COUNTIFS('Product Rows'!$A$2:$A$696,B36,'Product Rows'!$B$2:$B$696,C36,'Product Rows'!$I$2:$I$696,"Yes")&gt;0,"Yes","No")</f>
        <v>Yes</v>
      </c>
      <c r="AA36" s="5" t="str">
        <f aca="false">IF(P36&gt;=Inputs!$D$22,"Yes","No")</f>
        <v>Yes</v>
      </c>
      <c r="AB36" s="10" t="b">
        <f aca="false">AND(OR(Inputs!$B$17&lt;&gt;"Exclude",V36="Yes"),OR(Inputs!$B$18&lt;&gt;"Exclude",W36&lt;&gt;"No"),OR(Inputs!$B$19&lt;&gt;"Exclude",X36&lt;&gt;"No"),OR(Inputs!$B$20&lt;&gt;"Exclude",Y36="No"),OR(Inputs!$B$21&lt;&gt;"Exclude",Z36="No"),OR(Inputs!$B$22&lt;&gt;"Exclude",AA36="Yes"),ISNUMBER(U36))</f>
        <v>1</v>
      </c>
      <c r="AC36" s="5" t="n">
        <f aca="false">IF(AB36,COUNTIFS($C$5:$C$337,C36,$AB$5:$AB$337,TRUE(),$U$5:$U$337,"&gt;"&amp;U36)+COUNTIFS($C$5:C36,C36,$AB$5:AB36,TRUE(),$U$5:U36,U36),"")</f>
        <v>2</v>
      </c>
      <c r="AD36" s="5" t="str">
        <f aca="false">IF(AC36="","Not eligible",IF(AC36&lt;=Inputs!$B$25,"Lead",IF(AC36&lt;=Inputs!$B$25+Inputs!$B$26,"Next wave","Long list")))</f>
        <v>Lead</v>
      </c>
      <c r="AE36" s="5" t="str">
        <f aca="false">IF(AND(K36+L36=0,M36&gt;0),"Safety upgrade of existing prefilled syringe",IF(K36+L36+M36=0,"Confirm presentation (not stated in source)",IF(AA36="Yes","Differentiation in crowded generic market","Safety-device mandate compliance")))</f>
        <v>Differentiation in crowded generic market</v>
      </c>
      <c r="AF36" s="5" t="str">
        <f aca="false">IF(AC36="","",C36&amp;"|"&amp;AC36)</f>
        <v>Dr. Reddy's Laboratories|2</v>
      </c>
    </row>
    <row r="37" customFormat="false" ht="15" hidden="false" customHeight="false" outlineLevel="0" collapsed="false">
      <c r="A37" s="5" t="n">
        <f aca="false">IF(ISNUMBER(U37),RANK(U37,$U$5:$U$337),"")</f>
        <v>9</v>
      </c>
      <c r="B37" s="5" t="s">
        <v>62</v>
      </c>
      <c r="C37" s="5" t="s">
        <v>35</v>
      </c>
      <c r="D37" s="5" t="str">
        <f aca="false">INDEX('API Data'!$B$2:$B$152,MATCH(B37,'API Data'!$A$2:$A$152,0))</f>
        <v>Oncology – multiple myeloma &amp; mantle cell lymphoma</v>
      </c>
      <c r="E37" s="5" t="n">
        <f aca="false">COUNTIFS('Market Listing'!$A$2:$A$4054,B37,'Market Listing'!$B$2:$B$4054,C37)</f>
        <v>30</v>
      </c>
      <c r="F37" s="5" t="n">
        <f aca="false">COUNTIFS('Market Listing'!$A$2:$A$4054,B37,'Market Listing'!$B$2:$B$4054,C37,'Market Listing'!$D$2:$D$4054,"Tier 1")</f>
        <v>6</v>
      </c>
      <c r="G37" s="5" t="n">
        <f aca="false">COUNTIFS('Market Listing'!$A$2:$A$4054,B37,'Market Listing'!$B$2:$B$4054,C37,'Market Listing'!$D$2:$D$4054,"Tier 2")</f>
        <v>3</v>
      </c>
      <c r="H37" s="5" t="n">
        <f aca="false">COUNTIFS('Market Listing'!$A$2:$A$4054,B37,'Market Listing'!$B$2:$B$4054,C37,'Market Listing'!$D$2:$D$4054,"Tier 3")</f>
        <v>21</v>
      </c>
      <c r="I37" s="5" t="n">
        <f aca="false">SUMIFS('Market Listing'!$E$2:$E$4054,'Market Listing'!$A$2:$A$4054,B37,'Market Listing'!$B$2:$B$4054,C37)</f>
        <v>45</v>
      </c>
      <c r="J37" s="5" t="n">
        <f aca="false">COUNTIFS('Product Rows'!$A$2:$A$696,B37,'Product Rows'!$B$2:$B$696,C37)</f>
        <v>2</v>
      </c>
      <c r="K37" s="5" t="n">
        <f aca="false">COUNTIFS('Product Rows'!$A$2:$A$696,B37,'Product Rows'!$B$2:$B$696,C37,'Product Rows'!$G$2:$G$696,"Vial")</f>
        <v>2</v>
      </c>
      <c r="L37" s="5" t="n">
        <f aca="false">COUNTIFS('Product Rows'!$A$2:$A$696,B37,'Product Rows'!$B$2:$B$696,C37,'Product Rows'!$G$2:$G$696,"Ampoule")</f>
        <v>0</v>
      </c>
      <c r="M37" s="5" t="n">
        <f aca="false">COUNTIFS('Product Rows'!$A$2:$A$696,B37,'Product Rows'!$B$2:$B$696,C37,'Product Rows'!$G$2:$G$696,"Prefilled syringe/pen")</f>
        <v>0</v>
      </c>
      <c r="N37" s="6" t="n">
        <f aca="false">IFERROR(AVERAGEIFS('Product Rows'!$H$2:$H$696,'Product Rows'!$A$2:$A$696,B37,'Product Rows'!$B$2:$B$696,C37),"")</f>
        <v>1212.9057</v>
      </c>
      <c r="O37" s="7" t="n">
        <f aca="false">INDEX('API Data'!$E$2:$E$152,MATCH(B37,'API Data'!$A$2:$A$152,0))</f>
        <v>28093.38</v>
      </c>
      <c r="P37" s="5" t="n">
        <f aca="false">COUNTIF($B$5:$B$337,B37)</f>
        <v>10</v>
      </c>
      <c r="Q37" s="8" t="n">
        <f aca="false">IF(ISNUMBER(I37),PERCENTRANK($I$5:$I$337,I37),"")</f>
        <v>0.837</v>
      </c>
      <c r="R37" s="8" t="n">
        <f aca="false">IF(ISNUMBER(N37),PERCENTRANK($N$5:$N$337,N37),"")</f>
        <v>0.971</v>
      </c>
      <c r="S37" s="8" t="n">
        <f aca="false">IF(ISNUMBER(O37),PERCENTRANK($O$5:$O$337,O37),"")</f>
        <v>0.792</v>
      </c>
      <c r="T37" s="8" t="n">
        <f aca="false">IF(ISNUMBER(P37),PERCENTRANK($P$5:$P$337,P37),"")</f>
        <v>0.937</v>
      </c>
      <c r="U37" s="9" t="n">
        <f aca="false">IF((IF(ISNUMBER(Q37),Inputs!$B$4,0)+IF(ISNUMBER(R37),Inputs!$B$5,0)+IF(ISNUMBER(S37),Inputs!$B$6,0)+IF(ISNUMBER(T37),Inputs!$B$7,0))=0,"",(IF(ISNUMBER(Q37),Inputs!$B$4*Q37,0)+IF(ISNUMBER(R37),Inputs!$B$5*R37,0)+IF(ISNUMBER(S37),Inputs!$B$6*S37,0)+IF(ISNUMBER(T37),Inputs!$B$7*T37,0))/(IF(ISNUMBER(Q37),Inputs!$B$4,0)+IF(ISNUMBER(R37),Inputs!$B$5,0)+IF(ISNUMBER(S37),Inputs!$B$6,0)+IF(ISNUMBER(T37),Inputs!$B$7,0)))</f>
        <v>0.8815</v>
      </c>
      <c r="V37" s="5" t="str">
        <f aca="false">IF(F37&gt;0,"Yes","No")</f>
        <v>Yes</v>
      </c>
      <c r="W37" s="5" t="str">
        <f aca="false">IF(ISNUMBER(N37),IF(N37&gt;=Inputs!$D$18,"Yes","No"),"No price")</f>
        <v>Yes</v>
      </c>
      <c r="X37" s="5" t="str">
        <f aca="false">IF(K37+L37&gt;0,"Yes",IF(M37&gt;0,"No","Unclear"))</f>
        <v>Yes</v>
      </c>
      <c r="Y37" s="5" t="str">
        <f aca="false">INDEX('API Data'!$H$2:$H$152,MATCH(B37,'API Data'!$A$2:$A$152,0))</f>
        <v>Yes</v>
      </c>
      <c r="Z37" s="5" t="str">
        <f aca="false">IF(COUNTIFS('Product Rows'!$A$2:$A$696,B37,'Product Rows'!$B$2:$B$696,C37,'Product Rows'!$I$2:$I$696,"Yes")&gt;0,"Yes","No")</f>
        <v>Yes</v>
      </c>
      <c r="AA37" s="5" t="str">
        <f aca="false">IF(P37&gt;=Inputs!$D$22,"Yes","No")</f>
        <v>Yes</v>
      </c>
      <c r="AB37" s="10" t="b">
        <f aca="false">AND(OR(Inputs!$B$17&lt;&gt;"Exclude",V37="Yes"),OR(Inputs!$B$18&lt;&gt;"Exclude",W37&lt;&gt;"No"),OR(Inputs!$B$19&lt;&gt;"Exclude",X37&lt;&gt;"No"),OR(Inputs!$B$20&lt;&gt;"Exclude",Y37="No"),OR(Inputs!$B$21&lt;&gt;"Exclude",Z37="No"),OR(Inputs!$B$22&lt;&gt;"Exclude",AA37="Yes"),ISNUMBER(U37))</f>
        <v>1</v>
      </c>
      <c r="AC37" s="5" t="n">
        <f aca="false">IF(AB37,COUNTIFS($C$5:$C$337,C37,$AB$5:$AB$337,TRUE(),$U$5:$U$337,"&gt;"&amp;U37)+COUNTIFS($C$5:C37,C37,$AB$5:AB37,TRUE(),$U$5:U37,U37),"")</f>
        <v>2</v>
      </c>
      <c r="AD37" s="5" t="str">
        <f aca="false">IF(AC37="","Not eligible",IF(AC37&lt;=Inputs!$B$25,"Lead",IF(AC37&lt;=Inputs!$B$25+Inputs!$B$26,"Next wave","Long list")))</f>
        <v>Lead</v>
      </c>
      <c r="AE37" s="5" t="str">
        <f aca="false">IF(AND(K37+L37=0,M37&gt;0),"Safety upgrade of existing prefilled syringe",IF(K37+L37+M37=0,"Confirm presentation (not stated in source)",IF(AA37="Yes","Differentiation in crowded generic market","Safety-device mandate compliance")))</f>
        <v>Differentiation in crowded generic market</v>
      </c>
      <c r="AF37" s="5" t="str">
        <f aca="false">IF(AC37="","",C37&amp;"|"&amp;AC37)</f>
        <v>Emcure Pharmaceuticals|2</v>
      </c>
    </row>
    <row r="38" customFormat="false" ht="15" hidden="false" customHeight="false" outlineLevel="0" collapsed="false">
      <c r="A38" s="5" t="n">
        <f aca="false">IF(ISNUMBER(U38),RANK(U38,$U$5:$U$337),"")</f>
        <v>58</v>
      </c>
      <c r="B38" s="5" t="s">
        <v>62</v>
      </c>
      <c r="C38" s="5" t="s">
        <v>56</v>
      </c>
      <c r="D38" s="5" t="str">
        <f aca="false">INDEX('API Data'!$B$2:$B$152,MATCH(B38,'API Data'!$A$2:$A$152,0))</f>
        <v>Oncology – multiple myeloma &amp; mantle cell lymphoma</v>
      </c>
      <c r="E38" s="5" t="n">
        <f aca="false">COUNTIFS('Market Listing'!$A$2:$A$4054,B38,'Market Listing'!$B$2:$B$4054,C38)</f>
        <v>30</v>
      </c>
      <c r="F38" s="5" t="n">
        <f aca="false">COUNTIFS('Market Listing'!$A$2:$A$4054,B38,'Market Listing'!$B$2:$B$4054,C38,'Market Listing'!$D$2:$D$4054,"Tier 1")</f>
        <v>5</v>
      </c>
      <c r="G38" s="5" t="n">
        <f aca="false">COUNTIFS('Market Listing'!$A$2:$A$4054,B38,'Market Listing'!$B$2:$B$4054,C38,'Market Listing'!$D$2:$D$4054,"Tier 2")</f>
        <v>4</v>
      </c>
      <c r="H38" s="5" t="n">
        <f aca="false">COUNTIFS('Market Listing'!$A$2:$A$4054,B38,'Market Listing'!$B$2:$B$4054,C38,'Market Listing'!$D$2:$D$4054,"Tier 3")</f>
        <v>21</v>
      </c>
      <c r="I38" s="5" t="n">
        <f aca="false">SUMIFS('Market Listing'!$E$2:$E$4054,'Market Listing'!$A$2:$A$4054,B38,'Market Listing'!$B$2:$B$4054,C38)</f>
        <v>44</v>
      </c>
      <c r="J38" s="5" t="n">
        <f aca="false">COUNTIFS('Product Rows'!$A$2:$A$696,B38,'Product Rows'!$B$2:$B$696,C38)</f>
        <v>3</v>
      </c>
      <c r="K38" s="5" t="n">
        <f aca="false">COUNTIFS('Product Rows'!$A$2:$A$696,B38,'Product Rows'!$B$2:$B$696,C38,'Product Rows'!$G$2:$G$696,"Vial")</f>
        <v>3</v>
      </c>
      <c r="L38" s="5" t="n">
        <f aca="false">COUNTIFS('Product Rows'!$A$2:$A$696,B38,'Product Rows'!$B$2:$B$696,C38,'Product Rows'!$G$2:$G$696,"Ampoule")</f>
        <v>0</v>
      </c>
      <c r="M38" s="5" t="n">
        <f aca="false">COUNTIFS('Product Rows'!$A$2:$A$696,B38,'Product Rows'!$B$2:$B$696,C38,'Product Rows'!$G$2:$G$696,"Prefilled syringe/pen")</f>
        <v>0</v>
      </c>
      <c r="N38" s="6" t="n">
        <f aca="false">IFERROR(AVERAGEIFS('Product Rows'!$H$2:$H$696,'Product Rows'!$A$2:$A$696,B38,'Product Rows'!$B$2:$B$696,C38),"")</f>
        <v>64.9138666666667</v>
      </c>
      <c r="O38" s="7" t="n">
        <f aca="false">INDEX('API Data'!$E$2:$E$152,MATCH(B38,'API Data'!$A$2:$A$152,0))</f>
        <v>28093.38</v>
      </c>
      <c r="P38" s="5" t="n">
        <f aca="false">COUNTIF($B$5:$B$337,B38)</f>
        <v>10</v>
      </c>
      <c r="Q38" s="8" t="n">
        <f aca="false">IF(ISNUMBER(I38),PERCENTRANK($I$5:$I$337,I38),"")</f>
        <v>0.798</v>
      </c>
      <c r="R38" s="8" t="n">
        <f aca="false">IF(ISNUMBER(N38),PERCENTRANK($N$5:$N$337,N38),"")</f>
        <v>0.667</v>
      </c>
      <c r="S38" s="8" t="n">
        <f aca="false">IF(ISNUMBER(O38),PERCENTRANK($O$5:$O$337,O38),"")</f>
        <v>0.792</v>
      </c>
      <c r="T38" s="8" t="n">
        <f aca="false">IF(ISNUMBER(P38),PERCENTRANK($P$5:$P$337,P38),"")</f>
        <v>0.937</v>
      </c>
      <c r="U38" s="9" t="n">
        <f aca="false">IF((IF(ISNUMBER(Q38),Inputs!$B$4,0)+IF(ISNUMBER(R38),Inputs!$B$5,0)+IF(ISNUMBER(S38),Inputs!$B$6,0)+IF(ISNUMBER(T38),Inputs!$B$7,0))=0,"",(IF(ISNUMBER(Q38),Inputs!$B$4*Q38,0)+IF(ISNUMBER(R38),Inputs!$B$5*R38,0)+IF(ISNUMBER(S38),Inputs!$B$6*S38,0)+IF(ISNUMBER(T38),Inputs!$B$7*T38,0))/(IF(ISNUMBER(Q38),Inputs!$B$4,0)+IF(ISNUMBER(R38),Inputs!$B$5,0)+IF(ISNUMBER(S38),Inputs!$B$6,0)+IF(ISNUMBER(T38),Inputs!$B$7,0)))</f>
        <v>0.7295</v>
      </c>
      <c r="V38" s="5" t="str">
        <f aca="false">IF(F38&gt;0,"Yes","No")</f>
        <v>Yes</v>
      </c>
      <c r="W38" s="5" t="str">
        <f aca="false">IF(ISNUMBER(N38),IF(N38&gt;=Inputs!$D$18,"Yes","No"),"No price")</f>
        <v>Yes</v>
      </c>
      <c r="X38" s="5" t="str">
        <f aca="false">IF(K38+L38&gt;0,"Yes",IF(M38&gt;0,"No","Unclear"))</f>
        <v>Yes</v>
      </c>
      <c r="Y38" s="5" t="str">
        <f aca="false">INDEX('API Data'!$H$2:$H$152,MATCH(B38,'API Data'!$A$2:$A$152,0))</f>
        <v>Yes</v>
      </c>
      <c r="Z38" s="5" t="str">
        <f aca="false">IF(COUNTIFS('Product Rows'!$A$2:$A$696,B38,'Product Rows'!$B$2:$B$696,C38,'Product Rows'!$I$2:$I$696,"Yes")&gt;0,"Yes","No")</f>
        <v>Yes</v>
      </c>
      <c r="AA38" s="5" t="str">
        <f aca="false">IF(P38&gt;=Inputs!$D$22,"Yes","No")</f>
        <v>Yes</v>
      </c>
      <c r="AB38" s="10" t="b">
        <f aca="false">AND(OR(Inputs!$B$17&lt;&gt;"Exclude",V38="Yes"),OR(Inputs!$B$18&lt;&gt;"Exclude",W38&lt;&gt;"No"),OR(Inputs!$B$19&lt;&gt;"Exclude",X38&lt;&gt;"No"),OR(Inputs!$B$20&lt;&gt;"Exclude",Y38="No"),OR(Inputs!$B$21&lt;&gt;"Exclude",Z38="No"),OR(Inputs!$B$22&lt;&gt;"Exclude",AA38="Yes"),ISNUMBER(U38))</f>
        <v>1</v>
      </c>
      <c r="AC38" s="5" t="n">
        <f aca="false">IF(AB38,COUNTIFS($C$5:$C$337,C38,$AB$5:$AB$337,TRUE(),$U$5:$U$337,"&gt;"&amp;U38)+COUNTIFS($C$5:C38,C38,$AB$5:AB38,TRUE(),$U$5:U38,U38),"")</f>
        <v>5</v>
      </c>
      <c r="AD38" s="5" t="str">
        <f aca="false">IF(AC38="","Not eligible",IF(AC38&lt;=Inputs!$B$25,"Lead",IF(AC38&lt;=Inputs!$B$25+Inputs!$B$26,"Next wave","Long list")))</f>
        <v>Lead</v>
      </c>
      <c r="AE38" s="5" t="str">
        <f aca="false">IF(AND(K38+L38=0,M38&gt;0),"Safety upgrade of existing prefilled syringe",IF(K38+L38+M38=0,"Confirm presentation (not stated in source)",IF(AA38="Yes","Differentiation in crowded generic market","Safety-device mandate compliance")))</f>
        <v>Differentiation in crowded generic market</v>
      </c>
      <c r="AF38" s="5" t="str">
        <f aca="false">IF(AC38="","",C38&amp;"|"&amp;AC38)</f>
        <v>Glenmark Pharmaceuticals|5</v>
      </c>
    </row>
    <row r="39" customFormat="false" ht="15" hidden="false" customHeight="false" outlineLevel="0" collapsed="false">
      <c r="A39" s="5" t="n">
        <f aca="false">IF(ISNUMBER(U39),RANK(U39,$U$5:$U$337),"")</f>
        <v>22</v>
      </c>
      <c r="B39" s="5" t="s">
        <v>62</v>
      </c>
      <c r="C39" s="5" t="s">
        <v>57</v>
      </c>
      <c r="D39" s="5" t="str">
        <f aca="false">INDEX('API Data'!$B$2:$B$152,MATCH(B39,'API Data'!$A$2:$A$152,0))</f>
        <v>Oncology – multiple myeloma &amp; mantle cell lymphoma</v>
      </c>
      <c r="E39" s="5" t="n">
        <f aca="false">COUNTIFS('Market Listing'!$A$2:$A$4054,B39,'Market Listing'!$B$2:$B$4054,C39)</f>
        <v>33</v>
      </c>
      <c r="F39" s="5" t="n">
        <f aca="false">COUNTIFS('Market Listing'!$A$2:$A$4054,B39,'Market Listing'!$B$2:$B$4054,C39,'Market Listing'!$D$2:$D$4054,"Tier 1")</f>
        <v>7</v>
      </c>
      <c r="G39" s="5" t="n">
        <f aca="false">COUNTIFS('Market Listing'!$A$2:$A$4054,B39,'Market Listing'!$B$2:$B$4054,C39,'Market Listing'!$D$2:$D$4054,"Tier 2")</f>
        <v>5</v>
      </c>
      <c r="H39" s="5" t="n">
        <f aca="false">COUNTIFS('Market Listing'!$A$2:$A$4054,B39,'Market Listing'!$B$2:$B$4054,C39,'Market Listing'!$D$2:$D$4054,"Tier 3")</f>
        <v>21</v>
      </c>
      <c r="I39" s="5" t="n">
        <f aca="false">SUMIFS('Market Listing'!$E$2:$E$4054,'Market Listing'!$A$2:$A$4054,B39,'Market Listing'!$B$2:$B$4054,C39)</f>
        <v>52</v>
      </c>
      <c r="J39" s="5" t="n">
        <f aca="false">COUNTIFS('Product Rows'!$A$2:$A$696,B39,'Product Rows'!$B$2:$B$696,C39)</f>
        <v>8</v>
      </c>
      <c r="K39" s="5" t="n">
        <f aca="false">COUNTIFS('Product Rows'!$A$2:$A$696,B39,'Product Rows'!$B$2:$B$696,C39,'Product Rows'!$G$2:$G$696,"Vial")</f>
        <v>8</v>
      </c>
      <c r="L39" s="5" t="n">
        <f aca="false">COUNTIFS('Product Rows'!$A$2:$A$696,B39,'Product Rows'!$B$2:$B$696,C39,'Product Rows'!$G$2:$G$696,"Ampoule")</f>
        <v>0</v>
      </c>
      <c r="M39" s="5" t="n">
        <f aca="false">COUNTIFS('Product Rows'!$A$2:$A$696,B39,'Product Rows'!$B$2:$B$696,C39,'Product Rows'!$G$2:$G$696,"Prefilled syringe/pen")</f>
        <v>0</v>
      </c>
      <c r="N39" s="6" t="n">
        <f aca="false">IFERROR(AVERAGEIFS('Product Rows'!$H$2:$H$696,'Product Rows'!$A$2:$A$696,B39,'Product Rows'!$B$2:$B$696,C39),"")</f>
        <v>295.745342857143</v>
      </c>
      <c r="O39" s="7" t="n">
        <f aca="false">INDEX('API Data'!$E$2:$E$152,MATCH(B39,'API Data'!$A$2:$A$152,0))</f>
        <v>28093.38</v>
      </c>
      <c r="P39" s="5" t="n">
        <f aca="false">COUNTIF($B$5:$B$337,B39)</f>
        <v>10</v>
      </c>
      <c r="Q39" s="8" t="n">
        <f aca="false">IF(ISNUMBER(I39),PERCENTRANK($I$5:$I$337,I39),"")</f>
        <v>0.979</v>
      </c>
      <c r="R39" s="8" t="n">
        <f aca="false">IF(ISNUMBER(N39),PERCENTRANK($N$5:$N$337,N39),"")</f>
        <v>0.878</v>
      </c>
      <c r="S39" s="8" t="n">
        <f aca="false">IF(ISNUMBER(O39),PERCENTRANK($O$5:$O$337,O39),"")</f>
        <v>0.792</v>
      </c>
      <c r="T39" s="8" t="n">
        <f aca="false">IF(ISNUMBER(P39),PERCENTRANK($P$5:$P$337,P39),"")</f>
        <v>0.937</v>
      </c>
      <c r="U39" s="9" t="n">
        <f aca="false">IF((IF(ISNUMBER(Q39),Inputs!$B$4,0)+IF(ISNUMBER(R39),Inputs!$B$5,0)+IF(ISNUMBER(S39),Inputs!$B$6,0)+IF(ISNUMBER(T39),Inputs!$B$7,0))=0,"",(IF(ISNUMBER(Q39),Inputs!$B$4*Q39,0)+IF(ISNUMBER(R39),Inputs!$B$5*R39,0)+IF(ISNUMBER(S39),Inputs!$B$6*S39,0)+IF(ISNUMBER(T39),Inputs!$B$7*T39,0))/(IF(ISNUMBER(Q39),Inputs!$B$4,0)+IF(ISNUMBER(R39),Inputs!$B$5,0)+IF(ISNUMBER(S39),Inputs!$B$6,0)+IF(ISNUMBER(T39),Inputs!$B$7,0)))</f>
        <v>0.835</v>
      </c>
      <c r="V39" s="5" t="str">
        <f aca="false">IF(F39&gt;0,"Yes","No")</f>
        <v>Yes</v>
      </c>
      <c r="W39" s="5" t="str">
        <f aca="false">IF(ISNUMBER(N39),IF(N39&gt;=Inputs!$D$18,"Yes","No"),"No price")</f>
        <v>Yes</v>
      </c>
      <c r="X39" s="5" t="str">
        <f aca="false">IF(K39+L39&gt;0,"Yes",IF(M39&gt;0,"No","Unclear"))</f>
        <v>Yes</v>
      </c>
      <c r="Y39" s="5" t="str">
        <f aca="false">INDEX('API Data'!$H$2:$H$152,MATCH(B39,'API Data'!$A$2:$A$152,0))</f>
        <v>Yes</v>
      </c>
      <c r="Z39" s="5" t="str">
        <f aca="false">IF(COUNTIFS('Product Rows'!$A$2:$A$696,B39,'Product Rows'!$B$2:$B$696,C39,'Product Rows'!$I$2:$I$696,"Yes")&gt;0,"Yes","No")</f>
        <v>Yes</v>
      </c>
      <c r="AA39" s="5" t="str">
        <f aca="false">IF(P39&gt;=Inputs!$D$22,"Yes","No")</f>
        <v>Yes</v>
      </c>
      <c r="AB39" s="10" t="b">
        <f aca="false">AND(OR(Inputs!$B$17&lt;&gt;"Exclude",V39="Yes"),OR(Inputs!$B$18&lt;&gt;"Exclude",W39&lt;&gt;"No"),OR(Inputs!$B$19&lt;&gt;"Exclude",X39&lt;&gt;"No"),OR(Inputs!$B$20&lt;&gt;"Exclude",Y39="No"),OR(Inputs!$B$21&lt;&gt;"Exclude",Z39="No"),OR(Inputs!$B$22&lt;&gt;"Exclude",AA39="Yes"),ISNUMBER(U39))</f>
        <v>1</v>
      </c>
      <c r="AC39" s="5" t="n">
        <f aca="false">IF(AB39,COUNTIFS($C$5:$C$337,C39,$AB$5:$AB$337,TRUE(),$U$5:$U$337,"&gt;"&amp;U39)+COUNTIFS($C$5:C39,C39,$AB$5:AB39,TRUE(),$U$5:U39,U39),"")</f>
        <v>3</v>
      </c>
      <c r="AD39" s="5" t="str">
        <f aca="false">IF(AC39="","Not eligible",IF(AC39&lt;=Inputs!$B$25,"Lead",IF(AC39&lt;=Inputs!$B$25+Inputs!$B$26,"Next wave","Long list")))</f>
        <v>Lead</v>
      </c>
      <c r="AE39" s="5" t="str">
        <f aca="false">IF(AND(K39+L39=0,M39&gt;0),"Safety upgrade of existing prefilled syringe",IF(K39+L39+M39=0,"Confirm presentation (not stated in source)",IF(AA39="Yes","Differentiation in crowded generic market","Safety-device mandate compliance")))</f>
        <v>Differentiation in crowded generic market</v>
      </c>
      <c r="AF39" s="5" t="str">
        <f aca="false">IF(AC39="","",C39&amp;"|"&amp;AC39)</f>
        <v>Hetero Labs|3</v>
      </c>
    </row>
    <row r="40" customFormat="false" ht="15" hidden="false" customHeight="false" outlineLevel="0" collapsed="false">
      <c r="A40" s="5" t="n">
        <f aca="false">IF(ISNUMBER(U40),RANK(U40,$U$5:$U$337),"")</f>
        <v>17</v>
      </c>
      <c r="B40" s="5" t="s">
        <v>62</v>
      </c>
      <c r="C40" s="5" t="s">
        <v>44</v>
      </c>
      <c r="D40" s="5" t="str">
        <f aca="false">INDEX('API Data'!$B$2:$B$152,MATCH(B40,'API Data'!$A$2:$A$152,0))</f>
        <v>Oncology – multiple myeloma &amp; mantle cell lymphoma</v>
      </c>
      <c r="E40" s="5" t="n">
        <f aca="false">COUNTIFS('Market Listing'!$A$2:$A$4054,B40,'Market Listing'!$B$2:$B$4054,C40)</f>
        <v>32</v>
      </c>
      <c r="F40" s="5" t="n">
        <f aca="false">COUNTIFS('Market Listing'!$A$2:$A$4054,B40,'Market Listing'!$B$2:$B$4054,C40,'Market Listing'!$D$2:$D$4054,"Tier 1")</f>
        <v>6</v>
      </c>
      <c r="G40" s="5" t="n">
        <f aca="false">COUNTIFS('Market Listing'!$A$2:$A$4054,B40,'Market Listing'!$B$2:$B$4054,C40,'Market Listing'!$D$2:$D$4054,"Tier 2")</f>
        <v>5</v>
      </c>
      <c r="H40" s="5" t="n">
        <f aca="false">COUNTIFS('Market Listing'!$A$2:$A$4054,B40,'Market Listing'!$B$2:$B$4054,C40,'Market Listing'!$D$2:$D$4054,"Tier 3")</f>
        <v>21</v>
      </c>
      <c r="I40" s="5" t="n">
        <f aca="false">SUMIFS('Market Listing'!$E$2:$E$4054,'Market Listing'!$A$2:$A$4054,B40,'Market Listing'!$B$2:$B$4054,C40)</f>
        <v>49</v>
      </c>
      <c r="J40" s="5" t="n">
        <f aca="false">COUNTIFS('Product Rows'!$A$2:$A$696,B40,'Product Rows'!$B$2:$B$696,C40)</f>
        <v>7</v>
      </c>
      <c r="K40" s="5" t="n">
        <f aca="false">COUNTIFS('Product Rows'!$A$2:$A$696,B40,'Product Rows'!$B$2:$B$696,C40,'Product Rows'!$G$2:$G$696,"Vial")</f>
        <v>6</v>
      </c>
      <c r="L40" s="5" t="n">
        <f aca="false">COUNTIFS('Product Rows'!$A$2:$A$696,B40,'Product Rows'!$B$2:$B$696,C40,'Product Rows'!$G$2:$G$696,"Ampoule")</f>
        <v>0</v>
      </c>
      <c r="M40" s="5" t="n">
        <f aca="false">COUNTIFS('Product Rows'!$A$2:$A$696,B40,'Product Rows'!$B$2:$B$696,C40,'Product Rows'!$G$2:$G$696,"Prefilled syringe/pen")</f>
        <v>1</v>
      </c>
      <c r="N40" s="6" t="n">
        <f aca="false">IFERROR(AVERAGEIFS('Product Rows'!$H$2:$H$696,'Product Rows'!$A$2:$A$696,B40,'Product Rows'!$B$2:$B$696,C40),"")</f>
        <v>569.272466666667</v>
      </c>
      <c r="O40" s="7" t="n">
        <f aca="false">INDEX('API Data'!$E$2:$E$152,MATCH(B40,'API Data'!$A$2:$A$152,0))</f>
        <v>28093.38</v>
      </c>
      <c r="P40" s="5" t="n">
        <f aca="false">COUNTIF($B$5:$B$337,B40)</f>
        <v>10</v>
      </c>
      <c r="Q40" s="8" t="n">
        <f aca="false">IF(ISNUMBER(I40),PERCENTRANK($I$5:$I$337,I40),"")</f>
        <v>0.934</v>
      </c>
      <c r="R40" s="8" t="n">
        <f aca="false">IF(ISNUMBER(N40),PERCENTRANK($N$5:$N$337,N40),"")</f>
        <v>0.946</v>
      </c>
      <c r="S40" s="8" t="n">
        <f aca="false">IF(ISNUMBER(O40),PERCENTRANK($O$5:$O$337,O40),"")</f>
        <v>0.792</v>
      </c>
      <c r="T40" s="8" t="n">
        <f aca="false">IF(ISNUMBER(P40),PERCENTRANK($P$5:$P$337,P40),"")</f>
        <v>0.937</v>
      </c>
      <c r="U40" s="9" t="n">
        <f aca="false">IF((IF(ISNUMBER(Q40),Inputs!$B$4,0)+IF(ISNUMBER(R40),Inputs!$B$5,0)+IF(ISNUMBER(S40),Inputs!$B$6,0)+IF(ISNUMBER(T40),Inputs!$B$7,0))=0,"",(IF(ISNUMBER(Q40),Inputs!$B$4*Q40,0)+IF(ISNUMBER(R40),Inputs!$B$5*R40,0)+IF(ISNUMBER(S40),Inputs!$B$6*S40,0)+IF(ISNUMBER(T40),Inputs!$B$7*T40,0))/(IF(ISNUMBER(Q40),Inputs!$B$4,0)+IF(ISNUMBER(R40),Inputs!$B$5,0)+IF(ISNUMBER(S40),Inputs!$B$6,0)+IF(ISNUMBER(T40),Inputs!$B$7,0)))</f>
        <v>0.869</v>
      </c>
      <c r="V40" s="5" t="str">
        <f aca="false">IF(F40&gt;0,"Yes","No")</f>
        <v>Yes</v>
      </c>
      <c r="W40" s="5" t="str">
        <f aca="false">IF(ISNUMBER(N40),IF(N40&gt;=Inputs!$D$18,"Yes","No"),"No price")</f>
        <v>Yes</v>
      </c>
      <c r="X40" s="5" t="str">
        <f aca="false">IF(K40+L40&gt;0,"Yes",IF(M40&gt;0,"No","Unclear"))</f>
        <v>Yes</v>
      </c>
      <c r="Y40" s="5" t="str">
        <f aca="false">INDEX('API Data'!$H$2:$H$152,MATCH(B40,'API Data'!$A$2:$A$152,0))</f>
        <v>Yes</v>
      </c>
      <c r="Z40" s="5" t="str">
        <f aca="false">IF(COUNTIFS('Product Rows'!$A$2:$A$696,B40,'Product Rows'!$B$2:$B$696,C40,'Product Rows'!$I$2:$I$696,"Yes")&gt;0,"Yes","No")</f>
        <v>Yes</v>
      </c>
      <c r="AA40" s="5" t="str">
        <f aca="false">IF(P40&gt;=Inputs!$D$22,"Yes","No")</f>
        <v>Yes</v>
      </c>
      <c r="AB40" s="10" t="b">
        <f aca="false">AND(OR(Inputs!$B$17&lt;&gt;"Exclude",V40="Yes"),OR(Inputs!$B$18&lt;&gt;"Exclude",W40&lt;&gt;"No"),OR(Inputs!$B$19&lt;&gt;"Exclude",X40&lt;&gt;"No"),OR(Inputs!$B$20&lt;&gt;"Exclude",Y40="No"),OR(Inputs!$B$21&lt;&gt;"Exclude",Z40="No"),OR(Inputs!$B$22&lt;&gt;"Exclude",AA40="Yes"),ISNUMBER(U40))</f>
        <v>1</v>
      </c>
      <c r="AC40" s="5" t="n">
        <f aca="false">IF(AB40,COUNTIFS($C$5:$C$337,C40,$AB$5:$AB$337,TRUE(),$U$5:$U$337,"&gt;"&amp;U40)+COUNTIFS($C$5:C40,C40,$AB$5:AB40,TRUE(),$U$5:U40,U40),"")</f>
        <v>4</v>
      </c>
      <c r="AD40" s="5" t="str">
        <f aca="false">IF(AC40="","Not eligible",IF(AC40&lt;=Inputs!$B$25,"Lead",IF(AC40&lt;=Inputs!$B$25+Inputs!$B$26,"Next wave","Long list")))</f>
        <v>Lead</v>
      </c>
      <c r="AE40" s="5" t="str">
        <f aca="false">IF(AND(K40+L40=0,M40&gt;0),"Safety upgrade of existing prefilled syringe",IF(K40+L40+M40=0,"Confirm presentation (not stated in source)",IF(AA40="Yes","Differentiation in crowded generic market","Safety-device mandate compliance")))</f>
        <v>Differentiation in crowded generic market</v>
      </c>
      <c r="AF40" s="5" t="str">
        <f aca="false">IF(AC40="","",C40&amp;"|"&amp;AC40)</f>
        <v>Intas Pharmaceuticals|4</v>
      </c>
    </row>
    <row r="41" customFormat="false" ht="15" hidden="false" customHeight="false" outlineLevel="0" collapsed="false">
      <c r="A41" s="5" t="n">
        <f aca="false">IF(ISNUMBER(U41),RANK(U41,$U$5:$U$337),"")</f>
        <v>21</v>
      </c>
      <c r="B41" s="5" t="s">
        <v>62</v>
      </c>
      <c r="C41" s="5" t="s">
        <v>63</v>
      </c>
      <c r="D41" s="5" t="str">
        <f aca="false">INDEX('API Data'!$B$2:$B$152,MATCH(B41,'API Data'!$A$2:$A$152,0))</f>
        <v>Oncology – multiple myeloma &amp; mantle cell lymphoma</v>
      </c>
      <c r="E41" s="5" t="n">
        <f aca="false">COUNTIFS('Market Listing'!$A$2:$A$4054,B41,'Market Listing'!$B$2:$B$4054,C41)</f>
        <v>32</v>
      </c>
      <c r="F41" s="5" t="n">
        <f aca="false">COUNTIFS('Market Listing'!$A$2:$A$4054,B41,'Market Listing'!$B$2:$B$4054,C41,'Market Listing'!$D$2:$D$4054,"Tier 1")</f>
        <v>7</v>
      </c>
      <c r="G41" s="5" t="n">
        <f aca="false">COUNTIFS('Market Listing'!$A$2:$A$4054,B41,'Market Listing'!$B$2:$B$4054,C41,'Market Listing'!$D$2:$D$4054,"Tier 2")</f>
        <v>4</v>
      </c>
      <c r="H41" s="5" t="n">
        <f aca="false">COUNTIFS('Market Listing'!$A$2:$A$4054,B41,'Market Listing'!$B$2:$B$4054,C41,'Market Listing'!$D$2:$D$4054,"Tier 3")</f>
        <v>21</v>
      </c>
      <c r="I41" s="5" t="n">
        <f aca="false">SUMIFS('Market Listing'!$E$2:$E$4054,'Market Listing'!$A$2:$A$4054,B41,'Market Listing'!$B$2:$B$4054,C41)</f>
        <v>50</v>
      </c>
      <c r="J41" s="5" t="n">
        <f aca="false">COUNTIFS('Product Rows'!$A$2:$A$696,B41,'Product Rows'!$B$2:$B$696,C41)</f>
        <v>4</v>
      </c>
      <c r="K41" s="5" t="n">
        <f aca="false">COUNTIFS('Product Rows'!$A$2:$A$696,B41,'Product Rows'!$B$2:$B$696,C41,'Product Rows'!$G$2:$G$696,"Vial")</f>
        <v>4</v>
      </c>
      <c r="L41" s="5" t="n">
        <f aca="false">COUNTIFS('Product Rows'!$A$2:$A$696,B41,'Product Rows'!$B$2:$B$696,C41,'Product Rows'!$G$2:$G$696,"Ampoule")</f>
        <v>0</v>
      </c>
      <c r="M41" s="5" t="n">
        <f aca="false">COUNTIFS('Product Rows'!$A$2:$A$696,B41,'Product Rows'!$B$2:$B$696,C41,'Product Rows'!$G$2:$G$696,"Prefilled syringe/pen")</f>
        <v>0</v>
      </c>
      <c r="N41" s="6" t="n">
        <f aca="false">IFERROR(AVERAGEIFS('Product Rows'!$H$2:$H$696,'Product Rows'!$A$2:$A$696,B41,'Product Rows'!$B$2:$B$696,C41),"")</f>
        <v>360.017325</v>
      </c>
      <c r="O41" s="7" t="n">
        <f aca="false">INDEX('API Data'!$E$2:$E$152,MATCH(B41,'API Data'!$A$2:$A$152,0))</f>
        <v>28093.38</v>
      </c>
      <c r="P41" s="5" t="n">
        <f aca="false">COUNTIF($B$5:$B$337,B41)</f>
        <v>10</v>
      </c>
      <c r="Q41" s="8" t="n">
        <f aca="false">IF(ISNUMBER(I41),PERCENTRANK($I$5:$I$337,I41),"")</f>
        <v>0.955</v>
      </c>
      <c r="R41" s="8" t="n">
        <f aca="false">IF(ISNUMBER(N41),PERCENTRANK($N$5:$N$337,N41),"")</f>
        <v>0.903</v>
      </c>
      <c r="S41" s="8" t="n">
        <f aca="false">IF(ISNUMBER(O41),PERCENTRANK($O$5:$O$337,O41),"")</f>
        <v>0.792</v>
      </c>
      <c r="T41" s="8" t="n">
        <f aca="false">IF(ISNUMBER(P41),PERCENTRANK($P$5:$P$337,P41),"")</f>
        <v>0.937</v>
      </c>
      <c r="U41" s="9" t="n">
        <f aca="false">IF((IF(ISNUMBER(Q41),Inputs!$B$4,0)+IF(ISNUMBER(R41),Inputs!$B$5,0)+IF(ISNUMBER(S41),Inputs!$B$6,0)+IF(ISNUMBER(T41),Inputs!$B$7,0))=0,"",(IF(ISNUMBER(Q41),Inputs!$B$4*Q41,0)+IF(ISNUMBER(R41),Inputs!$B$5*R41,0)+IF(ISNUMBER(S41),Inputs!$B$6*S41,0)+IF(ISNUMBER(T41),Inputs!$B$7*T41,0))/(IF(ISNUMBER(Q41),Inputs!$B$4,0)+IF(ISNUMBER(R41),Inputs!$B$5,0)+IF(ISNUMBER(S41),Inputs!$B$6,0)+IF(ISNUMBER(T41),Inputs!$B$7,0)))</f>
        <v>0.8475</v>
      </c>
      <c r="V41" s="5" t="str">
        <f aca="false">IF(F41&gt;0,"Yes","No")</f>
        <v>Yes</v>
      </c>
      <c r="W41" s="5" t="str">
        <f aca="false">IF(ISNUMBER(N41),IF(N41&gt;=Inputs!$D$18,"Yes","No"),"No price")</f>
        <v>Yes</v>
      </c>
      <c r="X41" s="5" t="str">
        <f aca="false">IF(K41+L41&gt;0,"Yes",IF(M41&gt;0,"No","Unclear"))</f>
        <v>Yes</v>
      </c>
      <c r="Y41" s="5" t="str">
        <f aca="false">INDEX('API Data'!$H$2:$H$152,MATCH(B41,'API Data'!$A$2:$A$152,0))</f>
        <v>Yes</v>
      </c>
      <c r="Z41" s="5" t="str">
        <f aca="false">IF(COUNTIFS('Product Rows'!$A$2:$A$696,B41,'Product Rows'!$B$2:$B$696,C41,'Product Rows'!$I$2:$I$696,"Yes")&gt;0,"Yes","No")</f>
        <v>Yes</v>
      </c>
      <c r="AA41" s="5" t="str">
        <f aca="false">IF(P41&gt;=Inputs!$D$22,"Yes","No")</f>
        <v>Yes</v>
      </c>
      <c r="AB41" s="10" t="b">
        <f aca="false">AND(OR(Inputs!$B$17&lt;&gt;"Exclude",V41="Yes"),OR(Inputs!$B$18&lt;&gt;"Exclude",W41&lt;&gt;"No"),OR(Inputs!$B$19&lt;&gt;"Exclude",X41&lt;&gt;"No"),OR(Inputs!$B$20&lt;&gt;"Exclude",Y41="No"),OR(Inputs!$B$21&lt;&gt;"Exclude",Z41="No"),OR(Inputs!$B$22&lt;&gt;"Exclude",AA41="Yes"),ISNUMBER(U41))</f>
        <v>1</v>
      </c>
      <c r="AC41" s="5" t="n">
        <f aca="false">IF(AB41,COUNTIFS($C$5:$C$337,C41,$AB$5:$AB$337,TRUE(),$U$5:$U$337,"&gt;"&amp;U41)+COUNTIFS($C$5:C41,C41,$AB$5:AB41,TRUE(),$U$5:U41,U41),"")</f>
        <v>1</v>
      </c>
      <c r="AD41" s="5" t="str">
        <f aca="false">IF(AC41="","Not eligible",IF(AC41&lt;=Inputs!$B$25,"Lead",IF(AC41&lt;=Inputs!$B$25+Inputs!$B$26,"Next wave","Long list")))</f>
        <v>Lead</v>
      </c>
      <c r="AE41" s="5" t="str">
        <f aca="false">IF(AND(K41+L41=0,M41&gt;0),"Safety upgrade of existing prefilled syringe",IF(K41+L41+M41=0,"Confirm presentation (not stated in source)",IF(AA41="Yes","Differentiation in crowded generic market","Safety-device mandate compliance")))</f>
        <v>Differentiation in crowded generic market</v>
      </c>
      <c r="AF41" s="5" t="str">
        <f aca="false">IF(AC41="","",C41&amp;"|"&amp;AC41)</f>
        <v>MSN Laboratories|1</v>
      </c>
    </row>
    <row r="42" customFormat="false" ht="15" hidden="false" customHeight="false" outlineLevel="0" collapsed="false">
      <c r="A42" s="5" t="n">
        <f aca="false">IF(ISNUMBER(U42),RANK(U42,$U$5:$U$337),"")</f>
        <v>12</v>
      </c>
      <c r="B42" s="5" t="s">
        <v>62</v>
      </c>
      <c r="C42" s="5" t="s">
        <v>50</v>
      </c>
      <c r="D42" s="5" t="str">
        <f aca="false">INDEX('API Data'!$B$2:$B$152,MATCH(B42,'API Data'!$A$2:$A$152,0))</f>
        <v>Oncology – multiple myeloma &amp; mantle cell lymphoma</v>
      </c>
      <c r="E42" s="5" t="n">
        <f aca="false">COUNTIFS('Market Listing'!$A$2:$A$4054,B42,'Market Listing'!$B$2:$B$4054,C42)</f>
        <v>32</v>
      </c>
      <c r="F42" s="5" t="n">
        <f aca="false">COUNTIFS('Market Listing'!$A$2:$A$4054,B42,'Market Listing'!$B$2:$B$4054,C42,'Market Listing'!$D$2:$D$4054,"Tier 1")</f>
        <v>7</v>
      </c>
      <c r="G42" s="5" t="n">
        <f aca="false">COUNTIFS('Market Listing'!$A$2:$A$4054,B42,'Market Listing'!$B$2:$B$4054,C42,'Market Listing'!$D$2:$D$4054,"Tier 2")</f>
        <v>4</v>
      </c>
      <c r="H42" s="5" t="n">
        <f aca="false">COUNTIFS('Market Listing'!$A$2:$A$4054,B42,'Market Listing'!$B$2:$B$4054,C42,'Market Listing'!$D$2:$D$4054,"Tier 3")</f>
        <v>21</v>
      </c>
      <c r="I42" s="5" t="n">
        <f aca="false">SUMIFS('Market Listing'!$E$2:$E$4054,'Market Listing'!$A$2:$A$4054,B42,'Market Listing'!$B$2:$B$4054,C42)</f>
        <v>50</v>
      </c>
      <c r="J42" s="5" t="n">
        <f aca="false">COUNTIFS('Product Rows'!$A$2:$A$696,B42,'Product Rows'!$B$2:$B$696,C42)</f>
        <v>4</v>
      </c>
      <c r="K42" s="5" t="n">
        <f aca="false">COUNTIFS('Product Rows'!$A$2:$A$696,B42,'Product Rows'!$B$2:$B$696,C42,'Product Rows'!$G$2:$G$696,"Vial")</f>
        <v>4</v>
      </c>
      <c r="L42" s="5" t="n">
        <f aca="false">COUNTIFS('Product Rows'!$A$2:$A$696,B42,'Product Rows'!$B$2:$B$696,C42,'Product Rows'!$G$2:$G$696,"Ampoule")</f>
        <v>0</v>
      </c>
      <c r="M42" s="5" t="n">
        <f aca="false">COUNTIFS('Product Rows'!$A$2:$A$696,B42,'Product Rows'!$B$2:$B$696,C42,'Product Rows'!$G$2:$G$696,"Prefilled syringe/pen")</f>
        <v>0</v>
      </c>
      <c r="N42" s="6" t="n">
        <f aca="false">IFERROR(AVERAGEIFS('Product Rows'!$H$2:$H$696,'Product Rows'!$A$2:$A$696,B42,'Product Rows'!$B$2:$B$696,C42),"")</f>
        <v>887.32785</v>
      </c>
      <c r="O42" s="7" t="n">
        <f aca="false">INDEX('API Data'!$E$2:$E$152,MATCH(B42,'API Data'!$A$2:$A$152,0))</f>
        <v>28093.38</v>
      </c>
      <c r="P42" s="5" t="n">
        <f aca="false">COUNTIF($B$5:$B$337,B42)</f>
        <v>10</v>
      </c>
      <c r="Q42" s="8" t="n">
        <f aca="false">IF(ISNUMBER(I42),PERCENTRANK($I$5:$I$337,I42),"")</f>
        <v>0.955</v>
      </c>
      <c r="R42" s="8" t="n">
        <f aca="false">IF(ISNUMBER(N42),PERCENTRANK($N$5:$N$337,N42),"")</f>
        <v>0.964</v>
      </c>
      <c r="S42" s="8" t="n">
        <f aca="false">IF(ISNUMBER(O42),PERCENTRANK($O$5:$O$337,O42),"")</f>
        <v>0.792</v>
      </c>
      <c r="T42" s="8" t="n">
        <f aca="false">IF(ISNUMBER(P42),PERCENTRANK($P$5:$P$337,P42),"")</f>
        <v>0.937</v>
      </c>
      <c r="U42" s="9" t="n">
        <f aca="false">IF((IF(ISNUMBER(Q42),Inputs!$B$4,0)+IF(ISNUMBER(R42),Inputs!$B$5,0)+IF(ISNUMBER(S42),Inputs!$B$6,0)+IF(ISNUMBER(T42),Inputs!$B$7,0))=0,"",(IF(ISNUMBER(Q42),Inputs!$B$4*Q42,0)+IF(ISNUMBER(R42),Inputs!$B$5*R42,0)+IF(ISNUMBER(S42),Inputs!$B$6*S42,0)+IF(ISNUMBER(T42),Inputs!$B$7*T42,0))/(IF(ISNUMBER(Q42),Inputs!$B$4,0)+IF(ISNUMBER(R42),Inputs!$B$5,0)+IF(ISNUMBER(S42),Inputs!$B$6,0)+IF(ISNUMBER(T42),Inputs!$B$7,0)))</f>
        <v>0.878</v>
      </c>
      <c r="V42" s="5" t="str">
        <f aca="false">IF(F42&gt;0,"Yes","No")</f>
        <v>Yes</v>
      </c>
      <c r="W42" s="5" t="str">
        <f aca="false">IF(ISNUMBER(N42),IF(N42&gt;=Inputs!$D$18,"Yes","No"),"No price")</f>
        <v>Yes</v>
      </c>
      <c r="X42" s="5" t="str">
        <f aca="false">IF(K42+L42&gt;0,"Yes",IF(M42&gt;0,"No","Unclear"))</f>
        <v>Yes</v>
      </c>
      <c r="Y42" s="5" t="str">
        <f aca="false">INDEX('API Data'!$H$2:$H$152,MATCH(B42,'API Data'!$A$2:$A$152,0))</f>
        <v>Yes</v>
      </c>
      <c r="Z42" s="5" t="str">
        <f aca="false">IF(COUNTIFS('Product Rows'!$A$2:$A$696,B42,'Product Rows'!$B$2:$B$696,C42,'Product Rows'!$I$2:$I$696,"Yes")&gt;0,"Yes","No")</f>
        <v>Yes</v>
      </c>
      <c r="AA42" s="5" t="str">
        <f aca="false">IF(P42&gt;=Inputs!$D$22,"Yes","No")</f>
        <v>Yes</v>
      </c>
      <c r="AB42" s="10" t="b">
        <f aca="false">AND(OR(Inputs!$B$17&lt;&gt;"Exclude",V42="Yes"),OR(Inputs!$B$18&lt;&gt;"Exclude",W42&lt;&gt;"No"),OR(Inputs!$B$19&lt;&gt;"Exclude",X42&lt;&gt;"No"),OR(Inputs!$B$20&lt;&gt;"Exclude",Y42="No"),OR(Inputs!$B$21&lt;&gt;"Exclude",Z42="No"),OR(Inputs!$B$22&lt;&gt;"Exclude",AA42="Yes"),ISNUMBER(U42))</f>
        <v>1</v>
      </c>
      <c r="AC42" s="5" t="n">
        <f aca="false">IF(AB42,COUNTIFS($C$5:$C$337,C42,$AB$5:$AB$337,TRUE(),$U$5:$U$337,"&gt;"&amp;U42)+COUNTIFS($C$5:C42,C42,$AB$5:AB42,TRUE(),$U$5:U42,U42),"")</f>
        <v>1</v>
      </c>
      <c r="AD42" s="5" t="str">
        <f aca="false">IF(AC42="","Not eligible",IF(AC42&lt;=Inputs!$B$25,"Lead",IF(AC42&lt;=Inputs!$B$25+Inputs!$B$26,"Next wave","Long list")))</f>
        <v>Lead</v>
      </c>
      <c r="AE42" s="5" t="str">
        <f aca="false">IF(AND(K42+L42=0,M42&gt;0),"Safety upgrade of existing prefilled syringe",IF(K42+L42+M42=0,"Confirm presentation (not stated in source)",IF(AA42="Yes","Differentiation in crowded generic market","Safety-device mandate compliance")))</f>
        <v>Differentiation in crowded generic market</v>
      </c>
      <c r="AF42" s="5" t="str">
        <f aca="false">IF(AC42="","",C42&amp;"|"&amp;AC42)</f>
        <v>Sun Pharma|1</v>
      </c>
    </row>
    <row r="43" customFormat="false" ht="15" hidden="false" customHeight="false" outlineLevel="0" collapsed="false">
      <c r="A43" s="5" t="n">
        <f aca="false">IF(ISNUMBER(U43),RANK(U43,$U$5:$U$337),"")</f>
        <v>15</v>
      </c>
      <c r="B43" s="5" t="s">
        <v>62</v>
      </c>
      <c r="C43" s="5" t="s">
        <v>36</v>
      </c>
      <c r="D43" s="5" t="str">
        <f aca="false">INDEX('API Data'!$B$2:$B$152,MATCH(B43,'API Data'!$A$2:$A$152,0))</f>
        <v>Oncology – multiple myeloma &amp; mantle cell lymphoma</v>
      </c>
      <c r="E43" s="5" t="n">
        <f aca="false">COUNTIFS('Market Listing'!$A$2:$A$4054,B43,'Market Listing'!$B$2:$B$4054,C43)</f>
        <v>32</v>
      </c>
      <c r="F43" s="5" t="n">
        <f aca="false">COUNTIFS('Market Listing'!$A$2:$A$4054,B43,'Market Listing'!$B$2:$B$4054,C43,'Market Listing'!$D$2:$D$4054,"Tier 1")</f>
        <v>7</v>
      </c>
      <c r="G43" s="5" t="n">
        <f aca="false">COUNTIFS('Market Listing'!$A$2:$A$4054,B43,'Market Listing'!$B$2:$B$4054,C43,'Market Listing'!$D$2:$D$4054,"Tier 2")</f>
        <v>4</v>
      </c>
      <c r="H43" s="5" t="n">
        <f aca="false">COUNTIFS('Market Listing'!$A$2:$A$4054,B43,'Market Listing'!$B$2:$B$4054,C43,'Market Listing'!$D$2:$D$4054,"Tier 3")</f>
        <v>21</v>
      </c>
      <c r="I43" s="5" t="n">
        <f aca="false">SUMIFS('Market Listing'!$E$2:$E$4054,'Market Listing'!$A$2:$A$4054,B43,'Market Listing'!$B$2:$B$4054,C43)</f>
        <v>50</v>
      </c>
      <c r="J43" s="5" t="n">
        <f aca="false">COUNTIFS('Product Rows'!$A$2:$A$696,B43,'Product Rows'!$B$2:$B$696,C43)</f>
        <v>4</v>
      </c>
      <c r="K43" s="5" t="n">
        <f aca="false">COUNTIFS('Product Rows'!$A$2:$A$696,B43,'Product Rows'!$B$2:$B$696,C43,'Product Rows'!$G$2:$G$696,"Vial")</f>
        <v>4</v>
      </c>
      <c r="L43" s="5" t="n">
        <f aca="false">COUNTIFS('Product Rows'!$A$2:$A$696,B43,'Product Rows'!$B$2:$B$696,C43,'Product Rows'!$G$2:$G$696,"Ampoule")</f>
        <v>0</v>
      </c>
      <c r="M43" s="5" t="n">
        <f aca="false">COUNTIFS('Product Rows'!$A$2:$A$696,B43,'Product Rows'!$B$2:$B$696,C43,'Product Rows'!$G$2:$G$696,"Prefilled syringe/pen")</f>
        <v>0</v>
      </c>
      <c r="N43" s="6" t="n">
        <f aca="false">IFERROR(AVERAGEIFS('Product Rows'!$H$2:$H$696,'Product Rows'!$A$2:$A$696,B43,'Product Rows'!$B$2:$B$696,C43),"")</f>
        <v>618.92185</v>
      </c>
      <c r="O43" s="7" t="n">
        <f aca="false">INDEX('API Data'!$E$2:$E$152,MATCH(B43,'API Data'!$A$2:$A$152,0))</f>
        <v>28093.38</v>
      </c>
      <c r="P43" s="5" t="n">
        <f aca="false">COUNTIF($B$5:$B$337,B43)</f>
        <v>10</v>
      </c>
      <c r="Q43" s="8" t="n">
        <f aca="false">IF(ISNUMBER(I43),PERCENTRANK($I$5:$I$337,I43),"")</f>
        <v>0.955</v>
      </c>
      <c r="R43" s="8" t="n">
        <f aca="false">IF(ISNUMBER(N43),PERCENTRANK($N$5:$N$337,N43),"")</f>
        <v>0.953</v>
      </c>
      <c r="S43" s="8" t="n">
        <f aca="false">IF(ISNUMBER(O43),PERCENTRANK($O$5:$O$337,O43),"")</f>
        <v>0.792</v>
      </c>
      <c r="T43" s="8" t="n">
        <f aca="false">IF(ISNUMBER(P43),PERCENTRANK($P$5:$P$337,P43),"")</f>
        <v>0.937</v>
      </c>
      <c r="U43" s="9" t="n">
        <f aca="false">IF((IF(ISNUMBER(Q43),Inputs!$B$4,0)+IF(ISNUMBER(R43),Inputs!$B$5,0)+IF(ISNUMBER(S43),Inputs!$B$6,0)+IF(ISNUMBER(T43),Inputs!$B$7,0))=0,"",(IF(ISNUMBER(Q43),Inputs!$B$4*Q43,0)+IF(ISNUMBER(R43),Inputs!$B$5*R43,0)+IF(ISNUMBER(S43),Inputs!$B$6*S43,0)+IF(ISNUMBER(T43),Inputs!$B$7*T43,0))/(IF(ISNUMBER(Q43),Inputs!$B$4,0)+IF(ISNUMBER(R43),Inputs!$B$5,0)+IF(ISNUMBER(S43),Inputs!$B$6,0)+IF(ISNUMBER(T43),Inputs!$B$7,0)))</f>
        <v>0.8725</v>
      </c>
      <c r="V43" s="5" t="str">
        <f aca="false">IF(F43&gt;0,"Yes","No")</f>
        <v>Yes</v>
      </c>
      <c r="W43" s="5" t="str">
        <f aca="false">IF(ISNUMBER(N43),IF(N43&gt;=Inputs!$D$18,"Yes","No"),"No price")</f>
        <v>Yes</v>
      </c>
      <c r="X43" s="5" t="str">
        <f aca="false">IF(K43+L43&gt;0,"Yes",IF(M43&gt;0,"No","Unclear"))</f>
        <v>Yes</v>
      </c>
      <c r="Y43" s="5" t="str">
        <f aca="false">INDEX('API Data'!$H$2:$H$152,MATCH(B43,'API Data'!$A$2:$A$152,0))</f>
        <v>Yes</v>
      </c>
      <c r="Z43" s="5" t="str">
        <f aca="false">IF(COUNTIFS('Product Rows'!$A$2:$A$696,B43,'Product Rows'!$B$2:$B$696,C43,'Product Rows'!$I$2:$I$696,"Yes")&gt;0,"Yes","No")</f>
        <v>Yes</v>
      </c>
      <c r="AA43" s="5" t="str">
        <f aca="false">IF(P43&gt;=Inputs!$D$22,"Yes","No")</f>
        <v>Yes</v>
      </c>
      <c r="AB43" s="10" t="b">
        <f aca="false">AND(OR(Inputs!$B$17&lt;&gt;"Exclude",V43="Yes"),OR(Inputs!$B$18&lt;&gt;"Exclude",W43&lt;&gt;"No"),OR(Inputs!$B$19&lt;&gt;"Exclude",X43&lt;&gt;"No"),OR(Inputs!$B$20&lt;&gt;"Exclude",Y43="No"),OR(Inputs!$B$21&lt;&gt;"Exclude",Z43="No"),OR(Inputs!$B$22&lt;&gt;"Exclude",AA43="Yes"),ISNUMBER(U43))</f>
        <v>1</v>
      </c>
      <c r="AC43" s="5" t="n">
        <f aca="false">IF(AB43,COUNTIFS($C$5:$C$337,C43,$AB$5:$AB$337,TRUE(),$U$5:$U$337,"&gt;"&amp;U43)+COUNTIFS($C$5:C43,C43,$AB$5:AB43,TRUE(),$U$5:U43,U43),"")</f>
        <v>1</v>
      </c>
      <c r="AD43" s="5" t="str">
        <f aca="false">IF(AC43="","Not eligible",IF(AC43&lt;=Inputs!$B$25,"Lead",IF(AC43&lt;=Inputs!$B$25+Inputs!$B$26,"Next wave","Long list")))</f>
        <v>Lead</v>
      </c>
      <c r="AE43" s="5" t="str">
        <f aca="false">IF(AND(K43+L43=0,M43&gt;0),"Safety upgrade of existing prefilled syringe",IF(K43+L43+M43=0,"Confirm presentation (not stated in source)",IF(AA43="Yes","Differentiation in crowded generic market","Safety-device mandate compliance")))</f>
        <v>Differentiation in crowded generic market</v>
      </c>
      <c r="AF43" s="5" t="str">
        <f aca="false">IF(AC43="","",C43&amp;"|"&amp;AC43)</f>
        <v>Zydus Lifesciences|1</v>
      </c>
    </row>
    <row r="44" customFormat="false" ht="15" hidden="false" customHeight="false" outlineLevel="0" collapsed="false">
      <c r="A44" s="5" t="n">
        <f aca="false">IF(ISNUMBER(U44),RANK(U44,$U$5:$U$337),"")</f>
        <v>269</v>
      </c>
      <c r="B44" s="5" t="s">
        <v>64</v>
      </c>
      <c r="C44" s="5" t="s">
        <v>57</v>
      </c>
      <c r="D44" s="5" t="str">
        <f aca="false">INDEX('API Data'!$B$2:$B$152,MATCH(B44,'API Data'!$A$2:$A$152,0))</f>
        <v>Neurology – epilepsy (partial-onset seizures)</v>
      </c>
      <c r="E44" s="5" t="n">
        <f aca="false">COUNTIFS('Market Listing'!$A$2:$A$4054,B44,'Market Listing'!$B$2:$B$4054,C44)</f>
        <v>27</v>
      </c>
      <c r="F44" s="5" t="n">
        <f aca="false">COUNTIFS('Market Listing'!$A$2:$A$4054,B44,'Market Listing'!$B$2:$B$4054,C44,'Market Listing'!$D$2:$D$4054,"Tier 1")</f>
        <v>6</v>
      </c>
      <c r="G44" s="5" t="n">
        <f aca="false">COUNTIFS('Market Listing'!$A$2:$A$4054,B44,'Market Listing'!$B$2:$B$4054,C44,'Market Listing'!$D$2:$D$4054,"Tier 2")</f>
        <v>3</v>
      </c>
      <c r="H44" s="5" t="n">
        <f aca="false">COUNTIFS('Market Listing'!$A$2:$A$4054,B44,'Market Listing'!$B$2:$B$4054,C44,'Market Listing'!$D$2:$D$4054,"Tier 3")</f>
        <v>18</v>
      </c>
      <c r="I44" s="5" t="n">
        <f aca="false">SUMIFS('Market Listing'!$E$2:$E$4054,'Market Listing'!$A$2:$A$4054,B44,'Market Listing'!$B$2:$B$4054,C44)</f>
        <v>42</v>
      </c>
      <c r="J44" s="5" t="n">
        <f aca="false">COUNTIFS('Product Rows'!$A$2:$A$696,B44,'Product Rows'!$B$2:$B$696,C44)</f>
        <v>2</v>
      </c>
      <c r="K44" s="5" t="n">
        <f aca="false">COUNTIFS('Product Rows'!$A$2:$A$696,B44,'Product Rows'!$B$2:$B$696,C44,'Product Rows'!$G$2:$G$696,"Vial")</f>
        <v>2</v>
      </c>
      <c r="L44" s="5" t="n">
        <f aca="false">COUNTIFS('Product Rows'!$A$2:$A$696,B44,'Product Rows'!$B$2:$B$696,C44,'Product Rows'!$G$2:$G$696,"Ampoule")</f>
        <v>0</v>
      </c>
      <c r="M44" s="5" t="n">
        <f aca="false">COUNTIFS('Product Rows'!$A$2:$A$696,B44,'Product Rows'!$B$2:$B$696,C44,'Product Rows'!$G$2:$G$696,"Prefilled syringe/pen")</f>
        <v>0</v>
      </c>
      <c r="N44" s="6" t="n">
        <f aca="false">IFERROR(AVERAGEIFS('Product Rows'!$H$2:$H$696,'Product Rows'!$A$2:$A$696,B44,'Product Rows'!$B$2:$B$696,C44),"")</f>
        <v>38.9183</v>
      </c>
      <c r="O44" s="7" t="n">
        <f aca="false">INDEX('API Data'!$E$2:$E$152,MATCH(B44,'API Data'!$A$2:$A$152,0))</f>
        <v>21.847601480645</v>
      </c>
      <c r="P44" s="5" t="n">
        <f aca="false">COUNTIF($B$5:$B$337,B44)</f>
        <v>3</v>
      </c>
      <c r="Q44" s="8" t="n">
        <f aca="false">IF(ISNUMBER(I44),PERCENTRANK($I$5:$I$337,I44),"")</f>
        <v>0.729</v>
      </c>
      <c r="R44" s="8" t="n">
        <f aca="false">IF(ISNUMBER(N44),PERCENTRANK($N$5:$N$337,N44),"")</f>
        <v>0.563</v>
      </c>
      <c r="S44" s="8" t="n">
        <f aca="false">IF(ISNUMBER(O44),PERCENTRANK($O$5:$O$337,O44),"")</f>
        <v>0.012</v>
      </c>
      <c r="T44" s="8" t="n">
        <f aca="false">IF(ISNUMBER(P44),PERCENTRANK($P$5:$P$337,P44),"")</f>
        <v>0.416</v>
      </c>
      <c r="U44" s="9" t="n">
        <f aca="false">IF((IF(ISNUMBER(Q44),Inputs!$B$4,0)+IF(ISNUMBER(R44),Inputs!$B$5,0)+IF(ISNUMBER(S44),Inputs!$B$6,0)+IF(ISNUMBER(T44),Inputs!$B$7,0))=0,"",(IF(ISNUMBER(Q44),Inputs!$B$4*Q44,0)+IF(ISNUMBER(R44),Inputs!$B$5*R44,0)+IF(ISNUMBER(S44),Inputs!$B$6*S44,0)+IF(ISNUMBER(T44),Inputs!$B$7*T44,0))/(IF(ISNUMBER(Q44),Inputs!$B$4,0)+IF(ISNUMBER(R44),Inputs!$B$5,0)+IF(ISNUMBER(S44),Inputs!$B$6,0)+IF(ISNUMBER(T44),Inputs!$B$7,0)))</f>
        <v>0.2875</v>
      </c>
      <c r="V44" s="5" t="str">
        <f aca="false">IF(F44&gt;0,"Yes","No")</f>
        <v>Yes</v>
      </c>
      <c r="W44" s="5" t="str">
        <f aca="false">IF(ISNUMBER(N44),IF(N44&gt;=Inputs!$D$18,"Yes","No"),"No price")</f>
        <v>Yes</v>
      </c>
      <c r="X44" s="5" t="str">
        <f aca="false">IF(K44+L44&gt;0,"Yes",IF(M44&gt;0,"No","Unclear"))</f>
        <v>Yes</v>
      </c>
      <c r="Y44" s="5" t="str">
        <f aca="false">INDEX('API Data'!$H$2:$H$152,MATCH(B44,'API Data'!$A$2:$A$152,0))</f>
        <v>No</v>
      </c>
      <c r="Z44" s="5" t="str">
        <f aca="false">IF(COUNTIFS('Product Rows'!$A$2:$A$696,B44,'Product Rows'!$B$2:$B$696,C44,'Product Rows'!$I$2:$I$696,"Yes")&gt;0,"Yes","No")</f>
        <v>No</v>
      </c>
      <c r="AA44" s="5" t="str">
        <f aca="false">IF(P44&gt;=Inputs!$D$22,"Yes","No")</f>
        <v>Yes</v>
      </c>
      <c r="AB44" s="10" t="b">
        <f aca="false">AND(OR(Inputs!$B$17&lt;&gt;"Exclude",V44="Yes"),OR(Inputs!$B$18&lt;&gt;"Exclude",W44&lt;&gt;"No"),OR(Inputs!$B$19&lt;&gt;"Exclude",X44&lt;&gt;"No"),OR(Inputs!$B$20&lt;&gt;"Exclude",Y44="No"),OR(Inputs!$B$21&lt;&gt;"Exclude",Z44="No"),OR(Inputs!$B$22&lt;&gt;"Exclude",AA44="Yes"),ISNUMBER(U44))</f>
        <v>1</v>
      </c>
      <c r="AC44" s="5" t="n">
        <f aca="false">IF(AB44,COUNTIFS($C$5:$C$337,C44,$AB$5:$AB$337,TRUE(),$U$5:$U$337,"&gt;"&amp;U44)+COUNTIFS($C$5:C44,C44,$AB$5:AB44,TRUE(),$U$5:U44,U44),"")</f>
        <v>17</v>
      </c>
      <c r="AD44" s="5" t="str">
        <f aca="false">IF(AC44="","Not eligible",IF(AC44&lt;=Inputs!$B$25,"Lead",IF(AC44&lt;=Inputs!$B$25+Inputs!$B$26,"Next wave","Long list")))</f>
        <v>Long list</v>
      </c>
      <c r="AE44" s="5" t="str">
        <f aca="false">IF(AND(K44+L44=0,M44&gt;0),"Safety upgrade of existing prefilled syringe",IF(K44+L44+M44=0,"Confirm presentation (not stated in source)",IF(AA44="Yes","Differentiation in crowded generic market","Safety-device mandate compliance")))</f>
        <v>Differentiation in crowded generic market</v>
      </c>
      <c r="AF44" s="5" t="str">
        <f aca="false">IF(AC44="","",C44&amp;"|"&amp;AC44)</f>
        <v>Hetero Labs|17</v>
      </c>
    </row>
    <row r="45" customFormat="false" ht="15" hidden="false" customHeight="false" outlineLevel="0" collapsed="false">
      <c r="A45" s="5" t="n">
        <f aca="false">IF(ISNUMBER(U45),RANK(U45,$U$5:$U$337),"")</f>
        <v>263</v>
      </c>
      <c r="B45" s="5" t="s">
        <v>64</v>
      </c>
      <c r="C45" s="5" t="s">
        <v>63</v>
      </c>
      <c r="D45" s="5" t="str">
        <f aca="false">INDEX('API Data'!$B$2:$B$152,MATCH(B45,'API Data'!$A$2:$A$152,0))</f>
        <v>Neurology – epilepsy (partial-onset seizures)</v>
      </c>
      <c r="E45" s="5" t="n">
        <f aca="false">COUNTIFS('Market Listing'!$A$2:$A$4054,B45,'Market Listing'!$B$2:$B$4054,C45)</f>
        <v>1</v>
      </c>
      <c r="F45" s="5" t="n">
        <f aca="false">COUNTIFS('Market Listing'!$A$2:$A$4054,B45,'Market Listing'!$B$2:$B$4054,C45,'Market Listing'!$D$2:$D$4054,"Tier 1")</f>
        <v>1</v>
      </c>
      <c r="G45" s="5" t="n">
        <f aca="false">COUNTIFS('Market Listing'!$A$2:$A$4054,B45,'Market Listing'!$B$2:$B$4054,C45,'Market Listing'!$D$2:$D$4054,"Tier 2")</f>
        <v>0</v>
      </c>
      <c r="H45" s="5" t="n">
        <f aca="false">COUNTIFS('Market Listing'!$A$2:$A$4054,B45,'Market Listing'!$B$2:$B$4054,C45,'Market Listing'!$D$2:$D$4054,"Tier 3")</f>
        <v>0</v>
      </c>
      <c r="I45" s="5" t="n">
        <f aca="false">SUMIFS('Market Listing'!$E$2:$E$4054,'Market Listing'!$A$2:$A$4054,B45,'Market Listing'!$B$2:$B$4054,C45)</f>
        <v>3</v>
      </c>
      <c r="J45" s="5" t="n">
        <f aca="false">COUNTIFS('Product Rows'!$A$2:$A$696,B45,'Product Rows'!$B$2:$B$696,C45)</f>
        <v>1</v>
      </c>
      <c r="K45" s="5" t="n">
        <f aca="false">COUNTIFS('Product Rows'!$A$2:$A$696,B45,'Product Rows'!$B$2:$B$696,C45,'Product Rows'!$G$2:$G$696,"Vial")</f>
        <v>1</v>
      </c>
      <c r="L45" s="5" t="n">
        <f aca="false">COUNTIFS('Product Rows'!$A$2:$A$696,B45,'Product Rows'!$B$2:$B$696,C45,'Product Rows'!$G$2:$G$696,"Ampoule")</f>
        <v>0</v>
      </c>
      <c r="M45" s="5" t="n">
        <f aca="false">COUNTIFS('Product Rows'!$A$2:$A$696,B45,'Product Rows'!$B$2:$B$696,C45,'Product Rows'!$G$2:$G$696,"Prefilled syringe/pen")</f>
        <v>0</v>
      </c>
      <c r="N45" s="6" t="n">
        <f aca="false">IFERROR(AVERAGEIFS('Product Rows'!$H$2:$H$696,'Product Rows'!$A$2:$A$696,B45,'Product Rows'!$B$2:$B$696,C45),"")</f>
        <v>51.79</v>
      </c>
      <c r="O45" s="7" t="n">
        <f aca="false">INDEX('API Data'!$E$2:$E$152,MATCH(B45,'API Data'!$A$2:$A$152,0))</f>
        <v>21.847601480645</v>
      </c>
      <c r="P45" s="5" t="n">
        <f aca="false">COUNTIF($B$5:$B$337,B45)</f>
        <v>3</v>
      </c>
      <c r="Q45" s="8" t="n">
        <f aca="false">IF(ISNUMBER(I45),PERCENTRANK($I$5:$I$337,I45),"")</f>
        <v>0.157</v>
      </c>
      <c r="R45" s="8" t="n">
        <f aca="false">IF(ISNUMBER(N45),PERCENTRANK($N$5:$N$337,N45),"")</f>
        <v>0.609</v>
      </c>
      <c r="S45" s="8" t="n">
        <f aca="false">IF(ISNUMBER(O45),PERCENTRANK($O$5:$O$337,O45),"")</f>
        <v>0.012</v>
      </c>
      <c r="T45" s="8" t="n">
        <f aca="false">IF(ISNUMBER(P45),PERCENTRANK($P$5:$P$337,P45),"")</f>
        <v>0.416</v>
      </c>
      <c r="U45" s="9" t="n">
        <f aca="false">IF((IF(ISNUMBER(Q45),Inputs!$B$4,0)+IF(ISNUMBER(R45),Inputs!$B$5,0)+IF(ISNUMBER(S45),Inputs!$B$6,0)+IF(ISNUMBER(T45),Inputs!$B$7,0))=0,"",(IF(ISNUMBER(Q45),Inputs!$B$4*Q45,0)+IF(ISNUMBER(R45),Inputs!$B$5*R45,0)+IF(ISNUMBER(S45),Inputs!$B$6*S45,0)+IF(ISNUMBER(T45),Inputs!$B$7*T45,0))/(IF(ISNUMBER(Q45),Inputs!$B$4,0)+IF(ISNUMBER(R45),Inputs!$B$5,0)+IF(ISNUMBER(S45),Inputs!$B$6,0)+IF(ISNUMBER(T45),Inputs!$B$7,0)))</f>
        <v>0.3105</v>
      </c>
      <c r="V45" s="5" t="str">
        <f aca="false">IF(F45&gt;0,"Yes","No")</f>
        <v>Yes</v>
      </c>
      <c r="W45" s="5" t="str">
        <f aca="false">IF(ISNUMBER(N45),IF(N45&gt;=Inputs!$D$18,"Yes","No"),"No price")</f>
        <v>Yes</v>
      </c>
      <c r="X45" s="5" t="str">
        <f aca="false">IF(K45+L45&gt;0,"Yes",IF(M45&gt;0,"No","Unclear"))</f>
        <v>Yes</v>
      </c>
      <c r="Y45" s="5" t="str">
        <f aca="false">INDEX('API Data'!$H$2:$H$152,MATCH(B45,'API Data'!$A$2:$A$152,0))</f>
        <v>No</v>
      </c>
      <c r="Z45" s="5" t="str">
        <f aca="false">IF(COUNTIFS('Product Rows'!$A$2:$A$696,B45,'Product Rows'!$B$2:$B$696,C45,'Product Rows'!$I$2:$I$696,"Yes")&gt;0,"Yes","No")</f>
        <v>No</v>
      </c>
      <c r="AA45" s="5" t="str">
        <f aca="false">IF(P45&gt;=Inputs!$D$22,"Yes","No")</f>
        <v>Yes</v>
      </c>
      <c r="AB45" s="10" t="b">
        <f aca="false">AND(OR(Inputs!$B$17&lt;&gt;"Exclude",V45="Yes"),OR(Inputs!$B$18&lt;&gt;"Exclude",W45&lt;&gt;"No"),OR(Inputs!$B$19&lt;&gt;"Exclude",X45&lt;&gt;"No"),OR(Inputs!$B$20&lt;&gt;"Exclude",Y45="No"),OR(Inputs!$B$21&lt;&gt;"Exclude",Z45="No"),OR(Inputs!$B$22&lt;&gt;"Exclude",AA45="Yes"),ISNUMBER(U45))</f>
        <v>1</v>
      </c>
      <c r="AC45" s="5" t="n">
        <f aca="false">IF(AB45,COUNTIFS($C$5:$C$337,C45,$AB$5:$AB$337,TRUE(),$U$5:$U$337,"&gt;"&amp;U45)+COUNTIFS($C$5:C45,C45,$AB$5:AB45,TRUE(),$U$5:U45,U45),"")</f>
        <v>6</v>
      </c>
      <c r="AD45" s="5" t="str">
        <f aca="false">IF(AC45="","Not eligible",IF(AC45&lt;=Inputs!$B$25,"Lead",IF(AC45&lt;=Inputs!$B$25+Inputs!$B$26,"Next wave","Long list")))</f>
        <v>Next wave</v>
      </c>
      <c r="AE45" s="5" t="str">
        <f aca="false">IF(AND(K45+L45=0,M45&gt;0),"Safety upgrade of existing prefilled syringe",IF(K45+L45+M45=0,"Confirm presentation (not stated in source)",IF(AA45="Yes","Differentiation in crowded generic market","Safety-device mandate compliance")))</f>
        <v>Differentiation in crowded generic market</v>
      </c>
      <c r="AF45" s="5" t="str">
        <f aca="false">IF(AC45="","",C45&amp;"|"&amp;AC45)</f>
        <v>MSN Laboratories|6</v>
      </c>
    </row>
    <row r="46" customFormat="false" ht="15" hidden="false" customHeight="false" outlineLevel="0" collapsed="false">
      <c r="A46" s="5" t="n">
        <f aca="false">IF(ISNUMBER(U46),RANK(U46,$U$5:$U$337),"")</f>
        <v>263</v>
      </c>
      <c r="B46" s="5" t="s">
        <v>64</v>
      </c>
      <c r="C46" s="5" t="s">
        <v>65</v>
      </c>
      <c r="D46" s="5" t="str">
        <f aca="false">INDEX('API Data'!$B$2:$B$152,MATCH(B46,'API Data'!$A$2:$A$152,0))</f>
        <v>Neurology – epilepsy (partial-onset seizures)</v>
      </c>
      <c r="E46" s="5" t="n">
        <f aca="false">COUNTIFS('Market Listing'!$A$2:$A$4054,B46,'Market Listing'!$B$2:$B$4054,C46)</f>
        <v>1</v>
      </c>
      <c r="F46" s="5" t="n">
        <f aca="false">COUNTIFS('Market Listing'!$A$2:$A$4054,B46,'Market Listing'!$B$2:$B$4054,C46,'Market Listing'!$D$2:$D$4054,"Tier 1")</f>
        <v>1</v>
      </c>
      <c r="G46" s="5" t="n">
        <f aca="false">COUNTIFS('Market Listing'!$A$2:$A$4054,B46,'Market Listing'!$B$2:$B$4054,C46,'Market Listing'!$D$2:$D$4054,"Tier 2")</f>
        <v>0</v>
      </c>
      <c r="H46" s="5" t="n">
        <f aca="false">COUNTIFS('Market Listing'!$A$2:$A$4054,B46,'Market Listing'!$B$2:$B$4054,C46,'Market Listing'!$D$2:$D$4054,"Tier 3")</f>
        <v>0</v>
      </c>
      <c r="I46" s="5" t="n">
        <f aca="false">SUMIFS('Market Listing'!$E$2:$E$4054,'Market Listing'!$A$2:$A$4054,B46,'Market Listing'!$B$2:$B$4054,C46)</f>
        <v>3</v>
      </c>
      <c r="J46" s="5" t="n">
        <f aca="false">COUNTIFS('Product Rows'!$A$2:$A$696,B46,'Product Rows'!$B$2:$B$696,C46)</f>
        <v>1</v>
      </c>
      <c r="K46" s="5" t="n">
        <f aca="false">COUNTIFS('Product Rows'!$A$2:$A$696,B46,'Product Rows'!$B$2:$B$696,C46,'Product Rows'!$G$2:$G$696,"Vial")</f>
        <v>1</v>
      </c>
      <c r="L46" s="5" t="n">
        <f aca="false">COUNTIFS('Product Rows'!$A$2:$A$696,B46,'Product Rows'!$B$2:$B$696,C46,'Product Rows'!$G$2:$G$696,"Ampoule")</f>
        <v>0</v>
      </c>
      <c r="M46" s="5" t="n">
        <f aca="false">COUNTIFS('Product Rows'!$A$2:$A$696,B46,'Product Rows'!$B$2:$B$696,C46,'Product Rows'!$G$2:$G$696,"Prefilled syringe/pen")</f>
        <v>0</v>
      </c>
      <c r="N46" s="6" t="n">
        <f aca="false">IFERROR(AVERAGEIFS('Product Rows'!$H$2:$H$696,'Product Rows'!$A$2:$A$696,B46,'Product Rows'!$B$2:$B$696,C46),"")</f>
        <v>51.79</v>
      </c>
      <c r="O46" s="7" t="n">
        <f aca="false">INDEX('API Data'!$E$2:$E$152,MATCH(B46,'API Data'!$A$2:$A$152,0))</f>
        <v>21.847601480645</v>
      </c>
      <c r="P46" s="5" t="n">
        <f aca="false">COUNTIF($B$5:$B$337,B46)</f>
        <v>3</v>
      </c>
      <c r="Q46" s="8" t="n">
        <f aca="false">IF(ISNUMBER(I46),PERCENTRANK($I$5:$I$337,I46),"")</f>
        <v>0.157</v>
      </c>
      <c r="R46" s="8" t="n">
        <f aca="false">IF(ISNUMBER(N46),PERCENTRANK($N$5:$N$337,N46),"")</f>
        <v>0.609</v>
      </c>
      <c r="S46" s="8" t="n">
        <f aca="false">IF(ISNUMBER(O46),PERCENTRANK($O$5:$O$337,O46),"")</f>
        <v>0.012</v>
      </c>
      <c r="T46" s="8" t="n">
        <f aca="false">IF(ISNUMBER(P46),PERCENTRANK($P$5:$P$337,P46),"")</f>
        <v>0.416</v>
      </c>
      <c r="U46" s="9" t="n">
        <f aca="false">IF((IF(ISNUMBER(Q46),Inputs!$B$4,0)+IF(ISNUMBER(R46),Inputs!$B$5,0)+IF(ISNUMBER(S46),Inputs!$B$6,0)+IF(ISNUMBER(T46),Inputs!$B$7,0))=0,"",(IF(ISNUMBER(Q46),Inputs!$B$4*Q46,0)+IF(ISNUMBER(R46),Inputs!$B$5*R46,0)+IF(ISNUMBER(S46),Inputs!$B$6*S46,0)+IF(ISNUMBER(T46),Inputs!$B$7*T46,0))/(IF(ISNUMBER(Q46),Inputs!$B$4,0)+IF(ISNUMBER(R46),Inputs!$B$5,0)+IF(ISNUMBER(S46),Inputs!$B$6,0)+IF(ISNUMBER(T46),Inputs!$B$7,0)))</f>
        <v>0.3105</v>
      </c>
      <c r="V46" s="5" t="str">
        <f aca="false">IF(F46&gt;0,"Yes","No")</f>
        <v>Yes</v>
      </c>
      <c r="W46" s="5" t="str">
        <f aca="false">IF(ISNUMBER(N46),IF(N46&gt;=Inputs!$D$18,"Yes","No"),"No price")</f>
        <v>Yes</v>
      </c>
      <c r="X46" s="5" t="str">
        <f aca="false">IF(K46+L46&gt;0,"Yes",IF(M46&gt;0,"No","Unclear"))</f>
        <v>Yes</v>
      </c>
      <c r="Y46" s="5" t="str">
        <f aca="false">INDEX('API Data'!$H$2:$H$152,MATCH(B46,'API Data'!$A$2:$A$152,0))</f>
        <v>No</v>
      </c>
      <c r="Z46" s="5" t="str">
        <f aca="false">IF(COUNTIFS('Product Rows'!$A$2:$A$696,B46,'Product Rows'!$B$2:$B$696,C46,'Product Rows'!$I$2:$I$696,"Yes")&gt;0,"Yes","No")</f>
        <v>No</v>
      </c>
      <c r="AA46" s="5" t="str">
        <f aca="false">IF(P46&gt;=Inputs!$D$22,"Yes","No")</f>
        <v>Yes</v>
      </c>
      <c r="AB46" s="10" t="b">
        <f aca="false">AND(OR(Inputs!$B$17&lt;&gt;"Exclude",V46="Yes"),OR(Inputs!$B$18&lt;&gt;"Exclude",W46&lt;&gt;"No"),OR(Inputs!$B$19&lt;&gt;"Exclude",X46&lt;&gt;"No"),OR(Inputs!$B$20&lt;&gt;"Exclude",Y46="No"),OR(Inputs!$B$21&lt;&gt;"Exclude",Z46="No"),OR(Inputs!$B$22&lt;&gt;"Exclude",AA46="Yes"),ISNUMBER(U46))</f>
        <v>1</v>
      </c>
      <c r="AC46" s="5" t="n">
        <f aca="false">IF(AB46,COUNTIFS($C$5:$C$337,C46,$AB$5:$AB$337,TRUE(),$U$5:$U$337,"&gt;"&amp;U46)+COUNTIFS($C$5:C46,C46,$AB$5:AB46,TRUE(),$U$5:U46,U46),"")</f>
        <v>5</v>
      </c>
      <c r="AD46" s="5" t="str">
        <f aca="false">IF(AC46="","Not eligible",IF(AC46&lt;=Inputs!$B$25,"Lead",IF(AC46&lt;=Inputs!$B$25+Inputs!$B$26,"Next wave","Long list")))</f>
        <v>Lead</v>
      </c>
      <c r="AE46" s="5" t="str">
        <f aca="false">IF(AND(K46+L46=0,M46&gt;0),"Safety upgrade of existing prefilled syringe",IF(K46+L46+M46=0,"Confirm presentation (not stated in source)",IF(AA46="Yes","Differentiation in crowded generic market","Safety-device mandate compliance")))</f>
        <v>Differentiation in crowded generic market</v>
      </c>
      <c r="AF46" s="5" t="str">
        <f aca="false">IF(AC46="","",C46&amp;"|"&amp;AC46)</f>
        <v>Micro Labs|5</v>
      </c>
    </row>
    <row r="47" customFormat="false" ht="15" hidden="false" customHeight="false" outlineLevel="0" collapsed="false">
      <c r="A47" s="5" t="n">
        <f aca="false">IF(ISNUMBER(U47),RANK(U47,$U$5:$U$337),"")</f>
        <v>233</v>
      </c>
      <c r="B47" s="5" t="s">
        <v>66</v>
      </c>
      <c r="C47" s="5" t="s">
        <v>47</v>
      </c>
      <c r="D47" s="5" t="str">
        <f aca="false">INDEX('API Data'!$B$2:$B$152,MATCH(B47,'API Data'!$A$2:$A$152,0))</f>
        <v>Anaesthesia – long-acting local anaesthetic (spinal, epidural, nerve block)</v>
      </c>
      <c r="E47" s="5" t="n">
        <f aca="false">COUNTIFS('Market Listing'!$A$2:$A$4054,B47,'Market Listing'!$B$2:$B$4054,C47)</f>
        <v>20</v>
      </c>
      <c r="F47" s="5" t="n">
        <f aca="false">COUNTIFS('Market Listing'!$A$2:$A$4054,B47,'Market Listing'!$B$2:$B$4054,C47,'Market Listing'!$D$2:$D$4054,"Tier 1")</f>
        <v>4</v>
      </c>
      <c r="G47" s="5" t="n">
        <f aca="false">COUNTIFS('Market Listing'!$A$2:$A$4054,B47,'Market Listing'!$B$2:$B$4054,C47,'Market Listing'!$D$2:$D$4054,"Tier 2")</f>
        <v>2</v>
      </c>
      <c r="H47" s="5" t="n">
        <f aca="false">COUNTIFS('Market Listing'!$A$2:$A$4054,B47,'Market Listing'!$B$2:$B$4054,C47,'Market Listing'!$D$2:$D$4054,"Tier 3")</f>
        <v>14</v>
      </c>
      <c r="I47" s="5" t="n">
        <f aca="false">SUMIFS('Market Listing'!$E$2:$E$4054,'Market Listing'!$A$2:$A$4054,B47,'Market Listing'!$B$2:$B$4054,C47)</f>
        <v>30</v>
      </c>
      <c r="J47" s="5" t="n">
        <f aca="false">COUNTIFS('Product Rows'!$A$2:$A$696,B47,'Product Rows'!$B$2:$B$696,C47)</f>
        <v>1</v>
      </c>
      <c r="K47" s="5" t="n">
        <f aca="false">COUNTIFS('Product Rows'!$A$2:$A$696,B47,'Product Rows'!$B$2:$B$696,C47,'Product Rows'!$G$2:$G$696,"Vial")</f>
        <v>0</v>
      </c>
      <c r="L47" s="5" t="n">
        <f aca="false">COUNTIFS('Product Rows'!$A$2:$A$696,B47,'Product Rows'!$B$2:$B$696,C47,'Product Rows'!$G$2:$G$696,"Ampoule")</f>
        <v>1</v>
      </c>
      <c r="M47" s="5" t="n">
        <f aca="false">COUNTIFS('Product Rows'!$A$2:$A$696,B47,'Product Rows'!$B$2:$B$696,C47,'Product Rows'!$G$2:$G$696,"Prefilled syringe/pen")</f>
        <v>0</v>
      </c>
      <c r="N47" s="6" t="n">
        <f aca="false">IFERROR(AVERAGEIFS('Product Rows'!$H$2:$H$696,'Product Rows'!$A$2:$A$696,B47,'Product Rows'!$B$2:$B$696,C47),"")</f>
        <v>5.1528</v>
      </c>
      <c r="O47" s="7" t="n">
        <f aca="false">INDEX('API Data'!$E$2:$E$152,MATCH(B47,'API Data'!$A$2:$A$152,0))</f>
        <v>16359.2748571429</v>
      </c>
      <c r="P47" s="5" t="n">
        <f aca="false">COUNTIF($B$5:$B$337,B47)</f>
        <v>2</v>
      </c>
      <c r="Q47" s="8" t="n">
        <f aca="false">IF(ISNUMBER(I47),PERCENTRANK($I$5:$I$337,I47),"")</f>
        <v>0.614</v>
      </c>
      <c r="R47" s="8" t="n">
        <f aca="false">IF(ISNUMBER(N47),PERCENTRANK($N$5:$N$337,N47),"")</f>
        <v>0.00358</v>
      </c>
      <c r="S47" s="8" t="n">
        <f aca="false">IF(ISNUMBER(O47),PERCENTRANK($O$5:$O$337,O47),"")</f>
        <v>0.741</v>
      </c>
      <c r="T47" s="8" t="n">
        <f aca="false">IF(ISNUMBER(P47),PERCENTRANK($P$5:$P$337,P47),"")</f>
        <v>0.235</v>
      </c>
      <c r="U47" s="9" t="n">
        <f aca="false">IF((IF(ISNUMBER(Q47),Inputs!$B$4,0)+IF(ISNUMBER(R47),Inputs!$B$5,0)+IF(ISNUMBER(S47),Inputs!$B$6,0)+IF(ISNUMBER(T47),Inputs!$B$7,0))=0,"",(IF(ISNUMBER(Q47),Inputs!$B$4*Q47,0)+IF(ISNUMBER(R47),Inputs!$B$5*R47,0)+IF(ISNUMBER(S47),Inputs!$B$6*S47,0)+IF(ISNUMBER(T47),Inputs!$B$7*T47,0))/(IF(ISNUMBER(Q47),Inputs!$B$4,0)+IF(ISNUMBER(R47),Inputs!$B$5,0)+IF(ISNUMBER(S47),Inputs!$B$6,0)+IF(ISNUMBER(T47),Inputs!$B$7,0)))</f>
        <v>0.37229</v>
      </c>
      <c r="V47" s="5" t="str">
        <f aca="false">IF(F47&gt;0,"Yes","No")</f>
        <v>Yes</v>
      </c>
      <c r="W47" s="5" t="str">
        <f aca="false">IF(ISNUMBER(N47),IF(N47&gt;=Inputs!$D$18,"Yes","No"),"No price")</f>
        <v>Yes</v>
      </c>
      <c r="X47" s="5" t="str">
        <f aca="false">IF(K47+L47&gt;0,"Yes",IF(M47&gt;0,"No","Unclear"))</f>
        <v>Yes</v>
      </c>
      <c r="Y47" s="5" t="str">
        <f aca="false">INDEX('API Data'!$H$2:$H$152,MATCH(B47,'API Data'!$A$2:$A$152,0))</f>
        <v>No</v>
      </c>
      <c r="Z47" s="5" t="str">
        <f aca="false">IF(COUNTIFS('Product Rows'!$A$2:$A$696,B47,'Product Rows'!$B$2:$B$696,C47,'Product Rows'!$I$2:$I$696,"Yes")&gt;0,"Yes","No")</f>
        <v>No</v>
      </c>
      <c r="AA47" s="5" t="str">
        <f aca="false">IF(P47&gt;=Inputs!$D$22,"Yes","No")</f>
        <v>No</v>
      </c>
      <c r="AB47" s="10" t="b">
        <f aca="false">AND(OR(Inputs!$B$17&lt;&gt;"Exclude",V47="Yes"),OR(Inputs!$B$18&lt;&gt;"Exclude",W47&lt;&gt;"No"),OR(Inputs!$B$19&lt;&gt;"Exclude",X47&lt;&gt;"No"),OR(Inputs!$B$20&lt;&gt;"Exclude",Y47="No"),OR(Inputs!$B$21&lt;&gt;"Exclude",Z47="No"),OR(Inputs!$B$22&lt;&gt;"Exclude",AA47="Yes"),ISNUMBER(U47))</f>
        <v>1</v>
      </c>
      <c r="AC47" s="5" t="n">
        <f aca="false">IF(AB47,COUNTIFS($C$5:$C$337,C47,$AB$5:$AB$337,TRUE(),$U$5:$U$337,"&gt;"&amp;U47)+COUNTIFS($C$5:C47,C47,$AB$5:AB47,TRUE(),$U$5:U47,U47),"")</f>
        <v>36</v>
      </c>
      <c r="AD47" s="5" t="str">
        <f aca="false">IF(AC47="","Not eligible",IF(AC47&lt;=Inputs!$B$25,"Lead",IF(AC47&lt;=Inputs!$B$25+Inputs!$B$26,"Next wave","Long list")))</f>
        <v>Long list</v>
      </c>
      <c r="AE47" s="5" t="str">
        <f aca="false">IF(AND(K47+L47=0,M47&gt;0),"Safety upgrade of existing prefilled syringe",IF(K47+L47+M47=0,"Confirm presentation (not stated in source)",IF(AA47="Yes","Differentiation in crowded generic market","Safety-device mandate compliance")))</f>
        <v>Safety-device mandate compliance</v>
      </c>
      <c r="AF47" s="5" t="str">
        <f aca="false">IF(AC47="","",C47&amp;"|"&amp;AC47)</f>
        <v>Aurobindo Pharma|36</v>
      </c>
    </row>
    <row r="48" customFormat="false" ht="15" hidden="false" customHeight="false" outlineLevel="0" collapsed="false">
      <c r="A48" s="5" t="n">
        <f aca="false">IF(ISNUMBER(U48),RANK(U48,$U$5:$U$337),"")</f>
        <v>219</v>
      </c>
      <c r="B48" s="5" t="s">
        <v>66</v>
      </c>
      <c r="C48" s="5" t="s">
        <v>67</v>
      </c>
      <c r="D48" s="5" t="str">
        <f aca="false">INDEX('API Data'!$B$2:$B$152,MATCH(B48,'API Data'!$A$2:$A$152,0))</f>
        <v>Anaesthesia – long-acting local anaesthetic (spinal, epidural, nerve block)</v>
      </c>
      <c r="E48" s="5" t="n">
        <f aca="false">COUNTIFS('Market Listing'!$A$2:$A$4054,B48,'Market Listing'!$B$2:$B$4054,C48)</f>
        <v>1</v>
      </c>
      <c r="F48" s="5" t="n">
        <f aca="false">COUNTIFS('Market Listing'!$A$2:$A$4054,B48,'Market Listing'!$B$2:$B$4054,C48,'Market Listing'!$D$2:$D$4054,"Tier 1")</f>
        <v>1</v>
      </c>
      <c r="G48" s="5" t="n">
        <f aca="false">COUNTIFS('Market Listing'!$A$2:$A$4054,B48,'Market Listing'!$B$2:$B$4054,C48,'Market Listing'!$D$2:$D$4054,"Tier 2")</f>
        <v>0</v>
      </c>
      <c r="H48" s="5" t="n">
        <f aca="false">COUNTIFS('Market Listing'!$A$2:$A$4054,B48,'Market Listing'!$B$2:$B$4054,C48,'Market Listing'!$D$2:$D$4054,"Tier 3")</f>
        <v>0</v>
      </c>
      <c r="I48" s="5" t="n">
        <f aca="false">SUMIFS('Market Listing'!$E$2:$E$4054,'Market Listing'!$A$2:$A$4054,B48,'Market Listing'!$B$2:$B$4054,C48)</f>
        <v>3</v>
      </c>
      <c r="J48" s="5" t="n">
        <f aca="false">COUNTIFS('Product Rows'!$A$2:$A$696,B48,'Product Rows'!$B$2:$B$696,C48)</f>
        <v>2</v>
      </c>
      <c r="K48" s="5" t="n">
        <f aca="false">COUNTIFS('Product Rows'!$A$2:$A$696,B48,'Product Rows'!$B$2:$B$696,C48,'Product Rows'!$G$2:$G$696,"Vial")</f>
        <v>2</v>
      </c>
      <c r="L48" s="5" t="n">
        <f aca="false">COUNTIFS('Product Rows'!$A$2:$A$696,B48,'Product Rows'!$B$2:$B$696,C48,'Product Rows'!$G$2:$G$696,"Ampoule")</f>
        <v>0</v>
      </c>
      <c r="M48" s="5" t="n">
        <f aca="false">COUNTIFS('Product Rows'!$A$2:$A$696,B48,'Product Rows'!$B$2:$B$696,C48,'Product Rows'!$G$2:$G$696,"Prefilled syringe/pen")</f>
        <v>0</v>
      </c>
      <c r="N48" s="6" t="n">
        <f aca="false">IFERROR(AVERAGEIFS('Product Rows'!$H$2:$H$696,'Product Rows'!$A$2:$A$696,B48,'Product Rows'!$B$2:$B$696,C48),"")</f>
        <v>6.375</v>
      </c>
      <c r="O48" s="7" t="n">
        <f aca="false">INDEX('API Data'!$E$2:$E$152,MATCH(B48,'API Data'!$A$2:$A$152,0))</f>
        <v>16359.2748571429</v>
      </c>
      <c r="P48" s="5" t="n">
        <f aca="false">COUNTIF($B$5:$B$337,B48)</f>
        <v>2</v>
      </c>
      <c r="Q48" s="8" t="n">
        <f aca="false">IF(ISNUMBER(I48),PERCENTRANK($I$5:$I$337,I48),"")</f>
        <v>0.157</v>
      </c>
      <c r="R48" s="8" t="n">
        <f aca="false">IF(ISNUMBER(N48),PERCENTRANK($N$5:$N$337,N48),"")</f>
        <v>0.0573</v>
      </c>
      <c r="S48" s="8" t="n">
        <f aca="false">IF(ISNUMBER(O48),PERCENTRANK($O$5:$O$337,O48),"")</f>
        <v>0.741</v>
      </c>
      <c r="T48" s="8" t="n">
        <f aca="false">IF(ISNUMBER(P48),PERCENTRANK($P$5:$P$337,P48),"")</f>
        <v>0.235</v>
      </c>
      <c r="U48" s="9" t="n">
        <f aca="false">IF((IF(ISNUMBER(Q48),Inputs!$B$4,0)+IF(ISNUMBER(R48),Inputs!$B$5,0)+IF(ISNUMBER(S48),Inputs!$B$6,0)+IF(ISNUMBER(T48),Inputs!$B$7,0))=0,"",(IF(ISNUMBER(Q48),Inputs!$B$4*Q48,0)+IF(ISNUMBER(R48),Inputs!$B$5*R48,0)+IF(ISNUMBER(S48),Inputs!$B$6*S48,0)+IF(ISNUMBER(T48),Inputs!$B$7*T48,0))/(IF(ISNUMBER(Q48),Inputs!$B$4,0)+IF(ISNUMBER(R48),Inputs!$B$5,0)+IF(ISNUMBER(S48),Inputs!$B$6,0)+IF(ISNUMBER(T48),Inputs!$B$7,0)))</f>
        <v>0.39915</v>
      </c>
      <c r="V48" s="5" t="str">
        <f aca="false">IF(F48&gt;0,"Yes","No")</f>
        <v>Yes</v>
      </c>
      <c r="W48" s="5" t="str">
        <f aca="false">IF(ISNUMBER(N48),IF(N48&gt;=Inputs!$D$18,"Yes","No"),"No price")</f>
        <v>Yes</v>
      </c>
      <c r="X48" s="5" t="str">
        <f aca="false">IF(K48+L48&gt;0,"Yes",IF(M48&gt;0,"No","Unclear"))</f>
        <v>Yes</v>
      </c>
      <c r="Y48" s="5" t="str">
        <f aca="false">INDEX('API Data'!$H$2:$H$152,MATCH(B48,'API Data'!$A$2:$A$152,0))</f>
        <v>No</v>
      </c>
      <c r="Z48" s="5" t="str">
        <f aca="false">IF(COUNTIFS('Product Rows'!$A$2:$A$696,B48,'Product Rows'!$B$2:$B$696,C48,'Product Rows'!$I$2:$I$696,"Yes")&gt;0,"Yes","No")</f>
        <v>No</v>
      </c>
      <c r="AA48" s="5" t="str">
        <f aca="false">IF(P48&gt;=Inputs!$D$22,"Yes","No")</f>
        <v>No</v>
      </c>
      <c r="AB48" s="10" t="b">
        <f aca="false">AND(OR(Inputs!$B$17&lt;&gt;"Exclude",V48="Yes"),OR(Inputs!$B$18&lt;&gt;"Exclude",W48&lt;&gt;"No"),OR(Inputs!$B$19&lt;&gt;"Exclude",X48&lt;&gt;"No"),OR(Inputs!$B$20&lt;&gt;"Exclude",Y48="No"),OR(Inputs!$B$21&lt;&gt;"Exclude",Z48="No"),OR(Inputs!$B$22&lt;&gt;"Exclude",AA48="Yes"),ISNUMBER(U48))</f>
        <v>1</v>
      </c>
      <c r="AC48" s="5" t="n">
        <f aca="false">IF(AB48,COUNTIFS($C$5:$C$337,C48,$AB$5:$AB$337,TRUE(),$U$5:$U$337,"&gt;"&amp;U48)+COUNTIFS($C$5:C48,C48,$AB$5:AB48,TRUE(),$U$5:U48,U48),"")</f>
        <v>3</v>
      </c>
      <c r="AD48" s="5" t="str">
        <f aca="false">IF(AC48="","Not eligible",IF(AC48&lt;=Inputs!$B$25,"Lead",IF(AC48&lt;=Inputs!$B$25+Inputs!$B$26,"Next wave","Long list")))</f>
        <v>Lead</v>
      </c>
      <c r="AE48" s="5" t="str">
        <f aca="false">IF(AND(K48+L48=0,M48&gt;0),"Safety upgrade of existing prefilled syringe",IF(K48+L48+M48=0,"Confirm presentation (not stated in source)",IF(AA48="Yes","Differentiation in crowded generic market","Safety-device mandate compliance")))</f>
        <v>Safety-device mandate compliance</v>
      </c>
      <c r="AF48" s="5" t="str">
        <f aca="false">IF(AC48="","",C48&amp;"|"&amp;AC48)</f>
        <v>OneSource Specialty Pharma|3</v>
      </c>
    </row>
    <row r="49" customFormat="false" ht="15" hidden="false" customHeight="false" outlineLevel="0" collapsed="false">
      <c r="A49" s="5" t="n">
        <f aca="false">IF(ISNUMBER(U49),RANK(U49,$U$5:$U$337),"")</f>
        <v>150</v>
      </c>
      <c r="B49" s="5" t="s">
        <v>68</v>
      </c>
      <c r="C49" s="5" t="s">
        <v>65</v>
      </c>
      <c r="D49" s="5" t="str">
        <f aca="false">INDEX('API Data'!$B$2:$B$152,MATCH(B49,'API Data'!$A$2:$A$152,0))</f>
        <v>Neonatology – apnoea of prematurity</v>
      </c>
      <c r="E49" s="5" t="n">
        <f aca="false">COUNTIFS('Market Listing'!$A$2:$A$4054,B49,'Market Listing'!$B$2:$B$4054,C49)</f>
        <v>13</v>
      </c>
      <c r="F49" s="5" t="n">
        <f aca="false">COUNTIFS('Market Listing'!$A$2:$A$4054,B49,'Market Listing'!$B$2:$B$4054,C49,'Market Listing'!$D$2:$D$4054,"Tier 1")</f>
        <v>4</v>
      </c>
      <c r="G49" s="5" t="n">
        <f aca="false">COUNTIFS('Market Listing'!$A$2:$A$4054,B49,'Market Listing'!$B$2:$B$4054,C49,'Market Listing'!$D$2:$D$4054,"Tier 2")</f>
        <v>3</v>
      </c>
      <c r="H49" s="5" t="n">
        <f aca="false">COUNTIFS('Market Listing'!$A$2:$A$4054,B49,'Market Listing'!$B$2:$B$4054,C49,'Market Listing'!$D$2:$D$4054,"Tier 3")</f>
        <v>6</v>
      </c>
      <c r="I49" s="5" t="n">
        <f aca="false">SUMIFS('Market Listing'!$E$2:$E$4054,'Market Listing'!$A$2:$A$4054,B49,'Market Listing'!$B$2:$B$4054,C49)</f>
        <v>24</v>
      </c>
      <c r="J49" s="5" t="n">
        <f aca="false">COUNTIFS('Product Rows'!$A$2:$A$696,B49,'Product Rows'!$B$2:$B$696,C49)</f>
        <v>2</v>
      </c>
      <c r="K49" s="5" t="n">
        <f aca="false">COUNTIFS('Product Rows'!$A$2:$A$696,B49,'Product Rows'!$B$2:$B$696,C49,'Product Rows'!$G$2:$G$696,"Vial")</f>
        <v>2</v>
      </c>
      <c r="L49" s="5" t="n">
        <f aca="false">COUNTIFS('Product Rows'!$A$2:$A$696,B49,'Product Rows'!$B$2:$B$696,C49,'Product Rows'!$G$2:$G$696,"Ampoule")</f>
        <v>0</v>
      </c>
      <c r="M49" s="5" t="n">
        <f aca="false">COUNTIFS('Product Rows'!$A$2:$A$696,B49,'Product Rows'!$B$2:$B$696,C49,'Product Rows'!$G$2:$G$696,"Prefilled syringe/pen")</f>
        <v>0</v>
      </c>
      <c r="N49" s="6" t="n">
        <f aca="false">IFERROR(AVERAGEIFS('Product Rows'!$H$2:$H$696,'Product Rows'!$A$2:$A$696,B49,'Product Rows'!$B$2:$B$696,C49),"")</f>
        <v>69.3707</v>
      </c>
      <c r="O49" s="7" t="n">
        <f aca="false">INDEX('API Data'!$E$2:$E$152,MATCH(B49,'API Data'!$A$2:$A$152,0))</f>
        <v>2557.09100243546</v>
      </c>
      <c r="P49" s="5" t="n">
        <f aca="false">COUNTIF($B$5:$B$337,B49)</f>
        <v>2</v>
      </c>
      <c r="Q49" s="8" t="n">
        <f aca="false">IF(ISNUMBER(I49),PERCENTRANK($I$5:$I$337,I49),"")</f>
        <v>0.602</v>
      </c>
      <c r="R49" s="8" t="n">
        <f aca="false">IF(ISNUMBER(N49),PERCENTRANK($N$5:$N$337,N49),"")</f>
        <v>0.681</v>
      </c>
      <c r="S49" s="8" t="n">
        <f aca="false">IF(ISNUMBER(O49),PERCENTRANK($O$5:$O$337,O49),"")</f>
        <v>0.325</v>
      </c>
      <c r="T49" s="8" t="n">
        <f aca="false">IF(ISNUMBER(P49),PERCENTRANK($P$5:$P$337,P49),"")</f>
        <v>0.235</v>
      </c>
      <c r="U49" s="9" t="n">
        <f aca="false">IF((IF(ISNUMBER(Q49),Inputs!$B$4,0)+IF(ISNUMBER(R49),Inputs!$B$5,0)+IF(ISNUMBER(S49),Inputs!$B$6,0)+IF(ISNUMBER(T49),Inputs!$B$7,0))=0,"",(IF(ISNUMBER(Q49),Inputs!$B$4*Q49,0)+IF(ISNUMBER(R49),Inputs!$B$5*R49,0)+IF(ISNUMBER(S49),Inputs!$B$6*S49,0)+IF(ISNUMBER(T49),Inputs!$B$7*T49,0))/(IF(ISNUMBER(Q49),Inputs!$B$4,0)+IF(ISNUMBER(R49),Inputs!$B$5,0)+IF(ISNUMBER(S49),Inputs!$B$6,0)+IF(ISNUMBER(T49),Inputs!$B$7,0)))</f>
        <v>0.503</v>
      </c>
      <c r="V49" s="5" t="str">
        <f aca="false">IF(F49&gt;0,"Yes","No")</f>
        <v>Yes</v>
      </c>
      <c r="W49" s="5" t="str">
        <f aca="false">IF(ISNUMBER(N49),IF(N49&gt;=Inputs!$D$18,"Yes","No"),"No price")</f>
        <v>Yes</v>
      </c>
      <c r="X49" s="5" t="str">
        <f aca="false">IF(K49+L49&gt;0,"Yes",IF(M49&gt;0,"No","Unclear"))</f>
        <v>Yes</v>
      </c>
      <c r="Y49" s="5" t="str">
        <f aca="false">INDEX('API Data'!$H$2:$H$152,MATCH(B49,'API Data'!$A$2:$A$152,0))</f>
        <v>No</v>
      </c>
      <c r="Z49" s="5" t="str">
        <f aca="false">IF(COUNTIFS('Product Rows'!$A$2:$A$696,B49,'Product Rows'!$B$2:$B$696,C49,'Product Rows'!$I$2:$I$696,"Yes")&gt;0,"Yes","No")</f>
        <v>No</v>
      </c>
      <c r="AA49" s="5" t="str">
        <f aca="false">IF(P49&gt;=Inputs!$D$22,"Yes","No")</f>
        <v>No</v>
      </c>
      <c r="AB49" s="10" t="b">
        <f aca="false">AND(OR(Inputs!$B$17&lt;&gt;"Exclude",V49="Yes"),OR(Inputs!$B$18&lt;&gt;"Exclude",W49&lt;&gt;"No"),OR(Inputs!$B$19&lt;&gt;"Exclude",X49&lt;&gt;"No"),OR(Inputs!$B$20&lt;&gt;"Exclude",Y49="No"),OR(Inputs!$B$21&lt;&gt;"Exclude",Z49="No"),OR(Inputs!$B$22&lt;&gt;"Exclude",AA49="Yes"),ISNUMBER(U49))</f>
        <v>1</v>
      </c>
      <c r="AC49" s="5" t="n">
        <f aca="false">IF(AB49,COUNTIFS($C$5:$C$337,C49,$AB$5:$AB$337,TRUE(),$U$5:$U$337,"&gt;"&amp;U49)+COUNTIFS($C$5:C49,C49,$AB$5:AB49,TRUE(),$U$5:U49,U49),"")</f>
        <v>1</v>
      </c>
      <c r="AD49" s="5" t="str">
        <f aca="false">IF(AC49="","Not eligible",IF(AC49&lt;=Inputs!$B$25,"Lead",IF(AC49&lt;=Inputs!$B$25+Inputs!$B$26,"Next wave","Long list")))</f>
        <v>Lead</v>
      </c>
      <c r="AE49" s="5" t="str">
        <f aca="false">IF(AND(K49+L49=0,M49&gt;0),"Safety upgrade of existing prefilled syringe",IF(K49+L49+M49=0,"Confirm presentation (not stated in source)",IF(AA49="Yes","Differentiation in crowded generic market","Safety-device mandate compliance")))</f>
        <v>Safety-device mandate compliance</v>
      </c>
      <c r="AF49" s="5" t="str">
        <f aca="false">IF(AC49="","",C49&amp;"|"&amp;AC49)</f>
        <v>Micro Labs|1</v>
      </c>
    </row>
    <row r="50" customFormat="false" ht="15" hidden="false" customHeight="false" outlineLevel="0" collapsed="false">
      <c r="A50" s="5" t="n">
        <f aca="false">IF(ISNUMBER(U50),RANK(U50,$U$5:$U$337),"")</f>
        <v>307</v>
      </c>
      <c r="B50" s="5" t="s">
        <v>68</v>
      </c>
      <c r="C50" s="5" t="s">
        <v>38</v>
      </c>
      <c r="D50" s="5" t="str">
        <f aca="false">INDEX('API Data'!$B$2:$B$152,MATCH(B50,'API Data'!$A$2:$A$152,0))</f>
        <v>Neonatology – apnoea of prematurity</v>
      </c>
      <c r="E50" s="5" t="n">
        <f aca="false">COUNTIFS('Market Listing'!$A$2:$A$4054,B50,'Market Listing'!$B$2:$B$4054,C50)</f>
        <v>3</v>
      </c>
      <c r="F50" s="5" t="n">
        <f aca="false">COUNTIFS('Market Listing'!$A$2:$A$4054,B50,'Market Listing'!$B$2:$B$4054,C50,'Market Listing'!$D$2:$D$4054,"Tier 1")</f>
        <v>3</v>
      </c>
      <c r="G50" s="5" t="n">
        <f aca="false">COUNTIFS('Market Listing'!$A$2:$A$4054,B50,'Market Listing'!$B$2:$B$4054,C50,'Market Listing'!$D$2:$D$4054,"Tier 2")</f>
        <v>0</v>
      </c>
      <c r="H50" s="5" t="n">
        <f aca="false">COUNTIFS('Market Listing'!$A$2:$A$4054,B50,'Market Listing'!$B$2:$B$4054,C50,'Market Listing'!$D$2:$D$4054,"Tier 3")</f>
        <v>0</v>
      </c>
      <c r="I50" s="5" t="n">
        <f aca="false">SUMIFS('Market Listing'!$E$2:$E$4054,'Market Listing'!$A$2:$A$4054,B50,'Market Listing'!$B$2:$B$4054,C50)</f>
        <v>9</v>
      </c>
      <c r="J50" s="5" t="n">
        <f aca="false">COUNTIFS('Product Rows'!$A$2:$A$696,B50,'Product Rows'!$B$2:$B$696,C50)</f>
        <v>2</v>
      </c>
      <c r="K50" s="5" t="n">
        <f aca="false">COUNTIFS('Product Rows'!$A$2:$A$696,B50,'Product Rows'!$B$2:$B$696,C50,'Product Rows'!$G$2:$G$696,"Vial")</f>
        <v>0</v>
      </c>
      <c r="L50" s="5" t="n">
        <f aca="false">COUNTIFS('Product Rows'!$A$2:$A$696,B50,'Product Rows'!$B$2:$B$696,C50,'Product Rows'!$G$2:$G$696,"Ampoule")</f>
        <v>1</v>
      </c>
      <c r="M50" s="5" t="n">
        <f aca="false">COUNTIFS('Product Rows'!$A$2:$A$696,B50,'Product Rows'!$B$2:$B$696,C50,'Product Rows'!$G$2:$G$696,"Prefilled syringe/pen")</f>
        <v>0</v>
      </c>
      <c r="N50" s="6" t="n">
        <f aca="false">IFERROR(AVERAGEIFS('Product Rows'!$H$2:$H$696,'Product Rows'!$A$2:$A$696,B50,'Product Rows'!$B$2:$B$696,C50),"")</f>
        <v>6.45</v>
      </c>
      <c r="O50" s="7" t="n">
        <f aca="false">INDEX('API Data'!$E$2:$E$152,MATCH(B50,'API Data'!$A$2:$A$152,0))</f>
        <v>2557.09100243546</v>
      </c>
      <c r="P50" s="5" t="n">
        <f aca="false">COUNTIF($B$5:$B$337,B50)</f>
        <v>2</v>
      </c>
      <c r="Q50" s="8" t="n">
        <f aca="false">IF(ISNUMBER(I50),PERCENTRANK($I$5:$I$337,I50),"")</f>
        <v>0.587</v>
      </c>
      <c r="R50" s="8" t="n">
        <f aca="false">IF(ISNUMBER(N50),PERCENTRANK($N$5:$N$337,N50),"")</f>
        <v>0.0717</v>
      </c>
      <c r="S50" s="8" t="n">
        <f aca="false">IF(ISNUMBER(O50),PERCENTRANK($O$5:$O$337,O50),"")</f>
        <v>0.325</v>
      </c>
      <c r="T50" s="8" t="n">
        <f aca="false">IF(ISNUMBER(P50),PERCENTRANK($P$5:$P$337,P50),"")</f>
        <v>0.235</v>
      </c>
      <c r="U50" s="9" t="n">
        <f aca="false">IF((IF(ISNUMBER(Q50),Inputs!$B$4,0)+IF(ISNUMBER(R50),Inputs!$B$5,0)+IF(ISNUMBER(S50),Inputs!$B$6,0)+IF(ISNUMBER(T50),Inputs!$B$7,0))=0,"",(IF(ISNUMBER(Q50),Inputs!$B$4*Q50,0)+IF(ISNUMBER(R50),Inputs!$B$5*R50,0)+IF(ISNUMBER(S50),Inputs!$B$6*S50,0)+IF(ISNUMBER(T50),Inputs!$B$7*T50,0))/(IF(ISNUMBER(Q50),Inputs!$B$4,0)+IF(ISNUMBER(R50),Inputs!$B$5,0)+IF(ISNUMBER(S50),Inputs!$B$6,0)+IF(ISNUMBER(T50),Inputs!$B$7,0)))</f>
        <v>0.19835</v>
      </c>
      <c r="V50" s="5" t="str">
        <f aca="false">IF(F50&gt;0,"Yes","No")</f>
        <v>Yes</v>
      </c>
      <c r="W50" s="5" t="str">
        <f aca="false">IF(ISNUMBER(N50),IF(N50&gt;=Inputs!$D$18,"Yes","No"),"No price")</f>
        <v>Yes</v>
      </c>
      <c r="X50" s="5" t="str">
        <f aca="false">IF(K50+L50&gt;0,"Yes",IF(M50&gt;0,"No","Unclear"))</f>
        <v>Yes</v>
      </c>
      <c r="Y50" s="5" t="str">
        <f aca="false">INDEX('API Data'!$H$2:$H$152,MATCH(B50,'API Data'!$A$2:$A$152,0))</f>
        <v>No</v>
      </c>
      <c r="Z50" s="5" t="str">
        <f aca="false">IF(COUNTIFS('Product Rows'!$A$2:$A$696,B50,'Product Rows'!$B$2:$B$696,C50,'Product Rows'!$I$2:$I$696,"Yes")&gt;0,"Yes","No")</f>
        <v>No</v>
      </c>
      <c r="AA50" s="5" t="str">
        <f aca="false">IF(P50&gt;=Inputs!$D$22,"Yes","No")</f>
        <v>No</v>
      </c>
      <c r="AB50" s="10" t="b">
        <f aca="false">AND(OR(Inputs!$B$17&lt;&gt;"Exclude",V50="Yes"),OR(Inputs!$B$18&lt;&gt;"Exclude",W50&lt;&gt;"No"),OR(Inputs!$B$19&lt;&gt;"Exclude",X50&lt;&gt;"No"),OR(Inputs!$B$20&lt;&gt;"Exclude",Y50="No"),OR(Inputs!$B$21&lt;&gt;"Exclude",Z50="No"),OR(Inputs!$B$22&lt;&gt;"Exclude",AA50="Yes"),ISNUMBER(U50))</f>
        <v>1</v>
      </c>
      <c r="AC50" s="5" t="n">
        <f aca="false">IF(AB50,COUNTIFS($C$5:$C$337,C50,$AB$5:$AB$337,TRUE(),$U$5:$U$337,"&gt;"&amp;U50)+COUNTIFS($C$5:C50,C50,$AB$5:AB50,TRUE(),$U$5:U50,U50),"")</f>
        <v>16</v>
      </c>
      <c r="AD50" s="5" t="str">
        <f aca="false">IF(AC50="","Not eligible",IF(AC50&lt;=Inputs!$B$25,"Lead",IF(AC50&lt;=Inputs!$B$25+Inputs!$B$26,"Next wave","Long list")))</f>
        <v>Long list</v>
      </c>
      <c r="AE50" s="5" t="str">
        <f aca="false">IF(AND(K50+L50=0,M50&gt;0),"Safety upgrade of existing prefilled syringe",IF(K50+L50+M50=0,"Confirm presentation (not stated in source)",IF(AA50="Yes","Differentiation in crowded generic market","Safety-device mandate compliance")))</f>
        <v>Safety-device mandate compliance</v>
      </c>
      <c r="AF50" s="5" t="str">
        <f aca="false">IF(AC50="","",C50&amp;"|"&amp;AC50)</f>
        <v>Wockhardt|16</v>
      </c>
    </row>
    <row r="51" customFormat="false" ht="15" hidden="false" customHeight="false" outlineLevel="0" collapsed="false">
      <c r="A51" s="5" t="n">
        <f aca="false">IF(ISNUMBER(U51),RANK(U51,$U$5:$U$337),"")</f>
        <v>114</v>
      </c>
      <c r="B51" s="5" t="s">
        <v>69</v>
      </c>
      <c r="C51" s="5" t="s">
        <v>70</v>
      </c>
      <c r="D51" s="5" t="str">
        <f aca="false">INDEX('API Data'!$B$2:$B$152,MATCH(B51,'API Data'!$A$2:$A$152,0))</f>
        <v>Women's health – postpartum haemorrhage (PPH); pregnancy termination</v>
      </c>
      <c r="E51" s="5" t="n">
        <f aca="false">COUNTIFS('Market Listing'!$A$2:$A$4054,B51,'Market Listing'!$B$2:$B$4054,C51)</f>
        <v>8</v>
      </c>
      <c r="F51" s="5" t="n">
        <f aca="false">COUNTIFS('Market Listing'!$A$2:$A$4054,B51,'Market Listing'!$B$2:$B$4054,C51,'Market Listing'!$D$2:$D$4054,"Tier 1")</f>
        <v>2</v>
      </c>
      <c r="G51" s="5" t="n">
        <f aca="false">COUNTIFS('Market Listing'!$A$2:$A$4054,B51,'Market Listing'!$B$2:$B$4054,C51,'Market Listing'!$D$2:$D$4054,"Tier 2")</f>
        <v>1</v>
      </c>
      <c r="H51" s="5" t="n">
        <f aca="false">COUNTIFS('Market Listing'!$A$2:$A$4054,B51,'Market Listing'!$B$2:$B$4054,C51,'Market Listing'!$D$2:$D$4054,"Tier 3")</f>
        <v>5</v>
      </c>
      <c r="I51" s="5" t="n">
        <f aca="false">SUMIFS('Market Listing'!$E$2:$E$4054,'Market Listing'!$A$2:$A$4054,B51,'Market Listing'!$B$2:$B$4054,C51)</f>
        <v>13</v>
      </c>
      <c r="J51" s="5" t="n">
        <f aca="false">COUNTIFS('Product Rows'!$A$2:$A$696,B51,'Product Rows'!$B$2:$B$696,C51)</f>
        <v>1</v>
      </c>
      <c r="K51" s="5" t="n">
        <f aca="false">COUNTIFS('Product Rows'!$A$2:$A$696,B51,'Product Rows'!$B$2:$B$696,C51,'Product Rows'!$G$2:$G$696,"Vial")</f>
        <v>1</v>
      </c>
      <c r="L51" s="5" t="n">
        <f aca="false">COUNTIFS('Product Rows'!$A$2:$A$696,B51,'Product Rows'!$B$2:$B$696,C51,'Product Rows'!$G$2:$G$696,"Ampoule")</f>
        <v>0</v>
      </c>
      <c r="M51" s="5" t="n">
        <f aca="false">COUNTIFS('Product Rows'!$A$2:$A$696,B51,'Product Rows'!$B$2:$B$696,C51,'Product Rows'!$G$2:$G$696,"Prefilled syringe/pen")</f>
        <v>0</v>
      </c>
      <c r="N51" s="6" t="n">
        <f aca="false">IFERROR(AVERAGEIFS('Product Rows'!$H$2:$H$696,'Product Rows'!$A$2:$A$696,B51,'Product Rows'!$B$2:$B$696,C51),"")</f>
        <v>74.8286</v>
      </c>
      <c r="O51" s="7" t="n">
        <f aca="false">INDEX('API Data'!$E$2:$E$152,MATCH(B51,'API Data'!$A$2:$A$152,0))</f>
        <v>3625.26083333333</v>
      </c>
      <c r="P51" s="5" t="n">
        <f aca="false">COUNTIF($B$5:$B$337,B51)</f>
        <v>5</v>
      </c>
      <c r="Q51" s="8" t="n">
        <f aca="false">IF(ISNUMBER(I51),PERCENTRANK($I$5:$I$337,I51),"")</f>
        <v>0.59</v>
      </c>
      <c r="R51" s="8" t="n">
        <f aca="false">IF(ISNUMBER(N51),PERCENTRANK($N$5:$N$337,N51),"")</f>
        <v>0.688</v>
      </c>
      <c r="S51" s="8" t="n">
        <f aca="false">IF(ISNUMBER(O51),PERCENTRANK($O$5:$O$337,O51),"")</f>
        <v>0.455</v>
      </c>
      <c r="T51" s="8" t="n">
        <f aca="false">IF(ISNUMBER(P51),PERCENTRANK($P$5:$P$337,P51),"")</f>
        <v>0.702</v>
      </c>
      <c r="U51" s="9" t="n">
        <f aca="false">IF((IF(ISNUMBER(Q51),Inputs!$B$4,0)+IF(ISNUMBER(R51),Inputs!$B$5,0)+IF(ISNUMBER(S51),Inputs!$B$6,0)+IF(ISNUMBER(T51),Inputs!$B$7,0))=0,"",(IF(ISNUMBER(Q51),Inputs!$B$4*Q51,0)+IF(ISNUMBER(R51),Inputs!$B$5*R51,0)+IF(ISNUMBER(S51),Inputs!$B$6*S51,0)+IF(ISNUMBER(T51),Inputs!$B$7*T51,0))/(IF(ISNUMBER(Q51),Inputs!$B$4,0)+IF(ISNUMBER(R51),Inputs!$B$5,0)+IF(ISNUMBER(S51),Inputs!$B$6,0)+IF(ISNUMBER(T51),Inputs!$B$7,0)))</f>
        <v>0.5715</v>
      </c>
      <c r="V51" s="5" t="str">
        <f aca="false">IF(F51&gt;0,"Yes","No")</f>
        <v>Yes</v>
      </c>
      <c r="W51" s="5" t="str">
        <f aca="false">IF(ISNUMBER(N51),IF(N51&gt;=Inputs!$D$18,"Yes","No"),"No price")</f>
        <v>Yes</v>
      </c>
      <c r="X51" s="5" t="str">
        <f aca="false">IF(K51+L51&gt;0,"Yes",IF(M51&gt;0,"No","Unclear"))</f>
        <v>Yes</v>
      </c>
      <c r="Y51" s="5" t="str">
        <f aca="false">INDEX('API Data'!$H$2:$H$152,MATCH(B51,'API Data'!$A$2:$A$152,0))</f>
        <v>No</v>
      </c>
      <c r="Z51" s="5" t="str">
        <f aca="false">IF(COUNTIFS('Product Rows'!$A$2:$A$696,B51,'Product Rows'!$B$2:$B$696,C51,'Product Rows'!$I$2:$I$696,"Yes")&gt;0,"Yes","No")</f>
        <v>No</v>
      </c>
      <c r="AA51" s="5" t="str">
        <f aca="false">IF(P51&gt;=Inputs!$D$22,"Yes","No")</f>
        <v>Yes</v>
      </c>
      <c r="AB51" s="10" t="b">
        <f aca="false">AND(OR(Inputs!$B$17&lt;&gt;"Exclude",V51="Yes"),OR(Inputs!$B$18&lt;&gt;"Exclude",W51&lt;&gt;"No"),OR(Inputs!$B$19&lt;&gt;"Exclude",X51&lt;&gt;"No"),OR(Inputs!$B$20&lt;&gt;"Exclude",Y51="No"),OR(Inputs!$B$21&lt;&gt;"Exclude",Z51="No"),OR(Inputs!$B$22&lt;&gt;"Exclude",AA51="Yes"),ISNUMBER(U51))</f>
        <v>1</v>
      </c>
      <c r="AC51" s="5" t="n">
        <f aca="false">IF(AB51,COUNTIFS($C$5:$C$337,C51,$AB$5:$AB$337,TRUE(),$U$5:$U$337,"&gt;"&amp;U51)+COUNTIFS($C$5:C51,C51,$AB$5:AB51,TRUE(),$U$5:U51,U51),"")</f>
        <v>2</v>
      </c>
      <c r="AD51" s="5" t="str">
        <f aca="false">IF(AC51="","Not eligible",IF(AC51&lt;=Inputs!$B$25,"Lead",IF(AC51&lt;=Inputs!$B$25+Inputs!$B$26,"Next wave","Long list")))</f>
        <v>Lead</v>
      </c>
      <c r="AE51" s="5" t="str">
        <f aca="false">IF(AND(K51+L51=0,M51&gt;0),"Safety upgrade of existing prefilled syringe",IF(K51+L51+M51=0,"Confirm presentation (not stated in source)",IF(AA51="Yes","Differentiation in crowded generic market","Safety-device mandate compliance")))</f>
        <v>Differentiation in crowded generic market</v>
      </c>
      <c r="AF51" s="5" t="str">
        <f aca="false">IF(AC51="","",C51&amp;"|"&amp;AC51)</f>
        <v>Alembic Pharmaceuticals|2</v>
      </c>
    </row>
    <row r="52" customFormat="false" ht="15" hidden="false" customHeight="false" outlineLevel="0" collapsed="false">
      <c r="A52" s="5" t="n">
        <f aca="false">IF(ISNUMBER(U52),RANK(U52,$U$5:$U$337),"")</f>
        <v>172</v>
      </c>
      <c r="B52" s="5" t="s">
        <v>69</v>
      </c>
      <c r="C52" s="5" t="s">
        <v>47</v>
      </c>
      <c r="D52" s="5" t="str">
        <f aca="false">INDEX('API Data'!$B$2:$B$152,MATCH(B52,'API Data'!$A$2:$A$152,0))</f>
        <v>Women's health – postpartum haemorrhage (PPH); pregnancy termination</v>
      </c>
      <c r="E52" s="5" t="n">
        <f aca="false">COUNTIFS('Market Listing'!$A$2:$A$4054,B52,'Market Listing'!$B$2:$B$4054,C52)</f>
        <v>1</v>
      </c>
      <c r="F52" s="5" t="n">
        <f aca="false">COUNTIFS('Market Listing'!$A$2:$A$4054,B52,'Market Listing'!$B$2:$B$4054,C52,'Market Listing'!$D$2:$D$4054,"Tier 1")</f>
        <v>1</v>
      </c>
      <c r="G52" s="5" t="n">
        <f aca="false">COUNTIFS('Market Listing'!$A$2:$A$4054,B52,'Market Listing'!$B$2:$B$4054,C52,'Market Listing'!$D$2:$D$4054,"Tier 2")</f>
        <v>0</v>
      </c>
      <c r="H52" s="5" t="n">
        <f aca="false">COUNTIFS('Market Listing'!$A$2:$A$4054,B52,'Market Listing'!$B$2:$B$4054,C52,'Market Listing'!$D$2:$D$4054,"Tier 3")</f>
        <v>0</v>
      </c>
      <c r="I52" s="5" t="n">
        <f aca="false">SUMIFS('Market Listing'!$E$2:$E$4054,'Market Listing'!$A$2:$A$4054,B52,'Market Listing'!$B$2:$B$4054,C52)</f>
        <v>3</v>
      </c>
      <c r="J52" s="5" t="n">
        <f aca="false">COUNTIFS('Product Rows'!$A$2:$A$696,B52,'Product Rows'!$B$2:$B$696,C52)</f>
        <v>1</v>
      </c>
      <c r="K52" s="5" t="n">
        <f aca="false">COUNTIFS('Product Rows'!$A$2:$A$696,B52,'Product Rows'!$B$2:$B$696,C52,'Product Rows'!$G$2:$G$696,"Vial")</f>
        <v>1</v>
      </c>
      <c r="L52" s="5" t="n">
        <f aca="false">COUNTIFS('Product Rows'!$A$2:$A$696,B52,'Product Rows'!$B$2:$B$696,C52,'Product Rows'!$G$2:$G$696,"Ampoule")</f>
        <v>0</v>
      </c>
      <c r="M52" s="5" t="n">
        <f aca="false">COUNTIFS('Product Rows'!$A$2:$A$696,B52,'Product Rows'!$B$2:$B$696,C52,'Product Rows'!$G$2:$G$696,"Prefilled syringe/pen")</f>
        <v>0</v>
      </c>
      <c r="N52" s="6" t="n">
        <f aca="false">IFERROR(AVERAGEIFS('Product Rows'!$H$2:$H$696,'Product Rows'!$A$2:$A$696,B52,'Product Rows'!$B$2:$B$696,C52),"")</f>
        <v>30.01</v>
      </c>
      <c r="O52" s="7" t="n">
        <f aca="false">INDEX('API Data'!$E$2:$E$152,MATCH(B52,'API Data'!$A$2:$A$152,0))</f>
        <v>3625.26083333333</v>
      </c>
      <c r="P52" s="5" t="n">
        <f aca="false">COUNTIF($B$5:$B$337,B52)</f>
        <v>5</v>
      </c>
      <c r="Q52" s="8" t="n">
        <f aca="false">IF(ISNUMBER(I52),PERCENTRANK($I$5:$I$337,I52),"")</f>
        <v>0.157</v>
      </c>
      <c r="R52" s="8" t="n">
        <f aca="false">IF(ISNUMBER(N52),PERCENTRANK($N$5:$N$337,N52),"")</f>
        <v>0.48</v>
      </c>
      <c r="S52" s="8" t="n">
        <f aca="false">IF(ISNUMBER(O52),PERCENTRANK($O$5:$O$337,O52),"")</f>
        <v>0.455</v>
      </c>
      <c r="T52" s="8" t="n">
        <f aca="false">IF(ISNUMBER(P52),PERCENTRANK($P$5:$P$337,P52),"")</f>
        <v>0.702</v>
      </c>
      <c r="U52" s="9" t="n">
        <f aca="false">IF((IF(ISNUMBER(Q52),Inputs!$B$4,0)+IF(ISNUMBER(R52),Inputs!$B$5,0)+IF(ISNUMBER(S52),Inputs!$B$6,0)+IF(ISNUMBER(T52),Inputs!$B$7,0))=0,"",(IF(ISNUMBER(Q52),Inputs!$B$4*Q52,0)+IF(ISNUMBER(R52),Inputs!$B$5*R52,0)+IF(ISNUMBER(S52),Inputs!$B$6*S52,0)+IF(ISNUMBER(T52),Inputs!$B$7*T52,0))/(IF(ISNUMBER(Q52),Inputs!$B$4,0)+IF(ISNUMBER(R52),Inputs!$B$5,0)+IF(ISNUMBER(S52),Inputs!$B$6,0)+IF(ISNUMBER(T52),Inputs!$B$7,0)))</f>
        <v>0.4675</v>
      </c>
      <c r="V52" s="5" t="str">
        <f aca="false">IF(F52&gt;0,"Yes","No")</f>
        <v>Yes</v>
      </c>
      <c r="W52" s="5" t="str">
        <f aca="false">IF(ISNUMBER(N52),IF(N52&gt;=Inputs!$D$18,"Yes","No"),"No price")</f>
        <v>Yes</v>
      </c>
      <c r="X52" s="5" t="str">
        <f aca="false">IF(K52+L52&gt;0,"Yes",IF(M52&gt;0,"No","Unclear"))</f>
        <v>Yes</v>
      </c>
      <c r="Y52" s="5" t="str">
        <f aca="false">INDEX('API Data'!$H$2:$H$152,MATCH(B52,'API Data'!$A$2:$A$152,0))</f>
        <v>No</v>
      </c>
      <c r="Z52" s="5" t="str">
        <f aca="false">IF(COUNTIFS('Product Rows'!$A$2:$A$696,B52,'Product Rows'!$B$2:$B$696,C52,'Product Rows'!$I$2:$I$696,"Yes")&gt;0,"Yes","No")</f>
        <v>No</v>
      </c>
      <c r="AA52" s="5" t="str">
        <f aca="false">IF(P52&gt;=Inputs!$D$22,"Yes","No")</f>
        <v>Yes</v>
      </c>
      <c r="AB52" s="10" t="b">
        <f aca="false">AND(OR(Inputs!$B$17&lt;&gt;"Exclude",V52="Yes"),OR(Inputs!$B$18&lt;&gt;"Exclude",W52&lt;&gt;"No"),OR(Inputs!$B$19&lt;&gt;"Exclude",X52&lt;&gt;"No"),OR(Inputs!$B$20&lt;&gt;"Exclude",Y52="No"),OR(Inputs!$B$21&lt;&gt;"Exclude",Z52="No"),OR(Inputs!$B$22&lt;&gt;"Exclude",AA52="Yes"),ISNUMBER(U52))</f>
        <v>1</v>
      </c>
      <c r="AC52" s="5" t="n">
        <f aca="false">IF(AB52,COUNTIFS($C$5:$C$337,C52,$AB$5:$AB$337,TRUE(),$U$5:$U$337,"&gt;"&amp;U52)+COUNTIFS($C$5:C52,C52,$AB$5:AB52,TRUE(),$U$5:U52,U52),"")</f>
        <v>30</v>
      </c>
      <c r="AD52" s="5" t="str">
        <f aca="false">IF(AC52="","Not eligible",IF(AC52&lt;=Inputs!$B$25,"Lead",IF(AC52&lt;=Inputs!$B$25+Inputs!$B$26,"Next wave","Long list")))</f>
        <v>Long list</v>
      </c>
      <c r="AE52" s="5" t="str">
        <f aca="false">IF(AND(K52+L52=0,M52&gt;0),"Safety upgrade of existing prefilled syringe",IF(K52+L52+M52=0,"Confirm presentation (not stated in source)",IF(AA52="Yes","Differentiation in crowded generic market","Safety-device mandate compliance")))</f>
        <v>Differentiation in crowded generic market</v>
      </c>
      <c r="AF52" s="5" t="str">
        <f aca="false">IF(AC52="","",C52&amp;"|"&amp;AC52)</f>
        <v>Aurobindo Pharma|30</v>
      </c>
    </row>
    <row r="53" customFormat="false" ht="15" hidden="false" customHeight="false" outlineLevel="0" collapsed="false">
      <c r="A53" s="5" t="n">
        <f aca="false">IF(ISNUMBER(U53),RANK(U53,$U$5:$U$337),"")</f>
        <v>182</v>
      </c>
      <c r="B53" s="5" t="s">
        <v>69</v>
      </c>
      <c r="C53" s="5" t="s">
        <v>55</v>
      </c>
      <c r="D53" s="5" t="str">
        <f aca="false">INDEX('API Data'!$B$2:$B$152,MATCH(B53,'API Data'!$A$2:$A$152,0))</f>
        <v>Women's health – postpartum haemorrhage (PPH); pregnancy termination</v>
      </c>
      <c r="E53" s="5" t="n">
        <f aca="false">COUNTIFS('Market Listing'!$A$2:$A$4054,B53,'Market Listing'!$B$2:$B$4054,C53)</f>
        <v>2</v>
      </c>
      <c r="F53" s="5" t="n">
        <f aca="false">COUNTIFS('Market Listing'!$A$2:$A$4054,B53,'Market Listing'!$B$2:$B$4054,C53,'Market Listing'!$D$2:$D$4054,"Tier 1")</f>
        <v>1</v>
      </c>
      <c r="G53" s="5" t="n">
        <f aca="false">COUNTIFS('Market Listing'!$A$2:$A$4054,B53,'Market Listing'!$B$2:$B$4054,C53,'Market Listing'!$D$2:$D$4054,"Tier 2")</f>
        <v>1</v>
      </c>
      <c r="H53" s="5" t="n">
        <f aca="false">COUNTIFS('Market Listing'!$A$2:$A$4054,B53,'Market Listing'!$B$2:$B$4054,C53,'Market Listing'!$D$2:$D$4054,"Tier 3")</f>
        <v>0</v>
      </c>
      <c r="I53" s="5" t="n">
        <f aca="false">SUMIFS('Market Listing'!$E$2:$E$4054,'Market Listing'!$A$2:$A$4054,B53,'Market Listing'!$B$2:$B$4054,C53)</f>
        <v>5</v>
      </c>
      <c r="J53" s="5" t="n">
        <f aca="false">COUNTIFS('Product Rows'!$A$2:$A$696,B53,'Product Rows'!$B$2:$B$696,C53)</f>
        <v>2</v>
      </c>
      <c r="K53" s="5" t="n">
        <f aca="false">COUNTIFS('Product Rows'!$A$2:$A$696,B53,'Product Rows'!$B$2:$B$696,C53,'Product Rows'!$G$2:$G$696,"Vial")</f>
        <v>1</v>
      </c>
      <c r="L53" s="5" t="n">
        <f aca="false">COUNTIFS('Product Rows'!$A$2:$A$696,B53,'Product Rows'!$B$2:$B$696,C53,'Product Rows'!$G$2:$G$696,"Ampoule")</f>
        <v>0</v>
      </c>
      <c r="M53" s="5" t="n">
        <f aca="false">COUNTIFS('Product Rows'!$A$2:$A$696,B53,'Product Rows'!$B$2:$B$696,C53,'Product Rows'!$G$2:$G$696,"Prefilled syringe/pen")</f>
        <v>1</v>
      </c>
      <c r="N53" s="6" t="str">
        <f aca="false">IFERROR(AVERAGEIFS('Product Rows'!$H$2:$H$696,'Product Rows'!$A$2:$A$696,B53,'Product Rows'!$B$2:$B$696,C53),"")</f>
        <v/>
      </c>
      <c r="O53" s="7" t="n">
        <f aca="false">INDEX('API Data'!$E$2:$E$152,MATCH(B53,'API Data'!$A$2:$A$152,0))</f>
        <v>3625.26083333333</v>
      </c>
      <c r="P53" s="5" t="n">
        <f aca="false">COUNTIF($B$5:$B$337,B53)</f>
        <v>5</v>
      </c>
      <c r="Q53" s="8" t="n">
        <f aca="false">IF(ISNUMBER(I53),PERCENTRANK($I$5:$I$337,I53),"")</f>
        <v>0.521</v>
      </c>
      <c r="R53" s="8" t="str">
        <f aca="false">IF(ISNUMBER(N53),PERCENTRANK($N$5:$N$337,N53),"")</f>
        <v/>
      </c>
      <c r="S53" s="8" t="n">
        <f aca="false">IF(ISNUMBER(O53),PERCENTRANK($O$5:$O$337,O53),"")</f>
        <v>0.455</v>
      </c>
      <c r="T53" s="8" t="n">
        <f aca="false">IF(ISNUMBER(P53),PERCENTRANK($P$5:$P$337,P53),"")</f>
        <v>0.702</v>
      </c>
      <c r="U53" s="9" t="n">
        <f aca="false">IF((IF(ISNUMBER(Q53),Inputs!$B$4,0)+IF(ISNUMBER(R53),Inputs!$B$5,0)+IF(ISNUMBER(S53),Inputs!$B$6,0)+IF(ISNUMBER(T53),Inputs!$B$7,0))=0,"",(IF(ISNUMBER(Q53),Inputs!$B$4*Q53,0)+IF(ISNUMBER(R53),Inputs!$B$5*R53,0)+IF(ISNUMBER(S53),Inputs!$B$6*S53,0)+IF(ISNUMBER(T53),Inputs!$B$7*T53,0))/(IF(ISNUMBER(Q53),Inputs!$B$4,0)+IF(ISNUMBER(R53),Inputs!$B$5,0)+IF(ISNUMBER(S53),Inputs!$B$6,0)+IF(ISNUMBER(T53),Inputs!$B$7,0)))</f>
        <v>0.455</v>
      </c>
      <c r="V53" s="5" t="str">
        <f aca="false">IF(F53&gt;0,"Yes","No")</f>
        <v>Yes</v>
      </c>
      <c r="W53" s="5" t="str">
        <f aca="false">IF(ISNUMBER(N53),IF(N53&gt;=Inputs!$D$18,"Yes","No"),"No price")</f>
        <v>No price</v>
      </c>
      <c r="X53" s="5" t="str">
        <f aca="false">IF(K53+L53&gt;0,"Yes",IF(M53&gt;0,"No","Unclear"))</f>
        <v>Yes</v>
      </c>
      <c r="Y53" s="5" t="str">
        <f aca="false">INDEX('API Data'!$H$2:$H$152,MATCH(B53,'API Data'!$A$2:$A$152,0))</f>
        <v>No</v>
      </c>
      <c r="Z53" s="5" t="str">
        <f aca="false">IF(COUNTIFS('Product Rows'!$A$2:$A$696,B53,'Product Rows'!$B$2:$B$696,C53,'Product Rows'!$I$2:$I$696,"Yes")&gt;0,"Yes","No")</f>
        <v>No</v>
      </c>
      <c r="AA53" s="5" t="str">
        <f aca="false">IF(P53&gt;=Inputs!$D$22,"Yes","No")</f>
        <v>Yes</v>
      </c>
      <c r="AB53" s="10" t="b">
        <f aca="false">AND(OR(Inputs!$B$17&lt;&gt;"Exclude",V53="Yes"),OR(Inputs!$B$18&lt;&gt;"Exclude",W53&lt;&gt;"No"),OR(Inputs!$B$19&lt;&gt;"Exclude",X53&lt;&gt;"No"),OR(Inputs!$B$20&lt;&gt;"Exclude",Y53="No"),OR(Inputs!$B$21&lt;&gt;"Exclude",Z53="No"),OR(Inputs!$B$22&lt;&gt;"Exclude",AA53="Yes"),ISNUMBER(U53))</f>
        <v>1</v>
      </c>
      <c r="AC53" s="5" t="n">
        <f aca="false">IF(AB53,COUNTIFS($C$5:$C$337,C53,$AB$5:$AB$337,TRUE(),$U$5:$U$337,"&gt;"&amp;U53)+COUNTIFS($C$5:C53,C53,$AB$5:AB53,TRUE(),$U$5:U53,U53),"")</f>
        <v>13</v>
      </c>
      <c r="AD53" s="5" t="str">
        <f aca="false">IF(AC53="","Not eligible",IF(AC53&lt;=Inputs!$B$25,"Lead",IF(AC53&lt;=Inputs!$B$25+Inputs!$B$26,"Next wave","Long list")))</f>
        <v>Long list</v>
      </c>
      <c r="AE53" s="5" t="str">
        <f aca="false">IF(AND(K53+L53=0,M53&gt;0),"Safety upgrade of existing prefilled syringe",IF(K53+L53+M53=0,"Confirm presentation (not stated in source)",IF(AA53="Yes","Differentiation in crowded generic market","Safety-device mandate compliance")))</f>
        <v>Differentiation in crowded generic market</v>
      </c>
      <c r="AF53" s="5" t="str">
        <f aca="false">IF(AC53="","",C53&amp;"|"&amp;AC53)</f>
        <v>Dr. Reddy's Laboratories|13</v>
      </c>
    </row>
    <row r="54" customFormat="false" ht="15" hidden="false" customHeight="false" outlineLevel="0" collapsed="false">
      <c r="A54" s="5" t="n">
        <f aca="false">IF(ISNUMBER(U54),RANK(U54,$U$5:$U$337),"")</f>
        <v>172</v>
      </c>
      <c r="B54" s="5" t="s">
        <v>69</v>
      </c>
      <c r="C54" s="5" t="s">
        <v>65</v>
      </c>
      <c r="D54" s="5" t="str">
        <f aca="false">INDEX('API Data'!$B$2:$B$152,MATCH(B54,'API Data'!$A$2:$A$152,0))</f>
        <v>Women's health – postpartum haemorrhage (PPH); pregnancy termination</v>
      </c>
      <c r="E54" s="5" t="n">
        <f aca="false">COUNTIFS('Market Listing'!$A$2:$A$4054,B54,'Market Listing'!$B$2:$B$4054,C54)</f>
        <v>1</v>
      </c>
      <c r="F54" s="5" t="n">
        <f aca="false">COUNTIFS('Market Listing'!$A$2:$A$4054,B54,'Market Listing'!$B$2:$B$4054,C54,'Market Listing'!$D$2:$D$4054,"Tier 1")</f>
        <v>1</v>
      </c>
      <c r="G54" s="5" t="n">
        <f aca="false">COUNTIFS('Market Listing'!$A$2:$A$4054,B54,'Market Listing'!$B$2:$B$4054,C54,'Market Listing'!$D$2:$D$4054,"Tier 2")</f>
        <v>0</v>
      </c>
      <c r="H54" s="5" t="n">
        <f aca="false">COUNTIFS('Market Listing'!$A$2:$A$4054,B54,'Market Listing'!$B$2:$B$4054,C54,'Market Listing'!$D$2:$D$4054,"Tier 3")</f>
        <v>0</v>
      </c>
      <c r="I54" s="5" t="n">
        <f aca="false">SUMIFS('Market Listing'!$E$2:$E$4054,'Market Listing'!$A$2:$A$4054,B54,'Market Listing'!$B$2:$B$4054,C54)</f>
        <v>3</v>
      </c>
      <c r="J54" s="5" t="n">
        <f aca="false">COUNTIFS('Product Rows'!$A$2:$A$696,B54,'Product Rows'!$B$2:$B$696,C54)</f>
        <v>1</v>
      </c>
      <c r="K54" s="5" t="n">
        <f aca="false">COUNTIFS('Product Rows'!$A$2:$A$696,B54,'Product Rows'!$B$2:$B$696,C54,'Product Rows'!$G$2:$G$696,"Vial")</f>
        <v>1</v>
      </c>
      <c r="L54" s="5" t="n">
        <f aca="false">COUNTIFS('Product Rows'!$A$2:$A$696,B54,'Product Rows'!$B$2:$B$696,C54,'Product Rows'!$G$2:$G$696,"Ampoule")</f>
        <v>0</v>
      </c>
      <c r="M54" s="5" t="n">
        <f aca="false">COUNTIFS('Product Rows'!$A$2:$A$696,B54,'Product Rows'!$B$2:$B$696,C54,'Product Rows'!$G$2:$G$696,"Prefilled syringe/pen")</f>
        <v>0</v>
      </c>
      <c r="N54" s="6" t="n">
        <f aca="false">IFERROR(AVERAGEIFS('Product Rows'!$H$2:$H$696,'Product Rows'!$A$2:$A$696,B54,'Product Rows'!$B$2:$B$696,C54),"")</f>
        <v>30.01</v>
      </c>
      <c r="O54" s="7" t="n">
        <f aca="false">INDEX('API Data'!$E$2:$E$152,MATCH(B54,'API Data'!$A$2:$A$152,0))</f>
        <v>3625.26083333333</v>
      </c>
      <c r="P54" s="5" t="n">
        <f aca="false">COUNTIF($B$5:$B$337,B54)</f>
        <v>5</v>
      </c>
      <c r="Q54" s="8" t="n">
        <f aca="false">IF(ISNUMBER(I54),PERCENTRANK($I$5:$I$337,I54),"")</f>
        <v>0.157</v>
      </c>
      <c r="R54" s="8" t="n">
        <f aca="false">IF(ISNUMBER(N54),PERCENTRANK($N$5:$N$337,N54),"")</f>
        <v>0.48</v>
      </c>
      <c r="S54" s="8" t="n">
        <f aca="false">IF(ISNUMBER(O54),PERCENTRANK($O$5:$O$337,O54),"")</f>
        <v>0.455</v>
      </c>
      <c r="T54" s="8" t="n">
        <f aca="false">IF(ISNUMBER(P54),PERCENTRANK($P$5:$P$337,P54),"")</f>
        <v>0.702</v>
      </c>
      <c r="U54" s="9" t="n">
        <f aca="false">IF((IF(ISNUMBER(Q54),Inputs!$B$4,0)+IF(ISNUMBER(R54),Inputs!$B$5,0)+IF(ISNUMBER(S54),Inputs!$B$6,0)+IF(ISNUMBER(T54),Inputs!$B$7,0))=0,"",(IF(ISNUMBER(Q54),Inputs!$B$4*Q54,0)+IF(ISNUMBER(R54),Inputs!$B$5*R54,0)+IF(ISNUMBER(S54),Inputs!$B$6*S54,0)+IF(ISNUMBER(T54),Inputs!$B$7*T54,0))/(IF(ISNUMBER(Q54),Inputs!$B$4,0)+IF(ISNUMBER(R54),Inputs!$B$5,0)+IF(ISNUMBER(S54),Inputs!$B$6,0)+IF(ISNUMBER(T54),Inputs!$B$7,0)))</f>
        <v>0.4675</v>
      </c>
      <c r="V54" s="5" t="str">
        <f aca="false">IF(F54&gt;0,"Yes","No")</f>
        <v>Yes</v>
      </c>
      <c r="W54" s="5" t="str">
        <f aca="false">IF(ISNUMBER(N54),IF(N54&gt;=Inputs!$D$18,"Yes","No"),"No price")</f>
        <v>Yes</v>
      </c>
      <c r="X54" s="5" t="str">
        <f aca="false">IF(K54+L54&gt;0,"Yes",IF(M54&gt;0,"No","Unclear"))</f>
        <v>Yes</v>
      </c>
      <c r="Y54" s="5" t="str">
        <f aca="false">INDEX('API Data'!$H$2:$H$152,MATCH(B54,'API Data'!$A$2:$A$152,0))</f>
        <v>No</v>
      </c>
      <c r="Z54" s="5" t="str">
        <f aca="false">IF(COUNTIFS('Product Rows'!$A$2:$A$696,B54,'Product Rows'!$B$2:$B$696,C54,'Product Rows'!$I$2:$I$696,"Yes")&gt;0,"Yes","No")</f>
        <v>No</v>
      </c>
      <c r="AA54" s="5" t="str">
        <f aca="false">IF(P54&gt;=Inputs!$D$22,"Yes","No")</f>
        <v>Yes</v>
      </c>
      <c r="AB54" s="10" t="b">
        <f aca="false">AND(OR(Inputs!$B$17&lt;&gt;"Exclude",V54="Yes"),OR(Inputs!$B$18&lt;&gt;"Exclude",W54&lt;&gt;"No"),OR(Inputs!$B$19&lt;&gt;"Exclude",X54&lt;&gt;"No"),OR(Inputs!$B$20&lt;&gt;"Exclude",Y54="No"),OR(Inputs!$B$21&lt;&gt;"Exclude",Z54="No"),OR(Inputs!$B$22&lt;&gt;"Exclude",AA54="Yes"),ISNUMBER(U54))</f>
        <v>1</v>
      </c>
      <c r="AC54" s="5" t="n">
        <f aca="false">IF(AB54,COUNTIFS($C$5:$C$337,C54,$AB$5:$AB$337,TRUE(),$U$5:$U$337,"&gt;"&amp;U54)+COUNTIFS($C$5:C54,C54,$AB$5:AB54,TRUE(),$U$5:U54,U54),"")</f>
        <v>3</v>
      </c>
      <c r="AD54" s="5" t="str">
        <f aca="false">IF(AC54="","Not eligible",IF(AC54&lt;=Inputs!$B$25,"Lead",IF(AC54&lt;=Inputs!$B$25+Inputs!$B$26,"Next wave","Long list")))</f>
        <v>Lead</v>
      </c>
      <c r="AE54" s="5" t="str">
        <f aca="false">IF(AND(K54+L54=0,M54&gt;0),"Safety upgrade of existing prefilled syringe",IF(K54+L54+M54=0,"Confirm presentation (not stated in source)",IF(AA54="Yes","Differentiation in crowded generic market","Safety-device mandate compliance")))</f>
        <v>Differentiation in crowded generic market</v>
      </c>
      <c r="AF54" s="5" t="str">
        <f aca="false">IF(AC54="","",C54&amp;"|"&amp;AC54)</f>
        <v>Micro Labs|3</v>
      </c>
    </row>
    <row r="55" customFormat="false" ht="15" hidden="false" customHeight="false" outlineLevel="0" collapsed="false">
      <c r="A55" s="5" t="n">
        <f aca="false">IF(ISNUMBER(U55),RANK(U55,$U$5:$U$337),"")</f>
        <v>172</v>
      </c>
      <c r="B55" s="5" t="s">
        <v>69</v>
      </c>
      <c r="C55" s="5" t="s">
        <v>67</v>
      </c>
      <c r="D55" s="5" t="str">
        <f aca="false">INDEX('API Data'!$B$2:$B$152,MATCH(B55,'API Data'!$A$2:$A$152,0))</f>
        <v>Women's health – postpartum haemorrhage (PPH); pregnancy termination</v>
      </c>
      <c r="E55" s="5" t="n">
        <f aca="false">COUNTIFS('Market Listing'!$A$2:$A$4054,B55,'Market Listing'!$B$2:$B$4054,C55)</f>
        <v>1</v>
      </c>
      <c r="F55" s="5" t="n">
        <f aca="false">COUNTIFS('Market Listing'!$A$2:$A$4054,B55,'Market Listing'!$B$2:$B$4054,C55,'Market Listing'!$D$2:$D$4054,"Tier 1")</f>
        <v>1</v>
      </c>
      <c r="G55" s="5" t="n">
        <f aca="false">COUNTIFS('Market Listing'!$A$2:$A$4054,B55,'Market Listing'!$B$2:$B$4054,C55,'Market Listing'!$D$2:$D$4054,"Tier 2")</f>
        <v>0</v>
      </c>
      <c r="H55" s="5" t="n">
        <f aca="false">COUNTIFS('Market Listing'!$A$2:$A$4054,B55,'Market Listing'!$B$2:$B$4054,C55,'Market Listing'!$D$2:$D$4054,"Tier 3")</f>
        <v>0</v>
      </c>
      <c r="I55" s="5" t="n">
        <f aca="false">SUMIFS('Market Listing'!$E$2:$E$4054,'Market Listing'!$A$2:$A$4054,B55,'Market Listing'!$B$2:$B$4054,C55)</f>
        <v>3</v>
      </c>
      <c r="J55" s="5" t="n">
        <f aca="false">COUNTIFS('Product Rows'!$A$2:$A$696,B55,'Product Rows'!$B$2:$B$696,C55)</f>
        <v>1</v>
      </c>
      <c r="K55" s="5" t="n">
        <f aca="false">COUNTIFS('Product Rows'!$A$2:$A$696,B55,'Product Rows'!$B$2:$B$696,C55,'Product Rows'!$G$2:$G$696,"Vial")</f>
        <v>1</v>
      </c>
      <c r="L55" s="5" t="n">
        <f aca="false">COUNTIFS('Product Rows'!$A$2:$A$696,B55,'Product Rows'!$B$2:$B$696,C55,'Product Rows'!$G$2:$G$696,"Ampoule")</f>
        <v>0</v>
      </c>
      <c r="M55" s="5" t="n">
        <f aca="false">COUNTIFS('Product Rows'!$A$2:$A$696,B55,'Product Rows'!$B$2:$B$696,C55,'Product Rows'!$G$2:$G$696,"Prefilled syringe/pen")</f>
        <v>0</v>
      </c>
      <c r="N55" s="6" t="n">
        <f aca="false">IFERROR(AVERAGEIFS('Product Rows'!$H$2:$H$696,'Product Rows'!$A$2:$A$696,B55,'Product Rows'!$B$2:$B$696,C55),"")</f>
        <v>30.01</v>
      </c>
      <c r="O55" s="7" t="n">
        <f aca="false">INDEX('API Data'!$E$2:$E$152,MATCH(B55,'API Data'!$A$2:$A$152,0))</f>
        <v>3625.26083333333</v>
      </c>
      <c r="P55" s="5" t="n">
        <f aca="false">COUNTIF($B$5:$B$337,B55)</f>
        <v>5</v>
      </c>
      <c r="Q55" s="8" t="n">
        <f aca="false">IF(ISNUMBER(I55),PERCENTRANK($I$5:$I$337,I55),"")</f>
        <v>0.157</v>
      </c>
      <c r="R55" s="8" t="n">
        <f aca="false">IF(ISNUMBER(N55),PERCENTRANK($N$5:$N$337,N55),"")</f>
        <v>0.48</v>
      </c>
      <c r="S55" s="8" t="n">
        <f aca="false">IF(ISNUMBER(O55),PERCENTRANK($O$5:$O$337,O55),"")</f>
        <v>0.455</v>
      </c>
      <c r="T55" s="8" t="n">
        <f aca="false">IF(ISNUMBER(P55),PERCENTRANK($P$5:$P$337,P55),"")</f>
        <v>0.702</v>
      </c>
      <c r="U55" s="9" t="n">
        <f aca="false">IF((IF(ISNUMBER(Q55),Inputs!$B$4,0)+IF(ISNUMBER(R55),Inputs!$B$5,0)+IF(ISNUMBER(S55),Inputs!$B$6,0)+IF(ISNUMBER(T55),Inputs!$B$7,0))=0,"",(IF(ISNUMBER(Q55),Inputs!$B$4*Q55,0)+IF(ISNUMBER(R55),Inputs!$B$5*R55,0)+IF(ISNUMBER(S55),Inputs!$B$6*S55,0)+IF(ISNUMBER(T55),Inputs!$B$7*T55,0))/(IF(ISNUMBER(Q55),Inputs!$B$4,0)+IF(ISNUMBER(R55),Inputs!$B$5,0)+IF(ISNUMBER(S55),Inputs!$B$6,0)+IF(ISNUMBER(T55),Inputs!$B$7,0)))</f>
        <v>0.4675</v>
      </c>
      <c r="V55" s="5" t="str">
        <f aca="false">IF(F55&gt;0,"Yes","No")</f>
        <v>Yes</v>
      </c>
      <c r="W55" s="5" t="str">
        <f aca="false">IF(ISNUMBER(N55),IF(N55&gt;=Inputs!$D$18,"Yes","No"),"No price")</f>
        <v>Yes</v>
      </c>
      <c r="X55" s="5" t="str">
        <f aca="false">IF(K55+L55&gt;0,"Yes",IF(M55&gt;0,"No","Unclear"))</f>
        <v>Yes</v>
      </c>
      <c r="Y55" s="5" t="str">
        <f aca="false">INDEX('API Data'!$H$2:$H$152,MATCH(B55,'API Data'!$A$2:$A$152,0))</f>
        <v>No</v>
      </c>
      <c r="Z55" s="5" t="str">
        <f aca="false">IF(COUNTIFS('Product Rows'!$A$2:$A$696,B55,'Product Rows'!$B$2:$B$696,C55,'Product Rows'!$I$2:$I$696,"Yes")&gt;0,"Yes","No")</f>
        <v>No</v>
      </c>
      <c r="AA55" s="5" t="str">
        <f aca="false">IF(P55&gt;=Inputs!$D$22,"Yes","No")</f>
        <v>Yes</v>
      </c>
      <c r="AB55" s="10" t="b">
        <f aca="false">AND(OR(Inputs!$B$17&lt;&gt;"Exclude",V55="Yes"),OR(Inputs!$B$18&lt;&gt;"Exclude",W55&lt;&gt;"No"),OR(Inputs!$B$19&lt;&gt;"Exclude",X55&lt;&gt;"No"),OR(Inputs!$B$20&lt;&gt;"Exclude",Y55="No"),OR(Inputs!$B$21&lt;&gt;"Exclude",Z55="No"),OR(Inputs!$B$22&lt;&gt;"Exclude",AA55="Yes"),ISNUMBER(U55))</f>
        <v>1</v>
      </c>
      <c r="AC55" s="5" t="n">
        <f aca="false">IF(AB55,COUNTIFS($C$5:$C$337,C55,$AB$5:$AB$337,TRUE(),$U$5:$U$337,"&gt;"&amp;U55)+COUNTIFS($C$5:C55,C55,$AB$5:AB55,TRUE(),$U$5:U55,U55),"")</f>
        <v>2</v>
      </c>
      <c r="AD55" s="5" t="str">
        <f aca="false">IF(AC55="","Not eligible",IF(AC55&lt;=Inputs!$B$25,"Lead",IF(AC55&lt;=Inputs!$B$25+Inputs!$B$26,"Next wave","Long list")))</f>
        <v>Lead</v>
      </c>
      <c r="AE55" s="5" t="str">
        <f aca="false">IF(AND(K55+L55=0,M55&gt;0),"Safety upgrade of existing prefilled syringe",IF(K55+L55+M55=0,"Confirm presentation (not stated in source)",IF(AA55="Yes","Differentiation in crowded generic market","Safety-device mandate compliance")))</f>
        <v>Differentiation in crowded generic market</v>
      </c>
      <c r="AF55" s="5" t="str">
        <f aca="false">IF(AC55="","",C55&amp;"|"&amp;AC55)</f>
        <v>OneSource Specialty Pharma|2</v>
      </c>
    </row>
    <row r="56" customFormat="false" ht="15" hidden="false" customHeight="false" outlineLevel="0" collapsed="false">
      <c r="A56" s="5" t="n">
        <f aca="false">IF(ISNUMBER(U56),RANK(U56,$U$5:$U$337),"")</f>
        <v>285</v>
      </c>
      <c r="B56" s="5" t="s">
        <v>71</v>
      </c>
      <c r="C56" s="5" t="s">
        <v>40</v>
      </c>
      <c r="D56" s="5" t="str">
        <f aca="false">INDEX('API Data'!$B$2:$B$152,MATCH(B56,'API Data'!$A$2:$A$152,0))</f>
        <v>Anti-infective – surgical prophylaxis; MSSA infections</v>
      </c>
      <c r="E56" s="5" t="n">
        <f aca="false">COUNTIFS('Market Listing'!$A$2:$A$4054,B56,'Market Listing'!$B$2:$B$4054,C56)</f>
        <v>1</v>
      </c>
      <c r="F56" s="5" t="n">
        <f aca="false">COUNTIFS('Market Listing'!$A$2:$A$4054,B56,'Market Listing'!$B$2:$B$4054,C56,'Market Listing'!$D$2:$D$4054,"Tier 1")</f>
        <v>0</v>
      </c>
      <c r="G56" s="5" t="n">
        <f aca="false">COUNTIFS('Market Listing'!$A$2:$A$4054,B56,'Market Listing'!$B$2:$B$4054,C56,'Market Listing'!$D$2:$D$4054,"Tier 2")</f>
        <v>1</v>
      </c>
      <c r="H56" s="5" t="n">
        <f aca="false">COUNTIFS('Market Listing'!$A$2:$A$4054,B56,'Market Listing'!$B$2:$B$4054,C56,'Market Listing'!$D$2:$D$4054,"Tier 3")</f>
        <v>0</v>
      </c>
      <c r="I56" s="5" t="n">
        <f aca="false">SUMIFS('Market Listing'!$E$2:$E$4054,'Market Listing'!$A$2:$A$4054,B56,'Market Listing'!$B$2:$B$4054,C56)</f>
        <v>2</v>
      </c>
      <c r="J56" s="5" t="n">
        <f aca="false">COUNTIFS('Product Rows'!$A$2:$A$696,B56,'Product Rows'!$B$2:$B$696,C56)</f>
        <v>1</v>
      </c>
      <c r="K56" s="5" t="n">
        <f aca="false">COUNTIFS('Product Rows'!$A$2:$A$696,B56,'Product Rows'!$B$2:$B$696,C56,'Product Rows'!$G$2:$G$696,"Vial")</f>
        <v>1</v>
      </c>
      <c r="L56" s="5" t="n">
        <f aca="false">COUNTIFS('Product Rows'!$A$2:$A$696,B56,'Product Rows'!$B$2:$B$696,C56,'Product Rows'!$G$2:$G$696,"Ampoule")</f>
        <v>0</v>
      </c>
      <c r="M56" s="5" t="n">
        <f aca="false">COUNTIFS('Product Rows'!$A$2:$A$696,B56,'Product Rows'!$B$2:$B$696,C56,'Product Rows'!$G$2:$G$696,"Prefilled syringe/pen")</f>
        <v>0</v>
      </c>
      <c r="N56" s="6" t="str">
        <f aca="false">IFERROR(AVERAGEIFS('Product Rows'!$H$2:$H$696,'Product Rows'!$A$2:$A$696,B56,'Product Rows'!$B$2:$B$696,C56),"")</f>
        <v/>
      </c>
      <c r="O56" s="7" t="n">
        <f aca="false">INDEX('API Data'!$E$2:$E$152,MATCH(B56,'API Data'!$A$2:$A$152,0))</f>
        <v>1929.98</v>
      </c>
      <c r="P56" s="5" t="n">
        <f aca="false">COUNTIF($B$5:$B$337,B56)</f>
        <v>1</v>
      </c>
      <c r="Q56" s="8" t="n">
        <f aca="false">IF(ISNUMBER(I56),PERCENTRANK($I$5:$I$337,I56),"")</f>
        <v>0</v>
      </c>
      <c r="R56" s="8" t="str">
        <f aca="false">IF(ISNUMBER(N56),PERCENTRANK($N$5:$N$337,N56),"")</f>
        <v/>
      </c>
      <c r="S56" s="8" t="n">
        <f aca="false">IF(ISNUMBER(O56),PERCENTRANK($O$5:$O$337,O56),"")</f>
        <v>0.259</v>
      </c>
      <c r="T56" s="8" t="n">
        <f aca="false">IF(ISNUMBER(P56),PERCENTRANK($P$5:$P$337,P56),"")</f>
        <v>0</v>
      </c>
      <c r="U56" s="9" t="n">
        <f aca="false">IF((IF(ISNUMBER(Q56),Inputs!$B$4,0)+IF(ISNUMBER(R56),Inputs!$B$5,0)+IF(ISNUMBER(S56),Inputs!$B$6,0)+IF(ISNUMBER(T56),Inputs!$B$7,0))=0,"",(IF(ISNUMBER(Q56),Inputs!$B$4*Q56,0)+IF(ISNUMBER(R56),Inputs!$B$5*R56,0)+IF(ISNUMBER(S56),Inputs!$B$6*S56,0)+IF(ISNUMBER(T56),Inputs!$B$7*T56,0))/(IF(ISNUMBER(Q56),Inputs!$B$4,0)+IF(ISNUMBER(R56),Inputs!$B$5,0)+IF(ISNUMBER(S56),Inputs!$B$6,0)+IF(ISNUMBER(T56),Inputs!$B$7,0)))</f>
        <v>0.259</v>
      </c>
      <c r="V56" s="5" t="str">
        <f aca="false">IF(F56&gt;0,"Yes","No")</f>
        <v>No</v>
      </c>
      <c r="W56" s="5" t="str">
        <f aca="false">IF(ISNUMBER(N56),IF(N56&gt;=Inputs!$D$18,"Yes","No"),"No price")</f>
        <v>No price</v>
      </c>
      <c r="X56" s="5" t="str">
        <f aca="false">IF(K56+L56&gt;0,"Yes",IF(M56&gt;0,"No","Unclear"))</f>
        <v>Yes</v>
      </c>
      <c r="Y56" s="5" t="str">
        <f aca="false">INDEX('API Data'!$H$2:$H$152,MATCH(B56,'API Data'!$A$2:$A$152,0))</f>
        <v>No</v>
      </c>
      <c r="Z56" s="5" t="str">
        <f aca="false">IF(COUNTIFS('Product Rows'!$A$2:$A$696,B56,'Product Rows'!$B$2:$B$696,C56,'Product Rows'!$I$2:$I$696,"Yes")&gt;0,"Yes","No")</f>
        <v>Yes</v>
      </c>
      <c r="AA56" s="5" t="str">
        <f aca="false">IF(P56&gt;=Inputs!$D$22,"Yes","No")</f>
        <v>No</v>
      </c>
      <c r="AB56" s="10" t="b">
        <f aca="false">AND(OR(Inputs!$B$17&lt;&gt;"Exclude",V56="Yes"),OR(Inputs!$B$18&lt;&gt;"Exclude",W56&lt;&gt;"No"),OR(Inputs!$B$19&lt;&gt;"Exclude",X56&lt;&gt;"No"),OR(Inputs!$B$20&lt;&gt;"Exclude",Y56="No"),OR(Inputs!$B$21&lt;&gt;"Exclude",Z56="No"),OR(Inputs!$B$22&lt;&gt;"Exclude",AA56="Yes"),ISNUMBER(U56))</f>
        <v>0</v>
      </c>
      <c r="AC56" s="5" t="str">
        <f aca="false">IF(AB56,COUNTIFS($C$5:$C$337,C56,$AB$5:$AB$337,TRUE(),$U$5:$U$337,"&gt;"&amp;U56)+COUNTIFS($C$5:C56,C56,$AB$5:AB56,TRUE(),$U$5:U56,U56),"")</f>
        <v/>
      </c>
      <c r="AD56" s="5" t="str">
        <f aca="false">IF(AC56="","Not eligible",IF(AC56&lt;=Inputs!$B$25,"Lead",IF(AC56&lt;=Inputs!$B$25+Inputs!$B$26,"Next wave","Long list")))</f>
        <v>Not eligible</v>
      </c>
      <c r="AE56" s="5" t="str">
        <f aca="false">IF(AND(K56+L56=0,M56&gt;0),"Safety upgrade of existing prefilled syringe",IF(K56+L56+M56=0,"Confirm presentation (not stated in source)",IF(AA56="Yes","Differentiation in crowded generic market","Safety-device mandate compliance")))</f>
        <v>Safety-device mandate compliance</v>
      </c>
      <c r="AF56" s="5" t="str">
        <f aca="false">IF(AC56="","",C56&amp;"|"&amp;AC56)</f>
        <v/>
      </c>
    </row>
    <row r="57" customFormat="false" ht="15" hidden="false" customHeight="false" outlineLevel="0" collapsed="false">
      <c r="A57" s="5" t="n">
        <f aca="false">IF(ISNUMBER(U57),RANK(U57,$U$5:$U$337),"")</f>
        <v>228</v>
      </c>
      <c r="B57" s="5" t="s">
        <v>72</v>
      </c>
      <c r="C57" s="5" t="s">
        <v>47</v>
      </c>
      <c r="D57" s="5" t="str">
        <f aca="false">INDEX('API Data'!$B$2:$B$152,MATCH(B57,'API Data'!$A$2:$A$152,0))</f>
        <v>Anti-infective – hospital Gram-negative/Pseudomonas, febrile neutropenia</v>
      </c>
      <c r="E57" s="5" t="n">
        <f aca="false">COUNTIFS('Market Listing'!$A$2:$A$4054,B57,'Market Listing'!$B$2:$B$4054,C57)</f>
        <v>1</v>
      </c>
      <c r="F57" s="5" t="n">
        <f aca="false">COUNTIFS('Market Listing'!$A$2:$A$4054,B57,'Market Listing'!$B$2:$B$4054,C57,'Market Listing'!$D$2:$D$4054,"Tier 1")</f>
        <v>0</v>
      </c>
      <c r="G57" s="5" t="n">
        <f aca="false">COUNTIFS('Market Listing'!$A$2:$A$4054,B57,'Market Listing'!$B$2:$B$4054,C57,'Market Listing'!$D$2:$D$4054,"Tier 2")</f>
        <v>1</v>
      </c>
      <c r="H57" s="5" t="n">
        <f aca="false">COUNTIFS('Market Listing'!$A$2:$A$4054,B57,'Market Listing'!$B$2:$B$4054,C57,'Market Listing'!$D$2:$D$4054,"Tier 3")</f>
        <v>0</v>
      </c>
      <c r="I57" s="5" t="n">
        <f aca="false">SUMIFS('Market Listing'!$E$2:$E$4054,'Market Listing'!$A$2:$A$4054,B57,'Market Listing'!$B$2:$B$4054,C57)</f>
        <v>2</v>
      </c>
      <c r="J57" s="5" t="n">
        <f aca="false">COUNTIFS('Product Rows'!$A$2:$A$696,B57,'Product Rows'!$B$2:$B$696,C57)</f>
        <v>4</v>
      </c>
      <c r="K57" s="5" t="n">
        <f aca="false">COUNTIFS('Product Rows'!$A$2:$A$696,B57,'Product Rows'!$B$2:$B$696,C57,'Product Rows'!$G$2:$G$696,"Vial")</f>
        <v>4</v>
      </c>
      <c r="L57" s="5" t="n">
        <f aca="false">COUNTIFS('Product Rows'!$A$2:$A$696,B57,'Product Rows'!$B$2:$B$696,C57,'Product Rows'!$G$2:$G$696,"Ampoule")</f>
        <v>0</v>
      </c>
      <c r="M57" s="5" t="n">
        <f aca="false">COUNTIFS('Product Rows'!$A$2:$A$696,B57,'Product Rows'!$B$2:$B$696,C57,'Product Rows'!$G$2:$G$696,"Prefilled syringe/pen")</f>
        <v>0</v>
      </c>
      <c r="N57" s="6" t="n">
        <f aca="false">IFERROR(AVERAGEIFS('Product Rows'!$H$2:$H$696,'Product Rows'!$A$2:$A$696,B57,'Product Rows'!$B$2:$B$696,C57),"")</f>
        <v>9.08</v>
      </c>
      <c r="O57" s="7" t="n">
        <f aca="false">INDEX('API Data'!$E$2:$E$152,MATCH(B57,'API Data'!$A$2:$A$152,0))</f>
        <v>6294.90336134454</v>
      </c>
      <c r="P57" s="5" t="n">
        <f aca="false">COUNTIF($B$5:$B$337,B57)</f>
        <v>4</v>
      </c>
      <c r="Q57" s="8" t="n">
        <f aca="false">IF(ISNUMBER(I57),PERCENTRANK($I$5:$I$337,I57),"")</f>
        <v>0</v>
      </c>
      <c r="R57" s="8" t="n">
        <f aca="false">IF(ISNUMBER(N57),PERCENTRANK($N$5:$N$337,N57),"")</f>
        <v>0.176</v>
      </c>
      <c r="S57" s="8" t="n">
        <f aca="false">IF(ISNUMBER(O57),PERCENTRANK($O$5:$O$337,O57),"")</f>
        <v>0.593</v>
      </c>
      <c r="T57" s="8" t="n">
        <f aca="false">IF(ISNUMBER(P57),PERCENTRANK($P$5:$P$337,P57),"")</f>
        <v>0.569</v>
      </c>
      <c r="U57" s="9" t="n">
        <f aca="false">IF((IF(ISNUMBER(Q57),Inputs!$B$4,0)+IF(ISNUMBER(R57),Inputs!$B$5,0)+IF(ISNUMBER(S57),Inputs!$B$6,0)+IF(ISNUMBER(T57),Inputs!$B$7,0))=0,"",(IF(ISNUMBER(Q57),Inputs!$B$4*Q57,0)+IF(ISNUMBER(R57),Inputs!$B$5*R57,0)+IF(ISNUMBER(S57),Inputs!$B$6*S57,0)+IF(ISNUMBER(T57),Inputs!$B$7*T57,0))/(IF(ISNUMBER(Q57),Inputs!$B$4,0)+IF(ISNUMBER(R57),Inputs!$B$5,0)+IF(ISNUMBER(S57),Inputs!$B$6,0)+IF(ISNUMBER(T57),Inputs!$B$7,0)))</f>
        <v>0.3845</v>
      </c>
      <c r="V57" s="5" t="str">
        <f aca="false">IF(F57&gt;0,"Yes","No")</f>
        <v>No</v>
      </c>
      <c r="W57" s="5" t="str">
        <f aca="false">IF(ISNUMBER(N57),IF(N57&gt;=Inputs!$D$18,"Yes","No"),"No price")</f>
        <v>Yes</v>
      </c>
      <c r="X57" s="5" t="str">
        <f aca="false">IF(K57+L57&gt;0,"Yes",IF(M57&gt;0,"No","Unclear"))</f>
        <v>Yes</v>
      </c>
      <c r="Y57" s="5" t="str">
        <f aca="false">INDEX('API Data'!$H$2:$H$152,MATCH(B57,'API Data'!$A$2:$A$152,0))</f>
        <v>No</v>
      </c>
      <c r="Z57" s="5" t="str">
        <f aca="false">IF(COUNTIFS('Product Rows'!$A$2:$A$696,B57,'Product Rows'!$B$2:$B$696,C57,'Product Rows'!$I$2:$I$696,"Yes")&gt;0,"Yes","No")</f>
        <v>Yes</v>
      </c>
      <c r="AA57" s="5" t="str">
        <f aca="false">IF(P57&gt;=Inputs!$D$22,"Yes","No")</f>
        <v>Yes</v>
      </c>
      <c r="AB57" s="10" t="b">
        <f aca="false">AND(OR(Inputs!$B$17&lt;&gt;"Exclude",V57="Yes"),OR(Inputs!$B$18&lt;&gt;"Exclude",W57&lt;&gt;"No"),OR(Inputs!$B$19&lt;&gt;"Exclude",X57&lt;&gt;"No"),OR(Inputs!$B$20&lt;&gt;"Exclude",Y57="No"),OR(Inputs!$B$21&lt;&gt;"Exclude",Z57="No"),OR(Inputs!$B$22&lt;&gt;"Exclude",AA57="Yes"),ISNUMBER(U57))</f>
        <v>0</v>
      </c>
      <c r="AC57" s="5" t="str">
        <f aca="false">IF(AB57,COUNTIFS($C$5:$C$337,C57,$AB$5:$AB$337,TRUE(),$U$5:$U$337,"&gt;"&amp;U57)+COUNTIFS($C$5:C57,C57,$AB$5:AB57,TRUE(),$U$5:U57,U57),"")</f>
        <v/>
      </c>
      <c r="AD57" s="5" t="str">
        <f aca="false">IF(AC57="","Not eligible",IF(AC57&lt;=Inputs!$B$25,"Lead",IF(AC57&lt;=Inputs!$B$25+Inputs!$B$26,"Next wave","Long list")))</f>
        <v>Not eligible</v>
      </c>
      <c r="AE57" s="5" t="str">
        <f aca="false">IF(AND(K57+L57=0,M57&gt;0),"Safety upgrade of existing prefilled syringe",IF(K57+L57+M57=0,"Confirm presentation (not stated in source)",IF(AA57="Yes","Differentiation in crowded generic market","Safety-device mandate compliance")))</f>
        <v>Differentiation in crowded generic market</v>
      </c>
      <c r="AF57" s="5" t="str">
        <f aca="false">IF(AC57="","",C57&amp;"|"&amp;AC57)</f>
        <v/>
      </c>
    </row>
    <row r="58" customFormat="false" ht="15" hidden="false" customHeight="false" outlineLevel="0" collapsed="false">
      <c r="A58" s="5" t="n">
        <f aca="false">IF(ISNUMBER(U58),RANK(U58,$U$5:$U$337),"")</f>
        <v>144</v>
      </c>
      <c r="B58" s="5" t="s">
        <v>72</v>
      </c>
      <c r="C58" s="5" t="s">
        <v>54</v>
      </c>
      <c r="D58" s="5" t="str">
        <f aca="false">INDEX('API Data'!$B$2:$B$152,MATCH(B58,'API Data'!$A$2:$A$152,0))</f>
        <v>Anti-infective – hospital Gram-negative/Pseudomonas, febrile neutropenia</v>
      </c>
      <c r="E58" s="5" t="n">
        <f aca="false">COUNTIFS('Market Listing'!$A$2:$A$4054,B58,'Market Listing'!$B$2:$B$4054,C58)</f>
        <v>1</v>
      </c>
      <c r="F58" s="5" t="n">
        <f aca="false">COUNTIFS('Market Listing'!$A$2:$A$4054,B58,'Market Listing'!$B$2:$B$4054,C58,'Market Listing'!$D$2:$D$4054,"Tier 1")</f>
        <v>0</v>
      </c>
      <c r="G58" s="5" t="n">
        <f aca="false">COUNTIFS('Market Listing'!$A$2:$A$4054,B58,'Market Listing'!$B$2:$B$4054,C58,'Market Listing'!$D$2:$D$4054,"Tier 2")</f>
        <v>1</v>
      </c>
      <c r="H58" s="5" t="n">
        <f aca="false">COUNTIFS('Market Listing'!$A$2:$A$4054,B58,'Market Listing'!$B$2:$B$4054,C58,'Market Listing'!$D$2:$D$4054,"Tier 3")</f>
        <v>0</v>
      </c>
      <c r="I58" s="5" t="n">
        <f aca="false">SUMIFS('Market Listing'!$E$2:$E$4054,'Market Listing'!$A$2:$A$4054,B58,'Market Listing'!$B$2:$B$4054,C58)</f>
        <v>2</v>
      </c>
      <c r="J58" s="5" t="n">
        <f aca="false">COUNTIFS('Product Rows'!$A$2:$A$696,B58,'Product Rows'!$B$2:$B$696,C58)</f>
        <v>2</v>
      </c>
      <c r="K58" s="5" t="n">
        <f aca="false">COUNTIFS('Product Rows'!$A$2:$A$696,B58,'Product Rows'!$B$2:$B$696,C58,'Product Rows'!$G$2:$G$696,"Vial")</f>
        <v>0</v>
      </c>
      <c r="L58" s="5" t="n">
        <f aca="false">COUNTIFS('Product Rows'!$A$2:$A$696,B58,'Product Rows'!$B$2:$B$696,C58,'Product Rows'!$G$2:$G$696,"Ampoule")</f>
        <v>0</v>
      </c>
      <c r="M58" s="5" t="n">
        <f aca="false">COUNTIFS('Product Rows'!$A$2:$A$696,B58,'Product Rows'!$B$2:$B$696,C58,'Product Rows'!$G$2:$G$696,"Prefilled syringe/pen")</f>
        <v>0</v>
      </c>
      <c r="N58" s="6" t="n">
        <f aca="false">IFERROR(AVERAGEIFS('Product Rows'!$H$2:$H$696,'Product Rows'!$A$2:$A$696,B58,'Product Rows'!$B$2:$B$696,C58),"")</f>
        <v>24.42</v>
      </c>
      <c r="O58" s="7" t="n">
        <f aca="false">INDEX('API Data'!$E$2:$E$152,MATCH(B58,'API Data'!$A$2:$A$152,0))</f>
        <v>6294.90336134454</v>
      </c>
      <c r="P58" s="5" t="n">
        <f aca="false">COUNTIF($B$5:$B$337,B58)</f>
        <v>4</v>
      </c>
      <c r="Q58" s="8" t="n">
        <f aca="false">IF(ISNUMBER(I58),PERCENTRANK($I$5:$I$337,I58),"")</f>
        <v>0</v>
      </c>
      <c r="R58" s="8" t="n">
        <f aca="false">IF(ISNUMBER(N58),PERCENTRANK($N$5:$N$337,N58),"")</f>
        <v>0.434</v>
      </c>
      <c r="S58" s="8" t="n">
        <f aca="false">IF(ISNUMBER(O58),PERCENTRANK($O$5:$O$337,O58),"")</f>
        <v>0.593</v>
      </c>
      <c r="T58" s="8" t="n">
        <f aca="false">IF(ISNUMBER(P58),PERCENTRANK($P$5:$P$337,P58),"")</f>
        <v>0.569</v>
      </c>
      <c r="U58" s="9" t="n">
        <f aca="false">IF((IF(ISNUMBER(Q58),Inputs!$B$4,0)+IF(ISNUMBER(R58),Inputs!$B$5,0)+IF(ISNUMBER(S58),Inputs!$B$6,0)+IF(ISNUMBER(T58),Inputs!$B$7,0))=0,"",(IF(ISNUMBER(Q58),Inputs!$B$4*Q58,0)+IF(ISNUMBER(R58),Inputs!$B$5*R58,0)+IF(ISNUMBER(S58),Inputs!$B$6*S58,0)+IF(ISNUMBER(T58),Inputs!$B$7*T58,0))/(IF(ISNUMBER(Q58),Inputs!$B$4,0)+IF(ISNUMBER(R58),Inputs!$B$5,0)+IF(ISNUMBER(S58),Inputs!$B$6,0)+IF(ISNUMBER(T58),Inputs!$B$7,0)))</f>
        <v>0.5135</v>
      </c>
      <c r="V58" s="5" t="str">
        <f aca="false">IF(F58&gt;0,"Yes","No")</f>
        <v>No</v>
      </c>
      <c r="W58" s="5" t="str">
        <f aca="false">IF(ISNUMBER(N58),IF(N58&gt;=Inputs!$D$18,"Yes","No"),"No price")</f>
        <v>Yes</v>
      </c>
      <c r="X58" s="5" t="str">
        <f aca="false">IF(K58+L58&gt;0,"Yes",IF(M58&gt;0,"No","Unclear"))</f>
        <v>Unclear</v>
      </c>
      <c r="Y58" s="5" t="str">
        <f aca="false">INDEX('API Data'!$H$2:$H$152,MATCH(B58,'API Data'!$A$2:$A$152,0))</f>
        <v>No</v>
      </c>
      <c r="Z58" s="5" t="str">
        <f aca="false">IF(COUNTIFS('Product Rows'!$A$2:$A$696,B58,'Product Rows'!$B$2:$B$696,C58,'Product Rows'!$I$2:$I$696,"Yes")&gt;0,"Yes","No")</f>
        <v>No</v>
      </c>
      <c r="AA58" s="5" t="str">
        <f aca="false">IF(P58&gt;=Inputs!$D$22,"Yes","No")</f>
        <v>Yes</v>
      </c>
      <c r="AB58" s="10" t="b">
        <f aca="false">AND(OR(Inputs!$B$17&lt;&gt;"Exclude",V58="Yes"),OR(Inputs!$B$18&lt;&gt;"Exclude",W58&lt;&gt;"No"),OR(Inputs!$B$19&lt;&gt;"Exclude",X58&lt;&gt;"No"),OR(Inputs!$B$20&lt;&gt;"Exclude",Y58="No"),OR(Inputs!$B$21&lt;&gt;"Exclude",Z58="No"),OR(Inputs!$B$22&lt;&gt;"Exclude",AA58="Yes"),ISNUMBER(U58))</f>
        <v>0</v>
      </c>
      <c r="AC58" s="5" t="str">
        <f aca="false">IF(AB58,COUNTIFS($C$5:$C$337,C58,$AB$5:$AB$337,TRUE(),$U$5:$U$337,"&gt;"&amp;U58)+COUNTIFS($C$5:C58,C58,$AB$5:AB58,TRUE(),$U$5:U58,U58),"")</f>
        <v/>
      </c>
      <c r="AD58" s="5" t="str">
        <f aca="false">IF(AC58="","Not eligible",IF(AC58&lt;=Inputs!$B$25,"Lead",IF(AC58&lt;=Inputs!$B$25+Inputs!$B$26,"Next wave","Long list")))</f>
        <v>Not eligible</v>
      </c>
      <c r="AE58" s="5" t="str">
        <f aca="false">IF(AND(K58+L58=0,M58&gt;0),"Safety upgrade of existing prefilled syringe",IF(K58+L58+M58=0,"Confirm presentation (not stated in source)",IF(AA58="Yes","Differentiation in crowded generic market","Safety-device mandate compliance")))</f>
        <v>Confirm presentation (not stated in source)</v>
      </c>
      <c r="AF58" s="5" t="str">
        <f aca="false">IF(AC58="","",C58&amp;"|"&amp;AC58)</f>
        <v/>
      </c>
    </row>
    <row r="59" customFormat="false" ht="15" hidden="false" customHeight="false" outlineLevel="0" collapsed="false">
      <c r="A59" s="5" t="n">
        <f aca="false">IF(ISNUMBER(U59),RANK(U59,$U$5:$U$337),"")</f>
        <v>226</v>
      </c>
      <c r="B59" s="5" t="s">
        <v>72</v>
      </c>
      <c r="C59" s="5" t="s">
        <v>44</v>
      </c>
      <c r="D59" s="5" t="str">
        <f aca="false">INDEX('API Data'!$B$2:$B$152,MATCH(B59,'API Data'!$A$2:$A$152,0))</f>
        <v>Anti-infective – hospital Gram-negative/Pseudomonas, febrile neutropenia</v>
      </c>
      <c r="E59" s="5" t="n">
        <f aca="false">COUNTIFS('Market Listing'!$A$2:$A$4054,B59,'Market Listing'!$B$2:$B$4054,C59)</f>
        <v>27</v>
      </c>
      <c r="F59" s="5" t="n">
        <f aca="false">COUNTIFS('Market Listing'!$A$2:$A$4054,B59,'Market Listing'!$B$2:$B$4054,C59,'Market Listing'!$D$2:$D$4054,"Tier 1")</f>
        <v>4</v>
      </c>
      <c r="G59" s="5" t="n">
        <f aca="false">COUNTIFS('Market Listing'!$A$2:$A$4054,B59,'Market Listing'!$B$2:$B$4054,C59,'Market Listing'!$D$2:$D$4054,"Tier 2")</f>
        <v>3</v>
      </c>
      <c r="H59" s="5" t="n">
        <f aca="false">COUNTIFS('Market Listing'!$A$2:$A$4054,B59,'Market Listing'!$B$2:$B$4054,C59,'Market Listing'!$D$2:$D$4054,"Tier 3")</f>
        <v>20</v>
      </c>
      <c r="I59" s="5" t="n">
        <f aca="false">SUMIFS('Market Listing'!$E$2:$E$4054,'Market Listing'!$A$2:$A$4054,B59,'Market Listing'!$B$2:$B$4054,C59)</f>
        <v>38</v>
      </c>
      <c r="J59" s="5" t="n">
        <f aca="false">COUNTIFS('Product Rows'!$A$2:$A$696,B59,'Product Rows'!$B$2:$B$696,C59)</f>
        <v>2</v>
      </c>
      <c r="K59" s="5" t="n">
        <f aca="false">COUNTIFS('Product Rows'!$A$2:$A$696,B59,'Product Rows'!$B$2:$B$696,C59,'Product Rows'!$G$2:$G$696,"Vial")</f>
        <v>2</v>
      </c>
      <c r="L59" s="5" t="n">
        <f aca="false">COUNTIFS('Product Rows'!$A$2:$A$696,B59,'Product Rows'!$B$2:$B$696,C59,'Product Rows'!$G$2:$G$696,"Ampoule")</f>
        <v>0</v>
      </c>
      <c r="M59" s="5" t="n">
        <f aca="false">COUNTIFS('Product Rows'!$A$2:$A$696,B59,'Product Rows'!$B$2:$B$696,C59,'Product Rows'!$G$2:$G$696,"Prefilled syringe/pen")</f>
        <v>0</v>
      </c>
      <c r="N59" s="6" t="n">
        <f aca="false">IFERROR(AVERAGEIFS('Product Rows'!$H$2:$H$696,'Product Rows'!$A$2:$A$696,B59,'Product Rows'!$B$2:$B$696,C59),"")</f>
        <v>9.6502</v>
      </c>
      <c r="O59" s="7" t="n">
        <f aca="false">INDEX('API Data'!$E$2:$E$152,MATCH(B59,'API Data'!$A$2:$A$152,0))</f>
        <v>6294.90336134454</v>
      </c>
      <c r="P59" s="5" t="n">
        <f aca="false">COUNTIF($B$5:$B$337,B59)</f>
        <v>4</v>
      </c>
      <c r="Q59" s="8" t="n">
        <f aca="false">IF(ISNUMBER(I59),PERCENTRANK($I$5:$I$337,I59),"")</f>
        <v>0.666</v>
      </c>
      <c r="R59" s="8" t="n">
        <f aca="false">IF(ISNUMBER(N59),PERCENTRANK($N$5:$N$337,N59),"")</f>
        <v>0.183</v>
      </c>
      <c r="S59" s="8" t="n">
        <f aca="false">IF(ISNUMBER(O59),PERCENTRANK($O$5:$O$337,O59),"")</f>
        <v>0.593</v>
      </c>
      <c r="T59" s="8" t="n">
        <f aca="false">IF(ISNUMBER(P59),PERCENTRANK($P$5:$P$337,P59),"")</f>
        <v>0.569</v>
      </c>
      <c r="U59" s="9" t="n">
        <f aca="false">IF((IF(ISNUMBER(Q59),Inputs!$B$4,0)+IF(ISNUMBER(R59),Inputs!$B$5,0)+IF(ISNUMBER(S59),Inputs!$B$6,0)+IF(ISNUMBER(T59),Inputs!$B$7,0))=0,"",(IF(ISNUMBER(Q59),Inputs!$B$4*Q59,0)+IF(ISNUMBER(R59),Inputs!$B$5*R59,0)+IF(ISNUMBER(S59),Inputs!$B$6*S59,0)+IF(ISNUMBER(T59),Inputs!$B$7*T59,0))/(IF(ISNUMBER(Q59),Inputs!$B$4,0)+IF(ISNUMBER(R59),Inputs!$B$5,0)+IF(ISNUMBER(S59),Inputs!$B$6,0)+IF(ISNUMBER(T59),Inputs!$B$7,0)))</f>
        <v>0.388</v>
      </c>
      <c r="V59" s="5" t="str">
        <f aca="false">IF(F59&gt;0,"Yes","No")</f>
        <v>Yes</v>
      </c>
      <c r="W59" s="5" t="str">
        <f aca="false">IF(ISNUMBER(N59),IF(N59&gt;=Inputs!$D$18,"Yes","No"),"No price")</f>
        <v>Yes</v>
      </c>
      <c r="X59" s="5" t="str">
        <f aca="false">IF(K59+L59&gt;0,"Yes",IF(M59&gt;0,"No","Unclear"))</f>
        <v>Yes</v>
      </c>
      <c r="Y59" s="5" t="str">
        <f aca="false">INDEX('API Data'!$H$2:$H$152,MATCH(B59,'API Data'!$A$2:$A$152,0))</f>
        <v>No</v>
      </c>
      <c r="Z59" s="5" t="str">
        <f aca="false">IF(COUNTIFS('Product Rows'!$A$2:$A$696,B59,'Product Rows'!$B$2:$B$696,C59,'Product Rows'!$I$2:$I$696,"Yes")&gt;0,"Yes","No")</f>
        <v>Yes</v>
      </c>
      <c r="AA59" s="5" t="str">
        <f aca="false">IF(P59&gt;=Inputs!$D$22,"Yes","No")</f>
        <v>Yes</v>
      </c>
      <c r="AB59" s="10" t="b">
        <f aca="false">AND(OR(Inputs!$B$17&lt;&gt;"Exclude",V59="Yes"),OR(Inputs!$B$18&lt;&gt;"Exclude",W59&lt;&gt;"No"),OR(Inputs!$B$19&lt;&gt;"Exclude",X59&lt;&gt;"No"),OR(Inputs!$B$20&lt;&gt;"Exclude",Y59="No"),OR(Inputs!$B$21&lt;&gt;"Exclude",Z59="No"),OR(Inputs!$B$22&lt;&gt;"Exclude",AA59="Yes"),ISNUMBER(U59))</f>
        <v>1</v>
      </c>
      <c r="AC59" s="5" t="n">
        <f aca="false">IF(AB59,COUNTIFS($C$5:$C$337,C59,$AB$5:$AB$337,TRUE(),$U$5:$U$337,"&gt;"&amp;U59)+COUNTIFS($C$5:C59,C59,$AB$5:AB59,TRUE(),$U$5:U59,U59),"")</f>
        <v>42</v>
      </c>
      <c r="AD59" s="5" t="str">
        <f aca="false">IF(AC59="","Not eligible",IF(AC59&lt;=Inputs!$B$25,"Lead",IF(AC59&lt;=Inputs!$B$25+Inputs!$B$26,"Next wave","Long list")))</f>
        <v>Long list</v>
      </c>
      <c r="AE59" s="5" t="str">
        <f aca="false">IF(AND(K59+L59=0,M59&gt;0),"Safety upgrade of existing prefilled syringe",IF(K59+L59+M59=0,"Confirm presentation (not stated in source)",IF(AA59="Yes","Differentiation in crowded generic market","Safety-device mandate compliance")))</f>
        <v>Differentiation in crowded generic market</v>
      </c>
      <c r="AF59" s="5" t="str">
        <f aca="false">IF(AC59="","",C59&amp;"|"&amp;AC59)</f>
        <v>Intas Pharmaceuticals|42</v>
      </c>
    </row>
    <row r="60" customFormat="false" ht="15" hidden="false" customHeight="false" outlineLevel="0" collapsed="false">
      <c r="A60" s="5" t="n">
        <f aca="false">IF(ISNUMBER(U60),RANK(U60,$U$5:$U$337),"")</f>
        <v>197</v>
      </c>
      <c r="B60" s="5" t="s">
        <v>72</v>
      </c>
      <c r="C60" s="5" t="s">
        <v>73</v>
      </c>
      <c r="D60" s="5" t="str">
        <f aca="false">INDEX('API Data'!$B$2:$B$152,MATCH(B60,'API Data'!$A$2:$A$152,0))</f>
        <v>Anti-infective – hospital Gram-negative/Pseudomonas, febrile neutropenia</v>
      </c>
      <c r="E60" s="5" t="n">
        <f aca="false">COUNTIFS('Market Listing'!$A$2:$A$4054,B60,'Market Listing'!$B$2:$B$4054,C60)</f>
        <v>1</v>
      </c>
      <c r="F60" s="5" t="n">
        <f aca="false">COUNTIFS('Market Listing'!$A$2:$A$4054,B60,'Market Listing'!$B$2:$B$4054,C60,'Market Listing'!$D$2:$D$4054,"Tier 1")</f>
        <v>0</v>
      </c>
      <c r="G60" s="5" t="n">
        <f aca="false">COUNTIFS('Market Listing'!$A$2:$A$4054,B60,'Market Listing'!$B$2:$B$4054,C60,'Market Listing'!$D$2:$D$4054,"Tier 2")</f>
        <v>1</v>
      </c>
      <c r="H60" s="5" t="n">
        <f aca="false">COUNTIFS('Market Listing'!$A$2:$A$4054,B60,'Market Listing'!$B$2:$B$4054,C60,'Market Listing'!$D$2:$D$4054,"Tier 3")</f>
        <v>0</v>
      </c>
      <c r="I60" s="5" t="n">
        <f aca="false">SUMIFS('Market Listing'!$E$2:$E$4054,'Market Listing'!$A$2:$A$4054,B60,'Market Listing'!$B$2:$B$4054,C60)</f>
        <v>2</v>
      </c>
      <c r="J60" s="5" t="n">
        <f aca="false">COUNTIFS('Product Rows'!$A$2:$A$696,B60,'Product Rows'!$B$2:$B$696,C60)</f>
        <v>2</v>
      </c>
      <c r="K60" s="5" t="n">
        <f aca="false">COUNTIFS('Product Rows'!$A$2:$A$696,B60,'Product Rows'!$B$2:$B$696,C60,'Product Rows'!$G$2:$G$696,"Vial")</f>
        <v>2</v>
      </c>
      <c r="L60" s="5" t="n">
        <f aca="false">COUNTIFS('Product Rows'!$A$2:$A$696,B60,'Product Rows'!$B$2:$B$696,C60,'Product Rows'!$G$2:$G$696,"Ampoule")</f>
        <v>0</v>
      </c>
      <c r="M60" s="5" t="n">
        <f aca="false">COUNTIFS('Product Rows'!$A$2:$A$696,B60,'Product Rows'!$B$2:$B$696,C60,'Product Rows'!$G$2:$G$696,"Prefilled syringe/pen")</f>
        <v>0</v>
      </c>
      <c r="N60" s="6" t="n">
        <f aca="false">IFERROR(AVERAGEIFS('Product Rows'!$H$2:$H$696,'Product Rows'!$A$2:$A$696,B60,'Product Rows'!$B$2:$B$696,C60),"")</f>
        <v>13.0305</v>
      </c>
      <c r="O60" s="7" t="n">
        <f aca="false">INDEX('API Data'!$E$2:$E$152,MATCH(B60,'API Data'!$A$2:$A$152,0))</f>
        <v>6294.90336134454</v>
      </c>
      <c r="P60" s="5" t="n">
        <f aca="false">COUNTIF($B$5:$B$337,B60)</f>
        <v>4</v>
      </c>
      <c r="Q60" s="8" t="n">
        <f aca="false">IF(ISNUMBER(I60),PERCENTRANK($I$5:$I$337,I60),"")</f>
        <v>0</v>
      </c>
      <c r="R60" s="8" t="n">
        <f aca="false">IF(ISNUMBER(N60),PERCENTRANK($N$5:$N$337,N60),"")</f>
        <v>0.258</v>
      </c>
      <c r="S60" s="8" t="n">
        <f aca="false">IF(ISNUMBER(O60),PERCENTRANK($O$5:$O$337,O60),"")</f>
        <v>0.593</v>
      </c>
      <c r="T60" s="8" t="n">
        <f aca="false">IF(ISNUMBER(P60),PERCENTRANK($P$5:$P$337,P60),"")</f>
        <v>0.569</v>
      </c>
      <c r="U60" s="9" t="n">
        <f aca="false">IF((IF(ISNUMBER(Q60),Inputs!$B$4,0)+IF(ISNUMBER(R60),Inputs!$B$5,0)+IF(ISNUMBER(S60),Inputs!$B$6,0)+IF(ISNUMBER(T60),Inputs!$B$7,0))=0,"",(IF(ISNUMBER(Q60),Inputs!$B$4*Q60,0)+IF(ISNUMBER(R60),Inputs!$B$5*R60,0)+IF(ISNUMBER(S60),Inputs!$B$6*S60,0)+IF(ISNUMBER(T60),Inputs!$B$7*T60,0))/(IF(ISNUMBER(Q60),Inputs!$B$4,0)+IF(ISNUMBER(R60),Inputs!$B$5,0)+IF(ISNUMBER(S60),Inputs!$B$6,0)+IF(ISNUMBER(T60),Inputs!$B$7,0)))</f>
        <v>0.4255</v>
      </c>
      <c r="V60" s="5" t="str">
        <f aca="false">IF(F60&gt;0,"Yes","No")</f>
        <v>No</v>
      </c>
      <c r="W60" s="5" t="str">
        <f aca="false">IF(ISNUMBER(N60),IF(N60&gt;=Inputs!$D$18,"Yes","No"),"No price")</f>
        <v>Yes</v>
      </c>
      <c r="X60" s="5" t="str">
        <f aca="false">IF(K60+L60&gt;0,"Yes",IF(M60&gt;0,"No","Unclear"))</f>
        <v>Yes</v>
      </c>
      <c r="Y60" s="5" t="str">
        <f aca="false">INDEX('API Data'!$H$2:$H$152,MATCH(B60,'API Data'!$A$2:$A$152,0))</f>
        <v>No</v>
      </c>
      <c r="Z60" s="5" t="str">
        <f aca="false">IF(COUNTIFS('Product Rows'!$A$2:$A$696,B60,'Product Rows'!$B$2:$B$696,C60,'Product Rows'!$I$2:$I$696,"Yes")&gt;0,"Yes","No")</f>
        <v>Yes</v>
      </c>
      <c r="AA60" s="5" t="str">
        <f aca="false">IF(P60&gt;=Inputs!$D$22,"Yes","No")</f>
        <v>Yes</v>
      </c>
      <c r="AB60" s="10" t="b">
        <f aca="false">AND(OR(Inputs!$B$17&lt;&gt;"Exclude",V60="Yes"),OR(Inputs!$B$18&lt;&gt;"Exclude",W60&lt;&gt;"No"),OR(Inputs!$B$19&lt;&gt;"Exclude",X60&lt;&gt;"No"),OR(Inputs!$B$20&lt;&gt;"Exclude",Y60="No"),OR(Inputs!$B$21&lt;&gt;"Exclude",Z60="No"),OR(Inputs!$B$22&lt;&gt;"Exclude",AA60="Yes"),ISNUMBER(U60))</f>
        <v>0</v>
      </c>
      <c r="AC60" s="5" t="str">
        <f aca="false">IF(AB60,COUNTIFS($C$5:$C$337,C60,$AB$5:$AB$337,TRUE(),$U$5:$U$337,"&gt;"&amp;U60)+COUNTIFS($C$5:C60,C60,$AB$5:AB60,TRUE(),$U$5:U60,U60),"")</f>
        <v/>
      </c>
      <c r="AD60" s="5" t="str">
        <f aca="false">IF(AC60="","Not eligible",IF(AC60&lt;=Inputs!$B$25,"Lead",IF(AC60&lt;=Inputs!$B$25+Inputs!$B$26,"Next wave","Long list")))</f>
        <v>Not eligible</v>
      </c>
      <c r="AE60" s="5" t="str">
        <f aca="false">IF(AND(K60+L60=0,M60&gt;0),"Safety upgrade of existing prefilled syringe",IF(K60+L60+M60=0,"Confirm presentation (not stated in source)",IF(AA60="Yes","Differentiation in crowded generic market","Safety-device mandate compliance")))</f>
        <v>Differentiation in crowded generic market</v>
      </c>
      <c r="AF60" s="5" t="str">
        <f aca="false">IF(AC60="","",C60&amp;"|"&amp;AC60)</f>
        <v/>
      </c>
    </row>
    <row r="61" customFormat="false" ht="15" hidden="false" customHeight="false" outlineLevel="0" collapsed="false">
      <c r="A61" s="5" t="n">
        <f aca="false">IF(ISNUMBER(U61),RANK(U61,$U$5:$U$337),"")</f>
        <v>235</v>
      </c>
      <c r="B61" s="5" t="s">
        <v>74</v>
      </c>
      <c r="C61" s="5" t="s">
        <v>47</v>
      </c>
      <c r="D61" s="5" t="str">
        <f aca="false">INDEX('API Data'!$B$2:$B$152,MATCH(B61,'API Data'!$A$2:$A$152,0))</f>
        <v>Anti-infective – Pseudomonas &amp; hospital Gram-negative infections</v>
      </c>
      <c r="E61" s="5" t="n">
        <f aca="false">COUNTIFS('Market Listing'!$A$2:$A$4054,B61,'Market Listing'!$B$2:$B$4054,C61)</f>
        <v>30</v>
      </c>
      <c r="F61" s="5" t="n">
        <f aca="false">COUNTIFS('Market Listing'!$A$2:$A$4054,B61,'Market Listing'!$B$2:$B$4054,C61,'Market Listing'!$D$2:$D$4054,"Tier 1")</f>
        <v>5</v>
      </c>
      <c r="G61" s="5" t="n">
        <f aca="false">COUNTIFS('Market Listing'!$A$2:$A$4054,B61,'Market Listing'!$B$2:$B$4054,C61,'Market Listing'!$D$2:$D$4054,"Tier 2")</f>
        <v>3</v>
      </c>
      <c r="H61" s="5" t="n">
        <f aca="false">COUNTIFS('Market Listing'!$A$2:$A$4054,B61,'Market Listing'!$B$2:$B$4054,C61,'Market Listing'!$D$2:$D$4054,"Tier 3")</f>
        <v>22</v>
      </c>
      <c r="I61" s="5" t="n">
        <f aca="false">SUMIFS('Market Listing'!$E$2:$E$4054,'Market Listing'!$A$2:$A$4054,B61,'Market Listing'!$B$2:$B$4054,C61)</f>
        <v>43</v>
      </c>
      <c r="J61" s="5" t="n">
        <f aca="false">COUNTIFS('Product Rows'!$A$2:$A$696,B61,'Product Rows'!$B$2:$B$696,C61)</f>
        <v>1</v>
      </c>
      <c r="K61" s="5" t="n">
        <f aca="false">COUNTIFS('Product Rows'!$A$2:$A$696,B61,'Product Rows'!$B$2:$B$696,C61,'Product Rows'!$G$2:$G$696,"Vial")</f>
        <v>1</v>
      </c>
      <c r="L61" s="5" t="n">
        <f aca="false">COUNTIFS('Product Rows'!$A$2:$A$696,B61,'Product Rows'!$B$2:$B$696,C61,'Product Rows'!$G$2:$G$696,"Ampoule")</f>
        <v>0</v>
      </c>
      <c r="M61" s="5" t="n">
        <f aca="false">COUNTIFS('Product Rows'!$A$2:$A$696,B61,'Product Rows'!$B$2:$B$696,C61,'Product Rows'!$G$2:$G$696,"Prefilled syringe/pen")</f>
        <v>0</v>
      </c>
      <c r="N61" s="6" t="n">
        <f aca="false">IFERROR(AVERAGEIFS('Product Rows'!$H$2:$H$696,'Product Rows'!$A$2:$A$696,B61,'Product Rows'!$B$2:$B$696,C61),"")</f>
        <v>8.4976</v>
      </c>
      <c r="O61" s="7" t="n">
        <f aca="false">INDEX('API Data'!$E$2:$E$152,MATCH(B61,'API Data'!$A$2:$A$152,0))</f>
        <v>5713.56</v>
      </c>
      <c r="P61" s="5" t="n">
        <f aca="false">COUNTIF($B$5:$B$337,B61)</f>
        <v>4</v>
      </c>
      <c r="Q61" s="8" t="n">
        <f aca="false">IF(ISNUMBER(I61),PERCENTRANK($I$5:$I$337,I61),"")</f>
        <v>0.75</v>
      </c>
      <c r="R61" s="8" t="n">
        <f aca="false">IF(ISNUMBER(N61),PERCENTRANK($N$5:$N$337,N61),"")</f>
        <v>0.158</v>
      </c>
      <c r="S61" s="8" t="n">
        <f aca="false">IF(ISNUMBER(O61),PERCENTRANK($O$5:$O$337,O61),"")</f>
        <v>0.569</v>
      </c>
      <c r="T61" s="8" t="n">
        <f aca="false">IF(ISNUMBER(P61),PERCENTRANK($P$5:$P$337,P61),"")</f>
        <v>0.569</v>
      </c>
      <c r="U61" s="9" t="n">
        <f aca="false">IF((IF(ISNUMBER(Q61),Inputs!$B$4,0)+IF(ISNUMBER(R61),Inputs!$B$5,0)+IF(ISNUMBER(S61),Inputs!$B$6,0)+IF(ISNUMBER(T61),Inputs!$B$7,0))=0,"",(IF(ISNUMBER(Q61),Inputs!$B$4*Q61,0)+IF(ISNUMBER(R61),Inputs!$B$5*R61,0)+IF(ISNUMBER(S61),Inputs!$B$6*S61,0)+IF(ISNUMBER(T61),Inputs!$B$7*T61,0))/(IF(ISNUMBER(Q61),Inputs!$B$4,0)+IF(ISNUMBER(R61),Inputs!$B$5,0)+IF(ISNUMBER(S61),Inputs!$B$6,0)+IF(ISNUMBER(T61),Inputs!$B$7,0)))</f>
        <v>0.3635</v>
      </c>
      <c r="V61" s="5" t="str">
        <f aca="false">IF(F61&gt;0,"Yes","No")</f>
        <v>Yes</v>
      </c>
      <c r="W61" s="5" t="str">
        <f aca="false">IF(ISNUMBER(N61),IF(N61&gt;=Inputs!$D$18,"Yes","No"),"No price")</f>
        <v>Yes</v>
      </c>
      <c r="X61" s="5" t="str">
        <f aca="false">IF(K61+L61&gt;0,"Yes",IF(M61&gt;0,"No","Unclear"))</f>
        <v>Yes</v>
      </c>
      <c r="Y61" s="5" t="str">
        <f aca="false">INDEX('API Data'!$H$2:$H$152,MATCH(B61,'API Data'!$A$2:$A$152,0))</f>
        <v>No</v>
      </c>
      <c r="Z61" s="5" t="str">
        <f aca="false">IF(COUNTIFS('Product Rows'!$A$2:$A$696,B61,'Product Rows'!$B$2:$B$696,C61,'Product Rows'!$I$2:$I$696,"Yes")&gt;0,"Yes","No")</f>
        <v>Yes</v>
      </c>
      <c r="AA61" s="5" t="str">
        <f aca="false">IF(P61&gt;=Inputs!$D$22,"Yes","No")</f>
        <v>Yes</v>
      </c>
      <c r="AB61" s="10" t="b">
        <f aca="false">AND(OR(Inputs!$B$17&lt;&gt;"Exclude",V61="Yes"),OR(Inputs!$B$18&lt;&gt;"Exclude",W61&lt;&gt;"No"),OR(Inputs!$B$19&lt;&gt;"Exclude",X61&lt;&gt;"No"),OR(Inputs!$B$20&lt;&gt;"Exclude",Y61="No"),OR(Inputs!$B$21&lt;&gt;"Exclude",Z61="No"),OR(Inputs!$B$22&lt;&gt;"Exclude",AA61="Yes"),ISNUMBER(U61))</f>
        <v>1</v>
      </c>
      <c r="AC61" s="5" t="n">
        <f aca="false">IF(AB61,COUNTIFS($C$5:$C$337,C61,$AB$5:$AB$337,TRUE(),$U$5:$U$337,"&gt;"&amp;U61)+COUNTIFS($C$5:C61,C61,$AB$5:AB61,TRUE(),$U$5:U61,U61),"")</f>
        <v>37</v>
      </c>
      <c r="AD61" s="5" t="str">
        <f aca="false">IF(AC61="","Not eligible",IF(AC61&lt;=Inputs!$B$25,"Lead",IF(AC61&lt;=Inputs!$B$25+Inputs!$B$26,"Next wave","Long list")))</f>
        <v>Long list</v>
      </c>
      <c r="AE61" s="5" t="str">
        <f aca="false">IF(AND(K61+L61=0,M61&gt;0),"Safety upgrade of existing prefilled syringe",IF(K61+L61+M61=0,"Confirm presentation (not stated in source)",IF(AA61="Yes","Differentiation in crowded generic market","Safety-device mandate compliance")))</f>
        <v>Differentiation in crowded generic market</v>
      </c>
      <c r="AF61" s="5" t="str">
        <f aca="false">IF(AC61="","",C61&amp;"|"&amp;AC61)</f>
        <v>Aurobindo Pharma|37</v>
      </c>
    </row>
    <row r="62" customFormat="false" ht="15" hidden="false" customHeight="false" outlineLevel="0" collapsed="false">
      <c r="A62" s="5" t="n">
        <f aca="false">IF(ISNUMBER(U62),RANK(U62,$U$5:$U$337),"")</f>
        <v>163</v>
      </c>
      <c r="B62" s="5" t="s">
        <v>74</v>
      </c>
      <c r="C62" s="5" t="s">
        <v>73</v>
      </c>
      <c r="D62" s="5" t="str">
        <f aca="false">INDEX('API Data'!$B$2:$B$152,MATCH(B62,'API Data'!$A$2:$A$152,0))</f>
        <v>Anti-infective – Pseudomonas &amp; hospital Gram-negative infections</v>
      </c>
      <c r="E62" s="5" t="n">
        <f aca="false">COUNTIFS('Market Listing'!$A$2:$A$4054,B62,'Market Listing'!$B$2:$B$4054,C62)</f>
        <v>1</v>
      </c>
      <c r="F62" s="5" t="n">
        <f aca="false">COUNTIFS('Market Listing'!$A$2:$A$4054,B62,'Market Listing'!$B$2:$B$4054,C62,'Market Listing'!$D$2:$D$4054,"Tier 1")</f>
        <v>0</v>
      </c>
      <c r="G62" s="5" t="n">
        <f aca="false">COUNTIFS('Market Listing'!$A$2:$A$4054,B62,'Market Listing'!$B$2:$B$4054,C62,'Market Listing'!$D$2:$D$4054,"Tier 2")</f>
        <v>1</v>
      </c>
      <c r="H62" s="5" t="n">
        <f aca="false">COUNTIFS('Market Listing'!$A$2:$A$4054,B62,'Market Listing'!$B$2:$B$4054,C62,'Market Listing'!$D$2:$D$4054,"Tier 3")</f>
        <v>0</v>
      </c>
      <c r="I62" s="5" t="n">
        <f aca="false">SUMIFS('Market Listing'!$E$2:$E$4054,'Market Listing'!$A$2:$A$4054,B62,'Market Listing'!$B$2:$B$4054,C62)</f>
        <v>2</v>
      </c>
      <c r="J62" s="5" t="n">
        <f aca="false">COUNTIFS('Product Rows'!$A$2:$A$696,B62,'Product Rows'!$B$2:$B$696,C62)</f>
        <v>2</v>
      </c>
      <c r="K62" s="5" t="n">
        <f aca="false">COUNTIFS('Product Rows'!$A$2:$A$696,B62,'Product Rows'!$B$2:$B$696,C62,'Product Rows'!$G$2:$G$696,"Vial")</f>
        <v>2</v>
      </c>
      <c r="L62" s="5" t="n">
        <f aca="false">COUNTIFS('Product Rows'!$A$2:$A$696,B62,'Product Rows'!$B$2:$B$696,C62,'Product Rows'!$G$2:$G$696,"Ampoule")</f>
        <v>0</v>
      </c>
      <c r="M62" s="5" t="n">
        <f aca="false">COUNTIFS('Product Rows'!$A$2:$A$696,B62,'Product Rows'!$B$2:$B$696,C62,'Product Rows'!$G$2:$G$696,"Prefilled syringe/pen")</f>
        <v>0</v>
      </c>
      <c r="N62" s="6" t="n">
        <f aca="false">IFERROR(AVERAGEIFS('Product Rows'!$H$2:$H$696,'Product Rows'!$A$2:$A$696,B62,'Product Rows'!$B$2:$B$696,C62),"")</f>
        <v>23.0475</v>
      </c>
      <c r="O62" s="7" t="n">
        <f aca="false">INDEX('API Data'!$E$2:$E$152,MATCH(B62,'API Data'!$A$2:$A$152,0))</f>
        <v>5713.56</v>
      </c>
      <c r="P62" s="5" t="n">
        <f aca="false">COUNTIF($B$5:$B$337,B62)</f>
        <v>4</v>
      </c>
      <c r="Q62" s="8" t="n">
        <f aca="false">IF(ISNUMBER(I62),PERCENTRANK($I$5:$I$337,I62),"")</f>
        <v>0</v>
      </c>
      <c r="R62" s="8" t="n">
        <f aca="false">IF(ISNUMBER(N62),PERCENTRANK($N$5:$N$337,N62),"")</f>
        <v>0.409</v>
      </c>
      <c r="S62" s="8" t="n">
        <f aca="false">IF(ISNUMBER(O62),PERCENTRANK($O$5:$O$337,O62),"")</f>
        <v>0.569</v>
      </c>
      <c r="T62" s="8" t="n">
        <f aca="false">IF(ISNUMBER(P62),PERCENTRANK($P$5:$P$337,P62),"")</f>
        <v>0.569</v>
      </c>
      <c r="U62" s="9" t="n">
        <f aca="false">IF((IF(ISNUMBER(Q62),Inputs!$B$4,0)+IF(ISNUMBER(R62),Inputs!$B$5,0)+IF(ISNUMBER(S62),Inputs!$B$6,0)+IF(ISNUMBER(T62),Inputs!$B$7,0))=0,"",(IF(ISNUMBER(Q62),Inputs!$B$4*Q62,0)+IF(ISNUMBER(R62),Inputs!$B$5*R62,0)+IF(ISNUMBER(S62),Inputs!$B$6*S62,0)+IF(ISNUMBER(T62),Inputs!$B$7*T62,0))/(IF(ISNUMBER(Q62),Inputs!$B$4,0)+IF(ISNUMBER(R62),Inputs!$B$5,0)+IF(ISNUMBER(S62),Inputs!$B$6,0)+IF(ISNUMBER(T62),Inputs!$B$7,0)))</f>
        <v>0.489</v>
      </c>
      <c r="V62" s="5" t="str">
        <f aca="false">IF(F62&gt;0,"Yes","No")</f>
        <v>No</v>
      </c>
      <c r="W62" s="5" t="str">
        <f aca="false">IF(ISNUMBER(N62),IF(N62&gt;=Inputs!$D$18,"Yes","No"),"No price")</f>
        <v>Yes</v>
      </c>
      <c r="X62" s="5" t="str">
        <f aca="false">IF(K62+L62&gt;0,"Yes",IF(M62&gt;0,"No","Unclear"))</f>
        <v>Yes</v>
      </c>
      <c r="Y62" s="5" t="str">
        <f aca="false">INDEX('API Data'!$H$2:$H$152,MATCH(B62,'API Data'!$A$2:$A$152,0))</f>
        <v>No</v>
      </c>
      <c r="Z62" s="5" t="str">
        <f aca="false">IF(COUNTIFS('Product Rows'!$A$2:$A$696,B62,'Product Rows'!$B$2:$B$696,C62,'Product Rows'!$I$2:$I$696,"Yes")&gt;0,"Yes","No")</f>
        <v>Yes</v>
      </c>
      <c r="AA62" s="5" t="str">
        <f aca="false">IF(P62&gt;=Inputs!$D$22,"Yes","No")</f>
        <v>Yes</v>
      </c>
      <c r="AB62" s="10" t="b">
        <f aca="false">AND(OR(Inputs!$B$17&lt;&gt;"Exclude",V62="Yes"),OR(Inputs!$B$18&lt;&gt;"Exclude",W62&lt;&gt;"No"),OR(Inputs!$B$19&lt;&gt;"Exclude",X62&lt;&gt;"No"),OR(Inputs!$B$20&lt;&gt;"Exclude",Y62="No"),OR(Inputs!$B$21&lt;&gt;"Exclude",Z62="No"),OR(Inputs!$B$22&lt;&gt;"Exclude",AA62="Yes"),ISNUMBER(U62))</f>
        <v>0</v>
      </c>
      <c r="AC62" s="5" t="str">
        <f aca="false">IF(AB62,COUNTIFS($C$5:$C$337,C62,$AB$5:$AB$337,TRUE(),$U$5:$U$337,"&gt;"&amp;U62)+COUNTIFS($C$5:C62,C62,$AB$5:AB62,TRUE(),$U$5:U62,U62),"")</f>
        <v/>
      </c>
      <c r="AD62" s="5" t="str">
        <f aca="false">IF(AC62="","Not eligible",IF(AC62&lt;=Inputs!$B$25,"Lead",IF(AC62&lt;=Inputs!$B$25+Inputs!$B$26,"Next wave","Long list")))</f>
        <v>Not eligible</v>
      </c>
      <c r="AE62" s="5" t="str">
        <f aca="false">IF(AND(K62+L62=0,M62&gt;0),"Safety upgrade of existing prefilled syringe",IF(K62+L62+M62=0,"Confirm presentation (not stated in source)",IF(AA62="Yes","Differentiation in crowded generic market","Safety-device mandate compliance")))</f>
        <v>Differentiation in crowded generic market</v>
      </c>
      <c r="AF62" s="5" t="str">
        <f aca="false">IF(AC62="","",C62&amp;"|"&amp;AC62)</f>
        <v/>
      </c>
    </row>
    <row r="63" customFormat="false" ht="15" hidden="false" customHeight="false" outlineLevel="0" collapsed="false">
      <c r="A63" s="5" t="n">
        <f aca="false">IF(ISNUMBER(U63),RANK(U63,$U$5:$U$337),"")</f>
        <v>128</v>
      </c>
      <c r="B63" s="5" t="s">
        <v>74</v>
      </c>
      <c r="C63" s="5" t="s">
        <v>61</v>
      </c>
      <c r="D63" s="5" t="str">
        <f aca="false">INDEX('API Data'!$B$2:$B$152,MATCH(B63,'API Data'!$A$2:$A$152,0))</f>
        <v>Anti-infective – Pseudomonas &amp; hospital Gram-negative infections</v>
      </c>
      <c r="E63" s="5" t="n">
        <f aca="false">COUNTIFS('Market Listing'!$A$2:$A$4054,B63,'Market Listing'!$B$2:$B$4054,C63)</f>
        <v>1</v>
      </c>
      <c r="F63" s="5" t="n">
        <f aca="false">COUNTIFS('Market Listing'!$A$2:$A$4054,B63,'Market Listing'!$B$2:$B$4054,C63,'Market Listing'!$D$2:$D$4054,"Tier 1")</f>
        <v>1</v>
      </c>
      <c r="G63" s="5" t="n">
        <f aca="false">COUNTIFS('Market Listing'!$A$2:$A$4054,B63,'Market Listing'!$B$2:$B$4054,C63,'Market Listing'!$D$2:$D$4054,"Tier 2")</f>
        <v>0</v>
      </c>
      <c r="H63" s="5" t="n">
        <f aca="false">COUNTIFS('Market Listing'!$A$2:$A$4054,B63,'Market Listing'!$B$2:$B$4054,C63,'Market Listing'!$D$2:$D$4054,"Tier 3")</f>
        <v>0</v>
      </c>
      <c r="I63" s="5" t="n">
        <f aca="false">SUMIFS('Market Listing'!$E$2:$E$4054,'Market Listing'!$A$2:$A$4054,B63,'Market Listing'!$B$2:$B$4054,C63)</f>
        <v>3</v>
      </c>
      <c r="J63" s="5" t="n">
        <f aca="false">COUNTIFS('Product Rows'!$A$2:$A$696,B63,'Product Rows'!$B$2:$B$696,C63)</f>
        <v>1</v>
      </c>
      <c r="K63" s="5" t="n">
        <f aca="false">COUNTIFS('Product Rows'!$A$2:$A$696,B63,'Product Rows'!$B$2:$B$696,C63,'Product Rows'!$G$2:$G$696,"Vial")</f>
        <v>1</v>
      </c>
      <c r="L63" s="5" t="n">
        <f aca="false">COUNTIFS('Product Rows'!$A$2:$A$696,B63,'Product Rows'!$B$2:$B$696,C63,'Product Rows'!$G$2:$G$696,"Ampoule")</f>
        <v>0</v>
      </c>
      <c r="M63" s="5" t="n">
        <f aca="false">COUNTIFS('Product Rows'!$A$2:$A$696,B63,'Product Rows'!$B$2:$B$696,C63,'Product Rows'!$G$2:$G$696,"Prefilled syringe/pen")</f>
        <v>0</v>
      </c>
      <c r="N63" s="6" t="n">
        <f aca="false">IFERROR(AVERAGEIFS('Product Rows'!$H$2:$H$696,'Product Rows'!$A$2:$A$696,B63,'Product Rows'!$B$2:$B$696,C63),"")</f>
        <v>34.58</v>
      </c>
      <c r="O63" s="7" t="n">
        <f aca="false">INDEX('API Data'!$E$2:$E$152,MATCH(B63,'API Data'!$A$2:$A$152,0))</f>
        <v>5713.56</v>
      </c>
      <c r="P63" s="5" t="n">
        <f aca="false">COUNTIF($B$5:$B$337,B63)</f>
        <v>4</v>
      </c>
      <c r="Q63" s="8" t="n">
        <f aca="false">IF(ISNUMBER(I63),PERCENTRANK($I$5:$I$337,I63),"")</f>
        <v>0.157</v>
      </c>
      <c r="R63" s="8" t="n">
        <f aca="false">IF(ISNUMBER(N63),PERCENTRANK($N$5:$N$337,N63),"")</f>
        <v>0.527</v>
      </c>
      <c r="S63" s="8" t="n">
        <f aca="false">IF(ISNUMBER(O63),PERCENTRANK($O$5:$O$337,O63),"")</f>
        <v>0.569</v>
      </c>
      <c r="T63" s="8" t="n">
        <f aca="false">IF(ISNUMBER(P63),PERCENTRANK($P$5:$P$337,P63),"")</f>
        <v>0.569</v>
      </c>
      <c r="U63" s="9" t="n">
        <f aca="false">IF((IF(ISNUMBER(Q63),Inputs!$B$4,0)+IF(ISNUMBER(R63),Inputs!$B$5,0)+IF(ISNUMBER(S63),Inputs!$B$6,0)+IF(ISNUMBER(T63),Inputs!$B$7,0))=0,"",(IF(ISNUMBER(Q63),Inputs!$B$4*Q63,0)+IF(ISNUMBER(R63),Inputs!$B$5*R63,0)+IF(ISNUMBER(S63),Inputs!$B$6*S63,0)+IF(ISNUMBER(T63),Inputs!$B$7*T63,0))/(IF(ISNUMBER(Q63),Inputs!$B$4,0)+IF(ISNUMBER(R63),Inputs!$B$5,0)+IF(ISNUMBER(S63),Inputs!$B$6,0)+IF(ISNUMBER(T63),Inputs!$B$7,0)))</f>
        <v>0.548</v>
      </c>
      <c r="V63" s="5" t="str">
        <f aca="false">IF(F63&gt;0,"Yes","No")</f>
        <v>Yes</v>
      </c>
      <c r="W63" s="5" t="str">
        <f aca="false">IF(ISNUMBER(N63),IF(N63&gt;=Inputs!$D$18,"Yes","No"),"No price")</f>
        <v>Yes</v>
      </c>
      <c r="X63" s="5" t="str">
        <f aca="false">IF(K63+L63&gt;0,"Yes",IF(M63&gt;0,"No","Unclear"))</f>
        <v>Yes</v>
      </c>
      <c r="Y63" s="5" t="str">
        <f aca="false">INDEX('API Data'!$H$2:$H$152,MATCH(B63,'API Data'!$A$2:$A$152,0))</f>
        <v>No</v>
      </c>
      <c r="Z63" s="5" t="str">
        <f aca="false">IF(COUNTIFS('Product Rows'!$A$2:$A$696,B63,'Product Rows'!$B$2:$B$696,C63,'Product Rows'!$I$2:$I$696,"Yes")&gt;0,"Yes","No")</f>
        <v>No</v>
      </c>
      <c r="AA63" s="5" t="str">
        <f aca="false">IF(P63&gt;=Inputs!$D$22,"Yes","No")</f>
        <v>Yes</v>
      </c>
      <c r="AB63" s="10" t="b">
        <f aca="false">AND(OR(Inputs!$B$17&lt;&gt;"Exclude",V63="Yes"),OR(Inputs!$B$18&lt;&gt;"Exclude",W63&lt;&gt;"No"),OR(Inputs!$B$19&lt;&gt;"Exclude",X63&lt;&gt;"No"),OR(Inputs!$B$20&lt;&gt;"Exclude",Y63="No"),OR(Inputs!$B$21&lt;&gt;"Exclude",Z63="No"),OR(Inputs!$B$22&lt;&gt;"Exclude",AA63="Yes"),ISNUMBER(U63))</f>
        <v>1</v>
      </c>
      <c r="AC63" s="5" t="n">
        <f aca="false">IF(AB63,COUNTIFS($C$5:$C$337,C63,$AB$5:$AB$337,TRUE(),$U$5:$U$337,"&gt;"&amp;U63)+COUNTIFS($C$5:C63,C63,$AB$5:AB63,TRUE(),$U$5:U63,U63),"")</f>
        <v>4</v>
      </c>
      <c r="AD63" s="5" t="str">
        <f aca="false">IF(AC63="","Not eligible",IF(AC63&lt;=Inputs!$B$25,"Lead",IF(AC63&lt;=Inputs!$B$25+Inputs!$B$26,"Next wave","Long list")))</f>
        <v>Lead</v>
      </c>
      <c r="AE63" s="5" t="str">
        <f aca="false">IF(AND(K63+L63=0,M63&gt;0),"Safety upgrade of existing prefilled syringe",IF(K63+L63+M63=0,"Confirm presentation (not stated in source)",IF(AA63="Yes","Differentiation in crowded generic market","Safety-device mandate compliance")))</f>
        <v>Differentiation in crowded generic market</v>
      </c>
      <c r="AF63" s="5" t="str">
        <f aca="false">IF(AC63="","",C63&amp;"|"&amp;AC63)</f>
        <v>Venus Remedies|4</v>
      </c>
    </row>
    <row r="64" customFormat="false" ht="15" hidden="false" customHeight="false" outlineLevel="0" collapsed="false">
      <c r="A64" s="5" t="n">
        <f aca="false">IF(ISNUMBER(U64),RANK(U64,$U$5:$U$337),"")</f>
        <v>176</v>
      </c>
      <c r="B64" s="5" t="s">
        <v>74</v>
      </c>
      <c r="C64" s="5" t="s">
        <v>38</v>
      </c>
      <c r="D64" s="5" t="str">
        <f aca="false">INDEX('API Data'!$B$2:$B$152,MATCH(B64,'API Data'!$A$2:$A$152,0))</f>
        <v>Anti-infective – Pseudomonas &amp; hospital Gram-negative infections</v>
      </c>
      <c r="E64" s="5" t="n">
        <f aca="false">COUNTIFS('Market Listing'!$A$2:$A$4054,B64,'Market Listing'!$B$2:$B$4054,C64)</f>
        <v>31</v>
      </c>
      <c r="F64" s="5" t="n">
        <f aca="false">COUNTIFS('Market Listing'!$A$2:$A$4054,B64,'Market Listing'!$B$2:$B$4054,C64,'Market Listing'!$D$2:$D$4054,"Tier 1")</f>
        <v>6</v>
      </c>
      <c r="G64" s="5" t="n">
        <f aca="false">COUNTIFS('Market Listing'!$A$2:$A$4054,B64,'Market Listing'!$B$2:$B$4054,C64,'Market Listing'!$D$2:$D$4054,"Tier 2")</f>
        <v>3</v>
      </c>
      <c r="H64" s="5" t="n">
        <f aca="false">COUNTIFS('Market Listing'!$A$2:$A$4054,B64,'Market Listing'!$B$2:$B$4054,C64,'Market Listing'!$D$2:$D$4054,"Tier 3")</f>
        <v>22</v>
      </c>
      <c r="I64" s="5" t="n">
        <f aca="false">SUMIFS('Market Listing'!$E$2:$E$4054,'Market Listing'!$A$2:$A$4054,B64,'Market Listing'!$B$2:$B$4054,C64)</f>
        <v>46</v>
      </c>
      <c r="J64" s="5" t="n">
        <f aca="false">COUNTIFS('Product Rows'!$A$2:$A$696,B64,'Product Rows'!$B$2:$B$696,C64)</f>
        <v>2</v>
      </c>
      <c r="K64" s="5" t="n">
        <f aca="false">COUNTIFS('Product Rows'!$A$2:$A$696,B64,'Product Rows'!$B$2:$B$696,C64,'Product Rows'!$G$2:$G$696,"Vial")</f>
        <v>2</v>
      </c>
      <c r="L64" s="5" t="n">
        <f aca="false">COUNTIFS('Product Rows'!$A$2:$A$696,B64,'Product Rows'!$B$2:$B$696,C64,'Product Rows'!$G$2:$G$696,"Ampoule")</f>
        <v>0</v>
      </c>
      <c r="M64" s="5" t="n">
        <f aca="false">COUNTIFS('Product Rows'!$A$2:$A$696,B64,'Product Rows'!$B$2:$B$696,C64,'Product Rows'!$G$2:$G$696,"Prefilled syringe/pen")</f>
        <v>0</v>
      </c>
      <c r="N64" s="6" t="n">
        <f aca="false">IFERROR(AVERAGEIFS('Product Rows'!$H$2:$H$696,'Product Rows'!$A$2:$A$696,B64,'Product Rows'!$B$2:$B$696,C64),"")</f>
        <v>20.2732</v>
      </c>
      <c r="O64" s="7" t="n">
        <f aca="false">INDEX('API Data'!$E$2:$E$152,MATCH(B64,'API Data'!$A$2:$A$152,0))</f>
        <v>5713.56</v>
      </c>
      <c r="P64" s="5" t="n">
        <f aca="false">COUNTIF($B$5:$B$337,B64)</f>
        <v>4</v>
      </c>
      <c r="Q64" s="8" t="n">
        <f aca="false">IF(ISNUMBER(I64),PERCENTRANK($I$5:$I$337,I64),"")</f>
        <v>0.846</v>
      </c>
      <c r="R64" s="8" t="n">
        <f aca="false">IF(ISNUMBER(N64),PERCENTRANK($N$5:$N$337,N64),"")</f>
        <v>0.366</v>
      </c>
      <c r="S64" s="8" t="n">
        <f aca="false">IF(ISNUMBER(O64),PERCENTRANK($O$5:$O$337,O64),"")</f>
        <v>0.569</v>
      </c>
      <c r="T64" s="8" t="n">
        <f aca="false">IF(ISNUMBER(P64),PERCENTRANK($P$5:$P$337,P64),"")</f>
        <v>0.569</v>
      </c>
      <c r="U64" s="9" t="n">
        <f aca="false">IF((IF(ISNUMBER(Q64),Inputs!$B$4,0)+IF(ISNUMBER(R64),Inputs!$B$5,0)+IF(ISNUMBER(S64),Inputs!$B$6,0)+IF(ISNUMBER(T64),Inputs!$B$7,0))=0,"",(IF(ISNUMBER(Q64),Inputs!$B$4*Q64,0)+IF(ISNUMBER(R64),Inputs!$B$5*R64,0)+IF(ISNUMBER(S64),Inputs!$B$6*S64,0)+IF(ISNUMBER(T64),Inputs!$B$7*T64,0))/(IF(ISNUMBER(Q64),Inputs!$B$4,0)+IF(ISNUMBER(R64),Inputs!$B$5,0)+IF(ISNUMBER(S64),Inputs!$B$6,0)+IF(ISNUMBER(T64),Inputs!$B$7,0)))</f>
        <v>0.4675</v>
      </c>
      <c r="V64" s="5" t="str">
        <f aca="false">IF(F64&gt;0,"Yes","No")</f>
        <v>Yes</v>
      </c>
      <c r="W64" s="5" t="str">
        <f aca="false">IF(ISNUMBER(N64),IF(N64&gt;=Inputs!$D$18,"Yes","No"),"No price")</f>
        <v>Yes</v>
      </c>
      <c r="X64" s="5" t="str">
        <f aca="false">IF(K64+L64&gt;0,"Yes",IF(M64&gt;0,"No","Unclear"))</f>
        <v>Yes</v>
      </c>
      <c r="Y64" s="5" t="str">
        <f aca="false">INDEX('API Data'!$H$2:$H$152,MATCH(B64,'API Data'!$A$2:$A$152,0))</f>
        <v>No</v>
      </c>
      <c r="Z64" s="5" t="str">
        <f aca="false">IF(COUNTIFS('Product Rows'!$A$2:$A$696,B64,'Product Rows'!$B$2:$B$696,C64,'Product Rows'!$I$2:$I$696,"Yes")&gt;0,"Yes","No")</f>
        <v>Yes</v>
      </c>
      <c r="AA64" s="5" t="str">
        <f aca="false">IF(P64&gt;=Inputs!$D$22,"Yes","No")</f>
        <v>Yes</v>
      </c>
      <c r="AB64" s="10" t="b">
        <f aca="false">AND(OR(Inputs!$B$17&lt;&gt;"Exclude",V64="Yes"),OR(Inputs!$B$18&lt;&gt;"Exclude",W64&lt;&gt;"No"),OR(Inputs!$B$19&lt;&gt;"Exclude",X64&lt;&gt;"No"),OR(Inputs!$B$20&lt;&gt;"Exclude",Y64="No"),OR(Inputs!$B$21&lt;&gt;"Exclude",Z64="No"),OR(Inputs!$B$22&lt;&gt;"Exclude",AA64="Yes"),ISNUMBER(U64))</f>
        <v>1</v>
      </c>
      <c r="AC64" s="5" t="n">
        <f aca="false">IF(AB64,COUNTIFS($C$5:$C$337,C64,$AB$5:$AB$337,TRUE(),$U$5:$U$337,"&gt;"&amp;U64)+COUNTIFS($C$5:C64,C64,$AB$5:AB64,TRUE(),$U$5:U64,U64),"")</f>
        <v>6</v>
      </c>
      <c r="AD64" s="5" t="str">
        <f aca="false">IF(AC64="","Not eligible",IF(AC64&lt;=Inputs!$B$25,"Lead",IF(AC64&lt;=Inputs!$B$25+Inputs!$B$26,"Next wave","Long list")))</f>
        <v>Next wave</v>
      </c>
      <c r="AE64" s="5" t="str">
        <f aca="false">IF(AND(K64+L64=0,M64&gt;0),"Safety upgrade of existing prefilled syringe",IF(K64+L64+M64=0,"Confirm presentation (not stated in source)",IF(AA64="Yes","Differentiation in crowded generic market","Safety-device mandate compliance")))</f>
        <v>Differentiation in crowded generic market</v>
      </c>
      <c r="AF64" s="5" t="str">
        <f aca="false">IF(AC64="","",C64&amp;"|"&amp;AC64)</f>
        <v>Wockhardt|6</v>
      </c>
    </row>
    <row r="65" customFormat="false" ht="15" hidden="false" customHeight="false" outlineLevel="0" collapsed="false">
      <c r="A65" s="5" t="n">
        <f aca="false">IF(ISNUMBER(U65),RANK(U65,$U$5:$U$337),"")</f>
        <v>148</v>
      </c>
      <c r="B65" s="5" t="s">
        <v>75</v>
      </c>
      <c r="C65" s="5" t="s">
        <v>47</v>
      </c>
      <c r="D65" s="5" t="str">
        <f aca="false">INDEX('API Data'!$B$2:$B$152,MATCH(B65,'API Data'!$A$2:$A$152,0))</f>
        <v>Anti-infective – pneumonia, meningitis, sepsis, gonorrhoea, typhoid</v>
      </c>
      <c r="E65" s="5" t="n">
        <f aca="false">COUNTIFS('Market Listing'!$A$2:$A$4054,B65,'Market Listing'!$B$2:$B$4054,C65)</f>
        <v>30</v>
      </c>
      <c r="F65" s="5" t="n">
        <f aca="false">COUNTIFS('Market Listing'!$A$2:$A$4054,B65,'Market Listing'!$B$2:$B$4054,C65,'Market Listing'!$D$2:$D$4054,"Tier 1")</f>
        <v>5</v>
      </c>
      <c r="G65" s="5" t="n">
        <f aca="false">COUNTIFS('Market Listing'!$A$2:$A$4054,B65,'Market Listing'!$B$2:$B$4054,C65,'Market Listing'!$D$2:$D$4054,"Tier 2")</f>
        <v>3</v>
      </c>
      <c r="H65" s="5" t="n">
        <f aca="false">COUNTIFS('Market Listing'!$A$2:$A$4054,B65,'Market Listing'!$B$2:$B$4054,C65,'Market Listing'!$D$2:$D$4054,"Tier 3")</f>
        <v>22</v>
      </c>
      <c r="I65" s="5" t="n">
        <f aca="false">SUMIFS('Market Listing'!$E$2:$E$4054,'Market Listing'!$A$2:$A$4054,B65,'Market Listing'!$B$2:$B$4054,C65)</f>
        <v>43</v>
      </c>
      <c r="J65" s="5" t="n">
        <f aca="false">COUNTIFS('Product Rows'!$A$2:$A$696,B65,'Product Rows'!$B$2:$B$696,C65)</f>
        <v>2</v>
      </c>
      <c r="K65" s="5" t="n">
        <f aca="false">COUNTIFS('Product Rows'!$A$2:$A$696,B65,'Product Rows'!$B$2:$B$696,C65,'Product Rows'!$G$2:$G$696,"Vial")</f>
        <v>0</v>
      </c>
      <c r="L65" s="5" t="n">
        <f aca="false">COUNTIFS('Product Rows'!$A$2:$A$696,B65,'Product Rows'!$B$2:$B$696,C65,'Product Rows'!$G$2:$G$696,"Ampoule")</f>
        <v>2</v>
      </c>
      <c r="M65" s="5" t="n">
        <f aca="false">COUNTIFS('Product Rows'!$A$2:$A$696,B65,'Product Rows'!$B$2:$B$696,C65,'Product Rows'!$G$2:$G$696,"Prefilled syringe/pen")</f>
        <v>0</v>
      </c>
      <c r="N65" s="6" t="n">
        <f aca="false">IFERROR(AVERAGEIFS('Product Rows'!$H$2:$H$696,'Product Rows'!$A$2:$A$696,B65,'Product Rows'!$B$2:$B$696,C65),"")</f>
        <v>5.6048</v>
      </c>
      <c r="O65" s="7" t="n">
        <f aca="false">INDEX('API Data'!$E$2:$E$152,MATCH(B65,'API Data'!$A$2:$A$152,0))</f>
        <v>93119.22</v>
      </c>
      <c r="P65" s="5" t="n">
        <f aca="false">COUNTIF($B$5:$B$337,B65)</f>
        <v>5</v>
      </c>
      <c r="Q65" s="8" t="n">
        <f aca="false">IF(ISNUMBER(I65),PERCENTRANK($I$5:$I$337,I65),"")</f>
        <v>0.75</v>
      </c>
      <c r="R65" s="8" t="n">
        <f aca="false">IF(ISNUMBER(N65),PERCENTRANK($N$5:$N$337,N65),"")</f>
        <v>0.0287</v>
      </c>
      <c r="S65" s="8" t="n">
        <f aca="false">IF(ISNUMBER(O65),PERCENTRANK($O$5:$O$337,O65),"")</f>
        <v>0.982</v>
      </c>
      <c r="T65" s="8" t="n">
        <f aca="false">IF(ISNUMBER(P65),PERCENTRANK($P$5:$P$337,P65),"")</f>
        <v>0.702</v>
      </c>
      <c r="U65" s="9" t="n">
        <f aca="false">IF((IF(ISNUMBER(Q65),Inputs!$B$4,0)+IF(ISNUMBER(R65),Inputs!$B$5,0)+IF(ISNUMBER(S65),Inputs!$B$6,0)+IF(ISNUMBER(T65),Inputs!$B$7,0))=0,"",(IF(ISNUMBER(Q65),Inputs!$B$4*Q65,0)+IF(ISNUMBER(R65),Inputs!$B$5*R65,0)+IF(ISNUMBER(S65),Inputs!$B$6*S65,0)+IF(ISNUMBER(T65),Inputs!$B$7*T65,0))/(IF(ISNUMBER(Q65),Inputs!$B$4,0)+IF(ISNUMBER(R65),Inputs!$B$5,0)+IF(ISNUMBER(S65),Inputs!$B$6,0)+IF(ISNUMBER(T65),Inputs!$B$7,0)))</f>
        <v>0.50535</v>
      </c>
      <c r="V65" s="5" t="str">
        <f aca="false">IF(F65&gt;0,"Yes","No")</f>
        <v>Yes</v>
      </c>
      <c r="W65" s="5" t="str">
        <f aca="false">IF(ISNUMBER(N65),IF(N65&gt;=Inputs!$D$18,"Yes","No"),"No price")</f>
        <v>Yes</v>
      </c>
      <c r="X65" s="5" t="str">
        <f aca="false">IF(K65+L65&gt;0,"Yes",IF(M65&gt;0,"No","Unclear"))</f>
        <v>Yes</v>
      </c>
      <c r="Y65" s="5" t="str">
        <f aca="false">INDEX('API Data'!$H$2:$H$152,MATCH(B65,'API Data'!$A$2:$A$152,0))</f>
        <v>No</v>
      </c>
      <c r="Z65" s="5" t="str">
        <f aca="false">IF(COUNTIFS('Product Rows'!$A$2:$A$696,B65,'Product Rows'!$B$2:$B$696,C65,'Product Rows'!$I$2:$I$696,"Yes")&gt;0,"Yes","No")</f>
        <v>Yes</v>
      </c>
      <c r="AA65" s="5" t="str">
        <f aca="false">IF(P65&gt;=Inputs!$D$22,"Yes","No")</f>
        <v>Yes</v>
      </c>
      <c r="AB65" s="10" t="b">
        <f aca="false">AND(OR(Inputs!$B$17&lt;&gt;"Exclude",V65="Yes"),OR(Inputs!$B$18&lt;&gt;"Exclude",W65&lt;&gt;"No"),OR(Inputs!$B$19&lt;&gt;"Exclude",X65&lt;&gt;"No"),OR(Inputs!$B$20&lt;&gt;"Exclude",Y65="No"),OR(Inputs!$B$21&lt;&gt;"Exclude",Z65="No"),OR(Inputs!$B$22&lt;&gt;"Exclude",AA65="Yes"),ISNUMBER(U65))</f>
        <v>1</v>
      </c>
      <c r="AC65" s="5" t="n">
        <f aca="false">IF(AB65,COUNTIFS($C$5:$C$337,C65,$AB$5:$AB$337,TRUE(),$U$5:$U$337,"&gt;"&amp;U65)+COUNTIFS($C$5:C65,C65,$AB$5:AB65,TRUE(),$U$5:U65,U65),"")</f>
        <v>22</v>
      </c>
      <c r="AD65" s="5" t="str">
        <f aca="false">IF(AC65="","Not eligible",IF(AC65&lt;=Inputs!$B$25,"Lead",IF(AC65&lt;=Inputs!$B$25+Inputs!$B$26,"Next wave","Long list")))</f>
        <v>Long list</v>
      </c>
      <c r="AE65" s="5" t="str">
        <f aca="false">IF(AND(K65+L65=0,M65&gt;0),"Safety upgrade of existing prefilled syringe",IF(K65+L65+M65=0,"Confirm presentation (not stated in source)",IF(AA65="Yes","Differentiation in crowded generic market","Safety-device mandate compliance")))</f>
        <v>Differentiation in crowded generic market</v>
      </c>
      <c r="AF65" s="5" t="str">
        <f aca="false">IF(AC65="","",C65&amp;"|"&amp;AC65)</f>
        <v>Aurobindo Pharma|22</v>
      </c>
    </row>
    <row r="66" customFormat="false" ht="15" hidden="false" customHeight="false" outlineLevel="0" collapsed="false">
      <c r="A66" s="5" t="n">
        <f aca="false">IF(ISNUMBER(U66),RANK(U66,$U$5:$U$337),"")</f>
        <v>2</v>
      </c>
      <c r="B66" s="5" t="s">
        <v>75</v>
      </c>
      <c r="C66" s="5" t="s">
        <v>44</v>
      </c>
      <c r="D66" s="5" t="str">
        <f aca="false">INDEX('API Data'!$B$2:$B$152,MATCH(B66,'API Data'!$A$2:$A$152,0))</f>
        <v>Anti-infective – pneumonia, meningitis, sepsis, gonorrhoea, typhoid</v>
      </c>
      <c r="E66" s="5" t="n">
        <f aca="false">COUNTIFS('Market Listing'!$A$2:$A$4054,B66,'Market Listing'!$B$2:$B$4054,C66)</f>
        <v>28</v>
      </c>
      <c r="F66" s="5" t="n">
        <f aca="false">COUNTIFS('Market Listing'!$A$2:$A$4054,B66,'Market Listing'!$B$2:$B$4054,C66,'Market Listing'!$D$2:$D$4054,"Tier 1")</f>
        <v>5</v>
      </c>
      <c r="G66" s="5" t="n">
        <f aca="false">COUNTIFS('Market Listing'!$A$2:$A$4054,B66,'Market Listing'!$B$2:$B$4054,C66,'Market Listing'!$D$2:$D$4054,"Tier 2")</f>
        <v>3</v>
      </c>
      <c r="H66" s="5" t="n">
        <f aca="false">COUNTIFS('Market Listing'!$A$2:$A$4054,B66,'Market Listing'!$B$2:$B$4054,C66,'Market Listing'!$D$2:$D$4054,"Tier 3")</f>
        <v>20</v>
      </c>
      <c r="I66" s="5" t="n">
        <f aca="false">SUMIFS('Market Listing'!$E$2:$E$4054,'Market Listing'!$A$2:$A$4054,B66,'Market Listing'!$B$2:$B$4054,C66)</f>
        <v>41</v>
      </c>
      <c r="J66" s="5" t="n">
        <f aca="false">COUNTIFS('Product Rows'!$A$2:$A$696,B66,'Product Rows'!$B$2:$B$696,C66)</f>
        <v>1</v>
      </c>
      <c r="K66" s="5" t="n">
        <f aca="false">COUNTIFS('Product Rows'!$A$2:$A$696,B66,'Product Rows'!$B$2:$B$696,C66,'Product Rows'!$G$2:$G$696,"Vial")</f>
        <v>0</v>
      </c>
      <c r="L66" s="5" t="n">
        <f aca="false">COUNTIFS('Product Rows'!$A$2:$A$696,B66,'Product Rows'!$B$2:$B$696,C66,'Product Rows'!$G$2:$G$696,"Ampoule")</f>
        <v>0</v>
      </c>
      <c r="M66" s="5" t="n">
        <f aca="false">COUNTIFS('Product Rows'!$A$2:$A$696,B66,'Product Rows'!$B$2:$B$696,C66,'Product Rows'!$G$2:$G$696,"Prefilled syringe/pen")</f>
        <v>0</v>
      </c>
      <c r="N66" s="6" t="str">
        <f aca="false">IFERROR(AVERAGEIFS('Product Rows'!$H$2:$H$696,'Product Rows'!$A$2:$A$696,B66,'Product Rows'!$B$2:$B$696,C66),"")</f>
        <v/>
      </c>
      <c r="O66" s="7" t="n">
        <f aca="false">INDEX('API Data'!$E$2:$E$152,MATCH(B66,'API Data'!$A$2:$A$152,0))</f>
        <v>93119.22</v>
      </c>
      <c r="P66" s="5" t="n">
        <f aca="false">COUNTIF($B$5:$B$337,B66)</f>
        <v>5</v>
      </c>
      <c r="Q66" s="8" t="n">
        <f aca="false">IF(ISNUMBER(I66),PERCENTRANK($I$5:$I$337,I66),"")</f>
        <v>0.711</v>
      </c>
      <c r="R66" s="8" t="str">
        <f aca="false">IF(ISNUMBER(N66),PERCENTRANK($N$5:$N$337,N66),"")</f>
        <v/>
      </c>
      <c r="S66" s="8" t="n">
        <f aca="false">IF(ISNUMBER(O66),PERCENTRANK($O$5:$O$337,O66),"")</f>
        <v>0.982</v>
      </c>
      <c r="T66" s="8" t="n">
        <f aca="false">IF(ISNUMBER(P66),PERCENTRANK($P$5:$P$337,P66),"")</f>
        <v>0.702</v>
      </c>
      <c r="U66" s="9" t="n">
        <f aca="false">IF((IF(ISNUMBER(Q66),Inputs!$B$4,0)+IF(ISNUMBER(R66),Inputs!$B$5,0)+IF(ISNUMBER(S66),Inputs!$B$6,0)+IF(ISNUMBER(T66),Inputs!$B$7,0))=0,"",(IF(ISNUMBER(Q66),Inputs!$B$4*Q66,0)+IF(ISNUMBER(R66),Inputs!$B$5*R66,0)+IF(ISNUMBER(S66),Inputs!$B$6*S66,0)+IF(ISNUMBER(T66),Inputs!$B$7*T66,0))/(IF(ISNUMBER(Q66),Inputs!$B$4,0)+IF(ISNUMBER(R66),Inputs!$B$5,0)+IF(ISNUMBER(S66),Inputs!$B$6,0)+IF(ISNUMBER(T66),Inputs!$B$7,0)))</f>
        <v>0.982</v>
      </c>
      <c r="V66" s="5" t="str">
        <f aca="false">IF(F66&gt;0,"Yes","No")</f>
        <v>Yes</v>
      </c>
      <c r="W66" s="5" t="str">
        <f aca="false">IF(ISNUMBER(N66),IF(N66&gt;=Inputs!$D$18,"Yes","No"),"No price")</f>
        <v>No price</v>
      </c>
      <c r="X66" s="5" t="str">
        <f aca="false">IF(K66+L66&gt;0,"Yes",IF(M66&gt;0,"No","Unclear"))</f>
        <v>Unclear</v>
      </c>
      <c r="Y66" s="5" t="str">
        <f aca="false">INDEX('API Data'!$H$2:$H$152,MATCH(B66,'API Data'!$A$2:$A$152,0))</f>
        <v>No</v>
      </c>
      <c r="Z66" s="5" t="str">
        <f aca="false">IF(COUNTIFS('Product Rows'!$A$2:$A$696,B66,'Product Rows'!$B$2:$B$696,C66,'Product Rows'!$I$2:$I$696,"Yes")&gt;0,"Yes","No")</f>
        <v>No</v>
      </c>
      <c r="AA66" s="5" t="str">
        <f aca="false">IF(P66&gt;=Inputs!$D$22,"Yes","No")</f>
        <v>Yes</v>
      </c>
      <c r="AB66" s="10" t="b">
        <f aca="false">AND(OR(Inputs!$B$17&lt;&gt;"Exclude",V66="Yes"),OR(Inputs!$B$18&lt;&gt;"Exclude",W66&lt;&gt;"No"),OR(Inputs!$B$19&lt;&gt;"Exclude",X66&lt;&gt;"No"),OR(Inputs!$B$20&lt;&gt;"Exclude",Y66="No"),OR(Inputs!$B$21&lt;&gt;"Exclude",Z66="No"),OR(Inputs!$B$22&lt;&gt;"Exclude",AA66="Yes"),ISNUMBER(U66))</f>
        <v>1</v>
      </c>
      <c r="AC66" s="5" t="n">
        <f aca="false">IF(AB66,COUNTIFS($C$5:$C$337,C66,$AB$5:$AB$337,TRUE(),$U$5:$U$337,"&gt;"&amp;U66)+COUNTIFS($C$5:C66,C66,$AB$5:AB66,TRUE(),$U$5:U66,U66),"")</f>
        <v>1</v>
      </c>
      <c r="AD66" s="5" t="str">
        <f aca="false">IF(AC66="","Not eligible",IF(AC66&lt;=Inputs!$B$25,"Lead",IF(AC66&lt;=Inputs!$B$25+Inputs!$B$26,"Next wave","Long list")))</f>
        <v>Lead</v>
      </c>
      <c r="AE66" s="5" t="str">
        <f aca="false">IF(AND(K66+L66=0,M66&gt;0),"Safety upgrade of existing prefilled syringe",IF(K66+L66+M66=0,"Confirm presentation (not stated in source)",IF(AA66="Yes","Differentiation in crowded generic market","Safety-device mandate compliance")))</f>
        <v>Confirm presentation (not stated in source)</v>
      </c>
      <c r="AF66" s="5" t="str">
        <f aca="false">IF(AC66="","",C66&amp;"|"&amp;AC66)</f>
        <v>Intas Pharmaceuticals|1</v>
      </c>
    </row>
    <row r="67" customFormat="false" ht="15" hidden="false" customHeight="false" outlineLevel="0" collapsed="false">
      <c r="A67" s="5" t="n">
        <f aca="false">IF(ISNUMBER(U67),RANK(U67,$U$5:$U$337),"")</f>
        <v>60</v>
      </c>
      <c r="B67" s="5" t="s">
        <v>75</v>
      </c>
      <c r="C67" s="5" t="s">
        <v>61</v>
      </c>
      <c r="D67" s="5" t="str">
        <f aca="false">INDEX('API Data'!$B$2:$B$152,MATCH(B67,'API Data'!$A$2:$A$152,0))</f>
        <v>Anti-infective – pneumonia, meningitis, sepsis, gonorrhoea, typhoid</v>
      </c>
      <c r="E67" s="5" t="n">
        <f aca="false">COUNTIFS('Market Listing'!$A$2:$A$4054,B67,'Market Listing'!$B$2:$B$4054,C67)</f>
        <v>1</v>
      </c>
      <c r="F67" s="5" t="n">
        <f aca="false">COUNTIFS('Market Listing'!$A$2:$A$4054,B67,'Market Listing'!$B$2:$B$4054,C67,'Market Listing'!$D$2:$D$4054,"Tier 1")</f>
        <v>1</v>
      </c>
      <c r="G67" s="5" t="n">
        <f aca="false">COUNTIFS('Market Listing'!$A$2:$A$4054,B67,'Market Listing'!$B$2:$B$4054,C67,'Market Listing'!$D$2:$D$4054,"Tier 2")</f>
        <v>0</v>
      </c>
      <c r="H67" s="5" t="n">
        <f aca="false">COUNTIFS('Market Listing'!$A$2:$A$4054,B67,'Market Listing'!$B$2:$B$4054,C67,'Market Listing'!$D$2:$D$4054,"Tier 3")</f>
        <v>0</v>
      </c>
      <c r="I67" s="5" t="n">
        <f aca="false">SUMIFS('Market Listing'!$E$2:$E$4054,'Market Listing'!$A$2:$A$4054,B67,'Market Listing'!$B$2:$B$4054,C67)</f>
        <v>3</v>
      </c>
      <c r="J67" s="5" t="n">
        <f aca="false">COUNTIFS('Product Rows'!$A$2:$A$696,B67,'Product Rows'!$B$2:$B$696,C67)</f>
        <v>1</v>
      </c>
      <c r="K67" s="5" t="n">
        <f aca="false">COUNTIFS('Product Rows'!$A$2:$A$696,B67,'Product Rows'!$B$2:$B$696,C67,'Product Rows'!$G$2:$G$696,"Vial")</f>
        <v>1</v>
      </c>
      <c r="L67" s="5" t="n">
        <f aca="false">COUNTIFS('Product Rows'!$A$2:$A$696,B67,'Product Rows'!$B$2:$B$696,C67,'Product Rows'!$G$2:$G$696,"Ampoule")</f>
        <v>0</v>
      </c>
      <c r="M67" s="5" t="n">
        <f aca="false">COUNTIFS('Product Rows'!$A$2:$A$696,B67,'Product Rows'!$B$2:$B$696,C67,'Product Rows'!$G$2:$G$696,"Prefilled syringe/pen")</f>
        <v>0</v>
      </c>
      <c r="N67" s="6" t="n">
        <f aca="false">IFERROR(AVERAGEIFS('Product Rows'!$H$2:$H$696,'Product Rows'!$A$2:$A$696,B67,'Product Rows'!$B$2:$B$696,C67),"")</f>
        <v>25.36</v>
      </c>
      <c r="O67" s="7" t="n">
        <f aca="false">INDEX('API Data'!$E$2:$E$152,MATCH(B67,'API Data'!$A$2:$A$152,0))</f>
        <v>93119.22</v>
      </c>
      <c r="P67" s="5" t="n">
        <f aca="false">COUNTIF($B$5:$B$337,B67)</f>
        <v>5</v>
      </c>
      <c r="Q67" s="8" t="n">
        <f aca="false">IF(ISNUMBER(I67),PERCENTRANK($I$5:$I$337,I67),"")</f>
        <v>0.157</v>
      </c>
      <c r="R67" s="8" t="n">
        <f aca="false">IF(ISNUMBER(N67),PERCENTRANK($N$5:$N$337,N67),"")</f>
        <v>0.452</v>
      </c>
      <c r="S67" s="8" t="n">
        <f aca="false">IF(ISNUMBER(O67),PERCENTRANK($O$5:$O$337,O67),"")</f>
        <v>0.982</v>
      </c>
      <c r="T67" s="8" t="n">
        <f aca="false">IF(ISNUMBER(P67),PERCENTRANK($P$5:$P$337,P67),"")</f>
        <v>0.702</v>
      </c>
      <c r="U67" s="9" t="n">
        <f aca="false">IF((IF(ISNUMBER(Q67),Inputs!$B$4,0)+IF(ISNUMBER(R67),Inputs!$B$5,0)+IF(ISNUMBER(S67),Inputs!$B$6,0)+IF(ISNUMBER(T67),Inputs!$B$7,0))=0,"",(IF(ISNUMBER(Q67),Inputs!$B$4*Q67,0)+IF(ISNUMBER(R67),Inputs!$B$5*R67,0)+IF(ISNUMBER(S67),Inputs!$B$6*S67,0)+IF(ISNUMBER(T67),Inputs!$B$7*T67,0))/(IF(ISNUMBER(Q67),Inputs!$B$4,0)+IF(ISNUMBER(R67),Inputs!$B$5,0)+IF(ISNUMBER(S67),Inputs!$B$6,0)+IF(ISNUMBER(T67),Inputs!$B$7,0)))</f>
        <v>0.717</v>
      </c>
      <c r="V67" s="5" t="str">
        <f aca="false">IF(F67&gt;0,"Yes","No")</f>
        <v>Yes</v>
      </c>
      <c r="W67" s="5" t="str">
        <f aca="false">IF(ISNUMBER(N67),IF(N67&gt;=Inputs!$D$18,"Yes","No"),"No price")</f>
        <v>Yes</v>
      </c>
      <c r="X67" s="5" t="str">
        <f aca="false">IF(K67+L67&gt;0,"Yes",IF(M67&gt;0,"No","Unclear"))</f>
        <v>Yes</v>
      </c>
      <c r="Y67" s="5" t="str">
        <f aca="false">INDEX('API Data'!$H$2:$H$152,MATCH(B67,'API Data'!$A$2:$A$152,0))</f>
        <v>No</v>
      </c>
      <c r="Z67" s="5" t="str">
        <f aca="false">IF(COUNTIFS('Product Rows'!$A$2:$A$696,B67,'Product Rows'!$B$2:$B$696,C67,'Product Rows'!$I$2:$I$696,"Yes")&gt;0,"Yes","No")</f>
        <v>Yes</v>
      </c>
      <c r="AA67" s="5" t="str">
        <f aca="false">IF(P67&gt;=Inputs!$D$22,"Yes","No")</f>
        <v>Yes</v>
      </c>
      <c r="AB67" s="10" t="b">
        <f aca="false">AND(OR(Inputs!$B$17&lt;&gt;"Exclude",V67="Yes"),OR(Inputs!$B$18&lt;&gt;"Exclude",W67&lt;&gt;"No"),OR(Inputs!$B$19&lt;&gt;"Exclude",X67&lt;&gt;"No"),OR(Inputs!$B$20&lt;&gt;"Exclude",Y67="No"),OR(Inputs!$B$21&lt;&gt;"Exclude",Z67="No"),OR(Inputs!$B$22&lt;&gt;"Exclude",AA67="Yes"),ISNUMBER(U67))</f>
        <v>1</v>
      </c>
      <c r="AC67" s="5" t="n">
        <f aca="false">IF(AB67,COUNTIFS($C$5:$C$337,C67,$AB$5:$AB$337,TRUE(),$U$5:$U$337,"&gt;"&amp;U67)+COUNTIFS($C$5:C67,C67,$AB$5:AB67,TRUE(),$U$5:U67,U67),"")</f>
        <v>1</v>
      </c>
      <c r="AD67" s="5" t="str">
        <f aca="false">IF(AC67="","Not eligible",IF(AC67&lt;=Inputs!$B$25,"Lead",IF(AC67&lt;=Inputs!$B$25+Inputs!$B$26,"Next wave","Long list")))</f>
        <v>Lead</v>
      </c>
      <c r="AE67" s="5" t="str">
        <f aca="false">IF(AND(K67+L67=0,M67&gt;0),"Safety upgrade of existing prefilled syringe",IF(K67+L67+M67=0,"Confirm presentation (not stated in source)",IF(AA67="Yes","Differentiation in crowded generic market","Safety-device mandate compliance")))</f>
        <v>Differentiation in crowded generic market</v>
      </c>
      <c r="AF67" s="5" t="str">
        <f aca="false">IF(AC67="","",C67&amp;"|"&amp;AC67)</f>
        <v>Venus Remedies|1</v>
      </c>
    </row>
    <row r="68" customFormat="false" ht="15" hidden="false" customHeight="false" outlineLevel="0" collapsed="false">
      <c r="A68" s="5" t="n">
        <f aca="false">IF(ISNUMBER(U68),RANK(U68,$U$5:$U$337),"")</f>
        <v>84</v>
      </c>
      <c r="B68" s="5" t="s">
        <v>75</v>
      </c>
      <c r="C68" s="5" t="s">
        <v>38</v>
      </c>
      <c r="D68" s="5" t="str">
        <f aca="false">INDEX('API Data'!$B$2:$B$152,MATCH(B68,'API Data'!$A$2:$A$152,0))</f>
        <v>Anti-infective – pneumonia, meningitis, sepsis, gonorrhoea, typhoid</v>
      </c>
      <c r="E68" s="5" t="n">
        <f aca="false">COUNTIFS('Market Listing'!$A$2:$A$4054,B68,'Market Listing'!$B$2:$B$4054,C68)</f>
        <v>2</v>
      </c>
      <c r="F68" s="5" t="n">
        <f aca="false">COUNTIFS('Market Listing'!$A$2:$A$4054,B68,'Market Listing'!$B$2:$B$4054,C68,'Market Listing'!$D$2:$D$4054,"Tier 1")</f>
        <v>2</v>
      </c>
      <c r="G68" s="5" t="n">
        <f aca="false">COUNTIFS('Market Listing'!$A$2:$A$4054,B68,'Market Listing'!$B$2:$B$4054,C68,'Market Listing'!$D$2:$D$4054,"Tier 2")</f>
        <v>0</v>
      </c>
      <c r="H68" s="5" t="n">
        <f aca="false">COUNTIFS('Market Listing'!$A$2:$A$4054,B68,'Market Listing'!$B$2:$B$4054,C68,'Market Listing'!$D$2:$D$4054,"Tier 3")</f>
        <v>0</v>
      </c>
      <c r="I68" s="5" t="n">
        <f aca="false">SUMIFS('Market Listing'!$E$2:$E$4054,'Market Listing'!$A$2:$A$4054,B68,'Market Listing'!$B$2:$B$4054,C68)</f>
        <v>6</v>
      </c>
      <c r="J68" s="5" t="n">
        <f aca="false">COUNTIFS('Product Rows'!$A$2:$A$696,B68,'Product Rows'!$B$2:$B$696,C68)</f>
        <v>3</v>
      </c>
      <c r="K68" s="5" t="n">
        <f aca="false">COUNTIFS('Product Rows'!$A$2:$A$696,B68,'Product Rows'!$B$2:$B$696,C68,'Product Rows'!$G$2:$G$696,"Vial")</f>
        <v>3</v>
      </c>
      <c r="L68" s="5" t="n">
        <f aca="false">COUNTIFS('Product Rows'!$A$2:$A$696,B68,'Product Rows'!$B$2:$B$696,C68,'Product Rows'!$G$2:$G$696,"Ampoule")</f>
        <v>0</v>
      </c>
      <c r="M68" s="5" t="n">
        <f aca="false">COUNTIFS('Product Rows'!$A$2:$A$696,B68,'Product Rows'!$B$2:$B$696,C68,'Product Rows'!$G$2:$G$696,"Prefilled syringe/pen")</f>
        <v>0</v>
      </c>
      <c r="N68" s="6" t="n">
        <f aca="false">IFERROR(AVERAGEIFS('Product Rows'!$H$2:$H$696,'Product Rows'!$A$2:$A$696,B68,'Product Rows'!$B$2:$B$696,C68),"")</f>
        <v>12.3</v>
      </c>
      <c r="O68" s="7" t="n">
        <f aca="false">INDEX('API Data'!$E$2:$E$152,MATCH(B68,'API Data'!$A$2:$A$152,0))</f>
        <v>93119.22</v>
      </c>
      <c r="P68" s="5" t="n">
        <f aca="false">COUNTIF($B$5:$B$337,B68)</f>
        <v>5</v>
      </c>
      <c r="Q68" s="8" t="n">
        <f aca="false">IF(ISNUMBER(I68),PERCENTRANK($I$5:$I$337,I68),"")</f>
        <v>0.551</v>
      </c>
      <c r="R68" s="8" t="n">
        <f aca="false">IF(ISNUMBER(N68),PERCENTRANK($N$5:$N$337,N68),"")</f>
        <v>0.254</v>
      </c>
      <c r="S68" s="8" t="n">
        <f aca="false">IF(ISNUMBER(O68),PERCENTRANK($O$5:$O$337,O68),"")</f>
        <v>0.982</v>
      </c>
      <c r="T68" s="8" t="n">
        <f aca="false">IF(ISNUMBER(P68),PERCENTRANK($P$5:$P$337,P68),"")</f>
        <v>0.702</v>
      </c>
      <c r="U68" s="9" t="n">
        <f aca="false">IF((IF(ISNUMBER(Q68),Inputs!$B$4,0)+IF(ISNUMBER(R68),Inputs!$B$5,0)+IF(ISNUMBER(S68),Inputs!$B$6,0)+IF(ISNUMBER(T68),Inputs!$B$7,0))=0,"",(IF(ISNUMBER(Q68),Inputs!$B$4*Q68,0)+IF(ISNUMBER(R68),Inputs!$B$5*R68,0)+IF(ISNUMBER(S68),Inputs!$B$6*S68,0)+IF(ISNUMBER(T68),Inputs!$B$7*T68,0))/(IF(ISNUMBER(Q68),Inputs!$B$4,0)+IF(ISNUMBER(R68),Inputs!$B$5,0)+IF(ISNUMBER(S68),Inputs!$B$6,0)+IF(ISNUMBER(T68),Inputs!$B$7,0)))</f>
        <v>0.618</v>
      </c>
      <c r="V68" s="5" t="str">
        <f aca="false">IF(F68&gt;0,"Yes","No")</f>
        <v>Yes</v>
      </c>
      <c r="W68" s="5" t="str">
        <f aca="false">IF(ISNUMBER(N68),IF(N68&gt;=Inputs!$D$18,"Yes","No"),"No price")</f>
        <v>Yes</v>
      </c>
      <c r="X68" s="5" t="str">
        <f aca="false">IF(K68+L68&gt;0,"Yes",IF(M68&gt;0,"No","Unclear"))</f>
        <v>Yes</v>
      </c>
      <c r="Y68" s="5" t="str">
        <f aca="false">INDEX('API Data'!$H$2:$H$152,MATCH(B68,'API Data'!$A$2:$A$152,0))</f>
        <v>No</v>
      </c>
      <c r="Z68" s="5" t="str">
        <f aca="false">IF(COUNTIFS('Product Rows'!$A$2:$A$696,B68,'Product Rows'!$B$2:$B$696,C68,'Product Rows'!$I$2:$I$696,"Yes")&gt;0,"Yes","No")</f>
        <v>Yes</v>
      </c>
      <c r="AA68" s="5" t="str">
        <f aca="false">IF(P68&gt;=Inputs!$D$22,"Yes","No")</f>
        <v>Yes</v>
      </c>
      <c r="AB68" s="10" t="b">
        <f aca="false">AND(OR(Inputs!$B$17&lt;&gt;"Exclude",V68="Yes"),OR(Inputs!$B$18&lt;&gt;"Exclude",W68&lt;&gt;"No"),OR(Inputs!$B$19&lt;&gt;"Exclude",X68&lt;&gt;"No"),OR(Inputs!$B$20&lt;&gt;"Exclude",Y68="No"),OR(Inputs!$B$21&lt;&gt;"Exclude",Z68="No"),OR(Inputs!$B$22&lt;&gt;"Exclude",AA68="Yes"),ISNUMBER(U68))</f>
        <v>1</v>
      </c>
      <c r="AC68" s="5" t="n">
        <f aca="false">IF(AB68,COUNTIFS($C$5:$C$337,C68,$AB$5:$AB$337,TRUE(),$U$5:$U$337,"&gt;"&amp;U68)+COUNTIFS($C$5:C68,C68,$AB$5:AB68,TRUE(),$U$5:U68,U68),"")</f>
        <v>3</v>
      </c>
      <c r="AD68" s="5" t="str">
        <f aca="false">IF(AC68="","Not eligible",IF(AC68&lt;=Inputs!$B$25,"Lead",IF(AC68&lt;=Inputs!$B$25+Inputs!$B$26,"Next wave","Long list")))</f>
        <v>Lead</v>
      </c>
      <c r="AE68" s="5" t="str">
        <f aca="false">IF(AND(K68+L68=0,M68&gt;0),"Safety upgrade of existing prefilled syringe",IF(K68+L68+M68=0,"Confirm presentation (not stated in source)",IF(AA68="Yes","Differentiation in crowded generic market","Safety-device mandate compliance")))</f>
        <v>Differentiation in crowded generic market</v>
      </c>
      <c r="AF68" s="5" t="str">
        <f aca="false">IF(AC68="","",C68&amp;"|"&amp;AC68)</f>
        <v>Wockhardt|3</v>
      </c>
    </row>
    <row r="69" customFormat="false" ht="15" hidden="false" customHeight="false" outlineLevel="0" collapsed="false">
      <c r="A69" s="5" t="n">
        <f aca="false">IF(ISNUMBER(U69),RANK(U69,$U$5:$U$337),"")</f>
        <v>117</v>
      </c>
      <c r="B69" s="5" t="s">
        <v>75</v>
      </c>
      <c r="C69" s="5" t="s">
        <v>36</v>
      </c>
      <c r="D69" s="5" t="str">
        <f aca="false">INDEX('API Data'!$B$2:$B$152,MATCH(B69,'API Data'!$A$2:$A$152,0))</f>
        <v>Anti-infective – pneumonia, meningitis, sepsis, gonorrhoea, typhoid</v>
      </c>
      <c r="E69" s="5" t="n">
        <f aca="false">COUNTIFS('Market Listing'!$A$2:$A$4054,B69,'Market Listing'!$B$2:$B$4054,C69)</f>
        <v>30</v>
      </c>
      <c r="F69" s="5" t="n">
        <f aca="false">COUNTIFS('Market Listing'!$A$2:$A$4054,B69,'Market Listing'!$B$2:$B$4054,C69,'Market Listing'!$D$2:$D$4054,"Tier 1")</f>
        <v>5</v>
      </c>
      <c r="G69" s="5" t="n">
        <f aca="false">COUNTIFS('Market Listing'!$A$2:$A$4054,B69,'Market Listing'!$B$2:$B$4054,C69,'Market Listing'!$D$2:$D$4054,"Tier 2")</f>
        <v>3</v>
      </c>
      <c r="H69" s="5" t="n">
        <f aca="false">COUNTIFS('Market Listing'!$A$2:$A$4054,B69,'Market Listing'!$B$2:$B$4054,C69,'Market Listing'!$D$2:$D$4054,"Tier 3")</f>
        <v>22</v>
      </c>
      <c r="I69" s="5" t="n">
        <f aca="false">SUMIFS('Market Listing'!$E$2:$E$4054,'Market Listing'!$A$2:$A$4054,B69,'Market Listing'!$B$2:$B$4054,C69)</f>
        <v>43</v>
      </c>
      <c r="J69" s="5" t="n">
        <f aca="false">COUNTIFS('Product Rows'!$A$2:$A$696,B69,'Product Rows'!$B$2:$B$696,C69)</f>
        <v>1</v>
      </c>
      <c r="K69" s="5" t="n">
        <f aca="false">COUNTIFS('Product Rows'!$A$2:$A$696,B69,'Product Rows'!$B$2:$B$696,C69,'Product Rows'!$G$2:$G$696,"Vial")</f>
        <v>0</v>
      </c>
      <c r="L69" s="5" t="n">
        <f aca="false">COUNTIFS('Product Rows'!$A$2:$A$696,B69,'Product Rows'!$B$2:$B$696,C69,'Product Rows'!$G$2:$G$696,"Ampoule")</f>
        <v>1</v>
      </c>
      <c r="M69" s="5" t="n">
        <f aca="false">COUNTIFS('Product Rows'!$A$2:$A$696,B69,'Product Rows'!$B$2:$B$696,C69,'Product Rows'!$G$2:$G$696,"Prefilled syringe/pen")</f>
        <v>0</v>
      </c>
      <c r="N69" s="6" t="n">
        <f aca="false">IFERROR(AVERAGEIFS('Product Rows'!$H$2:$H$696,'Product Rows'!$A$2:$A$696,B69,'Product Rows'!$B$2:$B$696,C69),"")</f>
        <v>7.8196</v>
      </c>
      <c r="O69" s="7" t="n">
        <f aca="false">INDEX('API Data'!$E$2:$E$152,MATCH(B69,'API Data'!$A$2:$A$152,0))</f>
        <v>93119.22</v>
      </c>
      <c r="P69" s="5" t="n">
        <f aca="false">COUNTIF($B$5:$B$337,B69)</f>
        <v>5</v>
      </c>
      <c r="Q69" s="8" t="n">
        <f aca="false">IF(ISNUMBER(I69),PERCENTRANK($I$5:$I$337,I69),"")</f>
        <v>0.75</v>
      </c>
      <c r="R69" s="8" t="n">
        <f aca="false">IF(ISNUMBER(N69),PERCENTRANK($N$5:$N$337,N69),"")</f>
        <v>0.147</v>
      </c>
      <c r="S69" s="8" t="n">
        <f aca="false">IF(ISNUMBER(O69),PERCENTRANK($O$5:$O$337,O69),"")</f>
        <v>0.982</v>
      </c>
      <c r="T69" s="8" t="n">
        <f aca="false">IF(ISNUMBER(P69),PERCENTRANK($P$5:$P$337,P69),"")</f>
        <v>0.702</v>
      </c>
      <c r="U69" s="9" t="n">
        <f aca="false">IF((IF(ISNUMBER(Q69),Inputs!$B$4,0)+IF(ISNUMBER(R69),Inputs!$B$5,0)+IF(ISNUMBER(S69),Inputs!$B$6,0)+IF(ISNUMBER(T69),Inputs!$B$7,0))=0,"",(IF(ISNUMBER(Q69),Inputs!$B$4*Q69,0)+IF(ISNUMBER(R69),Inputs!$B$5*R69,0)+IF(ISNUMBER(S69),Inputs!$B$6*S69,0)+IF(ISNUMBER(T69),Inputs!$B$7*T69,0))/(IF(ISNUMBER(Q69),Inputs!$B$4,0)+IF(ISNUMBER(R69),Inputs!$B$5,0)+IF(ISNUMBER(S69),Inputs!$B$6,0)+IF(ISNUMBER(T69),Inputs!$B$7,0)))</f>
        <v>0.5645</v>
      </c>
      <c r="V69" s="5" t="str">
        <f aca="false">IF(F69&gt;0,"Yes","No")</f>
        <v>Yes</v>
      </c>
      <c r="W69" s="5" t="str">
        <f aca="false">IF(ISNUMBER(N69),IF(N69&gt;=Inputs!$D$18,"Yes","No"),"No price")</f>
        <v>Yes</v>
      </c>
      <c r="X69" s="5" t="str">
        <f aca="false">IF(K69+L69&gt;0,"Yes",IF(M69&gt;0,"No","Unclear"))</f>
        <v>Yes</v>
      </c>
      <c r="Y69" s="5" t="str">
        <f aca="false">INDEX('API Data'!$H$2:$H$152,MATCH(B69,'API Data'!$A$2:$A$152,0))</f>
        <v>No</v>
      </c>
      <c r="Z69" s="5" t="str">
        <f aca="false">IF(COUNTIFS('Product Rows'!$A$2:$A$696,B69,'Product Rows'!$B$2:$B$696,C69,'Product Rows'!$I$2:$I$696,"Yes")&gt;0,"Yes","No")</f>
        <v>Yes</v>
      </c>
      <c r="AA69" s="5" t="str">
        <f aca="false">IF(P69&gt;=Inputs!$D$22,"Yes","No")</f>
        <v>Yes</v>
      </c>
      <c r="AB69" s="10" t="b">
        <f aca="false">AND(OR(Inputs!$B$17&lt;&gt;"Exclude",V69="Yes"),OR(Inputs!$B$18&lt;&gt;"Exclude",W69&lt;&gt;"No"),OR(Inputs!$B$19&lt;&gt;"Exclude",X69&lt;&gt;"No"),OR(Inputs!$B$20&lt;&gt;"Exclude",Y69="No"),OR(Inputs!$B$21&lt;&gt;"Exclude",Z69="No"),OR(Inputs!$B$22&lt;&gt;"Exclude",AA69="Yes"),ISNUMBER(U69))</f>
        <v>1</v>
      </c>
      <c r="AC69" s="5" t="n">
        <f aca="false">IF(AB69,COUNTIFS($C$5:$C$337,C69,$AB$5:$AB$337,TRUE(),$U$5:$U$337,"&gt;"&amp;U69)+COUNTIFS($C$5:C69,C69,$AB$5:AB69,TRUE(),$U$5:U69,U69),"")</f>
        <v>4</v>
      </c>
      <c r="AD69" s="5" t="str">
        <f aca="false">IF(AC69="","Not eligible",IF(AC69&lt;=Inputs!$B$25,"Lead",IF(AC69&lt;=Inputs!$B$25+Inputs!$B$26,"Next wave","Long list")))</f>
        <v>Lead</v>
      </c>
      <c r="AE69" s="5" t="str">
        <f aca="false">IF(AND(K69+L69=0,M69&gt;0),"Safety upgrade of existing prefilled syringe",IF(K69+L69+M69=0,"Confirm presentation (not stated in source)",IF(AA69="Yes","Differentiation in crowded generic market","Safety-device mandate compliance")))</f>
        <v>Differentiation in crowded generic market</v>
      </c>
      <c r="AF69" s="5" t="str">
        <f aca="false">IF(AC69="","",C69&amp;"|"&amp;AC69)</f>
        <v>Zydus Lifesciences|4</v>
      </c>
    </row>
    <row r="70" customFormat="false" ht="15" hidden="false" customHeight="false" outlineLevel="0" collapsed="false">
      <c r="A70" s="5" t="n">
        <f aca="false">IF(ISNUMBER(U70),RANK(U70,$U$5:$U$337),"")</f>
        <v>192</v>
      </c>
      <c r="B70" s="5" t="s">
        <v>76</v>
      </c>
      <c r="C70" s="5" t="s">
        <v>50</v>
      </c>
      <c r="D70" s="5" t="str">
        <f aca="false">INDEX('API Data'!$B$2:$B$152,MATCH(B70,'API Data'!$A$2:$A$152,0))</f>
        <v>Cardiovascular / Renal – IV diuretic for oedema</v>
      </c>
      <c r="E70" s="5" t="n">
        <f aca="false">COUNTIFS('Market Listing'!$A$2:$A$4054,B70,'Market Listing'!$B$2:$B$4054,C70)</f>
        <v>1</v>
      </c>
      <c r="F70" s="5" t="n">
        <f aca="false">COUNTIFS('Market Listing'!$A$2:$A$4054,B70,'Market Listing'!$B$2:$B$4054,C70,'Market Listing'!$D$2:$D$4054,"Tier 1")</f>
        <v>1</v>
      </c>
      <c r="G70" s="5" t="n">
        <f aca="false">COUNTIFS('Market Listing'!$A$2:$A$4054,B70,'Market Listing'!$B$2:$B$4054,C70,'Market Listing'!$D$2:$D$4054,"Tier 2")</f>
        <v>0</v>
      </c>
      <c r="H70" s="5" t="n">
        <f aca="false">COUNTIFS('Market Listing'!$A$2:$A$4054,B70,'Market Listing'!$B$2:$B$4054,C70,'Market Listing'!$D$2:$D$4054,"Tier 3")</f>
        <v>0</v>
      </c>
      <c r="I70" s="5" t="n">
        <f aca="false">SUMIFS('Market Listing'!$E$2:$E$4054,'Market Listing'!$A$2:$A$4054,B70,'Market Listing'!$B$2:$B$4054,C70)</f>
        <v>3</v>
      </c>
      <c r="J70" s="5" t="n">
        <f aca="false">COUNTIFS('Product Rows'!$A$2:$A$696,B70,'Product Rows'!$B$2:$B$696,C70)</f>
        <v>1</v>
      </c>
      <c r="K70" s="5" t="n">
        <f aca="false">COUNTIFS('Product Rows'!$A$2:$A$696,B70,'Product Rows'!$B$2:$B$696,C70,'Product Rows'!$G$2:$G$696,"Vial")</f>
        <v>1</v>
      </c>
      <c r="L70" s="5" t="n">
        <f aca="false">COUNTIFS('Product Rows'!$A$2:$A$696,B70,'Product Rows'!$B$2:$B$696,C70,'Product Rows'!$G$2:$G$696,"Ampoule")</f>
        <v>0</v>
      </c>
      <c r="M70" s="5" t="n">
        <f aca="false">COUNTIFS('Product Rows'!$A$2:$A$696,B70,'Product Rows'!$B$2:$B$696,C70,'Product Rows'!$G$2:$G$696,"Prefilled syringe/pen")</f>
        <v>0</v>
      </c>
      <c r="N70" s="6" t="n">
        <f aca="false">IFERROR(AVERAGEIFS('Product Rows'!$H$2:$H$696,'Product Rows'!$A$2:$A$696,B70,'Product Rows'!$B$2:$B$696,C70),"")</f>
        <v>29.39</v>
      </c>
      <c r="O70" s="7" t="n">
        <f aca="false">INDEX('API Data'!$E$2:$E$152,MATCH(B70,'API Data'!$A$2:$A$152,0))</f>
        <v>2991.34166666667</v>
      </c>
      <c r="P70" s="5" t="n">
        <f aca="false">COUNTIF($B$5:$B$337,B70)</f>
        <v>1</v>
      </c>
      <c r="Q70" s="8" t="n">
        <f aca="false">IF(ISNUMBER(I70),PERCENTRANK($I$5:$I$337,I70),"")</f>
        <v>0.157</v>
      </c>
      <c r="R70" s="8" t="n">
        <f aca="false">IF(ISNUMBER(N70),PERCENTRANK($N$5:$N$337,N70),"")</f>
        <v>0.466</v>
      </c>
      <c r="S70" s="8" t="n">
        <f aca="false">IF(ISNUMBER(O70),PERCENTRANK($O$5:$O$337,O70),"")</f>
        <v>0.416</v>
      </c>
      <c r="T70" s="8" t="n">
        <f aca="false">IF(ISNUMBER(P70),PERCENTRANK($P$5:$P$337,P70),"")</f>
        <v>0</v>
      </c>
      <c r="U70" s="9" t="n">
        <f aca="false">IF((IF(ISNUMBER(Q70),Inputs!$B$4,0)+IF(ISNUMBER(R70),Inputs!$B$5,0)+IF(ISNUMBER(S70),Inputs!$B$6,0)+IF(ISNUMBER(T70),Inputs!$B$7,0))=0,"",(IF(ISNUMBER(Q70),Inputs!$B$4*Q70,0)+IF(ISNUMBER(R70),Inputs!$B$5*R70,0)+IF(ISNUMBER(S70),Inputs!$B$6*S70,0)+IF(ISNUMBER(T70),Inputs!$B$7*T70,0))/(IF(ISNUMBER(Q70),Inputs!$B$4,0)+IF(ISNUMBER(R70),Inputs!$B$5,0)+IF(ISNUMBER(S70),Inputs!$B$6,0)+IF(ISNUMBER(T70),Inputs!$B$7,0)))</f>
        <v>0.441</v>
      </c>
      <c r="V70" s="5" t="str">
        <f aca="false">IF(F70&gt;0,"Yes","No")</f>
        <v>Yes</v>
      </c>
      <c r="W70" s="5" t="str">
        <f aca="false">IF(ISNUMBER(N70),IF(N70&gt;=Inputs!$D$18,"Yes","No"),"No price")</f>
        <v>Yes</v>
      </c>
      <c r="X70" s="5" t="str">
        <f aca="false">IF(K70+L70&gt;0,"Yes",IF(M70&gt;0,"No","Unclear"))</f>
        <v>Yes</v>
      </c>
      <c r="Y70" s="5" t="str">
        <f aca="false">INDEX('API Data'!$H$2:$H$152,MATCH(B70,'API Data'!$A$2:$A$152,0))</f>
        <v>No</v>
      </c>
      <c r="Z70" s="5" t="str">
        <f aca="false">IF(COUNTIFS('Product Rows'!$A$2:$A$696,B70,'Product Rows'!$B$2:$B$696,C70,'Product Rows'!$I$2:$I$696,"Yes")&gt;0,"Yes","No")</f>
        <v>Yes</v>
      </c>
      <c r="AA70" s="5" t="str">
        <f aca="false">IF(P70&gt;=Inputs!$D$22,"Yes","No")</f>
        <v>No</v>
      </c>
      <c r="AB70" s="10" t="b">
        <f aca="false">AND(OR(Inputs!$B$17&lt;&gt;"Exclude",V70="Yes"),OR(Inputs!$B$18&lt;&gt;"Exclude",W70&lt;&gt;"No"),OR(Inputs!$B$19&lt;&gt;"Exclude",X70&lt;&gt;"No"),OR(Inputs!$B$20&lt;&gt;"Exclude",Y70="No"),OR(Inputs!$B$21&lt;&gt;"Exclude",Z70="No"),OR(Inputs!$B$22&lt;&gt;"Exclude",AA70="Yes"),ISNUMBER(U70))</f>
        <v>1</v>
      </c>
      <c r="AC70" s="5" t="n">
        <f aca="false">IF(AB70,COUNTIFS($C$5:$C$337,C70,$AB$5:$AB$337,TRUE(),$U$5:$U$337,"&gt;"&amp;U70)+COUNTIFS($C$5:C70,C70,$AB$5:AB70,TRUE(),$U$5:U70,U70),"")</f>
        <v>11</v>
      </c>
      <c r="AD70" s="5" t="str">
        <f aca="false">IF(AC70="","Not eligible",IF(AC70&lt;=Inputs!$B$25,"Lead",IF(AC70&lt;=Inputs!$B$25+Inputs!$B$26,"Next wave","Long list")))</f>
        <v>Long list</v>
      </c>
      <c r="AE70" s="5" t="str">
        <f aca="false">IF(AND(K70+L70=0,M70&gt;0),"Safety upgrade of existing prefilled syringe",IF(K70+L70+M70=0,"Confirm presentation (not stated in source)",IF(AA70="Yes","Differentiation in crowded generic market","Safety-device mandate compliance")))</f>
        <v>Safety-device mandate compliance</v>
      </c>
      <c r="AF70" s="5" t="str">
        <f aca="false">IF(AC70="","",C70&amp;"|"&amp;AC70)</f>
        <v>Sun Pharma|11</v>
      </c>
    </row>
    <row r="71" customFormat="false" ht="15" hidden="false" customHeight="false" outlineLevel="0" collapsed="false">
      <c r="A71" s="5" t="n">
        <f aca="false">IF(ISNUMBER(U71),RANK(U71,$U$5:$U$337),"")</f>
        <v>329</v>
      </c>
      <c r="B71" s="5" t="s">
        <v>77</v>
      </c>
      <c r="C71" s="5" t="s">
        <v>38</v>
      </c>
      <c r="D71" s="5" t="str">
        <f aca="false">INDEX('API Data'!$B$2:$B$152,MATCH(B71,'API Data'!$A$2:$A$152,0))</f>
        <v>Immunology / Allergy – anaphylaxis adjunct, acute allergic reactions</v>
      </c>
      <c r="E71" s="5" t="n">
        <f aca="false">COUNTIFS('Market Listing'!$A$2:$A$4054,B71,'Market Listing'!$B$2:$B$4054,C71)</f>
        <v>1</v>
      </c>
      <c r="F71" s="5" t="n">
        <f aca="false">COUNTIFS('Market Listing'!$A$2:$A$4054,B71,'Market Listing'!$B$2:$B$4054,C71,'Market Listing'!$D$2:$D$4054,"Tier 1")</f>
        <v>1</v>
      </c>
      <c r="G71" s="5" t="n">
        <f aca="false">COUNTIFS('Market Listing'!$A$2:$A$4054,B71,'Market Listing'!$B$2:$B$4054,C71,'Market Listing'!$D$2:$D$4054,"Tier 2")</f>
        <v>0</v>
      </c>
      <c r="H71" s="5" t="n">
        <f aca="false">COUNTIFS('Market Listing'!$A$2:$A$4054,B71,'Market Listing'!$B$2:$B$4054,C71,'Market Listing'!$D$2:$D$4054,"Tier 3")</f>
        <v>0</v>
      </c>
      <c r="I71" s="5" t="n">
        <f aca="false">SUMIFS('Market Listing'!$E$2:$E$4054,'Market Listing'!$A$2:$A$4054,B71,'Market Listing'!$B$2:$B$4054,C71)</f>
        <v>3</v>
      </c>
      <c r="J71" s="5" t="n">
        <f aca="false">COUNTIFS('Product Rows'!$A$2:$A$696,B71,'Product Rows'!$B$2:$B$696,C71)</f>
        <v>1</v>
      </c>
      <c r="K71" s="5" t="n">
        <f aca="false">COUNTIFS('Product Rows'!$A$2:$A$696,B71,'Product Rows'!$B$2:$B$696,C71,'Product Rows'!$G$2:$G$696,"Vial")</f>
        <v>0</v>
      </c>
      <c r="L71" s="5" t="n">
        <f aca="false">COUNTIFS('Product Rows'!$A$2:$A$696,B71,'Product Rows'!$B$2:$B$696,C71,'Product Rows'!$G$2:$G$696,"Ampoule")</f>
        <v>1</v>
      </c>
      <c r="M71" s="5" t="n">
        <f aca="false">COUNTIFS('Product Rows'!$A$2:$A$696,B71,'Product Rows'!$B$2:$B$696,C71,'Product Rows'!$G$2:$G$696,"Prefilled syringe/pen")</f>
        <v>0</v>
      </c>
      <c r="N71" s="6" t="n">
        <f aca="false">IFERROR(AVERAGEIFS('Product Rows'!$H$2:$H$696,'Product Rows'!$A$2:$A$696,B71,'Product Rows'!$B$2:$B$696,C71),"")</f>
        <v>6.74</v>
      </c>
      <c r="O71" s="7" t="n">
        <f aca="false">INDEX('API Data'!$E$2:$E$152,MATCH(B71,'API Data'!$A$2:$A$152,0))</f>
        <v>154.883653162758</v>
      </c>
      <c r="P71" s="5" t="n">
        <f aca="false">COUNTIF($B$5:$B$337,B71)</f>
        <v>1</v>
      </c>
      <c r="Q71" s="8" t="n">
        <f aca="false">IF(ISNUMBER(I71),PERCENTRANK($I$5:$I$337,I71),"")</f>
        <v>0.157</v>
      </c>
      <c r="R71" s="8" t="n">
        <f aca="false">IF(ISNUMBER(N71),PERCENTRANK($N$5:$N$337,N71),"")</f>
        <v>0.0896</v>
      </c>
      <c r="S71" s="8" t="n">
        <f aca="false">IF(ISNUMBER(O71),PERCENTRANK($O$5:$O$337,O71),"")</f>
        <v>0.0482</v>
      </c>
      <c r="T71" s="8" t="n">
        <f aca="false">IF(ISNUMBER(P71),PERCENTRANK($P$5:$P$337,P71),"")</f>
        <v>0</v>
      </c>
      <c r="U71" s="9" t="n">
        <f aca="false">IF((IF(ISNUMBER(Q71),Inputs!$B$4,0)+IF(ISNUMBER(R71),Inputs!$B$5,0)+IF(ISNUMBER(S71),Inputs!$B$6,0)+IF(ISNUMBER(T71),Inputs!$B$7,0))=0,"",(IF(ISNUMBER(Q71),Inputs!$B$4*Q71,0)+IF(ISNUMBER(R71),Inputs!$B$5*R71,0)+IF(ISNUMBER(S71),Inputs!$B$6*S71,0)+IF(ISNUMBER(T71),Inputs!$B$7*T71,0))/(IF(ISNUMBER(Q71),Inputs!$B$4,0)+IF(ISNUMBER(R71),Inputs!$B$5,0)+IF(ISNUMBER(S71),Inputs!$B$6,0)+IF(ISNUMBER(T71),Inputs!$B$7,0)))</f>
        <v>0.0689</v>
      </c>
      <c r="V71" s="5" t="str">
        <f aca="false">IF(F71&gt;0,"Yes","No")</f>
        <v>Yes</v>
      </c>
      <c r="W71" s="5" t="str">
        <f aca="false">IF(ISNUMBER(N71),IF(N71&gt;=Inputs!$D$18,"Yes","No"),"No price")</f>
        <v>Yes</v>
      </c>
      <c r="X71" s="5" t="str">
        <f aca="false">IF(K71+L71&gt;0,"Yes",IF(M71&gt;0,"No","Unclear"))</f>
        <v>Yes</v>
      </c>
      <c r="Y71" s="5" t="str">
        <f aca="false">INDEX('API Data'!$H$2:$H$152,MATCH(B71,'API Data'!$A$2:$A$152,0))</f>
        <v>No</v>
      </c>
      <c r="Z71" s="5" t="str">
        <f aca="false">IF(COUNTIFS('Product Rows'!$A$2:$A$696,B71,'Product Rows'!$B$2:$B$696,C71,'Product Rows'!$I$2:$I$696,"Yes")&gt;0,"Yes","No")</f>
        <v>No</v>
      </c>
      <c r="AA71" s="5" t="str">
        <f aca="false">IF(P71&gt;=Inputs!$D$22,"Yes","No")</f>
        <v>No</v>
      </c>
      <c r="AB71" s="10" t="b">
        <f aca="false">AND(OR(Inputs!$B$17&lt;&gt;"Exclude",V71="Yes"),OR(Inputs!$B$18&lt;&gt;"Exclude",W71&lt;&gt;"No"),OR(Inputs!$B$19&lt;&gt;"Exclude",X71&lt;&gt;"No"),OR(Inputs!$B$20&lt;&gt;"Exclude",Y71="No"),OR(Inputs!$B$21&lt;&gt;"Exclude",Z71="No"),OR(Inputs!$B$22&lt;&gt;"Exclude",AA71="Yes"),ISNUMBER(U71))</f>
        <v>1</v>
      </c>
      <c r="AC71" s="5" t="n">
        <f aca="false">IF(AB71,COUNTIFS($C$5:$C$337,C71,$AB$5:$AB$337,TRUE(),$U$5:$U$337,"&gt;"&amp;U71)+COUNTIFS($C$5:C71,C71,$AB$5:AB71,TRUE(),$U$5:U71,U71),"")</f>
        <v>19</v>
      </c>
      <c r="AD71" s="5" t="str">
        <f aca="false">IF(AC71="","Not eligible",IF(AC71&lt;=Inputs!$B$25,"Lead",IF(AC71&lt;=Inputs!$B$25+Inputs!$B$26,"Next wave","Long list")))</f>
        <v>Long list</v>
      </c>
      <c r="AE71" s="5" t="str">
        <f aca="false">IF(AND(K71+L71=0,M71&gt;0),"Safety upgrade of existing prefilled syringe",IF(K71+L71+M71=0,"Confirm presentation (not stated in source)",IF(AA71="Yes","Differentiation in crowded generic market","Safety-device mandate compliance")))</f>
        <v>Safety-device mandate compliance</v>
      </c>
      <c r="AF71" s="5" t="str">
        <f aca="false">IF(AC71="","",C71&amp;"|"&amp;AC71)</f>
        <v>Wockhardt|19</v>
      </c>
    </row>
    <row r="72" customFormat="false" ht="15" hidden="false" customHeight="false" outlineLevel="0" collapsed="false">
      <c r="A72" s="5" t="n">
        <f aca="false">IF(ISNUMBER(U72),RANK(U72,$U$5:$U$337),"")</f>
        <v>289</v>
      </c>
      <c r="B72" s="5" t="s">
        <v>78</v>
      </c>
      <c r="C72" s="5" t="s">
        <v>47</v>
      </c>
      <c r="D72" s="5" t="str">
        <f aca="false">INDEX('API Data'!$B$2:$B$152,MATCH(B72,'API Data'!$A$2:$A$152,0))</f>
        <v>Psychiatry – acute psychosis/agitation; severe nausea &amp; vomiting</v>
      </c>
      <c r="E72" s="5" t="n">
        <f aca="false">COUNTIFS('Market Listing'!$A$2:$A$4054,B72,'Market Listing'!$B$2:$B$4054,C72)</f>
        <v>1</v>
      </c>
      <c r="F72" s="5" t="n">
        <f aca="false">COUNTIFS('Market Listing'!$A$2:$A$4054,B72,'Market Listing'!$B$2:$B$4054,C72,'Market Listing'!$D$2:$D$4054,"Tier 1")</f>
        <v>1</v>
      </c>
      <c r="G72" s="5" t="n">
        <f aca="false">COUNTIFS('Market Listing'!$A$2:$A$4054,B72,'Market Listing'!$B$2:$B$4054,C72,'Market Listing'!$D$2:$D$4054,"Tier 2")</f>
        <v>0</v>
      </c>
      <c r="H72" s="5" t="n">
        <f aca="false">COUNTIFS('Market Listing'!$A$2:$A$4054,B72,'Market Listing'!$B$2:$B$4054,C72,'Market Listing'!$D$2:$D$4054,"Tier 3")</f>
        <v>0</v>
      </c>
      <c r="I72" s="5" t="n">
        <f aca="false">SUMIFS('Market Listing'!$E$2:$E$4054,'Market Listing'!$A$2:$A$4054,B72,'Market Listing'!$B$2:$B$4054,C72)</f>
        <v>3</v>
      </c>
      <c r="J72" s="5" t="n">
        <f aca="false">COUNTIFS('Product Rows'!$A$2:$A$696,B72,'Product Rows'!$B$2:$B$696,C72)</f>
        <v>1</v>
      </c>
      <c r="K72" s="5" t="n">
        <f aca="false">COUNTIFS('Product Rows'!$A$2:$A$696,B72,'Product Rows'!$B$2:$B$696,C72,'Product Rows'!$G$2:$G$696,"Vial")</f>
        <v>0</v>
      </c>
      <c r="L72" s="5" t="n">
        <f aca="false">COUNTIFS('Product Rows'!$A$2:$A$696,B72,'Product Rows'!$B$2:$B$696,C72,'Product Rows'!$G$2:$G$696,"Ampoule")</f>
        <v>0</v>
      </c>
      <c r="M72" s="5" t="n">
        <f aca="false">COUNTIFS('Product Rows'!$A$2:$A$696,B72,'Product Rows'!$B$2:$B$696,C72,'Product Rows'!$G$2:$G$696,"Prefilled syringe/pen")</f>
        <v>0</v>
      </c>
      <c r="N72" s="6" t="n">
        <f aca="false">IFERROR(AVERAGEIFS('Product Rows'!$H$2:$H$696,'Product Rows'!$A$2:$A$696,B72,'Product Rows'!$B$2:$B$696,C72),"")</f>
        <v>14.96</v>
      </c>
      <c r="O72" s="7" t="n">
        <f aca="false">INDEX('API Data'!$E$2:$E$152,MATCH(B72,'API Data'!$A$2:$A$152,0))</f>
        <v>1352.64109090909</v>
      </c>
      <c r="P72" s="5" t="n">
        <f aca="false">COUNTIF($B$5:$B$337,B72)</f>
        <v>4</v>
      </c>
      <c r="Q72" s="8" t="n">
        <f aca="false">IF(ISNUMBER(I72),PERCENTRANK($I$5:$I$337,I72),"")</f>
        <v>0.157</v>
      </c>
      <c r="R72" s="8" t="n">
        <f aca="false">IF(ISNUMBER(N72),PERCENTRANK($N$5:$N$337,N72),"")</f>
        <v>0.294</v>
      </c>
      <c r="S72" s="8" t="n">
        <f aca="false">IF(ISNUMBER(O72),PERCENTRANK($O$5:$O$337,O72),"")</f>
        <v>0.19</v>
      </c>
      <c r="T72" s="8" t="n">
        <f aca="false">IF(ISNUMBER(P72),PERCENTRANK($P$5:$P$337,P72),"")</f>
        <v>0.569</v>
      </c>
      <c r="U72" s="9" t="n">
        <f aca="false">IF((IF(ISNUMBER(Q72),Inputs!$B$4,0)+IF(ISNUMBER(R72),Inputs!$B$5,0)+IF(ISNUMBER(S72),Inputs!$B$6,0)+IF(ISNUMBER(T72),Inputs!$B$7,0))=0,"",(IF(ISNUMBER(Q72),Inputs!$B$4*Q72,0)+IF(ISNUMBER(R72),Inputs!$B$5*R72,0)+IF(ISNUMBER(S72),Inputs!$B$6*S72,0)+IF(ISNUMBER(T72),Inputs!$B$7*T72,0))/(IF(ISNUMBER(Q72),Inputs!$B$4,0)+IF(ISNUMBER(R72),Inputs!$B$5,0)+IF(ISNUMBER(S72),Inputs!$B$6,0)+IF(ISNUMBER(T72),Inputs!$B$7,0)))</f>
        <v>0.242</v>
      </c>
      <c r="V72" s="5" t="str">
        <f aca="false">IF(F72&gt;0,"Yes","No")</f>
        <v>Yes</v>
      </c>
      <c r="W72" s="5" t="str">
        <f aca="false">IF(ISNUMBER(N72),IF(N72&gt;=Inputs!$D$18,"Yes","No"),"No price")</f>
        <v>Yes</v>
      </c>
      <c r="X72" s="5" t="str">
        <f aca="false">IF(K72+L72&gt;0,"Yes",IF(M72&gt;0,"No","Unclear"))</f>
        <v>Unclear</v>
      </c>
      <c r="Y72" s="5" t="str">
        <f aca="false">INDEX('API Data'!$H$2:$H$152,MATCH(B72,'API Data'!$A$2:$A$152,0))</f>
        <v>No</v>
      </c>
      <c r="Z72" s="5" t="str">
        <f aca="false">IF(COUNTIFS('Product Rows'!$A$2:$A$696,B72,'Product Rows'!$B$2:$B$696,C72,'Product Rows'!$I$2:$I$696,"Yes")&gt;0,"Yes","No")</f>
        <v>No</v>
      </c>
      <c r="AA72" s="5" t="str">
        <f aca="false">IF(P72&gt;=Inputs!$D$22,"Yes","No")</f>
        <v>Yes</v>
      </c>
      <c r="AB72" s="10" t="b">
        <f aca="false">AND(OR(Inputs!$B$17&lt;&gt;"Exclude",V72="Yes"),OR(Inputs!$B$18&lt;&gt;"Exclude",W72&lt;&gt;"No"),OR(Inputs!$B$19&lt;&gt;"Exclude",X72&lt;&gt;"No"),OR(Inputs!$B$20&lt;&gt;"Exclude",Y72="No"),OR(Inputs!$B$21&lt;&gt;"Exclude",Z72="No"),OR(Inputs!$B$22&lt;&gt;"Exclude",AA72="Yes"),ISNUMBER(U72))</f>
        <v>1</v>
      </c>
      <c r="AC72" s="5" t="n">
        <f aca="false">IF(AB72,COUNTIFS($C$5:$C$337,C72,$AB$5:$AB$337,TRUE(),$U$5:$U$337,"&gt;"&amp;U72)+COUNTIFS($C$5:C72,C72,$AB$5:AB72,TRUE(),$U$5:U72,U72),"")</f>
        <v>45</v>
      </c>
      <c r="AD72" s="5" t="str">
        <f aca="false">IF(AC72="","Not eligible",IF(AC72&lt;=Inputs!$B$25,"Lead",IF(AC72&lt;=Inputs!$B$25+Inputs!$B$26,"Next wave","Long list")))</f>
        <v>Long list</v>
      </c>
      <c r="AE72" s="5" t="str">
        <f aca="false">IF(AND(K72+L72=0,M72&gt;0),"Safety upgrade of existing prefilled syringe",IF(K72+L72+M72=0,"Confirm presentation (not stated in source)",IF(AA72="Yes","Differentiation in crowded generic market","Safety-device mandate compliance")))</f>
        <v>Confirm presentation (not stated in source)</v>
      </c>
      <c r="AF72" s="5" t="str">
        <f aca="false">IF(AC72="","",C72&amp;"|"&amp;AC72)</f>
        <v>Aurobindo Pharma|45</v>
      </c>
    </row>
    <row r="73" customFormat="false" ht="15" hidden="false" customHeight="false" outlineLevel="0" collapsed="false">
      <c r="A73" s="5" t="n">
        <f aca="false">IF(ISNUMBER(U73),RANK(U73,$U$5:$U$337),"")</f>
        <v>289</v>
      </c>
      <c r="B73" s="5" t="s">
        <v>78</v>
      </c>
      <c r="C73" s="5" t="s">
        <v>57</v>
      </c>
      <c r="D73" s="5" t="str">
        <f aca="false">INDEX('API Data'!$B$2:$B$152,MATCH(B73,'API Data'!$A$2:$A$152,0))</f>
        <v>Psychiatry – acute psychosis/agitation; severe nausea &amp; vomiting</v>
      </c>
      <c r="E73" s="5" t="n">
        <f aca="false">COUNTIFS('Market Listing'!$A$2:$A$4054,B73,'Market Listing'!$B$2:$B$4054,C73)</f>
        <v>1</v>
      </c>
      <c r="F73" s="5" t="n">
        <f aca="false">COUNTIFS('Market Listing'!$A$2:$A$4054,B73,'Market Listing'!$B$2:$B$4054,C73,'Market Listing'!$D$2:$D$4054,"Tier 1")</f>
        <v>1</v>
      </c>
      <c r="G73" s="5" t="n">
        <f aca="false">COUNTIFS('Market Listing'!$A$2:$A$4054,B73,'Market Listing'!$B$2:$B$4054,C73,'Market Listing'!$D$2:$D$4054,"Tier 2")</f>
        <v>0</v>
      </c>
      <c r="H73" s="5" t="n">
        <f aca="false">COUNTIFS('Market Listing'!$A$2:$A$4054,B73,'Market Listing'!$B$2:$B$4054,C73,'Market Listing'!$D$2:$D$4054,"Tier 3")</f>
        <v>0</v>
      </c>
      <c r="I73" s="5" t="n">
        <f aca="false">SUMIFS('Market Listing'!$E$2:$E$4054,'Market Listing'!$A$2:$A$4054,B73,'Market Listing'!$B$2:$B$4054,C73)</f>
        <v>3</v>
      </c>
      <c r="J73" s="5" t="n">
        <f aca="false">COUNTIFS('Product Rows'!$A$2:$A$696,B73,'Product Rows'!$B$2:$B$696,C73)</f>
        <v>1</v>
      </c>
      <c r="K73" s="5" t="n">
        <f aca="false">COUNTIFS('Product Rows'!$A$2:$A$696,B73,'Product Rows'!$B$2:$B$696,C73,'Product Rows'!$G$2:$G$696,"Vial")</f>
        <v>1</v>
      </c>
      <c r="L73" s="5" t="n">
        <f aca="false">COUNTIFS('Product Rows'!$A$2:$A$696,B73,'Product Rows'!$B$2:$B$696,C73,'Product Rows'!$G$2:$G$696,"Ampoule")</f>
        <v>0</v>
      </c>
      <c r="M73" s="5" t="n">
        <f aca="false">COUNTIFS('Product Rows'!$A$2:$A$696,B73,'Product Rows'!$B$2:$B$696,C73,'Product Rows'!$G$2:$G$696,"Prefilled syringe/pen")</f>
        <v>0</v>
      </c>
      <c r="N73" s="6" t="n">
        <f aca="false">IFERROR(AVERAGEIFS('Product Rows'!$H$2:$H$696,'Product Rows'!$A$2:$A$696,B73,'Product Rows'!$B$2:$B$696,C73),"")</f>
        <v>14.96</v>
      </c>
      <c r="O73" s="7" t="n">
        <f aca="false">INDEX('API Data'!$E$2:$E$152,MATCH(B73,'API Data'!$A$2:$A$152,0))</f>
        <v>1352.64109090909</v>
      </c>
      <c r="P73" s="5" t="n">
        <f aca="false">COUNTIF($B$5:$B$337,B73)</f>
        <v>4</v>
      </c>
      <c r="Q73" s="8" t="n">
        <f aca="false">IF(ISNUMBER(I73),PERCENTRANK($I$5:$I$337,I73),"")</f>
        <v>0.157</v>
      </c>
      <c r="R73" s="8" t="n">
        <f aca="false">IF(ISNUMBER(N73),PERCENTRANK($N$5:$N$337,N73),"")</f>
        <v>0.294</v>
      </c>
      <c r="S73" s="8" t="n">
        <f aca="false">IF(ISNUMBER(O73),PERCENTRANK($O$5:$O$337,O73),"")</f>
        <v>0.19</v>
      </c>
      <c r="T73" s="8" t="n">
        <f aca="false">IF(ISNUMBER(P73),PERCENTRANK($P$5:$P$337,P73),"")</f>
        <v>0.569</v>
      </c>
      <c r="U73" s="9" t="n">
        <f aca="false">IF((IF(ISNUMBER(Q73),Inputs!$B$4,0)+IF(ISNUMBER(R73),Inputs!$B$5,0)+IF(ISNUMBER(S73),Inputs!$B$6,0)+IF(ISNUMBER(T73),Inputs!$B$7,0))=0,"",(IF(ISNUMBER(Q73),Inputs!$B$4*Q73,0)+IF(ISNUMBER(R73),Inputs!$B$5*R73,0)+IF(ISNUMBER(S73),Inputs!$B$6*S73,0)+IF(ISNUMBER(T73),Inputs!$B$7*T73,0))/(IF(ISNUMBER(Q73),Inputs!$B$4,0)+IF(ISNUMBER(R73),Inputs!$B$5,0)+IF(ISNUMBER(S73),Inputs!$B$6,0)+IF(ISNUMBER(T73),Inputs!$B$7,0)))</f>
        <v>0.242</v>
      </c>
      <c r="V73" s="5" t="str">
        <f aca="false">IF(F73&gt;0,"Yes","No")</f>
        <v>Yes</v>
      </c>
      <c r="W73" s="5" t="str">
        <f aca="false">IF(ISNUMBER(N73),IF(N73&gt;=Inputs!$D$18,"Yes","No"),"No price")</f>
        <v>Yes</v>
      </c>
      <c r="X73" s="5" t="str">
        <f aca="false">IF(K73+L73&gt;0,"Yes",IF(M73&gt;0,"No","Unclear"))</f>
        <v>Yes</v>
      </c>
      <c r="Y73" s="5" t="str">
        <f aca="false">INDEX('API Data'!$H$2:$H$152,MATCH(B73,'API Data'!$A$2:$A$152,0))</f>
        <v>No</v>
      </c>
      <c r="Z73" s="5" t="str">
        <f aca="false">IF(COUNTIFS('Product Rows'!$A$2:$A$696,B73,'Product Rows'!$B$2:$B$696,C73,'Product Rows'!$I$2:$I$696,"Yes")&gt;0,"Yes","No")</f>
        <v>No</v>
      </c>
      <c r="AA73" s="5" t="str">
        <f aca="false">IF(P73&gt;=Inputs!$D$22,"Yes","No")</f>
        <v>Yes</v>
      </c>
      <c r="AB73" s="10" t="b">
        <f aca="false">AND(OR(Inputs!$B$17&lt;&gt;"Exclude",V73="Yes"),OR(Inputs!$B$18&lt;&gt;"Exclude",W73&lt;&gt;"No"),OR(Inputs!$B$19&lt;&gt;"Exclude",X73&lt;&gt;"No"),OR(Inputs!$B$20&lt;&gt;"Exclude",Y73="No"),OR(Inputs!$B$21&lt;&gt;"Exclude",Z73="No"),OR(Inputs!$B$22&lt;&gt;"Exclude",AA73="Yes"),ISNUMBER(U73))</f>
        <v>1</v>
      </c>
      <c r="AC73" s="5" t="n">
        <f aca="false">IF(AB73,COUNTIFS($C$5:$C$337,C73,$AB$5:$AB$337,TRUE(),$U$5:$U$337,"&gt;"&amp;U73)+COUNTIFS($C$5:C73,C73,$AB$5:AB73,TRUE(),$U$5:U73,U73),"")</f>
        <v>20</v>
      </c>
      <c r="AD73" s="5" t="str">
        <f aca="false">IF(AC73="","Not eligible",IF(AC73&lt;=Inputs!$B$25,"Lead",IF(AC73&lt;=Inputs!$B$25+Inputs!$B$26,"Next wave","Long list")))</f>
        <v>Long list</v>
      </c>
      <c r="AE73" s="5" t="str">
        <f aca="false">IF(AND(K73+L73=0,M73&gt;0),"Safety upgrade of existing prefilled syringe",IF(K73+L73+M73=0,"Confirm presentation (not stated in source)",IF(AA73="Yes","Differentiation in crowded generic market","Safety-device mandate compliance")))</f>
        <v>Differentiation in crowded generic market</v>
      </c>
      <c r="AF73" s="5" t="str">
        <f aca="false">IF(AC73="","",C73&amp;"|"&amp;AC73)</f>
        <v>Hetero Labs|20</v>
      </c>
    </row>
    <row r="74" customFormat="false" ht="15" hidden="false" customHeight="false" outlineLevel="0" collapsed="false">
      <c r="A74" s="5" t="n">
        <f aca="false">IF(ISNUMBER(U74),RANK(U74,$U$5:$U$337),"")</f>
        <v>289</v>
      </c>
      <c r="B74" s="5" t="s">
        <v>78</v>
      </c>
      <c r="C74" s="5" t="s">
        <v>63</v>
      </c>
      <c r="D74" s="5" t="str">
        <f aca="false">INDEX('API Data'!$B$2:$B$152,MATCH(B74,'API Data'!$A$2:$A$152,0))</f>
        <v>Psychiatry – acute psychosis/agitation; severe nausea &amp; vomiting</v>
      </c>
      <c r="E74" s="5" t="n">
        <f aca="false">COUNTIFS('Market Listing'!$A$2:$A$4054,B74,'Market Listing'!$B$2:$B$4054,C74)</f>
        <v>1</v>
      </c>
      <c r="F74" s="5" t="n">
        <f aca="false">COUNTIFS('Market Listing'!$A$2:$A$4054,B74,'Market Listing'!$B$2:$B$4054,C74,'Market Listing'!$D$2:$D$4054,"Tier 1")</f>
        <v>1</v>
      </c>
      <c r="G74" s="5" t="n">
        <f aca="false">COUNTIFS('Market Listing'!$A$2:$A$4054,B74,'Market Listing'!$B$2:$B$4054,C74,'Market Listing'!$D$2:$D$4054,"Tier 2")</f>
        <v>0</v>
      </c>
      <c r="H74" s="5" t="n">
        <f aca="false">COUNTIFS('Market Listing'!$A$2:$A$4054,B74,'Market Listing'!$B$2:$B$4054,C74,'Market Listing'!$D$2:$D$4054,"Tier 3")</f>
        <v>0</v>
      </c>
      <c r="I74" s="5" t="n">
        <f aca="false">SUMIFS('Market Listing'!$E$2:$E$4054,'Market Listing'!$A$2:$A$4054,B74,'Market Listing'!$B$2:$B$4054,C74)</f>
        <v>3</v>
      </c>
      <c r="J74" s="5" t="n">
        <f aca="false">COUNTIFS('Product Rows'!$A$2:$A$696,B74,'Product Rows'!$B$2:$B$696,C74)</f>
        <v>1</v>
      </c>
      <c r="K74" s="5" t="n">
        <f aca="false">COUNTIFS('Product Rows'!$A$2:$A$696,B74,'Product Rows'!$B$2:$B$696,C74,'Product Rows'!$G$2:$G$696,"Vial")</f>
        <v>1</v>
      </c>
      <c r="L74" s="5" t="n">
        <f aca="false">COUNTIFS('Product Rows'!$A$2:$A$696,B74,'Product Rows'!$B$2:$B$696,C74,'Product Rows'!$G$2:$G$696,"Ampoule")</f>
        <v>0</v>
      </c>
      <c r="M74" s="5" t="n">
        <f aca="false">COUNTIFS('Product Rows'!$A$2:$A$696,B74,'Product Rows'!$B$2:$B$696,C74,'Product Rows'!$G$2:$G$696,"Prefilled syringe/pen")</f>
        <v>0</v>
      </c>
      <c r="N74" s="6" t="n">
        <f aca="false">IFERROR(AVERAGEIFS('Product Rows'!$H$2:$H$696,'Product Rows'!$A$2:$A$696,B74,'Product Rows'!$B$2:$B$696,C74),"")</f>
        <v>14.96</v>
      </c>
      <c r="O74" s="7" t="n">
        <f aca="false">INDEX('API Data'!$E$2:$E$152,MATCH(B74,'API Data'!$A$2:$A$152,0))</f>
        <v>1352.64109090909</v>
      </c>
      <c r="P74" s="5" t="n">
        <f aca="false">COUNTIF($B$5:$B$337,B74)</f>
        <v>4</v>
      </c>
      <c r="Q74" s="8" t="n">
        <f aca="false">IF(ISNUMBER(I74),PERCENTRANK($I$5:$I$337,I74),"")</f>
        <v>0.157</v>
      </c>
      <c r="R74" s="8" t="n">
        <f aca="false">IF(ISNUMBER(N74),PERCENTRANK($N$5:$N$337,N74),"")</f>
        <v>0.294</v>
      </c>
      <c r="S74" s="8" t="n">
        <f aca="false">IF(ISNUMBER(O74),PERCENTRANK($O$5:$O$337,O74),"")</f>
        <v>0.19</v>
      </c>
      <c r="T74" s="8" t="n">
        <f aca="false">IF(ISNUMBER(P74),PERCENTRANK($P$5:$P$337,P74),"")</f>
        <v>0.569</v>
      </c>
      <c r="U74" s="9" t="n">
        <f aca="false">IF((IF(ISNUMBER(Q74),Inputs!$B$4,0)+IF(ISNUMBER(R74),Inputs!$B$5,0)+IF(ISNUMBER(S74),Inputs!$B$6,0)+IF(ISNUMBER(T74),Inputs!$B$7,0))=0,"",(IF(ISNUMBER(Q74),Inputs!$B$4*Q74,0)+IF(ISNUMBER(R74),Inputs!$B$5*R74,0)+IF(ISNUMBER(S74),Inputs!$B$6*S74,0)+IF(ISNUMBER(T74),Inputs!$B$7*T74,0))/(IF(ISNUMBER(Q74),Inputs!$B$4,0)+IF(ISNUMBER(R74),Inputs!$B$5,0)+IF(ISNUMBER(S74),Inputs!$B$6,0)+IF(ISNUMBER(T74),Inputs!$B$7,0)))</f>
        <v>0.242</v>
      </c>
      <c r="V74" s="5" t="str">
        <f aca="false">IF(F74&gt;0,"Yes","No")</f>
        <v>Yes</v>
      </c>
      <c r="W74" s="5" t="str">
        <f aca="false">IF(ISNUMBER(N74),IF(N74&gt;=Inputs!$D$18,"Yes","No"),"No price")</f>
        <v>Yes</v>
      </c>
      <c r="X74" s="5" t="str">
        <f aca="false">IF(K74+L74&gt;0,"Yes",IF(M74&gt;0,"No","Unclear"))</f>
        <v>Yes</v>
      </c>
      <c r="Y74" s="5" t="str">
        <f aca="false">INDEX('API Data'!$H$2:$H$152,MATCH(B74,'API Data'!$A$2:$A$152,0))</f>
        <v>No</v>
      </c>
      <c r="Z74" s="5" t="str">
        <f aca="false">IF(COUNTIFS('Product Rows'!$A$2:$A$696,B74,'Product Rows'!$B$2:$B$696,C74,'Product Rows'!$I$2:$I$696,"Yes")&gt;0,"Yes","No")</f>
        <v>No</v>
      </c>
      <c r="AA74" s="5" t="str">
        <f aca="false">IF(P74&gt;=Inputs!$D$22,"Yes","No")</f>
        <v>Yes</v>
      </c>
      <c r="AB74" s="10" t="b">
        <f aca="false">AND(OR(Inputs!$B$17&lt;&gt;"Exclude",V74="Yes"),OR(Inputs!$B$18&lt;&gt;"Exclude",W74&lt;&gt;"No"),OR(Inputs!$B$19&lt;&gt;"Exclude",X74&lt;&gt;"No"),OR(Inputs!$B$20&lt;&gt;"Exclude",Y74="No"),OR(Inputs!$B$21&lt;&gt;"Exclude",Z74="No"),OR(Inputs!$B$22&lt;&gt;"Exclude",AA74="Yes"),ISNUMBER(U74))</f>
        <v>1</v>
      </c>
      <c r="AC74" s="5" t="n">
        <f aca="false">IF(AB74,COUNTIFS($C$5:$C$337,C74,$AB$5:$AB$337,TRUE(),$U$5:$U$337,"&gt;"&amp;U74)+COUNTIFS($C$5:C74,C74,$AB$5:AB74,TRUE(),$U$5:U74,U74),"")</f>
        <v>7</v>
      </c>
      <c r="AD74" s="5" t="str">
        <f aca="false">IF(AC74="","Not eligible",IF(AC74&lt;=Inputs!$B$25,"Lead",IF(AC74&lt;=Inputs!$B$25+Inputs!$B$26,"Next wave","Long list")))</f>
        <v>Next wave</v>
      </c>
      <c r="AE74" s="5" t="str">
        <f aca="false">IF(AND(K74+L74=0,M74&gt;0),"Safety upgrade of existing prefilled syringe",IF(K74+L74+M74=0,"Confirm presentation (not stated in source)",IF(AA74="Yes","Differentiation in crowded generic market","Safety-device mandate compliance")))</f>
        <v>Differentiation in crowded generic market</v>
      </c>
      <c r="AF74" s="5" t="str">
        <f aca="false">IF(AC74="","",C74&amp;"|"&amp;AC74)</f>
        <v>MSN Laboratories|7</v>
      </c>
    </row>
    <row r="75" customFormat="false" ht="15" hidden="false" customHeight="false" outlineLevel="0" collapsed="false">
      <c r="A75" s="5" t="n">
        <f aca="false">IF(ISNUMBER(U75),RANK(U75,$U$5:$U$337),"")</f>
        <v>289</v>
      </c>
      <c r="B75" s="5" t="s">
        <v>78</v>
      </c>
      <c r="C75" s="5" t="s">
        <v>36</v>
      </c>
      <c r="D75" s="5" t="str">
        <f aca="false">INDEX('API Data'!$B$2:$B$152,MATCH(B75,'API Data'!$A$2:$A$152,0))</f>
        <v>Psychiatry – acute psychosis/agitation; severe nausea &amp; vomiting</v>
      </c>
      <c r="E75" s="5" t="n">
        <f aca="false">COUNTIFS('Market Listing'!$A$2:$A$4054,B75,'Market Listing'!$B$2:$B$4054,C75)</f>
        <v>1</v>
      </c>
      <c r="F75" s="5" t="n">
        <f aca="false">COUNTIFS('Market Listing'!$A$2:$A$4054,B75,'Market Listing'!$B$2:$B$4054,C75,'Market Listing'!$D$2:$D$4054,"Tier 1")</f>
        <v>1</v>
      </c>
      <c r="G75" s="5" t="n">
        <f aca="false">COUNTIFS('Market Listing'!$A$2:$A$4054,B75,'Market Listing'!$B$2:$B$4054,C75,'Market Listing'!$D$2:$D$4054,"Tier 2")</f>
        <v>0</v>
      </c>
      <c r="H75" s="5" t="n">
        <f aca="false">COUNTIFS('Market Listing'!$A$2:$A$4054,B75,'Market Listing'!$B$2:$B$4054,C75,'Market Listing'!$D$2:$D$4054,"Tier 3")</f>
        <v>0</v>
      </c>
      <c r="I75" s="5" t="n">
        <f aca="false">SUMIFS('Market Listing'!$E$2:$E$4054,'Market Listing'!$A$2:$A$4054,B75,'Market Listing'!$B$2:$B$4054,C75)</f>
        <v>3</v>
      </c>
      <c r="J75" s="5" t="n">
        <f aca="false">COUNTIFS('Product Rows'!$A$2:$A$696,B75,'Product Rows'!$B$2:$B$696,C75)</f>
        <v>1</v>
      </c>
      <c r="K75" s="5" t="n">
        <f aca="false">COUNTIFS('Product Rows'!$A$2:$A$696,B75,'Product Rows'!$B$2:$B$696,C75,'Product Rows'!$G$2:$G$696,"Vial")</f>
        <v>1</v>
      </c>
      <c r="L75" s="5" t="n">
        <f aca="false">COUNTIFS('Product Rows'!$A$2:$A$696,B75,'Product Rows'!$B$2:$B$696,C75,'Product Rows'!$G$2:$G$696,"Ampoule")</f>
        <v>0</v>
      </c>
      <c r="M75" s="5" t="n">
        <f aca="false">COUNTIFS('Product Rows'!$A$2:$A$696,B75,'Product Rows'!$B$2:$B$696,C75,'Product Rows'!$G$2:$G$696,"Prefilled syringe/pen")</f>
        <v>0</v>
      </c>
      <c r="N75" s="6" t="n">
        <f aca="false">IFERROR(AVERAGEIFS('Product Rows'!$H$2:$H$696,'Product Rows'!$A$2:$A$696,B75,'Product Rows'!$B$2:$B$696,C75),"")</f>
        <v>14.96</v>
      </c>
      <c r="O75" s="7" t="n">
        <f aca="false">INDEX('API Data'!$E$2:$E$152,MATCH(B75,'API Data'!$A$2:$A$152,0))</f>
        <v>1352.64109090909</v>
      </c>
      <c r="P75" s="5" t="n">
        <f aca="false">COUNTIF($B$5:$B$337,B75)</f>
        <v>4</v>
      </c>
      <c r="Q75" s="8" t="n">
        <f aca="false">IF(ISNUMBER(I75),PERCENTRANK($I$5:$I$337,I75),"")</f>
        <v>0.157</v>
      </c>
      <c r="R75" s="8" t="n">
        <f aca="false">IF(ISNUMBER(N75),PERCENTRANK($N$5:$N$337,N75),"")</f>
        <v>0.294</v>
      </c>
      <c r="S75" s="8" t="n">
        <f aca="false">IF(ISNUMBER(O75),PERCENTRANK($O$5:$O$337,O75),"")</f>
        <v>0.19</v>
      </c>
      <c r="T75" s="8" t="n">
        <f aca="false">IF(ISNUMBER(P75),PERCENTRANK($P$5:$P$337,P75),"")</f>
        <v>0.569</v>
      </c>
      <c r="U75" s="9" t="n">
        <f aca="false">IF((IF(ISNUMBER(Q75),Inputs!$B$4,0)+IF(ISNUMBER(R75),Inputs!$B$5,0)+IF(ISNUMBER(S75),Inputs!$B$6,0)+IF(ISNUMBER(T75),Inputs!$B$7,0))=0,"",(IF(ISNUMBER(Q75),Inputs!$B$4*Q75,0)+IF(ISNUMBER(R75),Inputs!$B$5*R75,0)+IF(ISNUMBER(S75),Inputs!$B$6*S75,0)+IF(ISNUMBER(T75),Inputs!$B$7*T75,0))/(IF(ISNUMBER(Q75),Inputs!$B$4,0)+IF(ISNUMBER(R75),Inputs!$B$5,0)+IF(ISNUMBER(S75),Inputs!$B$6,0)+IF(ISNUMBER(T75),Inputs!$B$7,0)))</f>
        <v>0.242</v>
      </c>
      <c r="V75" s="5" t="str">
        <f aca="false">IF(F75&gt;0,"Yes","No")</f>
        <v>Yes</v>
      </c>
      <c r="W75" s="5" t="str">
        <f aca="false">IF(ISNUMBER(N75),IF(N75&gt;=Inputs!$D$18,"Yes","No"),"No price")</f>
        <v>Yes</v>
      </c>
      <c r="X75" s="5" t="str">
        <f aca="false">IF(K75+L75&gt;0,"Yes",IF(M75&gt;0,"No","Unclear"))</f>
        <v>Yes</v>
      </c>
      <c r="Y75" s="5" t="str">
        <f aca="false">INDEX('API Data'!$H$2:$H$152,MATCH(B75,'API Data'!$A$2:$A$152,0))</f>
        <v>No</v>
      </c>
      <c r="Z75" s="5" t="str">
        <f aca="false">IF(COUNTIFS('Product Rows'!$A$2:$A$696,B75,'Product Rows'!$B$2:$B$696,C75,'Product Rows'!$I$2:$I$696,"Yes")&gt;0,"Yes","No")</f>
        <v>No</v>
      </c>
      <c r="AA75" s="5" t="str">
        <f aca="false">IF(P75&gt;=Inputs!$D$22,"Yes","No")</f>
        <v>Yes</v>
      </c>
      <c r="AB75" s="10" t="b">
        <f aca="false">AND(OR(Inputs!$B$17&lt;&gt;"Exclude",V75="Yes"),OR(Inputs!$B$18&lt;&gt;"Exclude",W75&lt;&gt;"No"),OR(Inputs!$B$19&lt;&gt;"Exclude",X75&lt;&gt;"No"),OR(Inputs!$B$20&lt;&gt;"Exclude",Y75="No"),OR(Inputs!$B$21&lt;&gt;"Exclude",Z75="No"),OR(Inputs!$B$22&lt;&gt;"Exclude",AA75="Yes"),ISNUMBER(U75))</f>
        <v>1</v>
      </c>
      <c r="AC75" s="5" t="n">
        <f aca="false">IF(AB75,COUNTIFS($C$5:$C$337,C75,$AB$5:$AB$337,TRUE(),$U$5:$U$337,"&gt;"&amp;U75)+COUNTIFS($C$5:C75,C75,$AB$5:AB75,TRUE(),$U$5:U75,U75),"")</f>
        <v>15</v>
      </c>
      <c r="AD75" s="5" t="str">
        <f aca="false">IF(AC75="","Not eligible",IF(AC75&lt;=Inputs!$B$25,"Lead",IF(AC75&lt;=Inputs!$B$25+Inputs!$B$26,"Next wave","Long list")))</f>
        <v>Long list</v>
      </c>
      <c r="AE75" s="5" t="str">
        <f aca="false">IF(AND(K75+L75=0,M75&gt;0),"Safety upgrade of existing prefilled syringe",IF(K75+L75+M75=0,"Confirm presentation (not stated in source)",IF(AA75="Yes","Differentiation in crowded generic market","Safety-device mandate compliance")))</f>
        <v>Differentiation in crowded generic market</v>
      </c>
      <c r="AF75" s="5" t="str">
        <f aca="false">IF(AC75="","",C75&amp;"|"&amp;AC75)</f>
        <v>Zydus Lifesciences|15</v>
      </c>
    </row>
    <row r="76" customFormat="false" ht="15" hidden="false" customHeight="false" outlineLevel="0" collapsed="false">
      <c r="A76" s="5" t="n">
        <f aca="false">IF(ISNUMBER(U76),RANK(U76,$U$5:$U$337),"")</f>
        <v>194</v>
      </c>
      <c r="B76" s="5" t="s">
        <v>79</v>
      </c>
      <c r="C76" s="5" t="s">
        <v>44</v>
      </c>
      <c r="D76" s="5" t="str">
        <f aca="false">INDEX('API Data'!$B$2:$B$152,MATCH(B76,'API Data'!$A$2:$A$152,0))</f>
        <v>Anaesthesia – muscle relaxant for surgery &amp; ICU ventilation</v>
      </c>
      <c r="E76" s="5" t="n">
        <f aca="false">COUNTIFS('Market Listing'!$A$2:$A$4054,B76,'Market Listing'!$B$2:$B$4054,C76)</f>
        <v>2</v>
      </c>
      <c r="F76" s="5" t="n">
        <f aca="false">COUNTIFS('Market Listing'!$A$2:$A$4054,B76,'Market Listing'!$B$2:$B$4054,C76,'Market Listing'!$D$2:$D$4054,"Tier 1")</f>
        <v>1</v>
      </c>
      <c r="G76" s="5" t="n">
        <f aca="false">COUNTIFS('Market Listing'!$A$2:$A$4054,B76,'Market Listing'!$B$2:$B$4054,C76,'Market Listing'!$D$2:$D$4054,"Tier 2")</f>
        <v>1</v>
      </c>
      <c r="H76" s="5" t="n">
        <f aca="false">COUNTIFS('Market Listing'!$A$2:$A$4054,B76,'Market Listing'!$B$2:$B$4054,C76,'Market Listing'!$D$2:$D$4054,"Tier 3")</f>
        <v>0</v>
      </c>
      <c r="I76" s="5" t="n">
        <f aca="false">SUMIFS('Market Listing'!$E$2:$E$4054,'Market Listing'!$A$2:$A$4054,B76,'Market Listing'!$B$2:$B$4054,C76)</f>
        <v>5</v>
      </c>
      <c r="J76" s="5" t="n">
        <f aca="false">COUNTIFS('Product Rows'!$A$2:$A$696,B76,'Product Rows'!$B$2:$B$696,C76)</f>
        <v>6</v>
      </c>
      <c r="K76" s="5" t="n">
        <f aca="false">COUNTIFS('Product Rows'!$A$2:$A$696,B76,'Product Rows'!$B$2:$B$696,C76,'Product Rows'!$G$2:$G$696,"Vial")</f>
        <v>6</v>
      </c>
      <c r="L76" s="5" t="n">
        <f aca="false">COUNTIFS('Product Rows'!$A$2:$A$696,B76,'Product Rows'!$B$2:$B$696,C76,'Product Rows'!$G$2:$G$696,"Ampoule")</f>
        <v>0</v>
      </c>
      <c r="M76" s="5" t="n">
        <f aca="false">COUNTIFS('Product Rows'!$A$2:$A$696,B76,'Product Rows'!$B$2:$B$696,C76,'Product Rows'!$G$2:$G$696,"Prefilled syringe/pen")</f>
        <v>0</v>
      </c>
      <c r="N76" s="6" t="n">
        <f aca="false">IFERROR(AVERAGEIFS('Product Rows'!$H$2:$H$696,'Product Rows'!$A$2:$A$696,B76,'Product Rows'!$B$2:$B$696,C76),"")</f>
        <v>39.05</v>
      </c>
      <c r="O76" s="7" t="n">
        <f aca="false">INDEX('API Data'!$E$2:$E$152,MATCH(B76,'API Data'!$A$2:$A$152,0))</f>
        <v>2508.09</v>
      </c>
      <c r="P76" s="5" t="n">
        <f aca="false">COUNTIF($B$5:$B$337,B76)</f>
        <v>4</v>
      </c>
      <c r="Q76" s="8" t="n">
        <f aca="false">IF(ISNUMBER(I76),PERCENTRANK($I$5:$I$337,I76),"")</f>
        <v>0.521</v>
      </c>
      <c r="R76" s="8" t="n">
        <f aca="false">IF(ISNUMBER(N76),PERCENTRANK($N$5:$N$337,N76),"")</f>
        <v>0.566</v>
      </c>
      <c r="S76" s="8" t="n">
        <f aca="false">IF(ISNUMBER(O76),PERCENTRANK($O$5:$O$337,O76),"")</f>
        <v>0.313</v>
      </c>
      <c r="T76" s="8" t="n">
        <f aca="false">IF(ISNUMBER(P76),PERCENTRANK($P$5:$P$337,P76),"")</f>
        <v>0.569</v>
      </c>
      <c r="U76" s="9" t="n">
        <f aca="false">IF((IF(ISNUMBER(Q76),Inputs!$B$4,0)+IF(ISNUMBER(R76),Inputs!$B$5,0)+IF(ISNUMBER(S76),Inputs!$B$6,0)+IF(ISNUMBER(T76),Inputs!$B$7,0))=0,"",(IF(ISNUMBER(Q76),Inputs!$B$4*Q76,0)+IF(ISNUMBER(R76),Inputs!$B$5*R76,0)+IF(ISNUMBER(S76),Inputs!$B$6*S76,0)+IF(ISNUMBER(T76),Inputs!$B$7*T76,0))/(IF(ISNUMBER(Q76),Inputs!$B$4,0)+IF(ISNUMBER(R76),Inputs!$B$5,0)+IF(ISNUMBER(S76),Inputs!$B$6,0)+IF(ISNUMBER(T76),Inputs!$B$7,0)))</f>
        <v>0.4395</v>
      </c>
      <c r="V76" s="5" t="str">
        <f aca="false">IF(F76&gt;0,"Yes","No")</f>
        <v>Yes</v>
      </c>
      <c r="W76" s="5" t="str">
        <f aca="false">IF(ISNUMBER(N76),IF(N76&gt;=Inputs!$D$18,"Yes","No"),"No price")</f>
        <v>Yes</v>
      </c>
      <c r="X76" s="5" t="str">
        <f aca="false">IF(K76+L76&gt;0,"Yes",IF(M76&gt;0,"No","Unclear"))</f>
        <v>Yes</v>
      </c>
      <c r="Y76" s="5" t="str">
        <f aca="false">INDEX('API Data'!$H$2:$H$152,MATCH(B76,'API Data'!$A$2:$A$152,0))</f>
        <v>No</v>
      </c>
      <c r="Z76" s="5" t="str">
        <f aca="false">IF(COUNTIFS('Product Rows'!$A$2:$A$696,B76,'Product Rows'!$B$2:$B$696,C76,'Product Rows'!$I$2:$I$696,"Yes")&gt;0,"Yes","No")</f>
        <v>No</v>
      </c>
      <c r="AA76" s="5" t="str">
        <f aca="false">IF(P76&gt;=Inputs!$D$22,"Yes","No")</f>
        <v>Yes</v>
      </c>
      <c r="AB76" s="10" t="b">
        <f aca="false">AND(OR(Inputs!$B$17&lt;&gt;"Exclude",V76="Yes"),OR(Inputs!$B$18&lt;&gt;"Exclude",W76&lt;&gt;"No"),OR(Inputs!$B$19&lt;&gt;"Exclude",X76&lt;&gt;"No"),OR(Inputs!$B$20&lt;&gt;"Exclude",Y76="No"),OR(Inputs!$B$21&lt;&gt;"Exclude",Z76="No"),OR(Inputs!$B$22&lt;&gt;"Exclude",AA76="Yes"),ISNUMBER(U76))</f>
        <v>1</v>
      </c>
      <c r="AC76" s="5" t="n">
        <f aca="false">IF(AB76,COUNTIFS($C$5:$C$337,C76,$AB$5:$AB$337,TRUE(),$U$5:$U$337,"&gt;"&amp;U76)+COUNTIFS($C$5:C76,C76,$AB$5:AB76,TRUE(),$U$5:U76,U76),"")</f>
        <v>35</v>
      </c>
      <c r="AD76" s="5" t="str">
        <f aca="false">IF(AC76="","Not eligible",IF(AC76&lt;=Inputs!$B$25,"Lead",IF(AC76&lt;=Inputs!$B$25+Inputs!$B$26,"Next wave","Long list")))</f>
        <v>Long list</v>
      </c>
      <c r="AE76" s="5" t="str">
        <f aca="false">IF(AND(K76+L76=0,M76&gt;0),"Safety upgrade of existing prefilled syringe",IF(K76+L76+M76=0,"Confirm presentation (not stated in source)",IF(AA76="Yes","Differentiation in crowded generic market","Safety-device mandate compliance")))</f>
        <v>Differentiation in crowded generic market</v>
      </c>
      <c r="AF76" s="5" t="str">
        <f aca="false">IF(AC76="","",C76&amp;"|"&amp;AC76)</f>
        <v>Intas Pharmaceuticals|35</v>
      </c>
    </row>
    <row r="77" customFormat="false" ht="15" hidden="false" customHeight="false" outlineLevel="0" collapsed="false">
      <c r="A77" s="5" t="n">
        <f aca="false">IF(ISNUMBER(U77),RANK(U77,$U$5:$U$337),"")</f>
        <v>261</v>
      </c>
      <c r="B77" s="5" t="s">
        <v>79</v>
      </c>
      <c r="C77" s="5" t="s">
        <v>40</v>
      </c>
      <c r="D77" s="5" t="str">
        <f aca="false">INDEX('API Data'!$B$2:$B$152,MATCH(B77,'API Data'!$A$2:$A$152,0))</f>
        <v>Anaesthesia – muscle relaxant for surgery &amp; ICU ventilation</v>
      </c>
      <c r="E77" s="5" t="n">
        <f aca="false">COUNTIFS('Market Listing'!$A$2:$A$4054,B77,'Market Listing'!$B$2:$B$4054,C77)</f>
        <v>1</v>
      </c>
      <c r="F77" s="5" t="n">
        <f aca="false">COUNTIFS('Market Listing'!$A$2:$A$4054,B77,'Market Listing'!$B$2:$B$4054,C77,'Market Listing'!$D$2:$D$4054,"Tier 1")</f>
        <v>0</v>
      </c>
      <c r="G77" s="5" t="n">
        <f aca="false">COUNTIFS('Market Listing'!$A$2:$A$4054,B77,'Market Listing'!$B$2:$B$4054,C77,'Market Listing'!$D$2:$D$4054,"Tier 2")</f>
        <v>1</v>
      </c>
      <c r="H77" s="5" t="n">
        <f aca="false">COUNTIFS('Market Listing'!$A$2:$A$4054,B77,'Market Listing'!$B$2:$B$4054,C77,'Market Listing'!$D$2:$D$4054,"Tier 3")</f>
        <v>0</v>
      </c>
      <c r="I77" s="5" t="n">
        <f aca="false">SUMIFS('Market Listing'!$E$2:$E$4054,'Market Listing'!$A$2:$A$4054,B77,'Market Listing'!$B$2:$B$4054,C77)</f>
        <v>2</v>
      </c>
      <c r="J77" s="5" t="n">
        <f aca="false">COUNTIFS('Product Rows'!$A$2:$A$696,B77,'Product Rows'!$B$2:$B$696,C77)</f>
        <v>2</v>
      </c>
      <c r="K77" s="5" t="n">
        <f aca="false">COUNTIFS('Product Rows'!$A$2:$A$696,B77,'Product Rows'!$B$2:$B$696,C77,'Product Rows'!$G$2:$G$696,"Vial")</f>
        <v>2</v>
      </c>
      <c r="L77" s="5" t="n">
        <f aca="false">COUNTIFS('Product Rows'!$A$2:$A$696,B77,'Product Rows'!$B$2:$B$696,C77,'Product Rows'!$G$2:$G$696,"Ampoule")</f>
        <v>0</v>
      </c>
      <c r="M77" s="5" t="n">
        <f aca="false">COUNTIFS('Product Rows'!$A$2:$A$696,B77,'Product Rows'!$B$2:$B$696,C77,'Product Rows'!$G$2:$G$696,"Prefilled syringe/pen")</f>
        <v>0</v>
      </c>
      <c r="N77" s="6" t="str">
        <f aca="false">IFERROR(AVERAGEIFS('Product Rows'!$H$2:$H$696,'Product Rows'!$A$2:$A$696,B77,'Product Rows'!$B$2:$B$696,C77),"")</f>
        <v/>
      </c>
      <c r="O77" s="7" t="n">
        <f aca="false">INDEX('API Data'!$E$2:$E$152,MATCH(B77,'API Data'!$A$2:$A$152,0))</f>
        <v>2508.09</v>
      </c>
      <c r="P77" s="5" t="n">
        <f aca="false">COUNTIF($B$5:$B$337,B77)</f>
        <v>4</v>
      </c>
      <c r="Q77" s="8" t="n">
        <f aca="false">IF(ISNUMBER(I77),PERCENTRANK($I$5:$I$337,I77),"")</f>
        <v>0</v>
      </c>
      <c r="R77" s="8" t="str">
        <f aca="false">IF(ISNUMBER(N77),PERCENTRANK($N$5:$N$337,N77),"")</f>
        <v/>
      </c>
      <c r="S77" s="8" t="n">
        <f aca="false">IF(ISNUMBER(O77),PERCENTRANK($O$5:$O$337,O77),"")</f>
        <v>0.313</v>
      </c>
      <c r="T77" s="8" t="n">
        <f aca="false">IF(ISNUMBER(P77),PERCENTRANK($P$5:$P$337,P77),"")</f>
        <v>0.569</v>
      </c>
      <c r="U77" s="9" t="n">
        <f aca="false">IF((IF(ISNUMBER(Q77),Inputs!$B$4,0)+IF(ISNUMBER(R77),Inputs!$B$5,0)+IF(ISNUMBER(S77),Inputs!$B$6,0)+IF(ISNUMBER(T77),Inputs!$B$7,0))=0,"",(IF(ISNUMBER(Q77),Inputs!$B$4*Q77,0)+IF(ISNUMBER(R77),Inputs!$B$5*R77,0)+IF(ISNUMBER(S77),Inputs!$B$6*S77,0)+IF(ISNUMBER(T77),Inputs!$B$7*T77,0))/(IF(ISNUMBER(Q77),Inputs!$B$4,0)+IF(ISNUMBER(R77),Inputs!$B$5,0)+IF(ISNUMBER(S77),Inputs!$B$6,0)+IF(ISNUMBER(T77),Inputs!$B$7,0)))</f>
        <v>0.313</v>
      </c>
      <c r="V77" s="5" t="str">
        <f aca="false">IF(F77&gt;0,"Yes","No")</f>
        <v>No</v>
      </c>
      <c r="W77" s="5" t="str">
        <f aca="false">IF(ISNUMBER(N77),IF(N77&gt;=Inputs!$D$18,"Yes","No"),"No price")</f>
        <v>No price</v>
      </c>
      <c r="X77" s="5" t="str">
        <f aca="false">IF(K77+L77&gt;0,"Yes",IF(M77&gt;0,"No","Unclear"))</f>
        <v>Yes</v>
      </c>
      <c r="Y77" s="5" t="str">
        <f aca="false">INDEX('API Data'!$H$2:$H$152,MATCH(B77,'API Data'!$A$2:$A$152,0))</f>
        <v>No</v>
      </c>
      <c r="Z77" s="5" t="str">
        <f aca="false">IF(COUNTIFS('Product Rows'!$A$2:$A$696,B77,'Product Rows'!$B$2:$B$696,C77,'Product Rows'!$I$2:$I$696,"Yes")&gt;0,"Yes","No")</f>
        <v>No</v>
      </c>
      <c r="AA77" s="5" t="str">
        <f aca="false">IF(P77&gt;=Inputs!$D$22,"Yes","No")</f>
        <v>Yes</v>
      </c>
      <c r="AB77" s="10" t="b">
        <f aca="false">AND(OR(Inputs!$B$17&lt;&gt;"Exclude",V77="Yes"),OR(Inputs!$B$18&lt;&gt;"Exclude",W77&lt;&gt;"No"),OR(Inputs!$B$19&lt;&gt;"Exclude",X77&lt;&gt;"No"),OR(Inputs!$B$20&lt;&gt;"Exclude",Y77="No"),OR(Inputs!$B$21&lt;&gt;"Exclude",Z77="No"),OR(Inputs!$B$22&lt;&gt;"Exclude",AA77="Yes"),ISNUMBER(U77))</f>
        <v>0</v>
      </c>
      <c r="AC77" s="5" t="str">
        <f aca="false">IF(AB77,COUNTIFS($C$5:$C$337,C77,$AB$5:$AB$337,TRUE(),$U$5:$U$337,"&gt;"&amp;U77)+COUNTIFS($C$5:C77,C77,$AB$5:AB77,TRUE(),$U$5:U77,U77),"")</f>
        <v/>
      </c>
      <c r="AD77" s="5" t="str">
        <f aca="false">IF(AC77="","Not eligible",IF(AC77&lt;=Inputs!$B$25,"Lead",IF(AC77&lt;=Inputs!$B$25+Inputs!$B$26,"Next wave","Long list")))</f>
        <v>Not eligible</v>
      </c>
      <c r="AE77" s="5" t="str">
        <f aca="false">IF(AND(K77+L77=0,M77&gt;0),"Safety upgrade of existing prefilled syringe",IF(K77+L77+M77=0,"Confirm presentation (not stated in source)",IF(AA77="Yes","Differentiation in crowded generic market","Safety-device mandate compliance")))</f>
        <v>Differentiation in crowded generic market</v>
      </c>
      <c r="AF77" s="5" t="str">
        <f aca="false">IF(AC77="","",C77&amp;"|"&amp;AC77)</f>
        <v/>
      </c>
    </row>
    <row r="78" customFormat="false" ht="15" hidden="false" customHeight="false" outlineLevel="0" collapsed="false">
      <c r="A78" s="5" t="n">
        <f aca="false">IF(ISNUMBER(U78),RANK(U78,$U$5:$U$337),"")</f>
        <v>241</v>
      </c>
      <c r="B78" s="5" t="s">
        <v>79</v>
      </c>
      <c r="C78" s="5" t="s">
        <v>41</v>
      </c>
      <c r="D78" s="5" t="str">
        <f aca="false">INDEX('API Data'!$B$2:$B$152,MATCH(B78,'API Data'!$A$2:$A$152,0))</f>
        <v>Anaesthesia – muscle relaxant for surgery &amp; ICU ventilation</v>
      </c>
      <c r="E78" s="5" t="n">
        <f aca="false">COUNTIFS('Market Listing'!$A$2:$A$4054,B78,'Market Listing'!$B$2:$B$4054,C78)</f>
        <v>1</v>
      </c>
      <c r="F78" s="5" t="n">
        <f aca="false">COUNTIFS('Market Listing'!$A$2:$A$4054,B78,'Market Listing'!$B$2:$B$4054,C78,'Market Listing'!$D$2:$D$4054,"Tier 1")</f>
        <v>1</v>
      </c>
      <c r="G78" s="5" t="n">
        <f aca="false">COUNTIFS('Market Listing'!$A$2:$A$4054,B78,'Market Listing'!$B$2:$B$4054,C78,'Market Listing'!$D$2:$D$4054,"Tier 2")</f>
        <v>0</v>
      </c>
      <c r="H78" s="5" t="n">
        <f aca="false">COUNTIFS('Market Listing'!$A$2:$A$4054,B78,'Market Listing'!$B$2:$B$4054,C78,'Market Listing'!$D$2:$D$4054,"Tier 3")</f>
        <v>0</v>
      </c>
      <c r="I78" s="5" t="n">
        <f aca="false">SUMIFS('Market Listing'!$E$2:$E$4054,'Market Listing'!$A$2:$A$4054,B78,'Market Listing'!$B$2:$B$4054,C78)</f>
        <v>3</v>
      </c>
      <c r="J78" s="5" t="n">
        <f aca="false">COUNTIFS('Product Rows'!$A$2:$A$696,B78,'Product Rows'!$B$2:$B$696,C78)</f>
        <v>2</v>
      </c>
      <c r="K78" s="5" t="n">
        <f aca="false">COUNTIFS('Product Rows'!$A$2:$A$696,B78,'Product Rows'!$B$2:$B$696,C78,'Product Rows'!$G$2:$G$696,"Vial")</f>
        <v>2</v>
      </c>
      <c r="L78" s="5" t="n">
        <f aca="false">COUNTIFS('Product Rows'!$A$2:$A$696,B78,'Product Rows'!$B$2:$B$696,C78,'Product Rows'!$G$2:$G$696,"Ampoule")</f>
        <v>0</v>
      </c>
      <c r="M78" s="5" t="n">
        <f aca="false">COUNTIFS('Product Rows'!$A$2:$A$696,B78,'Product Rows'!$B$2:$B$696,C78,'Product Rows'!$G$2:$G$696,"Prefilled syringe/pen")</f>
        <v>0</v>
      </c>
      <c r="N78" s="6" t="n">
        <f aca="false">IFERROR(AVERAGEIFS('Product Rows'!$H$2:$H$696,'Product Rows'!$A$2:$A$696,B78,'Product Rows'!$B$2:$B$696,C78),"")</f>
        <v>22.385</v>
      </c>
      <c r="O78" s="7" t="n">
        <f aca="false">INDEX('API Data'!$E$2:$E$152,MATCH(B78,'API Data'!$A$2:$A$152,0))</f>
        <v>2508.09</v>
      </c>
      <c r="P78" s="5" t="n">
        <f aca="false">COUNTIF($B$5:$B$337,B78)</f>
        <v>4</v>
      </c>
      <c r="Q78" s="8" t="n">
        <f aca="false">IF(ISNUMBER(I78),PERCENTRANK($I$5:$I$337,I78),"")</f>
        <v>0.157</v>
      </c>
      <c r="R78" s="8" t="n">
        <f aca="false">IF(ISNUMBER(N78),PERCENTRANK($N$5:$N$337,N78),"")</f>
        <v>0.394</v>
      </c>
      <c r="S78" s="8" t="n">
        <f aca="false">IF(ISNUMBER(O78),PERCENTRANK($O$5:$O$337,O78),"")</f>
        <v>0.313</v>
      </c>
      <c r="T78" s="8" t="n">
        <f aca="false">IF(ISNUMBER(P78),PERCENTRANK($P$5:$P$337,P78),"")</f>
        <v>0.569</v>
      </c>
      <c r="U78" s="9" t="n">
        <f aca="false">IF((IF(ISNUMBER(Q78),Inputs!$B$4,0)+IF(ISNUMBER(R78),Inputs!$B$5,0)+IF(ISNUMBER(S78),Inputs!$B$6,0)+IF(ISNUMBER(T78),Inputs!$B$7,0))=0,"",(IF(ISNUMBER(Q78),Inputs!$B$4*Q78,0)+IF(ISNUMBER(R78),Inputs!$B$5*R78,0)+IF(ISNUMBER(S78),Inputs!$B$6*S78,0)+IF(ISNUMBER(T78),Inputs!$B$7*T78,0))/(IF(ISNUMBER(Q78),Inputs!$B$4,0)+IF(ISNUMBER(R78),Inputs!$B$5,0)+IF(ISNUMBER(S78),Inputs!$B$6,0)+IF(ISNUMBER(T78),Inputs!$B$7,0)))</f>
        <v>0.3535</v>
      </c>
      <c r="V78" s="5" t="str">
        <f aca="false">IF(F78&gt;0,"Yes","No")</f>
        <v>Yes</v>
      </c>
      <c r="W78" s="5" t="str">
        <f aca="false">IF(ISNUMBER(N78),IF(N78&gt;=Inputs!$D$18,"Yes","No"),"No price")</f>
        <v>Yes</v>
      </c>
      <c r="X78" s="5" t="str">
        <f aca="false">IF(K78+L78&gt;0,"Yes",IF(M78&gt;0,"No","Unclear"))</f>
        <v>Yes</v>
      </c>
      <c r="Y78" s="5" t="str">
        <f aca="false">INDEX('API Data'!$H$2:$H$152,MATCH(B78,'API Data'!$A$2:$A$152,0))</f>
        <v>No</v>
      </c>
      <c r="Z78" s="5" t="str">
        <f aca="false">IF(COUNTIFS('Product Rows'!$A$2:$A$696,B78,'Product Rows'!$B$2:$B$696,C78,'Product Rows'!$I$2:$I$696,"Yes")&gt;0,"Yes","No")</f>
        <v>No</v>
      </c>
      <c r="AA78" s="5" t="str">
        <f aca="false">IF(P78&gt;=Inputs!$D$22,"Yes","No")</f>
        <v>Yes</v>
      </c>
      <c r="AB78" s="10" t="b">
        <f aca="false">AND(OR(Inputs!$B$17&lt;&gt;"Exclude",V78="Yes"),OR(Inputs!$B$18&lt;&gt;"Exclude",W78&lt;&gt;"No"),OR(Inputs!$B$19&lt;&gt;"Exclude",X78&lt;&gt;"No"),OR(Inputs!$B$20&lt;&gt;"Exclude",Y78="No"),OR(Inputs!$B$21&lt;&gt;"Exclude",Z78="No"),OR(Inputs!$B$22&lt;&gt;"Exclude",AA78="Yes"),ISNUMBER(U78))</f>
        <v>1</v>
      </c>
      <c r="AC78" s="5" t="n">
        <f aca="false">IF(AB78,COUNTIFS($C$5:$C$337,C78,$AB$5:$AB$337,TRUE(),$U$5:$U$337,"&gt;"&amp;U78)+COUNTIFS($C$5:C78,C78,$AB$5:AB78,TRUE(),$U$5:U78,U78),"")</f>
        <v>4</v>
      </c>
      <c r="AD78" s="5" t="str">
        <f aca="false">IF(AC78="","Not eligible",IF(AC78&lt;=Inputs!$B$25,"Lead",IF(AC78&lt;=Inputs!$B$25+Inputs!$B$26,"Next wave","Long list")))</f>
        <v>Lead</v>
      </c>
      <c r="AE78" s="5" t="str">
        <f aca="false">IF(AND(K78+L78=0,M78&gt;0),"Safety upgrade of existing prefilled syringe",IF(K78+L78+M78=0,"Confirm presentation (not stated in source)",IF(AA78="Yes","Differentiation in crowded generic market","Safety-device mandate compliance")))</f>
        <v>Differentiation in crowded generic market</v>
      </c>
      <c r="AF78" s="5" t="str">
        <f aca="false">IF(AC78="","",C78&amp;"|"&amp;AC78)</f>
        <v>Piramal Pharma|4</v>
      </c>
    </row>
    <row r="79" customFormat="false" ht="15" hidden="false" customHeight="false" outlineLevel="0" collapsed="false">
      <c r="A79" s="5" t="n">
        <f aca="false">IF(ISNUMBER(U79),RANK(U79,$U$5:$U$337),"")</f>
        <v>241</v>
      </c>
      <c r="B79" s="5" t="s">
        <v>79</v>
      </c>
      <c r="C79" s="5" t="s">
        <v>36</v>
      </c>
      <c r="D79" s="5" t="str">
        <f aca="false">INDEX('API Data'!$B$2:$B$152,MATCH(B79,'API Data'!$A$2:$A$152,0))</f>
        <v>Anaesthesia – muscle relaxant for surgery &amp; ICU ventilation</v>
      </c>
      <c r="E79" s="5" t="n">
        <f aca="false">COUNTIFS('Market Listing'!$A$2:$A$4054,B79,'Market Listing'!$B$2:$B$4054,C79)</f>
        <v>1</v>
      </c>
      <c r="F79" s="5" t="n">
        <f aca="false">COUNTIFS('Market Listing'!$A$2:$A$4054,B79,'Market Listing'!$B$2:$B$4054,C79,'Market Listing'!$D$2:$D$4054,"Tier 1")</f>
        <v>1</v>
      </c>
      <c r="G79" s="5" t="n">
        <f aca="false">COUNTIFS('Market Listing'!$A$2:$A$4054,B79,'Market Listing'!$B$2:$B$4054,C79,'Market Listing'!$D$2:$D$4054,"Tier 2")</f>
        <v>0</v>
      </c>
      <c r="H79" s="5" t="n">
        <f aca="false">COUNTIFS('Market Listing'!$A$2:$A$4054,B79,'Market Listing'!$B$2:$B$4054,C79,'Market Listing'!$D$2:$D$4054,"Tier 3")</f>
        <v>0</v>
      </c>
      <c r="I79" s="5" t="n">
        <f aca="false">SUMIFS('Market Listing'!$E$2:$E$4054,'Market Listing'!$A$2:$A$4054,B79,'Market Listing'!$B$2:$B$4054,C79)</f>
        <v>3</v>
      </c>
      <c r="J79" s="5" t="n">
        <f aca="false">COUNTIFS('Product Rows'!$A$2:$A$696,B79,'Product Rows'!$B$2:$B$696,C79)</f>
        <v>2</v>
      </c>
      <c r="K79" s="5" t="n">
        <f aca="false">COUNTIFS('Product Rows'!$A$2:$A$696,B79,'Product Rows'!$B$2:$B$696,C79,'Product Rows'!$G$2:$G$696,"Vial")</f>
        <v>2</v>
      </c>
      <c r="L79" s="5" t="n">
        <f aca="false">COUNTIFS('Product Rows'!$A$2:$A$696,B79,'Product Rows'!$B$2:$B$696,C79,'Product Rows'!$G$2:$G$696,"Ampoule")</f>
        <v>0</v>
      </c>
      <c r="M79" s="5" t="n">
        <f aca="false">COUNTIFS('Product Rows'!$A$2:$A$696,B79,'Product Rows'!$B$2:$B$696,C79,'Product Rows'!$G$2:$G$696,"Prefilled syringe/pen")</f>
        <v>0</v>
      </c>
      <c r="N79" s="6" t="n">
        <f aca="false">IFERROR(AVERAGEIFS('Product Rows'!$H$2:$H$696,'Product Rows'!$A$2:$A$696,B79,'Product Rows'!$B$2:$B$696,C79),"")</f>
        <v>22.385</v>
      </c>
      <c r="O79" s="7" t="n">
        <f aca="false">INDEX('API Data'!$E$2:$E$152,MATCH(B79,'API Data'!$A$2:$A$152,0))</f>
        <v>2508.09</v>
      </c>
      <c r="P79" s="5" t="n">
        <f aca="false">COUNTIF($B$5:$B$337,B79)</f>
        <v>4</v>
      </c>
      <c r="Q79" s="8" t="n">
        <f aca="false">IF(ISNUMBER(I79),PERCENTRANK($I$5:$I$337,I79),"")</f>
        <v>0.157</v>
      </c>
      <c r="R79" s="8" t="n">
        <f aca="false">IF(ISNUMBER(N79),PERCENTRANK($N$5:$N$337,N79),"")</f>
        <v>0.394</v>
      </c>
      <c r="S79" s="8" t="n">
        <f aca="false">IF(ISNUMBER(O79),PERCENTRANK($O$5:$O$337,O79),"")</f>
        <v>0.313</v>
      </c>
      <c r="T79" s="8" t="n">
        <f aca="false">IF(ISNUMBER(P79),PERCENTRANK($P$5:$P$337,P79),"")</f>
        <v>0.569</v>
      </c>
      <c r="U79" s="9" t="n">
        <f aca="false">IF((IF(ISNUMBER(Q79),Inputs!$B$4,0)+IF(ISNUMBER(R79),Inputs!$B$5,0)+IF(ISNUMBER(S79),Inputs!$B$6,0)+IF(ISNUMBER(T79),Inputs!$B$7,0))=0,"",(IF(ISNUMBER(Q79),Inputs!$B$4*Q79,0)+IF(ISNUMBER(R79),Inputs!$B$5*R79,0)+IF(ISNUMBER(S79),Inputs!$B$6*S79,0)+IF(ISNUMBER(T79),Inputs!$B$7*T79,0))/(IF(ISNUMBER(Q79),Inputs!$B$4,0)+IF(ISNUMBER(R79),Inputs!$B$5,0)+IF(ISNUMBER(S79),Inputs!$B$6,0)+IF(ISNUMBER(T79),Inputs!$B$7,0)))</f>
        <v>0.3535</v>
      </c>
      <c r="V79" s="5" t="str">
        <f aca="false">IF(F79&gt;0,"Yes","No")</f>
        <v>Yes</v>
      </c>
      <c r="W79" s="5" t="str">
        <f aca="false">IF(ISNUMBER(N79),IF(N79&gt;=Inputs!$D$18,"Yes","No"),"No price")</f>
        <v>Yes</v>
      </c>
      <c r="X79" s="5" t="str">
        <f aca="false">IF(K79+L79&gt;0,"Yes",IF(M79&gt;0,"No","Unclear"))</f>
        <v>Yes</v>
      </c>
      <c r="Y79" s="5" t="str">
        <f aca="false">INDEX('API Data'!$H$2:$H$152,MATCH(B79,'API Data'!$A$2:$A$152,0))</f>
        <v>No</v>
      </c>
      <c r="Z79" s="5" t="str">
        <f aca="false">IF(COUNTIFS('Product Rows'!$A$2:$A$696,B79,'Product Rows'!$B$2:$B$696,C79,'Product Rows'!$I$2:$I$696,"Yes")&gt;0,"Yes","No")</f>
        <v>No</v>
      </c>
      <c r="AA79" s="5" t="str">
        <f aca="false">IF(P79&gt;=Inputs!$D$22,"Yes","No")</f>
        <v>Yes</v>
      </c>
      <c r="AB79" s="10" t="b">
        <f aca="false">AND(OR(Inputs!$B$17&lt;&gt;"Exclude",V79="Yes"),OR(Inputs!$B$18&lt;&gt;"Exclude",W79&lt;&gt;"No"),OR(Inputs!$B$19&lt;&gt;"Exclude",X79&lt;&gt;"No"),OR(Inputs!$B$20&lt;&gt;"Exclude",Y79="No"),OR(Inputs!$B$21&lt;&gt;"Exclude",Z79="No"),OR(Inputs!$B$22&lt;&gt;"Exclude",AA79="Yes"),ISNUMBER(U79))</f>
        <v>1</v>
      </c>
      <c r="AC79" s="5" t="n">
        <f aca="false">IF(AB79,COUNTIFS($C$5:$C$337,C79,$AB$5:$AB$337,TRUE(),$U$5:$U$337,"&gt;"&amp;U79)+COUNTIFS($C$5:C79,C79,$AB$5:AB79,TRUE(),$U$5:U79,U79),"")</f>
        <v>11</v>
      </c>
      <c r="AD79" s="5" t="str">
        <f aca="false">IF(AC79="","Not eligible",IF(AC79&lt;=Inputs!$B$25,"Lead",IF(AC79&lt;=Inputs!$B$25+Inputs!$B$26,"Next wave","Long list")))</f>
        <v>Long list</v>
      </c>
      <c r="AE79" s="5" t="str">
        <f aca="false">IF(AND(K79+L79=0,M79&gt;0),"Safety upgrade of existing prefilled syringe",IF(K79+L79+M79=0,"Confirm presentation (not stated in source)",IF(AA79="Yes","Differentiation in crowded generic market","Safety-device mandate compliance")))</f>
        <v>Differentiation in crowded generic market</v>
      </c>
      <c r="AF79" s="5" t="str">
        <f aca="false">IF(AC79="","",C79&amp;"|"&amp;AC79)</f>
        <v>Zydus Lifesciences|11</v>
      </c>
    </row>
    <row r="80" customFormat="false" ht="15" hidden="false" customHeight="false" outlineLevel="0" collapsed="false">
      <c r="A80" s="5" t="n">
        <f aca="false">IF(ISNUMBER(U80),RANK(U80,$U$5:$U$337),"")</f>
        <v>247</v>
      </c>
      <c r="B80" s="5" t="s">
        <v>80</v>
      </c>
      <c r="C80" s="5" t="s">
        <v>35</v>
      </c>
      <c r="D80" s="5" t="str">
        <f aca="false">INDEX('API Data'!$B$2:$B$152,MATCH(B80,'API Data'!$A$2:$A$152,0))</f>
        <v>Anti-infective – last-resort for MDR Gram-negative infections</v>
      </c>
      <c r="E80" s="5" t="n">
        <f aca="false">COUNTIFS('Market Listing'!$A$2:$A$4054,B80,'Market Listing'!$B$2:$B$4054,C80)</f>
        <v>1</v>
      </c>
      <c r="F80" s="5" t="n">
        <f aca="false">COUNTIFS('Market Listing'!$A$2:$A$4054,B80,'Market Listing'!$B$2:$B$4054,C80,'Market Listing'!$D$2:$D$4054,"Tier 1")</f>
        <v>1</v>
      </c>
      <c r="G80" s="5" t="n">
        <f aca="false">COUNTIFS('Market Listing'!$A$2:$A$4054,B80,'Market Listing'!$B$2:$B$4054,C80,'Market Listing'!$D$2:$D$4054,"Tier 2")</f>
        <v>0</v>
      </c>
      <c r="H80" s="5" t="n">
        <f aca="false">COUNTIFS('Market Listing'!$A$2:$A$4054,B80,'Market Listing'!$B$2:$B$4054,C80,'Market Listing'!$D$2:$D$4054,"Tier 3")</f>
        <v>0</v>
      </c>
      <c r="I80" s="5" t="n">
        <f aca="false">SUMIFS('Market Listing'!$E$2:$E$4054,'Market Listing'!$A$2:$A$4054,B80,'Market Listing'!$B$2:$B$4054,C80)</f>
        <v>3</v>
      </c>
      <c r="J80" s="5" t="n">
        <f aca="false">COUNTIFS('Product Rows'!$A$2:$A$696,B80,'Product Rows'!$B$2:$B$696,C80)</f>
        <v>1</v>
      </c>
      <c r="K80" s="5" t="n">
        <f aca="false">COUNTIFS('Product Rows'!$A$2:$A$696,B80,'Product Rows'!$B$2:$B$696,C80,'Product Rows'!$G$2:$G$696,"Vial")</f>
        <v>1</v>
      </c>
      <c r="L80" s="5" t="n">
        <f aca="false">COUNTIFS('Product Rows'!$A$2:$A$696,B80,'Product Rows'!$B$2:$B$696,C80,'Product Rows'!$G$2:$G$696,"Ampoule")</f>
        <v>0</v>
      </c>
      <c r="M80" s="5" t="n">
        <f aca="false">COUNTIFS('Product Rows'!$A$2:$A$696,B80,'Product Rows'!$B$2:$B$696,C80,'Product Rows'!$G$2:$G$696,"Prefilled syringe/pen")</f>
        <v>0</v>
      </c>
      <c r="N80" s="6" t="n">
        <f aca="false">IFERROR(AVERAGEIFS('Product Rows'!$H$2:$H$696,'Product Rows'!$A$2:$A$696,B80,'Product Rows'!$B$2:$B$696,C80),"")</f>
        <v>23.975</v>
      </c>
      <c r="O80" s="7" t="n">
        <f aca="false">INDEX('API Data'!$E$2:$E$152,MATCH(B80,'API Data'!$A$2:$A$152,0))</f>
        <v>2033.69708638007</v>
      </c>
      <c r="P80" s="5" t="n">
        <f aca="false">COUNTIF($B$5:$B$337,B80)</f>
        <v>2</v>
      </c>
      <c r="Q80" s="8" t="n">
        <f aca="false">IF(ISNUMBER(I80),PERCENTRANK($I$5:$I$337,I80),"")</f>
        <v>0.157</v>
      </c>
      <c r="R80" s="8" t="n">
        <f aca="false">IF(ISNUMBER(N80),PERCENTRANK($N$5:$N$337,N80),"")</f>
        <v>0.416</v>
      </c>
      <c r="S80" s="8" t="n">
        <f aca="false">IF(ISNUMBER(O80),PERCENTRANK($O$5:$O$337,O80),"")</f>
        <v>0.268</v>
      </c>
      <c r="T80" s="8" t="n">
        <f aca="false">IF(ISNUMBER(P80),PERCENTRANK($P$5:$P$337,P80),"")</f>
        <v>0.235</v>
      </c>
      <c r="U80" s="9" t="n">
        <f aca="false">IF((IF(ISNUMBER(Q80),Inputs!$B$4,0)+IF(ISNUMBER(R80),Inputs!$B$5,0)+IF(ISNUMBER(S80),Inputs!$B$6,0)+IF(ISNUMBER(T80),Inputs!$B$7,0))=0,"",(IF(ISNUMBER(Q80),Inputs!$B$4*Q80,0)+IF(ISNUMBER(R80),Inputs!$B$5*R80,0)+IF(ISNUMBER(S80),Inputs!$B$6*S80,0)+IF(ISNUMBER(T80),Inputs!$B$7*T80,0))/(IF(ISNUMBER(Q80),Inputs!$B$4,0)+IF(ISNUMBER(R80),Inputs!$B$5,0)+IF(ISNUMBER(S80),Inputs!$B$6,0)+IF(ISNUMBER(T80),Inputs!$B$7,0)))</f>
        <v>0.342</v>
      </c>
      <c r="V80" s="5" t="str">
        <f aca="false">IF(F80&gt;0,"Yes","No")</f>
        <v>Yes</v>
      </c>
      <c r="W80" s="5" t="str">
        <f aca="false">IF(ISNUMBER(N80),IF(N80&gt;=Inputs!$D$18,"Yes","No"),"No price")</f>
        <v>Yes</v>
      </c>
      <c r="X80" s="5" t="str">
        <f aca="false">IF(K80+L80&gt;0,"Yes",IF(M80&gt;0,"No","Unclear"))</f>
        <v>Yes</v>
      </c>
      <c r="Y80" s="5" t="str">
        <f aca="false">INDEX('API Data'!$H$2:$H$152,MATCH(B80,'API Data'!$A$2:$A$152,0))</f>
        <v>No</v>
      </c>
      <c r="Z80" s="5" t="str">
        <f aca="false">IF(COUNTIFS('Product Rows'!$A$2:$A$696,B80,'Product Rows'!$B$2:$B$696,C80,'Product Rows'!$I$2:$I$696,"Yes")&gt;0,"Yes","No")</f>
        <v>No</v>
      </c>
      <c r="AA80" s="5" t="str">
        <f aca="false">IF(P80&gt;=Inputs!$D$22,"Yes","No")</f>
        <v>No</v>
      </c>
      <c r="AB80" s="10" t="b">
        <f aca="false">AND(OR(Inputs!$B$17&lt;&gt;"Exclude",V80="Yes"),OR(Inputs!$B$18&lt;&gt;"Exclude",W80&lt;&gt;"No"),OR(Inputs!$B$19&lt;&gt;"Exclude",X80&lt;&gt;"No"),OR(Inputs!$B$20&lt;&gt;"Exclude",Y80="No"),OR(Inputs!$B$21&lt;&gt;"Exclude",Z80="No"),OR(Inputs!$B$22&lt;&gt;"Exclude",AA80="Yes"),ISNUMBER(U80))</f>
        <v>1</v>
      </c>
      <c r="AC80" s="5" t="n">
        <f aca="false">IF(AB80,COUNTIFS($C$5:$C$337,C80,$AB$5:$AB$337,TRUE(),$U$5:$U$337,"&gt;"&amp;U80)+COUNTIFS($C$5:C80,C80,$AB$5:AB80,TRUE(),$U$5:U80,U80),"")</f>
        <v>18</v>
      </c>
      <c r="AD80" s="5" t="str">
        <f aca="false">IF(AC80="","Not eligible",IF(AC80&lt;=Inputs!$B$25,"Lead",IF(AC80&lt;=Inputs!$B$25+Inputs!$B$26,"Next wave","Long list")))</f>
        <v>Long list</v>
      </c>
      <c r="AE80" s="5" t="str">
        <f aca="false">IF(AND(K80+L80=0,M80&gt;0),"Safety upgrade of existing prefilled syringe",IF(K80+L80+M80=0,"Confirm presentation (not stated in source)",IF(AA80="Yes","Differentiation in crowded generic market","Safety-device mandate compliance")))</f>
        <v>Safety-device mandate compliance</v>
      </c>
      <c r="AF80" s="5" t="str">
        <f aca="false">IF(AC80="","",C80&amp;"|"&amp;AC80)</f>
        <v>Emcure Pharmaceuticals|18</v>
      </c>
    </row>
    <row r="81" customFormat="false" ht="15" hidden="false" customHeight="false" outlineLevel="0" collapsed="false">
      <c r="A81" s="5" t="n">
        <f aca="false">IF(ISNUMBER(U81),RANK(U81,$U$5:$U$337),"")</f>
        <v>298</v>
      </c>
      <c r="B81" s="5" t="s">
        <v>80</v>
      </c>
      <c r="C81" s="5" t="s">
        <v>44</v>
      </c>
      <c r="D81" s="5" t="str">
        <f aca="false">INDEX('API Data'!$B$2:$B$152,MATCH(B81,'API Data'!$A$2:$A$152,0))</f>
        <v>Anti-infective – last-resort for MDR Gram-negative infections</v>
      </c>
      <c r="E81" s="5" t="n">
        <f aca="false">COUNTIFS('Market Listing'!$A$2:$A$4054,B81,'Market Listing'!$B$2:$B$4054,C81)</f>
        <v>31</v>
      </c>
      <c r="F81" s="5" t="n">
        <f aca="false">COUNTIFS('Market Listing'!$A$2:$A$4054,B81,'Market Listing'!$B$2:$B$4054,C81,'Market Listing'!$D$2:$D$4054,"Tier 1")</f>
        <v>6</v>
      </c>
      <c r="G81" s="5" t="n">
        <f aca="false">COUNTIFS('Market Listing'!$A$2:$A$4054,B81,'Market Listing'!$B$2:$B$4054,C81,'Market Listing'!$D$2:$D$4054,"Tier 2")</f>
        <v>3</v>
      </c>
      <c r="H81" s="5" t="n">
        <f aca="false">COUNTIFS('Market Listing'!$A$2:$A$4054,B81,'Market Listing'!$B$2:$B$4054,C81,'Market Listing'!$D$2:$D$4054,"Tier 3")</f>
        <v>22</v>
      </c>
      <c r="I81" s="5" t="n">
        <f aca="false">SUMIFS('Market Listing'!$E$2:$E$4054,'Market Listing'!$A$2:$A$4054,B81,'Market Listing'!$B$2:$B$4054,C81)</f>
        <v>46</v>
      </c>
      <c r="J81" s="5" t="n">
        <f aca="false">COUNTIFS('Product Rows'!$A$2:$A$696,B81,'Product Rows'!$B$2:$B$696,C81)</f>
        <v>2</v>
      </c>
      <c r="K81" s="5" t="n">
        <f aca="false">COUNTIFS('Product Rows'!$A$2:$A$696,B81,'Product Rows'!$B$2:$B$696,C81,'Product Rows'!$G$2:$G$696,"Vial")</f>
        <v>2</v>
      </c>
      <c r="L81" s="5" t="n">
        <f aca="false">COUNTIFS('Product Rows'!$A$2:$A$696,B81,'Product Rows'!$B$2:$B$696,C81,'Product Rows'!$G$2:$G$696,"Ampoule")</f>
        <v>0</v>
      </c>
      <c r="M81" s="5" t="n">
        <f aca="false">COUNTIFS('Product Rows'!$A$2:$A$696,B81,'Product Rows'!$B$2:$B$696,C81,'Product Rows'!$G$2:$G$696,"Prefilled syringe/pen")</f>
        <v>0</v>
      </c>
      <c r="N81" s="6" t="n">
        <f aca="false">IFERROR(AVERAGEIFS('Product Rows'!$H$2:$H$696,'Product Rows'!$A$2:$A$696,B81,'Product Rows'!$B$2:$B$696,C81),"")</f>
        <v>9.7483</v>
      </c>
      <c r="O81" s="7" t="n">
        <f aca="false">INDEX('API Data'!$E$2:$E$152,MATCH(B81,'API Data'!$A$2:$A$152,0))</f>
        <v>2033.69708638007</v>
      </c>
      <c r="P81" s="5" t="n">
        <f aca="false">COUNTIF($B$5:$B$337,B81)</f>
        <v>2</v>
      </c>
      <c r="Q81" s="8" t="n">
        <f aca="false">IF(ISNUMBER(I81),PERCENTRANK($I$5:$I$337,I81),"")</f>
        <v>0.846</v>
      </c>
      <c r="R81" s="8" t="n">
        <f aca="false">IF(ISNUMBER(N81),PERCENTRANK($N$5:$N$337,N81),"")</f>
        <v>0.19</v>
      </c>
      <c r="S81" s="8" t="n">
        <f aca="false">IF(ISNUMBER(O81),PERCENTRANK($O$5:$O$337,O81),"")</f>
        <v>0.268</v>
      </c>
      <c r="T81" s="8" t="n">
        <f aca="false">IF(ISNUMBER(P81),PERCENTRANK($P$5:$P$337,P81),"")</f>
        <v>0.235</v>
      </c>
      <c r="U81" s="9" t="n">
        <f aca="false">IF((IF(ISNUMBER(Q81),Inputs!$B$4,0)+IF(ISNUMBER(R81),Inputs!$B$5,0)+IF(ISNUMBER(S81),Inputs!$B$6,0)+IF(ISNUMBER(T81),Inputs!$B$7,0))=0,"",(IF(ISNUMBER(Q81),Inputs!$B$4*Q81,0)+IF(ISNUMBER(R81),Inputs!$B$5*R81,0)+IF(ISNUMBER(S81),Inputs!$B$6*S81,0)+IF(ISNUMBER(T81),Inputs!$B$7*T81,0))/(IF(ISNUMBER(Q81),Inputs!$B$4,0)+IF(ISNUMBER(R81),Inputs!$B$5,0)+IF(ISNUMBER(S81),Inputs!$B$6,0)+IF(ISNUMBER(T81),Inputs!$B$7,0)))</f>
        <v>0.229</v>
      </c>
      <c r="V81" s="5" t="str">
        <f aca="false">IF(F81&gt;0,"Yes","No")</f>
        <v>Yes</v>
      </c>
      <c r="W81" s="5" t="str">
        <f aca="false">IF(ISNUMBER(N81),IF(N81&gt;=Inputs!$D$18,"Yes","No"),"No price")</f>
        <v>Yes</v>
      </c>
      <c r="X81" s="5" t="str">
        <f aca="false">IF(K81+L81&gt;0,"Yes",IF(M81&gt;0,"No","Unclear"))</f>
        <v>Yes</v>
      </c>
      <c r="Y81" s="5" t="str">
        <f aca="false">INDEX('API Data'!$H$2:$H$152,MATCH(B81,'API Data'!$A$2:$A$152,0))</f>
        <v>No</v>
      </c>
      <c r="Z81" s="5" t="str">
        <f aca="false">IF(COUNTIFS('Product Rows'!$A$2:$A$696,B81,'Product Rows'!$B$2:$B$696,C81,'Product Rows'!$I$2:$I$696,"Yes")&gt;0,"Yes","No")</f>
        <v>Yes</v>
      </c>
      <c r="AA81" s="5" t="str">
        <f aca="false">IF(P81&gt;=Inputs!$D$22,"Yes","No")</f>
        <v>No</v>
      </c>
      <c r="AB81" s="10" t="b">
        <f aca="false">AND(OR(Inputs!$B$17&lt;&gt;"Exclude",V81="Yes"),OR(Inputs!$B$18&lt;&gt;"Exclude",W81&lt;&gt;"No"),OR(Inputs!$B$19&lt;&gt;"Exclude",X81&lt;&gt;"No"),OR(Inputs!$B$20&lt;&gt;"Exclude",Y81="No"),OR(Inputs!$B$21&lt;&gt;"Exclude",Z81="No"),OR(Inputs!$B$22&lt;&gt;"Exclude",AA81="Yes"),ISNUMBER(U81))</f>
        <v>1</v>
      </c>
      <c r="AC81" s="5" t="n">
        <f aca="false">IF(AB81,COUNTIFS($C$5:$C$337,C81,$AB$5:$AB$337,TRUE(),$U$5:$U$337,"&gt;"&amp;U81)+COUNTIFS($C$5:C81,C81,$AB$5:AB81,TRUE(),$U$5:U81,U81),"")</f>
        <v>50</v>
      </c>
      <c r="AD81" s="5" t="str">
        <f aca="false">IF(AC81="","Not eligible",IF(AC81&lt;=Inputs!$B$25,"Lead",IF(AC81&lt;=Inputs!$B$25+Inputs!$B$26,"Next wave","Long list")))</f>
        <v>Long list</v>
      </c>
      <c r="AE81" s="5" t="str">
        <f aca="false">IF(AND(K81+L81=0,M81&gt;0),"Safety upgrade of existing prefilled syringe",IF(K81+L81+M81=0,"Confirm presentation (not stated in source)",IF(AA81="Yes","Differentiation in crowded generic market","Safety-device mandate compliance")))</f>
        <v>Safety-device mandate compliance</v>
      </c>
      <c r="AF81" s="5" t="str">
        <f aca="false">IF(AC81="","",C81&amp;"|"&amp;AC81)</f>
        <v>Intas Pharmaceuticals|50</v>
      </c>
    </row>
    <row r="82" customFormat="false" ht="15" hidden="false" customHeight="false" outlineLevel="0" collapsed="false">
      <c r="A82" s="5" t="n">
        <f aca="false">IF(ISNUMBER(U82),RANK(U82,$U$5:$U$337),"")</f>
        <v>272</v>
      </c>
      <c r="B82" s="5" t="s">
        <v>81</v>
      </c>
      <c r="C82" s="5" t="s">
        <v>57</v>
      </c>
      <c r="D82" s="5" t="str">
        <f aca="false">INDEX('API Data'!$B$2:$B$152,MATCH(B82,'API Data'!$A$2:$A$152,0))</f>
        <v>Nutrition / Haematology – vitamin B12 deficiency, pernicious anaemia</v>
      </c>
      <c r="E82" s="5" t="n">
        <f aca="false">COUNTIFS('Market Listing'!$A$2:$A$4054,B82,'Market Listing'!$B$2:$B$4054,C82)</f>
        <v>1</v>
      </c>
      <c r="F82" s="5" t="n">
        <f aca="false">COUNTIFS('Market Listing'!$A$2:$A$4054,B82,'Market Listing'!$B$2:$B$4054,C82,'Market Listing'!$D$2:$D$4054,"Tier 1")</f>
        <v>1</v>
      </c>
      <c r="G82" s="5" t="n">
        <f aca="false">COUNTIFS('Market Listing'!$A$2:$A$4054,B82,'Market Listing'!$B$2:$B$4054,C82,'Market Listing'!$D$2:$D$4054,"Tier 2")</f>
        <v>0</v>
      </c>
      <c r="H82" s="5" t="n">
        <f aca="false">COUNTIFS('Market Listing'!$A$2:$A$4054,B82,'Market Listing'!$B$2:$B$4054,C82,'Market Listing'!$D$2:$D$4054,"Tier 3")</f>
        <v>0</v>
      </c>
      <c r="I82" s="5" t="n">
        <f aca="false">SUMIFS('Market Listing'!$E$2:$E$4054,'Market Listing'!$A$2:$A$4054,B82,'Market Listing'!$B$2:$B$4054,C82)</f>
        <v>3</v>
      </c>
      <c r="J82" s="5" t="n">
        <f aca="false">COUNTIFS('Product Rows'!$A$2:$A$696,B82,'Product Rows'!$B$2:$B$696,C82)</f>
        <v>1</v>
      </c>
      <c r="K82" s="5" t="n">
        <f aca="false">COUNTIFS('Product Rows'!$A$2:$A$696,B82,'Product Rows'!$B$2:$B$696,C82,'Product Rows'!$G$2:$G$696,"Vial")</f>
        <v>0</v>
      </c>
      <c r="L82" s="5" t="n">
        <f aca="false">COUNTIFS('Product Rows'!$A$2:$A$696,B82,'Product Rows'!$B$2:$B$696,C82,'Product Rows'!$G$2:$G$696,"Ampoule")</f>
        <v>0</v>
      </c>
      <c r="M82" s="5" t="n">
        <f aca="false">COUNTIFS('Product Rows'!$A$2:$A$696,B82,'Product Rows'!$B$2:$B$696,C82,'Product Rows'!$G$2:$G$696,"Prefilled syringe/pen")</f>
        <v>0</v>
      </c>
      <c r="N82" s="6" t="str">
        <f aca="false">IFERROR(AVERAGEIFS('Product Rows'!$H$2:$H$696,'Product Rows'!$A$2:$A$696,B82,'Product Rows'!$B$2:$B$696,C82),"")</f>
        <v/>
      </c>
      <c r="O82" s="7" t="n">
        <f aca="false">INDEX('API Data'!$E$2:$E$152,MATCH(B82,'API Data'!$A$2:$A$152,0))</f>
        <v>2405.42467394154</v>
      </c>
      <c r="P82" s="5" t="n">
        <f aca="false">COUNTIF($B$5:$B$337,B82)</f>
        <v>2</v>
      </c>
      <c r="Q82" s="8" t="n">
        <f aca="false">IF(ISNUMBER(I82),PERCENTRANK($I$5:$I$337,I82),"")</f>
        <v>0.157</v>
      </c>
      <c r="R82" s="8" t="str">
        <f aca="false">IF(ISNUMBER(N82),PERCENTRANK($N$5:$N$337,N82),"")</f>
        <v/>
      </c>
      <c r="S82" s="8" t="n">
        <f aca="false">IF(ISNUMBER(O82),PERCENTRANK($O$5:$O$337,O82),"")</f>
        <v>0.283</v>
      </c>
      <c r="T82" s="8" t="n">
        <f aca="false">IF(ISNUMBER(P82),PERCENTRANK($P$5:$P$337,P82),"")</f>
        <v>0.235</v>
      </c>
      <c r="U82" s="9" t="n">
        <f aca="false">IF((IF(ISNUMBER(Q82),Inputs!$B$4,0)+IF(ISNUMBER(R82),Inputs!$B$5,0)+IF(ISNUMBER(S82),Inputs!$B$6,0)+IF(ISNUMBER(T82),Inputs!$B$7,0))=0,"",(IF(ISNUMBER(Q82),Inputs!$B$4*Q82,0)+IF(ISNUMBER(R82),Inputs!$B$5*R82,0)+IF(ISNUMBER(S82),Inputs!$B$6*S82,0)+IF(ISNUMBER(T82),Inputs!$B$7*T82,0))/(IF(ISNUMBER(Q82),Inputs!$B$4,0)+IF(ISNUMBER(R82),Inputs!$B$5,0)+IF(ISNUMBER(S82),Inputs!$B$6,0)+IF(ISNUMBER(T82),Inputs!$B$7,0)))</f>
        <v>0.283</v>
      </c>
      <c r="V82" s="5" t="str">
        <f aca="false">IF(F82&gt;0,"Yes","No")</f>
        <v>Yes</v>
      </c>
      <c r="W82" s="5" t="str">
        <f aca="false">IF(ISNUMBER(N82),IF(N82&gt;=Inputs!$D$18,"Yes","No"),"No price")</f>
        <v>No price</v>
      </c>
      <c r="X82" s="5" t="str">
        <f aca="false">IF(K82+L82&gt;0,"Yes",IF(M82&gt;0,"No","Unclear"))</f>
        <v>Unclear</v>
      </c>
      <c r="Y82" s="5" t="str">
        <f aca="false">INDEX('API Data'!$H$2:$H$152,MATCH(B82,'API Data'!$A$2:$A$152,0))</f>
        <v>No</v>
      </c>
      <c r="Z82" s="5" t="str">
        <f aca="false">IF(COUNTIFS('Product Rows'!$A$2:$A$696,B82,'Product Rows'!$B$2:$B$696,C82,'Product Rows'!$I$2:$I$696,"Yes")&gt;0,"Yes","No")</f>
        <v>No</v>
      </c>
      <c r="AA82" s="5" t="str">
        <f aca="false">IF(P82&gt;=Inputs!$D$22,"Yes","No")</f>
        <v>No</v>
      </c>
      <c r="AB82" s="10" t="b">
        <f aca="false">AND(OR(Inputs!$B$17&lt;&gt;"Exclude",V82="Yes"),OR(Inputs!$B$18&lt;&gt;"Exclude",W82&lt;&gt;"No"),OR(Inputs!$B$19&lt;&gt;"Exclude",X82&lt;&gt;"No"),OR(Inputs!$B$20&lt;&gt;"Exclude",Y82="No"),OR(Inputs!$B$21&lt;&gt;"Exclude",Z82="No"),OR(Inputs!$B$22&lt;&gt;"Exclude",AA82="Yes"),ISNUMBER(U82))</f>
        <v>1</v>
      </c>
      <c r="AC82" s="5" t="n">
        <f aca="false">IF(AB82,COUNTIFS($C$5:$C$337,C82,$AB$5:$AB$337,TRUE(),$U$5:$U$337,"&gt;"&amp;U82)+COUNTIFS($C$5:C82,C82,$AB$5:AB82,TRUE(),$U$5:U82,U82),"")</f>
        <v>18</v>
      </c>
      <c r="AD82" s="5" t="str">
        <f aca="false">IF(AC82="","Not eligible",IF(AC82&lt;=Inputs!$B$25,"Lead",IF(AC82&lt;=Inputs!$B$25+Inputs!$B$26,"Next wave","Long list")))</f>
        <v>Long list</v>
      </c>
      <c r="AE82" s="5" t="str">
        <f aca="false">IF(AND(K82+L82=0,M82&gt;0),"Safety upgrade of existing prefilled syringe",IF(K82+L82+M82=0,"Confirm presentation (not stated in source)",IF(AA82="Yes","Differentiation in crowded generic market","Safety-device mandate compliance")))</f>
        <v>Confirm presentation (not stated in source)</v>
      </c>
      <c r="AF82" s="5" t="str">
        <f aca="false">IF(AC82="","",C82&amp;"|"&amp;AC82)</f>
        <v>Hetero Labs|18</v>
      </c>
    </row>
    <row r="83" customFormat="false" ht="15" hidden="false" customHeight="false" outlineLevel="0" collapsed="false">
      <c r="A83" s="5" t="n">
        <f aca="false">IF(ISNUMBER(U83),RANK(U83,$U$5:$U$337),"")</f>
        <v>221</v>
      </c>
      <c r="B83" s="5" t="s">
        <v>81</v>
      </c>
      <c r="C83" s="5" t="s">
        <v>36</v>
      </c>
      <c r="D83" s="5" t="str">
        <f aca="false">INDEX('API Data'!$B$2:$B$152,MATCH(B83,'API Data'!$A$2:$A$152,0))</f>
        <v>Nutrition / Haematology – vitamin B12 deficiency, pernicious anaemia</v>
      </c>
      <c r="E83" s="5" t="n">
        <f aca="false">COUNTIFS('Market Listing'!$A$2:$A$4054,B83,'Market Listing'!$B$2:$B$4054,C83)</f>
        <v>1</v>
      </c>
      <c r="F83" s="5" t="n">
        <f aca="false">COUNTIFS('Market Listing'!$A$2:$A$4054,B83,'Market Listing'!$B$2:$B$4054,C83,'Market Listing'!$D$2:$D$4054,"Tier 1")</f>
        <v>1</v>
      </c>
      <c r="G83" s="5" t="n">
        <f aca="false">COUNTIFS('Market Listing'!$A$2:$A$4054,B83,'Market Listing'!$B$2:$B$4054,C83,'Market Listing'!$D$2:$D$4054,"Tier 2")</f>
        <v>0</v>
      </c>
      <c r="H83" s="5" t="n">
        <f aca="false">COUNTIFS('Market Listing'!$A$2:$A$4054,B83,'Market Listing'!$B$2:$B$4054,C83,'Market Listing'!$D$2:$D$4054,"Tier 3")</f>
        <v>0</v>
      </c>
      <c r="I83" s="5" t="n">
        <f aca="false">SUMIFS('Market Listing'!$E$2:$E$4054,'Market Listing'!$A$2:$A$4054,B83,'Market Listing'!$B$2:$B$4054,C83)</f>
        <v>3</v>
      </c>
      <c r="J83" s="5" t="n">
        <f aca="false">COUNTIFS('Product Rows'!$A$2:$A$696,B83,'Product Rows'!$B$2:$B$696,C83)</f>
        <v>1</v>
      </c>
      <c r="K83" s="5" t="n">
        <f aca="false">COUNTIFS('Product Rows'!$A$2:$A$696,B83,'Product Rows'!$B$2:$B$696,C83,'Product Rows'!$G$2:$G$696,"Vial")</f>
        <v>1</v>
      </c>
      <c r="L83" s="5" t="n">
        <f aca="false">COUNTIFS('Product Rows'!$A$2:$A$696,B83,'Product Rows'!$B$2:$B$696,C83,'Product Rows'!$G$2:$G$696,"Ampoule")</f>
        <v>0</v>
      </c>
      <c r="M83" s="5" t="n">
        <f aca="false">COUNTIFS('Product Rows'!$A$2:$A$696,B83,'Product Rows'!$B$2:$B$696,C83,'Product Rows'!$G$2:$G$696,"Prefilled syringe/pen")</f>
        <v>0</v>
      </c>
      <c r="N83" s="6" t="n">
        <f aca="false">IFERROR(AVERAGEIFS('Product Rows'!$H$2:$H$696,'Product Rows'!$A$2:$A$696,B83,'Product Rows'!$B$2:$B$696,C83),"")</f>
        <v>31.25</v>
      </c>
      <c r="O83" s="7" t="n">
        <f aca="false">INDEX('API Data'!$E$2:$E$152,MATCH(B83,'API Data'!$A$2:$A$152,0))</f>
        <v>2405.42467394154</v>
      </c>
      <c r="P83" s="5" t="n">
        <f aca="false">COUNTIF($B$5:$B$337,B83)</f>
        <v>2</v>
      </c>
      <c r="Q83" s="8" t="n">
        <f aca="false">IF(ISNUMBER(I83),PERCENTRANK($I$5:$I$337,I83),"")</f>
        <v>0.157</v>
      </c>
      <c r="R83" s="8" t="n">
        <f aca="false">IF(ISNUMBER(N83),PERCENTRANK($N$5:$N$337,N83),"")</f>
        <v>0.509</v>
      </c>
      <c r="S83" s="8" t="n">
        <f aca="false">IF(ISNUMBER(O83),PERCENTRANK($O$5:$O$337,O83),"")</f>
        <v>0.283</v>
      </c>
      <c r="T83" s="8" t="n">
        <f aca="false">IF(ISNUMBER(P83),PERCENTRANK($P$5:$P$337,P83),"")</f>
        <v>0.235</v>
      </c>
      <c r="U83" s="9" t="n">
        <f aca="false">IF((IF(ISNUMBER(Q83),Inputs!$B$4,0)+IF(ISNUMBER(R83),Inputs!$B$5,0)+IF(ISNUMBER(S83),Inputs!$B$6,0)+IF(ISNUMBER(T83),Inputs!$B$7,0))=0,"",(IF(ISNUMBER(Q83),Inputs!$B$4*Q83,0)+IF(ISNUMBER(R83),Inputs!$B$5*R83,0)+IF(ISNUMBER(S83),Inputs!$B$6*S83,0)+IF(ISNUMBER(T83),Inputs!$B$7*T83,0))/(IF(ISNUMBER(Q83),Inputs!$B$4,0)+IF(ISNUMBER(R83),Inputs!$B$5,0)+IF(ISNUMBER(S83),Inputs!$B$6,0)+IF(ISNUMBER(T83),Inputs!$B$7,0)))</f>
        <v>0.396</v>
      </c>
      <c r="V83" s="5" t="str">
        <f aca="false">IF(F83&gt;0,"Yes","No")</f>
        <v>Yes</v>
      </c>
      <c r="W83" s="5" t="str">
        <f aca="false">IF(ISNUMBER(N83),IF(N83&gt;=Inputs!$D$18,"Yes","No"),"No price")</f>
        <v>Yes</v>
      </c>
      <c r="X83" s="5" t="str">
        <f aca="false">IF(K83+L83&gt;0,"Yes",IF(M83&gt;0,"No","Unclear"))</f>
        <v>Yes</v>
      </c>
      <c r="Y83" s="5" t="str">
        <f aca="false">INDEX('API Data'!$H$2:$H$152,MATCH(B83,'API Data'!$A$2:$A$152,0))</f>
        <v>No</v>
      </c>
      <c r="Z83" s="5" t="str">
        <f aca="false">IF(COUNTIFS('Product Rows'!$A$2:$A$696,B83,'Product Rows'!$B$2:$B$696,C83,'Product Rows'!$I$2:$I$696,"Yes")&gt;0,"Yes","No")</f>
        <v>No</v>
      </c>
      <c r="AA83" s="5" t="str">
        <f aca="false">IF(P83&gt;=Inputs!$D$22,"Yes","No")</f>
        <v>No</v>
      </c>
      <c r="AB83" s="10" t="b">
        <f aca="false">AND(OR(Inputs!$B$17&lt;&gt;"Exclude",V83="Yes"),OR(Inputs!$B$18&lt;&gt;"Exclude",W83&lt;&gt;"No"),OR(Inputs!$B$19&lt;&gt;"Exclude",X83&lt;&gt;"No"),OR(Inputs!$B$20&lt;&gt;"Exclude",Y83="No"),OR(Inputs!$B$21&lt;&gt;"Exclude",Z83="No"),OR(Inputs!$B$22&lt;&gt;"Exclude",AA83="Yes"),ISNUMBER(U83))</f>
        <v>1</v>
      </c>
      <c r="AC83" s="5" t="n">
        <f aca="false">IF(AB83,COUNTIFS($C$5:$C$337,C83,$AB$5:$AB$337,TRUE(),$U$5:$U$337,"&gt;"&amp;U83)+COUNTIFS($C$5:C83,C83,$AB$5:AB83,TRUE(),$U$5:U83,U83),"")</f>
        <v>9</v>
      </c>
      <c r="AD83" s="5" t="str">
        <f aca="false">IF(AC83="","Not eligible",IF(AC83&lt;=Inputs!$B$25,"Lead",IF(AC83&lt;=Inputs!$B$25+Inputs!$B$26,"Next wave","Long list")))</f>
        <v>Next wave</v>
      </c>
      <c r="AE83" s="5" t="str">
        <f aca="false">IF(AND(K83+L83=0,M83&gt;0),"Safety upgrade of existing prefilled syringe",IF(K83+L83+M83=0,"Confirm presentation (not stated in source)",IF(AA83="Yes","Differentiation in crowded generic market","Safety-device mandate compliance")))</f>
        <v>Safety-device mandate compliance</v>
      </c>
      <c r="AF83" s="5" t="str">
        <f aca="false">IF(AC83="","",C83&amp;"|"&amp;AC83)</f>
        <v>Zydus Lifesciences|9</v>
      </c>
    </row>
    <row r="84" customFormat="false" ht="15" hidden="false" customHeight="false" outlineLevel="0" collapsed="false">
      <c r="A84" s="5" t="n">
        <f aca="false">IF(ISNUMBER(U84),RANK(U84,$U$5:$U$337),"")</f>
        <v>250</v>
      </c>
      <c r="B84" s="5" t="s">
        <v>82</v>
      </c>
      <c r="C84" s="5" t="s">
        <v>65</v>
      </c>
      <c r="D84" s="5" t="str">
        <f aca="false">INDEX('API Data'!$B$2:$B$152,MATCH(B84,'API Data'!$A$2:$A$152,0))</f>
        <v>Gastroenterology – nausea &amp; vomiting (post-operative, opioid-induced)</v>
      </c>
      <c r="E84" s="5" t="n">
        <f aca="false">COUNTIFS('Market Listing'!$A$2:$A$4054,B84,'Market Listing'!$B$2:$B$4054,C84)</f>
        <v>1</v>
      </c>
      <c r="F84" s="5" t="n">
        <f aca="false">COUNTIFS('Market Listing'!$A$2:$A$4054,B84,'Market Listing'!$B$2:$B$4054,C84,'Market Listing'!$D$2:$D$4054,"Tier 1")</f>
        <v>0</v>
      </c>
      <c r="G84" s="5" t="n">
        <f aca="false">COUNTIFS('Market Listing'!$A$2:$A$4054,B84,'Market Listing'!$B$2:$B$4054,C84,'Market Listing'!$D$2:$D$4054,"Tier 2")</f>
        <v>1</v>
      </c>
      <c r="H84" s="5" t="n">
        <f aca="false">COUNTIFS('Market Listing'!$A$2:$A$4054,B84,'Market Listing'!$B$2:$B$4054,C84,'Market Listing'!$D$2:$D$4054,"Tier 3")</f>
        <v>0</v>
      </c>
      <c r="I84" s="5" t="n">
        <f aca="false">SUMIFS('Market Listing'!$E$2:$E$4054,'Market Listing'!$A$2:$A$4054,B84,'Market Listing'!$B$2:$B$4054,C84)</f>
        <v>2</v>
      </c>
      <c r="J84" s="5" t="n">
        <f aca="false">COUNTIFS('Product Rows'!$A$2:$A$696,B84,'Product Rows'!$B$2:$B$696,C84)</f>
        <v>1</v>
      </c>
      <c r="K84" s="5" t="n">
        <f aca="false">COUNTIFS('Product Rows'!$A$2:$A$696,B84,'Product Rows'!$B$2:$B$696,C84,'Product Rows'!$G$2:$G$696,"Vial")</f>
        <v>0</v>
      </c>
      <c r="L84" s="5" t="n">
        <f aca="false">COUNTIFS('Product Rows'!$A$2:$A$696,B84,'Product Rows'!$B$2:$B$696,C84,'Product Rows'!$G$2:$G$696,"Ampoule")</f>
        <v>1</v>
      </c>
      <c r="M84" s="5" t="n">
        <f aca="false">COUNTIFS('Product Rows'!$A$2:$A$696,B84,'Product Rows'!$B$2:$B$696,C84,'Product Rows'!$G$2:$G$696,"Prefilled syringe/pen")</f>
        <v>0</v>
      </c>
      <c r="N84" s="6" t="n">
        <f aca="false">IFERROR(AVERAGEIFS('Product Rows'!$H$2:$H$696,'Product Rows'!$A$2:$A$696,B84,'Product Rows'!$B$2:$B$696,C84),"")</f>
        <v>30.352</v>
      </c>
      <c r="O84" s="7" t="n">
        <f aca="false">INDEX('API Data'!$E$2:$E$152,MATCH(B84,'API Data'!$A$2:$A$152,0))</f>
        <v>1296.82155270655</v>
      </c>
      <c r="P84" s="5" t="n">
        <f aca="false">COUNTIF($B$5:$B$337,B84)</f>
        <v>1</v>
      </c>
      <c r="Q84" s="8" t="n">
        <f aca="false">IF(ISNUMBER(I84),PERCENTRANK($I$5:$I$337,I84),"")</f>
        <v>0</v>
      </c>
      <c r="R84" s="8" t="n">
        <f aca="false">IF(ISNUMBER(N84),PERCENTRANK($N$5:$N$337,N84),"")</f>
        <v>0.495</v>
      </c>
      <c r="S84" s="8" t="n">
        <f aca="false">IF(ISNUMBER(O84),PERCENTRANK($O$5:$O$337,O84),"")</f>
        <v>0.181</v>
      </c>
      <c r="T84" s="8" t="n">
        <f aca="false">IF(ISNUMBER(P84),PERCENTRANK($P$5:$P$337,P84),"")</f>
        <v>0</v>
      </c>
      <c r="U84" s="9" t="n">
        <f aca="false">IF((IF(ISNUMBER(Q84),Inputs!$B$4,0)+IF(ISNUMBER(R84),Inputs!$B$5,0)+IF(ISNUMBER(S84),Inputs!$B$6,0)+IF(ISNUMBER(T84),Inputs!$B$7,0))=0,"",(IF(ISNUMBER(Q84),Inputs!$B$4*Q84,0)+IF(ISNUMBER(R84),Inputs!$B$5*R84,0)+IF(ISNUMBER(S84),Inputs!$B$6*S84,0)+IF(ISNUMBER(T84),Inputs!$B$7*T84,0))/(IF(ISNUMBER(Q84),Inputs!$B$4,0)+IF(ISNUMBER(R84),Inputs!$B$5,0)+IF(ISNUMBER(S84),Inputs!$B$6,0)+IF(ISNUMBER(T84),Inputs!$B$7,0)))</f>
        <v>0.338</v>
      </c>
      <c r="V84" s="5" t="str">
        <f aca="false">IF(F84&gt;0,"Yes","No")</f>
        <v>No</v>
      </c>
      <c r="W84" s="5" t="str">
        <f aca="false">IF(ISNUMBER(N84),IF(N84&gt;=Inputs!$D$18,"Yes","No"),"No price")</f>
        <v>Yes</v>
      </c>
      <c r="X84" s="5" t="str">
        <f aca="false">IF(K84+L84&gt;0,"Yes",IF(M84&gt;0,"No","Unclear"))</f>
        <v>Yes</v>
      </c>
      <c r="Y84" s="5" t="str">
        <f aca="false">INDEX('API Data'!$H$2:$H$152,MATCH(B84,'API Data'!$A$2:$A$152,0))</f>
        <v>No</v>
      </c>
      <c r="Z84" s="5" t="str">
        <f aca="false">IF(COUNTIFS('Product Rows'!$A$2:$A$696,B84,'Product Rows'!$B$2:$B$696,C84,'Product Rows'!$I$2:$I$696,"Yes")&gt;0,"Yes","No")</f>
        <v>No</v>
      </c>
      <c r="AA84" s="5" t="str">
        <f aca="false">IF(P84&gt;=Inputs!$D$22,"Yes","No")</f>
        <v>No</v>
      </c>
      <c r="AB84" s="10" t="b">
        <f aca="false">AND(OR(Inputs!$B$17&lt;&gt;"Exclude",V84="Yes"),OR(Inputs!$B$18&lt;&gt;"Exclude",W84&lt;&gt;"No"),OR(Inputs!$B$19&lt;&gt;"Exclude",X84&lt;&gt;"No"),OR(Inputs!$B$20&lt;&gt;"Exclude",Y84="No"),OR(Inputs!$B$21&lt;&gt;"Exclude",Z84="No"),OR(Inputs!$B$22&lt;&gt;"Exclude",AA84="Yes"),ISNUMBER(U84))</f>
        <v>0</v>
      </c>
      <c r="AC84" s="5" t="str">
        <f aca="false">IF(AB84,COUNTIFS($C$5:$C$337,C84,$AB$5:$AB$337,TRUE(),$U$5:$U$337,"&gt;"&amp;U84)+COUNTIFS($C$5:C84,C84,$AB$5:AB84,TRUE(),$U$5:U84,U84),"")</f>
        <v/>
      </c>
      <c r="AD84" s="5" t="str">
        <f aca="false">IF(AC84="","Not eligible",IF(AC84&lt;=Inputs!$B$25,"Lead",IF(AC84&lt;=Inputs!$B$25+Inputs!$B$26,"Next wave","Long list")))</f>
        <v>Not eligible</v>
      </c>
      <c r="AE84" s="5" t="str">
        <f aca="false">IF(AND(K84+L84=0,M84&gt;0),"Safety upgrade of existing prefilled syringe",IF(K84+L84+M84=0,"Confirm presentation (not stated in source)",IF(AA84="Yes","Differentiation in crowded generic market","Safety-device mandate compliance")))</f>
        <v>Safety-device mandate compliance</v>
      </c>
      <c r="AF84" s="5" t="str">
        <f aca="false">IF(AC84="","",C84&amp;"|"&amp;AC84)</f>
        <v/>
      </c>
    </row>
    <row r="85" customFormat="false" ht="15" hidden="false" customHeight="false" outlineLevel="0" collapsed="false">
      <c r="A85" s="5" t="n">
        <f aca="false">IF(ISNUMBER(U85),RANK(U85,$U$5:$U$337),"")</f>
        <v>73</v>
      </c>
      <c r="B85" s="5" t="s">
        <v>83</v>
      </c>
      <c r="C85" s="5" t="s">
        <v>47</v>
      </c>
      <c r="D85" s="5" t="str">
        <f aca="false">INDEX('API Data'!$B$2:$B$152,MATCH(B85,'API Data'!$A$2:$A$152,0))</f>
        <v>Oncology – lymphoma, leukaemia, breast cancer; transplant conditioning</v>
      </c>
      <c r="E85" s="5" t="n">
        <f aca="false">COUNTIFS('Market Listing'!$A$2:$A$4054,B85,'Market Listing'!$B$2:$B$4054,C85)</f>
        <v>1</v>
      </c>
      <c r="F85" s="5" t="n">
        <f aca="false">COUNTIFS('Market Listing'!$A$2:$A$4054,B85,'Market Listing'!$B$2:$B$4054,C85,'Market Listing'!$D$2:$D$4054,"Tier 1")</f>
        <v>1</v>
      </c>
      <c r="G85" s="5" t="n">
        <f aca="false">COUNTIFS('Market Listing'!$A$2:$A$4054,B85,'Market Listing'!$B$2:$B$4054,C85,'Market Listing'!$D$2:$D$4054,"Tier 2")</f>
        <v>0</v>
      </c>
      <c r="H85" s="5" t="n">
        <f aca="false">COUNTIFS('Market Listing'!$A$2:$A$4054,B85,'Market Listing'!$B$2:$B$4054,C85,'Market Listing'!$D$2:$D$4054,"Tier 3")</f>
        <v>0</v>
      </c>
      <c r="I85" s="5" t="n">
        <f aca="false">SUMIFS('Market Listing'!$E$2:$E$4054,'Market Listing'!$A$2:$A$4054,B85,'Market Listing'!$B$2:$B$4054,C85)</f>
        <v>3</v>
      </c>
      <c r="J85" s="5" t="n">
        <f aca="false">COUNTIFS('Product Rows'!$A$2:$A$696,B85,'Product Rows'!$B$2:$B$696,C85)</f>
        <v>3</v>
      </c>
      <c r="K85" s="5" t="n">
        <f aca="false">COUNTIFS('Product Rows'!$A$2:$A$696,B85,'Product Rows'!$B$2:$B$696,C85,'Product Rows'!$G$2:$G$696,"Vial")</f>
        <v>3</v>
      </c>
      <c r="L85" s="5" t="n">
        <f aca="false">COUNTIFS('Product Rows'!$A$2:$A$696,B85,'Product Rows'!$B$2:$B$696,C85,'Product Rows'!$G$2:$G$696,"Ampoule")</f>
        <v>0</v>
      </c>
      <c r="M85" s="5" t="n">
        <f aca="false">COUNTIFS('Product Rows'!$A$2:$A$696,B85,'Product Rows'!$B$2:$B$696,C85,'Product Rows'!$G$2:$G$696,"Prefilled syringe/pen")</f>
        <v>0</v>
      </c>
      <c r="N85" s="6" t="n">
        <f aca="false">IFERROR(AVERAGEIFS('Product Rows'!$H$2:$H$696,'Product Rows'!$A$2:$A$696,B85,'Product Rows'!$B$2:$B$696,C85),"")</f>
        <v>234.04</v>
      </c>
      <c r="O85" s="7" t="n">
        <f aca="false">INDEX('API Data'!$E$2:$E$152,MATCH(B85,'API Data'!$A$2:$A$152,0))</f>
        <v>3871.19720318908</v>
      </c>
      <c r="P85" s="5" t="n">
        <f aca="false">COUNTIF($B$5:$B$337,B85)</f>
        <v>4</v>
      </c>
      <c r="Q85" s="8" t="n">
        <f aca="false">IF(ISNUMBER(I85),PERCENTRANK($I$5:$I$337,I85),"")</f>
        <v>0.157</v>
      </c>
      <c r="R85" s="8" t="n">
        <f aca="false">IF(ISNUMBER(N85),PERCENTRANK($N$5:$N$337,N85),"")</f>
        <v>0.849</v>
      </c>
      <c r="S85" s="8" t="n">
        <f aca="false">IF(ISNUMBER(O85),PERCENTRANK($O$5:$O$337,O85),"")</f>
        <v>0.476</v>
      </c>
      <c r="T85" s="8" t="n">
        <f aca="false">IF(ISNUMBER(P85),PERCENTRANK($P$5:$P$337,P85),"")</f>
        <v>0.569</v>
      </c>
      <c r="U85" s="9" t="n">
        <f aca="false">IF((IF(ISNUMBER(Q85),Inputs!$B$4,0)+IF(ISNUMBER(R85),Inputs!$B$5,0)+IF(ISNUMBER(S85),Inputs!$B$6,0)+IF(ISNUMBER(T85),Inputs!$B$7,0))=0,"",(IF(ISNUMBER(Q85),Inputs!$B$4*Q85,0)+IF(ISNUMBER(R85),Inputs!$B$5*R85,0)+IF(ISNUMBER(S85),Inputs!$B$6*S85,0)+IF(ISNUMBER(T85),Inputs!$B$7*T85,0))/(IF(ISNUMBER(Q85),Inputs!$B$4,0)+IF(ISNUMBER(R85),Inputs!$B$5,0)+IF(ISNUMBER(S85),Inputs!$B$6,0)+IF(ISNUMBER(T85),Inputs!$B$7,0)))</f>
        <v>0.6625</v>
      </c>
      <c r="V85" s="5" t="str">
        <f aca="false">IF(F85&gt;0,"Yes","No")</f>
        <v>Yes</v>
      </c>
      <c r="W85" s="5" t="str">
        <f aca="false">IF(ISNUMBER(N85),IF(N85&gt;=Inputs!$D$18,"Yes","No"),"No price")</f>
        <v>Yes</v>
      </c>
      <c r="X85" s="5" t="str">
        <f aca="false">IF(K85+L85&gt;0,"Yes",IF(M85&gt;0,"No","Unclear"))</f>
        <v>Yes</v>
      </c>
      <c r="Y85" s="5" t="str">
        <f aca="false">INDEX('API Data'!$H$2:$H$152,MATCH(B85,'API Data'!$A$2:$A$152,0))</f>
        <v>Yes</v>
      </c>
      <c r="Z85" s="5" t="str">
        <f aca="false">IF(COUNTIFS('Product Rows'!$A$2:$A$696,B85,'Product Rows'!$B$2:$B$696,C85,'Product Rows'!$I$2:$I$696,"Yes")&gt;0,"Yes","No")</f>
        <v>No</v>
      </c>
      <c r="AA85" s="5" t="str">
        <f aca="false">IF(P85&gt;=Inputs!$D$22,"Yes","No")</f>
        <v>Yes</v>
      </c>
      <c r="AB85" s="10" t="b">
        <f aca="false">AND(OR(Inputs!$B$17&lt;&gt;"Exclude",V85="Yes"),OR(Inputs!$B$18&lt;&gt;"Exclude",W85&lt;&gt;"No"),OR(Inputs!$B$19&lt;&gt;"Exclude",X85&lt;&gt;"No"),OR(Inputs!$B$20&lt;&gt;"Exclude",Y85="No"),OR(Inputs!$B$21&lt;&gt;"Exclude",Z85="No"),OR(Inputs!$B$22&lt;&gt;"Exclude",AA85="Yes"),ISNUMBER(U85))</f>
        <v>1</v>
      </c>
      <c r="AC85" s="5" t="n">
        <f aca="false">IF(AB85,COUNTIFS($C$5:$C$337,C85,$AB$5:$AB$337,TRUE(),$U$5:$U$337,"&gt;"&amp;U85)+COUNTIFS($C$5:C85,C85,$AB$5:AB85,TRUE(),$U$5:U85,U85),"")</f>
        <v>8</v>
      </c>
      <c r="AD85" s="5" t="str">
        <f aca="false">IF(AC85="","Not eligible",IF(AC85&lt;=Inputs!$B$25,"Lead",IF(AC85&lt;=Inputs!$B$25+Inputs!$B$26,"Next wave","Long list")))</f>
        <v>Next wave</v>
      </c>
      <c r="AE85" s="5" t="str">
        <f aca="false">IF(AND(K85+L85=0,M85&gt;0),"Safety upgrade of existing prefilled syringe",IF(K85+L85+M85=0,"Confirm presentation (not stated in source)",IF(AA85="Yes","Differentiation in crowded generic market","Safety-device mandate compliance")))</f>
        <v>Differentiation in crowded generic market</v>
      </c>
      <c r="AF85" s="5" t="str">
        <f aca="false">IF(AC85="","",C85&amp;"|"&amp;AC85)</f>
        <v>Aurobindo Pharma|8</v>
      </c>
    </row>
    <row r="86" customFormat="false" ht="15" hidden="false" customHeight="false" outlineLevel="0" collapsed="false">
      <c r="A86" s="5" t="n">
        <f aca="false">IF(ISNUMBER(U86),RANK(U86,$U$5:$U$337),"")</f>
        <v>76</v>
      </c>
      <c r="B86" s="5" t="s">
        <v>83</v>
      </c>
      <c r="C86" s="5" t="s">
        <v>55</v>
      </c>
      <c r="D86" s="5" t="str">
        <f aca="false">INDEX('API Data'!$B$2:$B$152,MATCH(B86,'API Data'!$A$2:$A$152,0))</f>
        <v>Oncology – lymphoma, leukaemia, breast cancer; transplant conditioning</v>
      </c>
      <c r="E86" s="5" t="n">
        <f aca="false">COUNTIFS('Market Listing'!$A$2:$A$4054,B86,'Market Listing'!$B$2:$B$4054,C86)</f>
        <v>28</v>
      </c>
      <c r="F86" s="5" t="n">
        <f aca="false">COUNTIFS('Market Listing'!$A$2:$A$4054,B86,'Market Listing'!$B$2:$B$4054,C86,'Market Listing'!$D$2:$D$4054,"Tier 1")</f>
        <v>6</v>
      </c>
      <c r="G86" s="5" t="n">
        <f aca="false">COUNTIFS('Market Listing'!$A$2:$A$4054,B86,'Market Listing'!$B$2:$B$4054,C86,'Market Listing'!$D$2:$D$4054,"Tier 2")</f>
        <v>3</v>
      </c>
      <c r="H86" s="5" t="n">
        <f aca="false">COUNTIFS('Market Listing'!$A$2:$A$4054,B86,'Market Listing'!$B$2:$B$4054,C86,'Market Listing'!$D$2:$D$4054,"Tier 3")</f>
        <v>19</v>
      </c>
      <c r="I86" s="5" t="n">
        <f aca="false">SUMIFS('Market Listing'!$E$2:$E$4054,'Market Listing'!$A$2:$A$4054,B86,'Market Listing'!$B$2:$B$4054,C86)</f>
        <v>43</v>
      </c>
      <c r="J86" s="5" t="n">
        <f aca="false">COUNTIFS('Product Rows'!$A$2:$A$696,B86,'Product Rows'!$B$2:$B$696,C86)</f>
        <v>4</v>
      </c>
      <c r="K86" s="5" t="n">
        <f aca="false">COUNTIFS('Product Rows'!$A$2:$A$696,B86,'Product Rows'!$B$2:$B$696,C86,'Product Rows'!$G$2:$G$696,"Vial")</f>
        <v>4</v>
      </c>
      <c r="L86" s="5" t="n">
        <f aca="false">COUNTIFS('Product Rows'!$A$2:$A$696,B86,'Product Rows'!$B$2:$B$696,C86,'Product Rows'!$G$2:$G$696,"Ampoule")</f>
        <v>0</v>
      </c>
      <c r="M86" s="5" t="n">
        <f aca="false">COUNTIFS('Product Rows'!$A$2:$A$696,B86,'Product Rows'!$B$2:$B$696,C86,'Product Rows'!$G$2:$G$696,"Prefilled syringe/pen")</f>
        <v>0</v>
      </c>
      <c r="N86" s="6" t="n">
        <f aca="false">IFERROR(AVERAGEIFS('Product Rows'!$H$2:$H$696,'Product Rows'!$A$2:$A$696,B86,'Product Rows'!$B$2:$B$696,C86),"")</f>
        <v>176.77865</v>
      </c>
      <c r="O86" s="7" t="n">
        <f aca="false">INDEX('API Data'!$E$2:$E$152,MATCH(B86,'API Data'!$A$2:$A$152,0))</f>
        <v>3871.19720318908</v>
      </c>
      <c r="P86" s="5" t="n">
        <f aca="false">COUNTIF($B$5:$B$337,B86)</f>
        <v>4</v>
      </c>
      <c r="Q86" s="8" t="n">
        <f aca="false">IF(ISNUMBER(I86),PERCENTRANK($I$5:$I$337,I86),"")</f>
        <v>0.75</v>
      </c>
      <c r="R86" s="8" t="n">
        <f aca="false">IF(ISNUMBER(N86),PERCENTRANK($N$5:$N$337,N86),"")</f>
        <v>0.824</v>
      </c>
      <c r="S86" s="8" t="n">
        <f aca="false">IF(ISNUMBER(O86),PERCENTRANK($O$5:$O$337,O86),"")</f>
        <v>0.476</v>
      </c>
      <c r="T86" s="8" t="n">
        <f aca="false">IF(ISNUMBER(P86),PERCENTRANK($P$5:$P$337,P86),"")</f>
        <v>0.569</v>
      </c>
      <c r="U86" s="9" t="n">
        <f aca="false">IF((IF(ISNUMBER(Q86),Inputs!$B$4,0)+IF(ISNUMBER(R86),Inputs!$B$5,0)+IF(ISNUMBER(S86),Inputs!$B$6,0)+IF(ISNUMBER(T86),Inputs!$B$7,0))=0,"",(IF(ISNUMBER(Q86),Inputs!$B$4*Q86,0)+IF(ISNUMBER(R86),Inputs!$B$5*R86,0)+IF(ISNUMBER(S86),Inputs!$B$6*S86,0)+IF(ISNUMBER(T86),Inputs!$B$7*T86,0))/(IF(ISNUMBER(Q86),Inputs!$B$4,0)+IF(ISNUMBER(R86),Inputs!$B$5,0)+IF(ISNUMBER(S86),Inputs!$B$6,0)+IF(ISNUMBER(T86),Inputs!$B$7,0)))</f>
        <v>0.65</v>
      </c>
      <c r="V86" s="5" t="str">
        <f aca="false">IF(F86&gt;0,"Yes","No")</f>
        <v>Yes</v>
      </c>
      <c r="W86" s="5" t="str">
        <f aca="false">IF(ISNUMBER(N86),IF(N86&gt;=Inputs!$D$18,"Yes","No"),"No price")</f>
        <v>Yes</v>
      </c>
      <c r="X86" s="5" t="str">
        <f aca="false">IF(K86+L86&gt;0,"Yes",IF(M86&gt;0,"No","Unclear"))</f>
        <v>Yes</v>
      </c>
      <c r="Y86" s="5" t="str">
        <f aca="false">INDEX('API Data'!$H$2:$H$152,MATCH(B86,'API Data'!$A$2:$A$152,0))</f>
        <v>Yes</v>
      </c>
      <c r="Z86" s="5" t="str">
        <f aca="false">IF(COUNTIFS('Product Rows'!$A$2:$A$696,B86,'Product Rows'!$B$2:$B$696,C86,'Product Rows'!$I$2:$I$696,"Yes")&gt;0,"Yes","No")</f>
        <v>No</v>
      </c>
      <c r="AA86" s="5" t="str">
        <f aca="false">IF(P86&gt;=Inputs!$D$22,"Yes","No")</f>
        <v>Yes</v>
      </c>
      <c r="AB86" s="10" t="b">
        <f aca="false">AND(OR(Inputs!$B$17&lt;&gt;"Exclude",V86="Yes"),OR(Inputs!$B$18&lt;&gt;"Exclude",W86&lt;&gt;"No"),OR(Inputs!$B$19&lt;&gt;"Exclude",X86&lt;&gt;"No"),OR(Inputs!$B$20&lt;&gt;"Exclude",Y86="No"),OR(Inputs!$B$21&lt;&gt;"Exclude",Z86="No"),OR(Inputs!$B$22&lt;&gt;"Exclude",AA86="Yes"),ISNUMBER(U86))</f>
        <v>1</v>
      </c>
      <c r="AC86" s="5" t="n">
        <f aca="false">IF(AB86,COUNTIFS($C$5:$C$337,C86,$AB$5:$AB$337,TRUE(),$U$5:$U$337,"&gt;"&amp;U86)+COUNTIFS($C$5:C86,C86,$AB$5:AB86,TRUE(),$U$5:U86,U86),"")</f>
        <v>9</v>
      </c>
      <c r="AD86" s="5" t="str">
        <f aca="false">IF(AC86="","Not eligible",IF(AC86&lt;=Inputs!$B$25,"Lead",IF(AC86&lt;=Inputs!$B$25+Inputs!$B$26,"Next wave","Long list")))</f>
        <v>Next wave</v>
      </c>
      <c r="AE86" s="5" t="str">
        <f aca="false">IF(AND(K86+L86=0,M86&gt;0),"Safety upgrade of existing prefilled syringe",IF(K86+L86+M86=0,"Confirm presentation (not stated in source)",IF(AA86="Yes","Differentiation in crowded generic market","Safety-device mandate compliance")))</f>
        <v>Differentiation in crowded generic market</v>
      </c>
      <c r="AF86" s="5" t="str">
        <f aca="false">IF(AC86="","",C86&amp;"|"&amp;AC86)</f>
        <v>Dr. Reddy's Laboratories|9</v>
      </c>
    </row>
    <row r="87" customFormat="false" ht="15" hidden="false" customHeight="false" outlineLevel="0" collapsed="false">
      <c r="A87" s="5" t="n">
        <f aca="false">IF(ISNUMBER(U87),RANK(U87,$U$5:$U$337),"")</f>
        <v>85</v>
      </c>
      <c r="B87" s="5" t="s">
        <v>83</v>
      </c>
      <c r="C87" s="5" t="s">
        <v>35</v>
      </c>
      <c r="D87" s="5" t="str">
        <f aca="false">INDEX('API Data'!$B$2:$B$152,MATCH(B87,'API Data'!$A$2:$A$152,0))</f>
        <v>Oncology – lymphoma, leukaemia, breast cancer; transplant conditioning</v>
      </c>
      <c r="E87" s="5" t="n">
        <f aca="false">COUNTIFS('Market Listing'!$A$2:$A$4054,B87,'Market Listing'!$B$2:$B$4054,C87)</f>
        <v>1</v>
      </c>
      <c r="F87" s="5" t="n">
        <f aca="false">COUNTIFS('Market Listing'!$A$2:$A$4054,B87,'Market Listing'!$B$2:$B$4054,C87,'Market Listing'!$D$2:$D$4054,"Tier 1")</f>
        <v>1</v>
      </c>
      <c r="G87" s="5" t="n">
        <f aca="false">COUNTIFS('Market Listing'!$A$2:$A$4054,B87,'Market Listing'!$B$2:$B$4054,C87,'Market Listing'!$D$2:$D$4054,"Tier 2")</f>
        <v>0</v>
      </c>
      <c r="H87" s="5" t="n">
        <f aca="false">COUNTIFS('Market Listing'!$A$2:$A$4054,B87,'Market Listing'!$B$2:$B$4054,C87,'Market Listing'!$D$2:$D$4054,"Tier 3")</f>
        <v>0</v>
      </c>
      <c r="I87" s="5" t="n">
        <f aca="false">SUMIFS('Market Listing'!$E$2:$E$4054,'Market Listing'!$A$2:$A$4054,B87,'Market Listing'!$B$2:$B$4054,C87)</f>
        <v>3</v>
      </c>
      <c r="J87" s="5" t="n">
        <f aca="false">COUNTIFS('Product Rows'!$A$2:$A$696,B87,'Product Rows'!$B$2:$B$696,C87)</f>
        <v>2</v>
      </c>
      <c r="K87" s="5" t="n">
        <f aca="false">COUNTIFS('Product Rows'!$A$2:$A$696,B87,'Product Rows'!$B$2:$B$696,C87,'Product Rows'!$G$2:$G$696,"Vial")</f>
        <v>2</v>
      </c>
      <c r="L87" s="5" t="n">
        <f aca="false">COUNTIFS('Product Rows'!$A$2:$A$696,B87,'Product Rows'!$B$2:$B$696,C87,'Product Rows'!$G$2:$G$696,"Ampoule")</f>
        <v>0</v>
      </c>
      <c r="M87" s="5" t="n">
        <f aca="false">COUNTIFS('Product Rows'!$A$2:$A$696,B87,'Product Rows'!$B$2:$B$696,C87,'Product Rows'!$G$2:$G$696,"Prefilled syringe/pen")</f>
        <v>0</v>
      </c>
      <c r="N87" s="6" t="n">
        <f aca="false">IFERROR(AVERAGEIFS('Product Rows'!$H$2:$H$696,'Product Rows'!$A$2:$A$696,B87,'Product Rows'!$B$2:$B$696,C87),"")</f>
        <v>92.75</v>
      </c>
      <c r="O87" s="7" t="n">
        <f aca="false">INDEX('API Data'!$E$2:$E$152,MATCH(B87,'API Data'!$A$2:$A$152,0))</f>
        <v>3871.19720318908</v>
      </c>
      <c r="P87" s="5" t="n">
        <f aca="false">COUNTIF($B$5:$B$337,B87)</f>
        <v>4</v>
      </c>
      <c r="Q87" s="8" t="n">
        <f aca="false">IF(ISNUMBER(I87),PERCENTRANK($I$5:$I$337,I87),"")</f>
        <v>0.157</v>
      </c>
      <c r="R87" s="8" t="n">
        <f aca="false">IF(ISNUMBER(N87),PERCENTRANK($N$5:$N$337,N87),"")</f>
        <v>0.742</v>
      </c>
      <c r="S87" s="8" t="n">
        <f aca="false">IF(ISNUMBER(O87),PERCENTRANK($O$5:$O$337,O87),"")</f>
        <v>0.476</v>
      </c>
      <c r="T87" s="8" t="n">
        <f aca="false">IF(ISNUMBER(P87),PERCENTRANK($P$5:$P$337,P87),"")</f>
        <v>0.569</v>
      </c>
      <c r="U87" s="9" t="n">
        <f aca="false">IF((IF(ISNUMBER(Q87),Inputs!$B$4,0)+IF(ISNUMBER(R87),Inputs!$B$5,0)+IF(ISNUMBER(S87),Inputs!$B$6,0)+IF(ISNUMBER(T87),Inputs!$B$7,0))=0,"",(IF(ISNUMBER(Q87),Inputs!$B$4*Q87,0)+IF(ISNUMBER(R87),Inputs!$B$5*R87,0)+IF(ISNUMBER(S87),Inputs!$B$6*S87,0)+IF(ISNUMBER(T87),Inputs!$B$7*T87,0))/(IF(ISNUMBER(Q87),Inputs!$B$4,0)+IF(ISNUMBER(R87),Inputs!$B$5,0)+IF(ISNUMBER(S87),Inputs!$B$6,0)+IF(ISNUMBER(T87),Inputs!$B$7,0)))</f>
        <v>0.609</v>
      </c>
      <c r="V87" s="5" t="str">
        <f aca="false">IF(F87&gt;0,"Yes","No")</f>
        <v>Yes</v>
      </c>
      <c r="W87" s="5" t="str">
        <f aca="false">IF(ISNUMBER(N87),IF(N87&gt;=Inputs!$D$18,"Yes","No"),"No price")</f>
        <v>Yes</v>
      </c>
      <c r="X87" s="5" t="str">
        <f aca="false">IF(K87+L87&gt;0,"Yes",IF(M87&gt;0,"No","Unclear"))</f>
        <v>Yes</v>
      </c>
      <c r="Y87" s="5" t="str">
        <f aca="false">INDEX('API Data'!$H$2:$H$152,MATCH(B87,'API Data'!$A$2:$A$152,0))</f>
        <v>Yes</v>
      </c>
      <c r="Z87" s="5" t="str">
        <f aca="false">IF(COUNTIFS('Product Rows'!$A$2:$A$696,B87,'Product Rows'!$B$2:$B$696,C87,'Product Rows'!$I$2:$I$696,"Yes")&gt;0,"Yes","No")</f>
        <v>No</v>
      </c>
      <c r="AA87" s="5" t="str">
        <f aca="false">IF(P87&gt;=Inputs!$D$22,"Yes","No")</f>
        <v>Yes</v>
      </c>
      <c r="AB87" s="10" t="b">
        <f aca="false">AND(OR(Inputs!$B$17&lt;&gt;"Exclude",V87="Yes"),OR(Inputs!$B$18&lt;&gt;"Exclude",W87&lt;&gt;"No"),OR(Inputs!$B$19&lt;&gt;"Exclude",X87&lt;&gt;"No"),OR(Inputs!$B$20&lt;&gt;"Exclude",Y87="No"),OR(Inputs!$B$21&lt;&gt;"Exclude",Z87="No"),OR(Inputs!$B$22&lt;&gt;"Exclude",AA87="Yes"),ISNUMBER(U87))</f>
        <v>1</v>
      </c>
      <c r="AC87" s="5" t="n">
        <f aca="false">IF(AB87,COUNTIFS($C$5:$C$337,C87,$AB$5:$AB$337,TRUE(),$U$5:$U$337,"&gt;"&amp;U87)+COUNTIFS($C$5:C87,C87,$AB$5:AB87,TRUE(),$U$5:U87,U87),"")</f>
        <v>6</v>
      </c>
      <c r="AD87" s="5" t="str">
        <f aca="false">IF(AC87="","Not eligible",IF(AC87&lt;=Inputs!$B$25,"Lead",IF(AC87&lt;=Inputs!$B$25+Inputs!$B$26,"Next wave","Long list")))</f>
        <v>Next wave</v>
      </c>
      <c r="AE87" s="5" t="str">
        <f aca="false">IF(AND(K87+L87=0,M87&gt;0),"Safety upgrade of existing prefilled syringe",IF(K87+L87+M87=0,"Confirm presentation (not stated in source)",IF(AA87="Yes","Differentiation in crowded generic market","Safety-device mandate compliance")))</f>
        <v>Differentiation in crowded generic market</v>
      </c>
      <c r="AF87" s="5" t="str">
        <f aca="false">IF(AC87="","",C87&amp;"|"&amp;AC87)</f>
        <v>Emcure Pharmaceuticals|6</v>
      </c>
    </row>
    <row r="88" customFormat="false" ht="15" hidden="false" customHeight="false" outlineLevel="0" collapsed="false">
      <c r="A88" s="5" t="n">
        <f aca="false">IF(ISNUMBER(U88),RANK(U88,$U$5:$U$337),"")</f>
        <v>124</v>
      </c>
      <c r="B88" s="5" t="s">
        <v>83</v>
      </c>
      <c r="C88" s="5" t="s">
        <v>44</v>
      </c>
      <c r="D88" s="5" t="str">
        <f aca="false">INDEX('API Data'!$B$2:$B$152,MATCH(B88,'API Data'!$A$2:$A$152,0))</f>
        <v>Oncology – lymphoma, leukaemia, breast cancer; transplant conditioning</v>
      </c>
      <c r="E88" s="5" t="n">
        <f aca="false">COUNTIFS('Market Listing'!$A$2:$A$4054,B88,'Market Listing'!$B$2:$B$4054,C88)</f>
        <v>2</v>
      </c>
      <c r="F88" s="5" t="n">
        <f aca="false">COUNTIFS('Market Listing'!$A$2:$A$4054,B88,'Market Listing'!$B$2:$B$4054,C88,'Market Listing'!$D$2:$D$4054,"Tier 1")</f>
        <v>1</v>
      </c>
      <c r="G88" s="5" t="n">
        <f aca="false">COUNTIFS('Market Listing'!$A$2:$A$4054,B88,'Market Listing'!$B$2:$B$4054,C88,'Market Listing'!$D$2:$D$4054,"Tier 2")</f>
        <v>1</v>
      </c>
      <c r="H88" s="5" t="n">
        <f aca="false">COUNTIFS('Market Listing'!$A$2:$A$4054,B88,'Market Listing'!$B$2:$B$4054,C88,'Market Listing'!$D$2:$D$4054,"Tier 3")</f>
        <v>0</v>
      </c>
      <c r="I88" s="5" t="n">
        <f aca="false">SUMIFS('Market Listing'!$E$2:$E$4054,'Market Listing'!$A$2:$A$4054,B88,'Market Listing'!$B$2:$B$4054,C88)</f>
        <v>5</v>
      </c>
      <c r="J88" s="5" t="n">
        <f aca="false">COUNTIFS('Product Rows'!$A$2:$A$696,B88,'Product Rows'!$B$2:$B$696,C88)</f>
        <v>4</v>
      </c>
      <c r="K88" s="5" t="n">
        <f aca="false">COUNTIFS('Product Rows'!$A$2:$A$696,B88,'Product Rows'!$B$2:$B$696,C88,'Product Rows'!$G$2:$G$696,"Vial")</f>
        <v>4</v>
      </c>
      <c r="L88" s="5" t="n">
        <f aca="false">COUNTIFS('Product Rows'!$A$2:$A$696,B88,'Product Rows'!$B$2:$B$696,C88,'Product Rows'!$G$2:$G$696,"Ampoule")</f>
        <v>0</v>
      </c>
      <c r="M88" s="5" t="n">
        <f aca="false">COUNTIFS('Product Rows'!$A$2:$A$696,B88,'Product Rows'!$B$2:$B$696,C88,'Product Rows'!$G$2:$G$696,"Prefilled syringe/pen")</f>
        <v>0</v>
      </c>
      <c r="N88" s="6" t="n">
        <f aca="false">IFERROR(AVERAGEIFS('Product Rows'!$H$2:$H$696,'Product Rows'!$A$2:$A$696,B88,'Product Rows'!$B$2:$B$696,C88),"")</f>
        <v>56.21</v>
      </c>
      <c r="O88" s="7" t="n">
        <f aca="false">INDEX('API Data'!$E$2:$E$152,MATCH(B88,'API Data'!$A$2:$A$152,0))</f>
        <v>3871.19720318908</v>
      </c>
      <c r="P88" s="5" t="n">
        <f aca="false">COUNTIF($B$5:$B$337,B88)</f>
        <v>4</v>
      </c>
      <c r="Q88" s="8" t="n">
        <f aca="false">IF(ISNUMBER(I88),PERCENTRANK($I$5:$I$337,I88),"")</f>
        <v>0.521</v>
      </c>
      <c r="R88" s="8" t="n">
        <f aca="false">IF(ISNUMBER(N88),PERCENTRANK($N$5:$N$337,N88),"")</f>
        <v>0.634</v>
      </c>
      <c r="S88" s="8" t="n">
        <f aca="false">IF(ISNUMBER(O88),PERCENTRANK($O$5:$O$337,O88),"")</f>
        <v>0.476</v>
      </c>
      <c r="T88" s="8" t="n">
        <f aca="false">IF(ISNUMBER(P88),PERCENTRANK($P$5:$P$337,P88),"")</f>
        <v>0.569</v>
      </c>
      <c r="U88" s="9" t="n">
        <f aca="false">IF((IF(ISNUMBER(Q88),Inputs!$B$4,0)+IF(ISNUMBER(R88),Inputs!$B$5,0)+IF(ISNUMBER(S88),Inputs!$B$6,0)+IF(ISNUMBER(T88),Inputs!$B$7,0))=0,"",(IF(ISNUMBER(Q88),Inputs!$B$4*Q88,0)+IF(ISNUMBER(R88),Inputs!$B$5*R88,0)+IF(ISNUMBER(S88),Inputs!$B$6*S88,0)+IF(ISNUMBER(T88),Inputs!$B$7*T88,0))/(IF(ISNUMBER(Q88),Inputs!$B$4,0)+IF(ISNUMBER(R88),Inputs!$B$5,0)+IF(ISNUMBER(S88),Inputs!$B$6,0)+IF(ISNUMBER(T88),Inputs!$B$7,0)))</f>
        <v>0.555</v>
      </c>
      <c r="V88" s="5" t="str">
        <f aca="false">IF(F88&gt;0,"Yes","No")</f>
        <v>Yes</v>
      </c>
      <c r="W88" s="5" t="str">
        <f aca="false">IF(ISNUMBER(N88),IF(N88&gt;=Inputs!$D$18,"Yes","No"),"No price")</f>
        <v>Yes</v>
      </c>
      <c r="X88" s="5" t="str">
        <f aca="false">IF(K88+L88&gt;0,"Yes",IF(M88&gt;0,"No","Unclear"))</f>
        <v>Yes</v>
      </c>
      <c r="Y88" s="5" t="str">
        <f aca="false">INDEX('API Data'!$H$2:$H$152,MATCH(B88,'API Data'!$A$2:$A$152,0))</f>
        <v>Yes</v>
      </c>
      <c r="Z88" s="5" t="str">
        <f aca="false">IF(COUNTIFS('Product Rows'!$A$2:$A$696,B88,'Product Rows'!$B$2:$B$696,C88,'Product Rows'!$I$2:$I$696,"Yes")&gt;0,"Yes","No")</f>
        <v>Yes</v>
      </c>
      <c r="AA88" s="5" t="str">
        <f aca="false">IF(P88&gt;=Inputs!$D$22,"Yes","No")</f>
        <v>Yes</v>
      </c>
      <c r="AB88" s="10" t="b">
        <f aca="false">AND(OR(Inputs!$B$17&lt;&gt;"Exclude",V88="Yes"),OR(Inputs!$B$18&lt;&gt;"Exclude",W88&lt;&gt;"No"),OR(Inputs!$B$19&lt;&gt;"Exclude",X88&lt;&gt;"No"),OR(Inputs!$B$20&lt;&gt;"Exclude",Y88="No"),OR(Inputs!$B$21&lt;&gt;"Exclude",Z88="No"),OR(Inputs!$B$22&lt;&gt;"Exclude",AA88="Yes"),ISNUMBER(U88))</f>
        <v>1</v>
      </c>
      <c r="AC88" s="5" t="n">
        <f aca="false">IF(AB88,COUNTIFS($C$5:$C$337,C88,$AB$5:$AB$337,TRUE(),$U$5:$U$337,"&gt;"&amp;U88)+COUNTIFS($C$5:C88,C88,$AB$5:AB88,TRUE(),$U$5:U88,U88),"")</f>
        <v>24</v>
      </c>
      <c r="AD88" s="5" t="str">
        <f aca="false">IF(AC88="","Not eligible",IF(AC88&lt;=Inputs!$B$25,"Lead",IF(AC88&lt;=Inputs!$B$25+Inputs!$B$26,"Next wave","Long list")))</f>
        <v>Long list</v>
      </c>
      <c r="AE88" s="5" t="str">
        <f aca="false">IF(AND(K88+L88=0,M88&gt;0),"Safety upgrade of existing prefilled syringe",IF(K88+L88+M88=0,"Confirm presentation (not stated in source)",IF(AA88="Yes","Differentiation in crowded generic market","Safety-device mandate compliance")))</f>
        <v>Differentiation in crowded generic market</v>
      </c>
      <c r="AF88" s="5" t="str">
        <f aca="false">IF(AC88="","",C88&amp;"|"&amp;AC88)</f>
        <v>Intas Pharmaceuticals|24</v>
      </c>
    </row>
    <row r="89" customFormat="false" ht="15" hidden="false" customHeight="false" outlineLevel="0" collapsed="false">
      <c r="A89" s="5" t="n">
        <f aca="false">IF(ISNUMBER(U89),RANK(U89,$U$5:$U$337),"")</f>
        <v>234</v>
      </c>
      <c r="B89" s="5" t="s">
        <v>84</v>
      </c>
      <c r="C89" s="5" t="s">
        <v>44</v>
      </c>
      <c r="D89" s="5" t="str">
        <f aca="false">INDEX('API Data'!$B$2:$B$152,MATCH(B89,'API Data'!$A$2:$A$152,0))</f>
        <v>Oncology – acute myeloid &amp; lymphoblastic leukaemia (AML/ALL)</v>
      </c>
      <c r="E89" s="5" t="n">
        <f aca="false">COUNTIFS('Market Listing'!$A$2:$A$4054,B89,'Market Listing'!$B$2:$B$4054,C89)</f>
        <v>2</v>
      </c>
      <c r="F89" s="5" t="n">
        <f aca="false">COUNTIFS('Market Listing'!$A$2:$A$4054,B89,'Market Listing'!$B$2:$B$4054,C89,'Market Listing'!$D$2:$D$4054,"Tier 1")</f>
        <v>1</v>
      </c>
      <c r="G89" s="5" t="n">
        <f aca="false">COUNTIFS('Market Listing'!$A$2:$A$4054,B89,'Market Listing'!$B$2:$B$4054,C89,'Market Listing'!$D$2:$D$4054,"Tier 2")</f>
        <v>1</v>
      </c>
      <c r="H89" s="5" t="n">
        <f aca="false">COUNTIFS('Market Listing'!$A$2:$A$4054,B89,'Market Listing'!$B$2:$B$4054,C89,'Market Listing'!$D$2:$D$4054,"Tier 3")</f>
        <v>0</v>
      </c>
      <c r="I89" s="5" t="n">
        <f aca="false">SUMIFS('Market Listing'!$E$2:$E$4054,'Market Listing'!$A$2:$A$4054,B89,'Market Listing'!$B$2:$B$4054,C89)</f>
        <v>5</v>
      </c>
      <c r="J89" s="5" t="n">
        <f aca="false">COUNTIFS('Product Rows'!$A$2:$A$696,B89,'Product Rows'!$B$2:$B$696,C89)</f>
        <v>8</v>
      </c>
      <c r="K89" s="5" t="n">
        <f aca="false">COUNTIFS('Product Rows'!$A$2:$A$696,B89,'Product Rows'!$B$2:$B$696,C89,'Product Rows'!$G$2:$G$696,"Vial")</f>
        <v>8</v>
      </c>
      <c r="L89" s="5" t="n">
        <f aca="false">COUNTIFS('Product Rows'!$A$2:$A$696,B89,'Product Rows'!$B$2:$B$696,C89,'Product Rows'!$G$2:$G$696,"Ampoule")</f>
        <v>0</v>
      </c>
      <c r="M89" s="5" t="n">
        <f aca="false">COUNTIFS('Product Rows'!$A$2:$A$696,B89,'Product Rows'!$B$2:$B$696,C89,'Product Rows'!$G$2:$G$696,"Prefilled syringe/pen")</f>
        <v>0</v>
      </c>
      <c r="N89" s="6" t="n">
        <f aca="false">IFERROR(AVERAGEIFS('Product Rows'!$H$2:$H$696,'Product Rows'!$A$2:$A$696,B89,'Product Rows'!$B$2:$B$696,C89),"")</f>
        <v>6.695</v>
      </c>
      <c r="O89" s="7" t="n">
        <f aca="false">INDEX('API Data'!$E$2:$E$152,MATCH(B89,'API Data'!$A$2:$A$152,0))</f>
        <v>7738.99</v>
      </c>
      <c r="P89" s="5" t="n">
        <f aca="false">COUNTIF($B$5:$B$337,B89)</f>
        <v>1</v>
      </c>
      <c r="Q89" s="8" t="n">
        <f aca="false">IF(ISNUMBER(I89),PERCENTRANK($I$5:$I$337,I89),"")</f>
        <v>0.521</v>
      </c>
      <c r="R89" s="8" t="n">
        <f aca="false">IF(ISNUMBER(N89),PERCENTRANK($N$5:$N$337,N89),"")</f>
        <v>0.0824</v>
      </c>
      <c r="S89" s="8" t="n">
        <f aca="false">IF(ISNUMBER(O89),PERCENTRANK($O$5:$O$337,O89),"")</f>
        <v>0.648</v>
      </c>
      <c r="T89" s="8" t="n">
        <f aca="false">IF(ISNUMBER(P89),PERCENTRANK($P$5:$P$337,P89),"")</f>
        <v>0</v>
      </c>
      <c r="U89" s="9" t="n">
        <f aca="false">IF((IF(ISNUMBER(Q89),Inputs!$B$4,0)+IF(ISNUMBER(R89),Inputs!$B$5,0)+IF(ISNUMBER(S89),Inputs!$B$6,0)+IF(ISNUMBER(T89),Inputs!$B$7,0))=0,"",(IF(ISNUMBER(Q89),Inputs!$B$4*Q89,0)+IF(ISNUMBER(R89),Inputs!$B$5*R89,0)+IF(ISNUMBER(S89),Inputs!$B$6*S89,0)+IF(ISNUMBER(T89),Inputs!$B$7*T89,0))/(IF(ISNUMBER(Q89),Inputs!$B$4,0)+IF(ISNUMBER(R89),Inputs!$B$5,0)+IF(ISNUMBER(S89),Inputs!$B$6,0)+IF(ISNUMBER(T89),Inputs!$B$7,0)))</f>
        <v>0.3652</v>
      </c>
      <c r="V89" s="5" t="str">
        <f aca="false">IF(F89&gt;0,"Yes","No")</f>
        <v>Yes</v>
      </c>
      <c r="W89" s="5" t="str">
        <f aca="false">IF(ISNUMBER(N89),IF(N89&gt;=Inputs!$D$18,"Yes","No"),"No price")</f>
        <v>Yes</v>
      </c>
      <c r="X89" s="5" t="str">
        <f aca="false">IF(K89+L89&gt;0,"Yes",IF(M89&gt;0,"No","Unclear"))</f>
        <v>Yes</v>
      </c>
      <c r="Y89" s="5" t="str">
        <f aca="false">INDEX('API Data'!$H$2:$H$152,MATCH(B89,'API Data'!$A$2:$A$152,0))</f>
        <v>Yes</v>
      </c>
      <c r="Z89" s="5" t="str">
        <f aca="false">IF(COUNTIFS('Product Rows'!$A$2:$A$696,B89,'Product Rows'!$B$2:$B$696,C89,'Product Rows'!$I$2:$I$696,"Yes")&gt;0,"Yes","No")</f>
        <v>No</v>
      </c>
      <c r="AA89" s="5" t="str">
        <f aca="false">IF(P89&gt;=Inputs!$D$22,"Yes","No")</f>
        <v>No</v>
      </c>
      <c r="AB89" s="10" t="b">
        <f aca="false">AND(OR(Inputs!$B$17&lt;&gt;"Exclude",V89="Yes"),OR(Inputs!$B$18&lt;&gt;"Exclude",W89&lt;&gt;"No"),OR(Inputs!$B$19&lt;&gt;"Exclude",X89&lt;&gt;"No"),OR(Inputs!$B$20&lt;&gt;"Exclude",Y89="No"),OR(Inputs!$B$21&lt;&gt;"Exclude",Z89="No"),OR(Inputs!$B$22&lt;&gt;"Exclude",AA89="Yes"),ISNUMBER(U89))</f>
        <v>1</v>
      </c>
      <c r="AC89" s="5" t="n">
        <f aca="false">IF(AB89,COUNTIFS($C$5:$C$337,C89,$AB$5:$AB$337,TRUE(),$U$5:$U$337,"&gt;"&amp;U89)+COUNTIFS($C$5:C89,C89,$AB$5:AB89,TRUE(),$U$5:U89,U89),"")</f>
        <v>44</v>
      </c>
      <c r="AD89" s="5" t="str">
        <f aca="false">IF(AC89="","Not eligible",IF(AC89&lt;=Inputs!$B$25,"Lead",IF(AC89&lt;=Inputs!$B$25+Inputs!$B$26,"Next wave","Long list")))</f>
        <v>Long list</v>
      </c>
      <c r="AE89" s="5" t="str">
        <f aca="false">IF(AND(K89+L89=0,M89&gt;0),"Safety upgrade of existing prefilled syringe",IF(K89+L89+M89=0,"Confirm presentation (not stated in source)",IF(AA89="Yes","Differentiation in crowded generic market","Safety-device mandate compliance")))</f>
        <v>Safety-device mandate compliance</v>
      </c>
      <c r="AF89" s="5" t="str">
        <f aca="false">IF(AC89="","",C89&amp;"|"&amp;AC89)</f>
        <v>Intas Pharmaceuticals|44</v>
      </c>
    </row>
    <row r="90" customFormat="false" ht="15" hidden="false" customHeight="false" outlineLevel="0" collapsed="false">
      <c r="A90" s="5" t="n">
        <f aca="false">IF(ISNUMBER(U90),RANK(U90,$U$5:$U$337),"")</f>
        <v>90</v>
      </c>
      <c r="B90" s="5" t="s">
        <v>85</v>
      </c>
      <c r="C90" s="5" t="s">
        <v>47</v>
      </c>
      <c r="D90" s="5" t="str">
        <f aca="false">INDEX('API Data'!$B$2:$B$152,MATCH(B90,'API Data'!$A$2:$A$152,0))</f>
        <v>Oncology – paediatric tumours (Wilms, rhabdomyosarcoma, Ewing)</v>
      </c>
      <c r="E90" s="5" t="n">
        <f aca="false">COUNTIFS('Market Listing'!$A$2:$A$4054,B90,'Market Listing'!$B$2:$B$4054,C90)</f>
        <v>1</v>
      </c>
      <c r="F90" s="5" t="n">
        <f aca="false">COUNTIFS('Market Listing'!$A$2:$A$4054,B90,'Market Listing'!$B$2:$B$4054,C90,'Market Listing'!$D$2:$D$4054,"Tier 1")</f>
        <v>1</v>
      </c>
      <c r="G90" s="5" t="n">
        <f aca="false">COUNTIFS('Market Listing'!$A$2:$A$4054,B90,'Market Listing'!$B$2:$B$4054,C90,'Market Listing'!$D$2:$D$4054,"Tier 2")</f>
        <v>0</v>
      </c>
      <c r="H90" s="5" t="n">
        <f aca="false">COUNTIFS('Market Listing'!$A$2:$A$4054,B90,'Market Listing'!$B$2:$B$4054,C90,'Market Listing'!$D$2:$D$4054,"Tier 3")</f>
        <v>0</v>
      </c>
      <c r="I90" s="5" t="n">
        <f aca="false">SUMIFS('Market Listing'!$E$2:$E$4054,'Market Listing'!$A$2:$A$4054,B90,'Market Listing'!$B$2:$B$4054,C90)</f>
        <v>3</v>
      </c>
      <c r="J90" s="5" t="n">
        <f aca="false">COUNTIFS('Product Rows'!$A$2:$A$696,B90,'Product Rows'!$B$2:$B$696,C90)</f>
        <v>1</v>
      </c>
      <c r="K90" s="5" t="n">
        <f aca="false">COUNTIFS('Product Rows'!$A$2:$A$696,B90,'Product Rows'!$B$2:$B$696,C90,'Product Rows'!$G$2:$G$696,"Vial")</f>
        <v>1</v>
      </c>
      <c r="L90" s="5" t="n">
        <f aca="false">COUNTIFS('Product Rows'!$A$2:$A$696,B90,'Product Rows'!$B$2:$B$696,C90,'Product Rows'!$G$2:$G$696,"Ampoule")</f>
        <v>0</v>
      </c>
      <c r="M90" s="5" t="n">
        <f aca="false">COUNTIFS('Product Rows'!$A$2:$A$696,B90,'Product Rows'!$B$2:$B$696,C90,'Product Rows'!$G$2:$G$696,"Prefilled syringe/pen")</f>
        <v>0</v>
      </c>
      <c r="N90" s="6" t="n">
        <f aca="false">IFERROR(AVERAGEIFS('Product Rows'!$H$2:$H$696,'Product Rows'!$A$2:$A$696,B90,'Product Rows'!$B$2:$B$696,C90),"")</f>
        <v>427.8</v>
      </c>
      <c r="O90" s="7" t="n">
        <f aca="false">INDEX('API Data'!$E$2:$E$152,MATCH(B90,'API Data'!$A$2:$A$152,0))</f>
        <v>2151.51</v>
      </c>
      <c r="P90" s="5" t="n">
        <f aca="false">COUNTIF($B$5:$B$337,B90)</f>
        <v>1</v>
      </c>
      <c r="Q90" s="8" t="n">
        <f aca="false">IF(ISNUMBER(I90),PERCENTRANK($I$5:$I$337,I90),"")</f>
        <v>0.157</v>
      </c>
      <c r="R90" s="8" t="n">
        <f aca="false">IF(ISNUMBER(N90),PERCENTRANK($N$5:$N$337,N90),"")</f>
        <v>0.925</v>
      </c>
      <c r="S90" s="8" t="n">
        <f aca="false">IF(ISNUMBER(O90),PERCENTRANK($O$5:$O$337,O90),"")</f>
        <v>0.28</v>
      </c>
      <c r="T90" s="8" t="n">
        <f aca="false">IF(ISNUMBER(P90),PERCENTRANK($P$5:$P$337,P90),"")</f>
        <v>0</v>
      </c>
      <c r="U90" s="9" t="n">
        <f aca="false">IF((IF(ISNUMBER(Q90),Inputs!$B$4,0)+IF(ISNUMBER(R90),Inputs!$B$5,0)+IF(ISNUMBER(S90),Inputs!$B$6,0)+IF(ISNUMBER(T90),Inputs!$B$7,0))=0,"",(IF(ISNUMBER(Q90),Inputs!$B$4*Q90,0)+IF(ISNUMBER(R90),Inputs!$B$5*R90,0)+IF(ISNUMBER(S90),Inputs!$B$6*S90,0)+IF(ISNUMBER(T90),Inputs!$B$7*T90,0))/(IF(ISNUMBER(Q90),Inputs!$B$4,0)+IF(ISNUMBER(R90),Inputs!$B$5,0)+IF(ISNUMBER(S90),Inputs!$B$6,0)+IF(ISNUMBER(T90),Inputs!$B$7,0)))</f>
        <v>0.6025</v>
      </c>
      <c r="V90" s="5" t="str">
        <f aca="false">IF(F90&gt;0,"Yes","No")</f>
        <v>Yes</v>
      </c>
      <c r="W90" s="5" t="str">
        <f aca="false">IF(ISNUMBER(N90),IF(N90&gt;=Inputs!$D$18,"Yes","No"),"No price")</f>
        <v>Yes</v>
      </c>
      <c r="X90" s="5" t="str">
        <f aca="false">IF(K90+L90&gt;0,"Yes",IF(M90&gt;0,"No","Unclear"))</f>
        <v>Yes</v>
      </c>
      <c r="Y90" s="5" t="str">
        <f aca="false">INDEX('API Data'!$H$2:$H$152,MATCH(B90,'API Data'!$A$2:$A$152,0))</f>
        <v>Yes</v>
      </c>
      <c r="Z90" s="5" t="str">
        <f aca="false">IF(COUNTIFS('Product Rows'!$A$2:$A$696,B90,'Product Rows'!$B$2:$B$696,C90,'Product Rows'!$I$2:$I$696,"Yes")&gt;0,"Yes","No")</f>
        <v>Yes</v>
      </c>
      <c r="AA90" s="5" t="str">
        <f aca="false">IF(P90&gt;=Inputs!$D$22,"Yes","No")</f>
        <v>No</v>
      </c>
      <c r="AB90" s="10" t="b">
        <f aca="false">AND(OR(Inputs!$B$17&lt;&gt;"Exclude",V90="Yes"),OR(Inputs!$B$18&lt;&gt;"Exclude",W90&lt;&gt;"No"),OR(Inputs!$B$19&lt;&gt;"Exclude",X90&lt;&gt;"No"),OR(Inputs!$B$20&lt;&gt;"Exclude",Y90="No"),OR(Inputs!$B$21&lt;&gt;"Exclude",Z90="No"),OR(Inputs!$B$22&lt;&gt;"Exclude",AA90="Yes"),ISNUMBER(U90))</f>
        <v>1</v>
      </c>
      <c r="AC90" s="5" t="n">
        <f aca="false">IF(AB90,COUNTIFS($C$5:$C$337,C90,$AB$5:$AB$337,TRUE(),$U$5:$U$337,"&gt;"&amp;U90)+COUNTIFS($C$5:C90,C90,$AB$5:AB90,TRUE(),$U$5:U90,U90),"")</f>
        <v>12</v>
      </c>
      <c r="AD90" s="5" t="str">
        <f aca="false">IF(AC90="","Not eligible",IF(AC90&lt;=Inputs!$B$25,"Lead",IF(AC90&lt;=Inputs!$B$25+Inputs!$B$26,"Next wave","Long list")))</f>
        <v>Long list</v>
      </c>
      <c r="AE90" s="5" t="str">
        <f aca="false">IF(AND(K90+L90=0,M90&gt;0),"Safety upgrade of existing prefilled syringe",IF(K90+L90+M90=0,"Confirm presentation (not stated in source)",IF(AA90="Yes","Differentiation in crowded generic market","Safety-device mandate compliance")))</f>
        <v>Safety-device mandate compliance</v>
      </c>
      <c r="AF90" s="5" t="str">
        <f aca="false">IF(AC90="","",C90&amp;"|"&amp;AC90)</f>
        <v>Aurobindo Pharma|12</v>
      </c>
    </row>
    <row r="91" customFormat="false" ht="15" hidden="false" customHeight="false" outlineLevel="0" collapsed="false">
      <c r="A91" s="5" t="n">
        <f aca="false">IF(ISNUMBER(U91),RANK(U91,$U$5:$U$337),"")</f>
        <v>20</v>
      </c>
      <c r="B91" s="5" t="s">
        <v>86</v>
      </c>
      <c r="C91" s="5" t="s">
        <v>47</v>
      </c>
      <c r="D91" s="5" t="str">
        <f aca="false">INDEX('API Data'!$B$2:$B$152,MATCH(B91,'API Data'!$A$2:$A$152,0))</f>
        <v>Anti-infective – MRSA skin infections &amp; bacteraemia</v>
      </c>
      <c r="E91" s="5" t="n">
        <f aca="false">COUNTIFS('Market Listing'!$A$2:$A$4054,B91,'Market Listing'!$B$2:$B$4054,C91)</f>
        <v>28</v>
      </c>
      <c r="F91" s="5" t="n">
        <f aca="false">COUNTIFS('Market Listing'!$A$2:$A$4054,B91,'Market Listing'!$B$2:$B$4054,C91,'Market Listing'!$D$2:$D$4054,"Tier 1")</f>
        <v>5</v>
      </c>
      <c r="G91" s="5" t="n">
        <f aca="false">COUNTIFS('Market Listing'!$A$2:$A$4054,B91,'Market Listing'!$B$2:$B$4054,C91,'Market Listing'!$D$2:$D$4054,"Tier 2")</f>
        <v>3</v>
      </c>
      <c r="H91" s="5" t="n">
        <f aca="false">COUNTIFS('Market Listing'!$A$2:$A$4054,B91,'Market Listing'!$B$2:$B$4054,C91,'Market Listing'!$D$2:$D$4054,"Tier 3")</f>
        <v>20</v>
      </c>
      <c r="I91" s="5" t="n">
        <f aca="false">SUMIFS('Market Listing'!$E$2:$E$4054,'Market Listing'!$A$2:$A$4054,B91,'Market Listing'!$B$2:$B$4054,C91)</f>
        <v>41</v>
      </c>
      <c r="J91" s="5" t="n">
        <f aca="false">COUNTIFS('Product Rows'!$A$2:$A$696,B91,'Product Rows'!$B$2:$B$696,C91)</f>
        <v>1</v>
      </c>
      <c r="K91" s="5" t="n">
        <f aca="false">COUNTIFS('Product Rows'!$A$2:$A$696,B91,'Product Rows'!$B$2:$B$696,C91,'Product Rows'!$G$2:$G$696,"Vial")</f>
        <v>1</v>
      </c>
      <c r="L91" s="5" t="n">
        <f aca="false">COUNTIFS('Product Rows'!$A$2:$A$696,B91,'Product Rows'!$B$2:$B$696,C91,'Product Rows'!$G$2:$G$696,"Ampoule")</f>
        <v>0</v>
      </c>
      <c r="M91" s="5" t="n">
        <f aca="false">COUNTIFS('Product Rows'!$A$2:$A$696,B91,'Product Rows'!$B$2:$B$696,C91,'Product Rows'!$G$2:$G$696,"Prefilled syringe/pen")</f>
        <v>0</v>
      </c>
      <c r="N91" s="6" t="n">
        <f aca="false">IFERROR(AVERAGEIFS('Product Rows'!$H$2:$H$696,'Product Rows'!$A$2:$A$696,B91,'Product Rows'!$B$2:$B$696,C91),"")</f>
        <v>93.7335</v>
      </c>
      <c r="O91" s="7" t="n">
        <f aca="false">INDEX('API Data'!$E$2:$E$152,MATCH(B91,'API Data'!$A$2:$A$152,0))</f>
        <v>59827.18</v>
      </c>
      <c r="P91" s="5" t="n">
        <f aca="false">COUNTIF($B$5:$B$337,B91)</f>
        <v>8</v>
      </c>
      <c r="Q91" s="8" t="n">
        <f aca="false">IF(ISNUMBER(I91),PERCENTRANK($I$5:$I$337,I91),"")</f>
        <v>0.711</v>
      </c>
      <c r="R91" s="8" t="n">
        <f aca="false">IF(ISNUMBER(N91),PERCENTRANK($N$5:$N$337,N91),"")</f>
        <v>0.746</v>
      </c>
      <c r="S91" s="8" t="n">
        <f aca="false">IF(ISNUMBER(O91),PERCENTRANK($O$5:$O$337,O91),"")</f>
        <v>0.958</v>
      </c>
      <c r="T91" s="8" t="n">
        <f aca="false">IF(ISNUMBER(P91),PERCENTRANK($P$5:$P$337,P91),"")</f>
        <v>0.886</v>
      </c>
      <c r="U91" s="9" t="n">
        <f aca="false">IF((IF(ISNUMBER(Q91),Inputs!$B$4,0)+IF(ISNUMBER(R91),Inputs!$B$5,0)+IF(ISNUMBER(S91),Inputs!$B$6,0)+IF(ISNUMBER(T91),Inputs!$B$7,0))=0,"",(IF(ISNUMBER(Q91),Inputs!$B$4*Q91,0)+IF(ISNUMBER(R91),Inputs!$B$5*R91,0)+IF(ISNUMBER(S91),Inputs!$B$6*S91,0)+IF(ISNUMBER(T91),Inputs!$B$7*T91,0))/(IF(ISNUMBER(Q91),Inputs!$B$4,0)+IF(ISNUMBER(R91),Inputs!$B$5,0)+IF(ISNUMBER(S91),Inputs!$B$6,0)+IF(ISNUMBER(T91),Inputs!$B$7,0)))</f>
        <v>0.852</v>
      </c>
      <c r="V91" s="5" t="str">
        <f aca="false">IF(F91&gt;0,"Yes","No")</f>
        <v>Yes</v>
      </c>
      <c r="W91" s="5" t="str">
        <f aca="false">IF(ISNUMBER(N91),IF(N91&gt;=Inputs!$D$18,"Yes","No"),"No price")</f>
        <v>Yes</v>
      </c>
      <c r="X91" s="5" t="str">
        <f aca="false">IF(K91+L91&gt;0,"Yes",IF(M91&gt;0,"No","Unclear"))</f>
        <v>Yes</v>
      </c>
      <c r="Y91" s="5" t="str">
        <f aca="false">INDEX('API Data'!$H$2:$H$152,MATCH(B91,'API Data'!$A$2:$A$152,0))</f>
        <v>No</v>
      </c>
      <c r="Z91" s="5" t="str">
        <f aca="false">IF(COUNTIFS('Product Rows'!$A$2:$A$696,B91,'Product Rows'!$B$2:$B$696,C91,'Product Rows'!$I$2:$I$696,"Yes")&gt;0,"Yes","No")</f>
        <v>Yes</v>
      </c>
      <c r="AA91" s="5" t="str">
        <f aca="false">IF(P91&gt;=Inputs!$D$22,"Yes","No")</f>
        <v>Yes</v>
      </c>
      <c r="AB91" s="10" t="b">
        <f aca="false">AND(OR(Inputs!$B$17&lt;&gt;"Exclude",V91="Yes"),OR(Inputs!$B$18&lt;&gt;"Exclude",W91&lt;&gt;"No"),OR(Inputs!$B$19&lt;&gt;"Exclude",X91&lt;&gt;"No"),OR(Inputs!$B$20&lt;&gt;"Exclude",Y91="No"),OR(Inputs!$B$21&lt;&gt;"Exclude",Z91="No"),OR(Inputs!$B$22&lt;&gt;"Exclude",AA91="Yes"),ISNUMBER(U91))</f>
        <v>1</v>
      </c>
      <c r="AC91" s="5" t="n">
        <f aca="false">IF(AB91,COUNTIFS($C$5:$C$337,C91,$AB$5:$AB$337,TRUE(),$U$5:$U$337,"&gt;"&amp;U91)+COUNTIFS($C$5:C91,C91,$AB$5:AB91,TRUE(),$U$5:U91,U91),"")</f>
        <v>3</v>
      </c>
      <c r="AD91" s="5" t="str">
        <f aca="false">IF(AC91="","Not eligible",IF(AC91&lt;=Inputs!$B$25,"Lead",IF(AC91&lt;=Inputs!$B$25+Inputs!$B$26,"Next wave","Long list")))</f>
        <v>Lead</v>
      </c>
      <c r="AE91" s="5" t="str">
        <f aca="false">IF(AND(K91+L91=0,M91&gt;0),"Safety upgrade of existing prefilled syringe",IF(K91+L91+M91=0,"Confirm presentation (not stated in source)",IF(AA91="Yes","Differentiation in crowded generic market","Safety-device mandate compliance")))</f>
        <v>Differentiation in crowded generic market</v>
      </c>
      <c r="AF91" s="5" t="str">
        <f aca="false">IF(AC91="","",C91&amp;"|"&amp;AC91)</f>
        <v>Aurobindo Pharma|3</v>
      </c>
    </row>
    <row r="92" customFormat="false" ht="15" hidden="false" customHeight="false" outlineLevel="0" collapsed="false">
      <c r="A92" s="5" t="n">
        <f aca="false">IF(ISNUMBER(U92),RANK(U92,$U$5:$U$337),"")</f>
        <v>23</v>
      </c>
      <c r="B92" s="5" t="s">
        <v>86</v>
      </c>
      <c r="C92" s="5" t="s">
        <v>54</v>
      </c>
      <c r="D92" s="5" t="str">
        <f aca="false">INDEX('API Data'!$B$2:$B$152,MATCH(B92,'API Data'!$A$2:$A$152,0))</f>
        <v>Anti-infective – MRSA skin infections &amp; bacteraemia</v>
      </c>
      <c r="E92" s="5" t="n">
        <f aca="false">COUNTIFS('Market Listing'!$A$2:$A$4054,B92,'Market Listing'!$B$2:$B$4054,C92)</f>
        <v>30</v>
      </c>
      <c r="F92" s="5" t="n">
        <f aca="false">COUNTIFS('Market Listing'!$A$2:$A$4054,B92,'Market Listing'!$B$2:$B$4054,C92,'Market Listing'!$D$2:$D$4054,"Tier 1")</f>
        <v>6</v>
      </c>
      <c r="G92" s="5" t="n">
        <f aca="false">COUNTIFS('Market Listing'!$A$2:$A$4054,B92,'Market Listing'!$B$2:$B$4054,C92,'Market Listing'!$D$2:$D$4054,"Tier 2")</f>
        <v>4</v>
      </c>
      <c r="H92" s="5" t="n">
        <f aca="false">COUNTIFS('Market Listing'!$A$2:$A$4054,B92,'Market Listing'!$B$2:$B$4054,C92,'Market Listing'!$D$2:$D$4054,"Tier 3")</f>
        <v>20</v>
      </c>
      <c r="I92" s="5" t="n">
        <f aca="false">SUMIFS('Market Listing'!$E$2:$E$4054,'Market Listing'!$A$2:$A$4054,B92,'Market Listing'!$B$2:$B$4054,C92)</f>
        <v>46</v>
      </c>
      <c r="J92" s="5" t="n">
        <f aca="false">COUNTIFS('Product Rows'!$A$2:$A$696,B92,'Product Rows'!$B$2:$B$696,C92)</f>
        <v>4</v>
      </c>
      <c r="K92" s="5" t="n">
        <f aca="false">COUNTIFS('Product Rows'!$A$2:$A$696,B92,'Product Rows'!$B$2:$B$696,C92,'Product Rows'!$G$2:$G$696,"Vial")</f>
        <v>4</v>
      </c>
      <c r="L92" s="5" t="n">
        <f aca="false">COUNTIFS('Product Rows'!$A$2:$A$696,B92,'Product Rows'!$B$2:$B$696,C92,'Product Rows'!$G$2:$G$696,"Ampoule")</f>
        <v>0</v>
      </c>
      <c r="M92" s="5" t="n">
        <f aca="false">COUNTIFS('Product Rows'!$A$2:$A$696,B92,'Product Rows'!$B$2:$B$696,C92,'Product Rows'!$G$2:$G$696,"Prefilled syringe/pen")</f>
        <v>0</v>
      </c>
      <c r="N92" s="6" t="n">
        <f aca="false">IFERROR(AVERAGEIFS('Product Rows'!$H$2:$H$696,'Product Rows'!$A$2:$A$696,B92,'Product Rows'!$B$2:$B$696,C92),"")</f>
        <v>87.84675</v>
      </c>
      <c r="O92" s="7" t="n">
        <f aca="false">INDEX('API Data'!$E$2:$E$152,MATCH(B92,'API Data'!$A$2:$A$152,0))</f>
        <v>59827.18</v>
      </c>
      <c r="P92" s="5" t="n">
        <f aca="false">COUNTIF($B$5:$B$337,B92)</f>
        <v>8</v>
      </c>
      <c r="Q92" s="8" t="n">
        <f aca="false">IF(ISNUMBER(I92),PERCENTRANK($I$5:$I$337,I92),"")</f>
        <v>0.846</v>
      </c>
      <c r="R92" s="8" t="n">
        <f aca="false">IF(ISNUMBER(N92),PERCENTRANK($N$5:$N$337,N92),"")</f>
        <v>0.71</v>
      </c>
      <c r="S92" s="8" t="n">
        <f aca="false">IF(ISNUMBER(O92),PERCENTRANK($O$5:$O$337,O92),"")</f>
        <v>0.958</v>
      </c>
      <c r="T92" s="8" t="n">
        <f aca="false">IF(ISNUMBER(P92),PERCENTRANK($P$5:$P$337,P92),"")</f>
        <v>0.886</v>
      </c>
      <c r="U92" s="9" t="n">
        <f aca="false">IF((IF(ISNUMBER(Q92),Inputs!$B$4,0)+IF(ISNUMBER(R92),Inputs!$B$5,0)+IF(ISNUMBER(S92),Inputs!$B$6,0)+IF(ISNUMBER(T92),Inputs!$B$7,0))=0,"",(IF(ISNUMBER(Q92),Inputs!$B$4*Q92,0)+IF(ISNUMBER(R92),Inputs!$B$5*R92,0)+IF(ISNUMBER(S92),Inputs!$B$6*S92,0)+IF(ISNUMBER(T92),Inputs!$B$7*T92,0))/(IF(ISNUMBER(Q92),Inputs!$B$4,0)+IF(ISNUMBER(R92),Inputs!$B$5,0)+IF(ISNUMBER(S92),Inputs!$B$6,0)+IF(ISNUMBER(T92),Inputs!$B$7,0)))</f>
        <v>0.834</v>
      </c>
      <c r="V92" s="5" t="str">
        <f aca="false">IF(F92&gt;0,"Yes","No")</f>
        <v>Yes</v>
      </c>
      <c r="W92" s="5" t="str">
        <f aca="false">IF(ISNUMBER(N92),IF(N92&gt;=Inputs!$D$18,"Yes","No"),"No price")</f>
        <v>Yes</v>
      </c>
      <c r="X92" s="5" t="str">
        <f aca="false">IF(K92+L92&gt;0,"Yes",IF(M92&gt;0,"No","Unclear"))</f>
        <v>Yes</v>
      </c>
      <c r="Y92" s="5" t="str">
        <f aca="false">INDEX('API Data'!$H$2:$H$152,MATCH(B92,'API Data'!$A$2:$A$152,0))</f>
        <v>No</v>
      </c>
      <c r="Z92" s="5" t="str">
        <f aca="false">IF(COUNTIFS('Product Rows'!$A$2:$A$696,B92,'Product Rows'!$B$2:$B$696,C92,'Product Rows'!$I$2:$I$696,"Yes")&gt;0,"Yes","No")</f>
        <v>Yes</v>
      </c>
      <c r="AA92" s="5" t="str">
        <f aca="false">IF(P92&gt;=Inputs!$D$22,"Yes","No")</f>
        <v>Yes</v>
      </c>
      <c r="AB92" s="10" t="b">
        <f aca="false">AND(OR(Inputs!$B$17&lt;&gt;"Exclude",V92="Yes"),OR(Inputs!$B$18&lt;&gt;"Exclude",W92&lt;&gt;"No"),OR(Inputs!$B$19&lt;&gt;"Exclude",X92&lt;&gt;"No"),OR(Inputs!$B$20&lt;&gt;"Exclude",Y92="No"),OR(Inputs!$B$21&lt;&gt;"Exclude",Z92="No"),OR(Inputs!$B$22&lt;&gt;"Exclude",AA92="Yes"),ISNUMBER(U92))</f>
        <v>1</v>
      </c>
      <c r="AC92" s="5" t="n">
        <f aca="false">IF(AB92,COUNTIFS($C$5:$C$337,C92,$AB$5:$AB$337,TRUE(),$U$5:$U$337,"&gt;"&amp;U92)+COUNTIFS($C$5:C92,C92,$AB$5:AB92,TRUE(),$U$5:U92,U92),"")</f>
        <v>1</v>
      </c>
      <c r="AD92" s="5" t="str">
        <f aca="false">IF(AC92="","Not eligible",IF(AC92&lt;=Inputs!$B$25,"Lead",IF(AC92&lt;=Inputs!$B$25+Inputs!$B$26,"Next wave","Long list")))</f>
        <v>Lead</v>
      </c>
      <c r="AE92" s="5" t="str">
        <f aca="false">IF(AND(K92+L92=0,M92&gt;0),"Safety upgrade of existing prefilled syringe",IF(K92+L92+M92=0,"Confirm presentation (not stated in source)",IF(AA92="Yes","Differentiation in crowded generic market","Safety-device mandate compliance")))</f>
        <v>Differentiation in crowded generic market</v>
      </c>
      <c r="AF92" s="5" t="str">
        <f aca="false">IF(AC92="","",C92&amp;"|"&amp;AC92)</f>
        <v>Cipla|1</v>
      </c>
    </row>
    <row r="93" customFormat="false" ht="15" hidden="false" customHeight="false" outlineLevel="0" collapsed="false">
      <c r="A93" s="5" t="n">
        <f aca="false">IF(ISNUMBER(U93),RANK(U93,$U$5:$U$337),"")</f>
        <v>19</v>
      </c>
      <c r="B93" s="5" t="s">
        <v>86</v>
      </c>
      <c r="C93" s="5" t="s">
        <v>55</v>
      </c>
      <c r="D93" s="5" t="str">
        <f aca="false">INDEX('API Data'!$B$2:$B$152,MATCH(B93,'API Data'!$A$2:$A$152,0))</f>
        <v>Anti-infective – MRSA skin infections &amp; bacteraemia</v>
      </c>
      <c r="E93" s="5" t="n">
        <f aca="false">COUNTIFS('Market Listing'!$A$2:$A$4054,B93,'Market Listing'!$B$2:$B$4054,C93)</f>
        <v>31</v>
      </c>
      <c r="F93" s="5" t="n">
        <f aca="false">COUNTIFS('Market Listing'!$A$2:$A$4054,B93,'Market Listing'!$B$2:$B$4054,C93,'Market Listing'!$D$2:$D$4054,"Tier 1")</f>
        <v>7</v>
      </c>
      <c r="G93" s="5" t="n">
        <f aca="false">COUNTIFS('Market Listing'!$A$2:$A$4054,B93,'Market Listing'!$B$2:$B$4054,C93,'Market Listing'!$D$2:$D$4054,"Tier 2")</f>
        <v>4</v>
      </c>
      <c r="H93" s="5" t="n">
        <f aca="false">COUNTIFS('Market Listing'!$A$2:$A$4054,B93,'Market Listing'!$B$2:$B$4054,C93,'Market Listing'!$D$2:$D$4054,"Tier 3")</f>
        <v>20</v>
      </c>
      <c r="I93" s="5" t="n">
        <f aca="false">SUMIFS('Market Listing'!$E$2:$E$4054,'Market Listing'!$A$2:$A$4054,B93,'Market Listing'!$B$2:$B$4054,C93)</f>
        <v>49</v>
      </c>
      <c r="J93" s="5" t="n">
        <f aca="false">COUNTIFS('Product Rows'!$A$2:$A$696,B93,'Product Rows'!$B$2:$B$696,C93)</f>
        <v>5</v>
      </c>
      <c r="K93" s="5" t="n">
        <f aca="false">COUNTIFS('Product Rows'!$A$2:$A$696,B93,'Product Rows'!$B$2:$B$696,C93,'Product Rows'!$G$2:$G$696,"Vial")</f>
        <v>5</v>
      </c>
      <c r="L93" s="5" t="n">
        <f aca="false">COUNTIFS('Product Rows'!$A$2:$A$696,B93,'Product Rows'!$B$2:$B$696,C93,'Product Rows'!$G$2:$G$696,"Ampoule")</f>
        <v>0</v>
      </c>
      <c r="M93" s="5" t="n">
        <f aca="false">COUNTIFS('Product Rows'!$A$2:$A$696,B93,'Product Rows'!$B$2:$B$696,C93,'Product Rows'!$G$2:$G$696,"Prefilled syringe/pen")</f>
        <v>0</v>
      </c>
      <c r="N93" s="6" t="n">
        <f aca="false">IFERROR(AVERAGEIFS('Product Rows'!$H$2:$H$696,'Product Rows'!$A$2:$A$696,B93,'Product Rows'!$B$2:$B$696,C93),"")</f>
        <v>98.6798</v>
      </c>
      <c r="O93" s="7" t="n">
        <f aca="false">INDEX('API Data'!$E$2:$E$152,MATCH(B93,'API Data'!$A$2:$A$152,0))</f>
        <v>59827.18</v>
      </c>
      <c r="P93" s="5" t="n">
        <f aca="false">COUNTIF($B$5:$B$337,B93)</f>
        <v>8</v>
      </c>
      <c r="Q93" s="8" t="n">
        <f aca="false">IF(ISNUMBER(I93),PERCENTRANK($I$5:$I$337,I93),"")</f>
        <v>0.934</v>
      </c>
      <c r="R93" s="8" t="n">
        <f aca="false">IF(ISNUMBER(N93),PERCENTRANK($N$5:$N$337,N93),"")</f>
        <v>0.753</v>
      </c>
      <c r="S93" s="8" t="n">
        <f aca="false">IF(ISNUMBER(O93),PERCENTRANK($O$5:$O$337,O93),"")</f>
        <v>0.958</v>
      </c>
      <c r="T93" s="8" t="n">
        <f aca="false">IF(ISNUMBER(P93),PERCENTRANK($P$5:$P$337,P93),"")</f>
        <v>0.886</v>
      </c>
      <c r="U93" s="9" t="n">
        <f aca="false">IF((IF(ISNUMBER(Q93),Inputs!$B$4,0)+IF(ISNUMBER(R93),Inputs!$B$5,0)+IF(ISNUMBER(S93),Inputs!$B$6,0)+IF(ISNUMBER(T93),Inputs!$B$7,0))=0,"",(IF(ISNUMBER(Q93),Inputs!$B$4*Q93,0)+IF(ISNUMBER(R93),Inputs!$B$5*R93,0)+IF(ISNUMBER(S93),Inputs!$B$6*S93,0)+IF(ISNUMBER(T93),Inputs!$B$7*T93,0))/(IF(ISNUMBER(Q93),Inputs!$B$4,0)+IF(ISNUMBER(R93),Inputs!$B$5,0)+IF(ISNUMBER(S93),Inputs!$B$6,0)+IF(ISNUMBER(T93),Inputs!$B$7,0)))</f>
        <v>0.8555</v>
      </c>
      <c r="V93" s="5" t="str">
        <f aca="false">IF(F93&gt;0,"Yes","No")</f>
        <v>Yes</v>
      </c>
      <c r="W93" s="5" t="str">
        <f aca="false">IF(ISNUMBER(N93),IF(N93&gt;=Inputs!$D$18,"Yes","No"),"No price")</f>
        <v>Yes</v>
      </c>
      <c r="X93" s="5" t="str">
        <f aca="false">IF(K93+L93&gt;0,"Yes",IF(M93&gt;0,"No","Unclear"))</f>
        <v>Yes</v>
      </c>
      <c r="Y93" s="5" t="str">
        <f aca="false">INDEX('API Data'!$H$2:$H$152,MATCH(B93,'API Data'!$A$2:$A$152,0))</f>
        <v>No</v>
      </c>
      <c r="Z93" s="5" t="str">
        <f aca="false">IF(COUNTIFS('Product Rows'!$A$2:$A$696,B93,'Product Rows'!$B$2:$B$696,C93,'Product Rows'!$I$2:$I$696,"Yes")&gt;0,"Yes","No")</f>
        <v>Yes</v>
      </c>
      <c r="AA93" s="5" t="str">
        <f aca="false">IF(P93&gt;=Inputs!$D$22,"Yes","No")</f>
        <v>Yes</v>
      </c>
      <c r="AB93" s="10" t="b">
        <f aca="false">AND(OR(Inputs!$B$17&lt;&gt;"Exclude",V93="Yes"),OR(Inputs!$B$18&lt;&gt;"Exclude",W93&lt;&gt;"No"),OR(Inputs!$B$19&lt;&gt;"Exclude",X93&lt;&gt;"No"),OR(Inputs!$B$20&lt;&gt;"Exclude",Y93="No"),OR(Inputs!$B$21&lt;&gt;"Exclude",Z93="No"),OR(Inputs!$B$22&lt;&gt;"Exclude",AA93="Yes"),ISNUMBER(U93))</f>
        <v>1</v>
      </c>
      <c r="AC93" s="5" t="n">
        <f aca="false">IF(AB93,COUNTIFS($C$5:$C$337,C93,$AB$5:$AB$337,TRUE(),$U$5:$U$337,"&gt;"&amp;U93)+COUNTIFS($C$5:C93,C93,$AB$5:AB93,TRUE(),$U$5:U93,U93),"")</f>
        <v>3</v>
      </c>
      <c r="AD93" s="5" t="str">
        <f aca="false">IF(AC93="","Not eligible",IF(AC93&lt;=Inputs!$B$25,"Lead",IF(AC93&lt;=Inputs!$B$25+Inputs!$B$26,"Next wave","Long list")))</f>
        <v>Lead</v>
      </c>
      <c r="AE93" s="5" t="str">
        <f aca="false">IF(AND(K93+L93=0,M93&gt;0),"Safety upgrade of existing prefilled syringe",IF(K93+L93+M93=0,"Confirm presentation (not stated in source)",IF(AA93="Yes","Differentiation in crowded generic market","Safety-device mandate compliance")))</f>
        <v>Differentiation in crowded generic market</v>
      </c>
      <c r="AF93" s="5" t="str">
        <f aca="false">IF(AC93="","",C93&amp;"|"&amp;AC93)</f>
        <v>Dr. Reddy's Laboratories|3</v>
      </c>
    </row>
    <row r="94" customFormat="false" ht="15" hidden="false" customHeight="false" outlineLevel="0" collapsed="false">
      <c r="A94" s="5" t="n">
        <f aca="false">IF(ISNUMBER(U94),RANK(U94,$U$5:$U$337),"")</f>
        <v>23</v>
      </c>
      <c r="B94" s="5" t="s">
        <v>86</v>
      </c>
      <c r="C94" s="5" t="s">
        <v>35</v>
      </c>
      <c r="D94" s="5" t="str">
        <f aca="false">INDEX('API Data'!$B$2:$B$152,MATCH(B94,'API Data'!$A$2:$A$152,0))</f>
        <v>Anti-infective – MRSA skin infections &amp; bacteraemia</v>
      </c>
      <c r="E94" s="5" t="n">
        <f aca="false">COUNTIFS('Market Listing'!$A$2:$A$4054,B94,'Market Listing'!$B$2:$B$4054,C94)</f>
        <v>29</v>
      </c>
      <c r="F94" s="5" t="n">
        <f aca="false">COUNTIFS('Market Listing'!$A$2:$A$4054,B94,'Market Listing'!$B$2:$B$4054,C94,'Market Listing'!$D$2:$D$4054,"Tier 1")</f>
        <v>6</v>
      </c>
      <c r="G94" s="5" t="n">
        <f aca="false">COUNTIFS('Market Listing'!$A$2:$A$4054,B94,'Market Listing'!$B$2:$B$4054,C94,'Market Listing'!$D$2:$D$4054,"Tier 2")</f>
        <v>3</v>
      </c>
      <c r="H94" s="5" t="n">
        <f aca="false">COUNTIFS('Market Listing'!$A$2:$A$4054,B94,'Market Listing'!$B$2:$B$4054,C94,'Market Listing'!$D$2:$D$4054,"Tier 3")</f>
        <v>20</v>
      </c>
      <c r="I94" s="5" t="n">
        <f aca="false">SUMIFS('Market Listing'!$E$2:$E$4054,'Market Listing'!$A$2:$A$4054,B94,'Market Listing'!$B$2:$B$4054,C94)</f>
        <v>44</v>
      </c>
      <c r="J94" s="5" t="n">
        <f aca="false">COUNTIFS('Product Rows'!$A$2:$A$696,B94,'Product Rows'!$B$2:$B$696,C94)</f>
        <v>2</v>
      </c>
      <c r="K94" s="5" t="n">
        <f aca="false">COUNTIFS('Product Rows'!$A$2:$A$696,B94,'Product Rows'!$B$2:$B$696,C94,'Product Rows'!$G$2:$G$696,"Vial")</f>
        <v>2</v>
      </c>
      <c r="L94" s="5" t="n">
        <f aca="false">COUNTIFS('Product Rows'!$A$2:$A$696,B94,'Product Rows'!$B$2:$B$696,C94,'Product Rows'!$G$2:$G$696,"Ampoule")</f>
        <v>0</v>
      </c>
      <c r="M94" s="5" t="n">
        <f aca="false">COUNTIFS('Product Rows'!$A$2:$A$696,B94,'Product Rows'!$B$2:$B$696,C94,'Product Rows'!$G$2:$G$696,"Prefilled syringe/pen")</f>
        <v>0</v>
      </c>
      <c r="N94" s="6" t="n">
        <f aca="false">IFERROR(AVERAGEIFS('Product Rows'!$H$2:$H$696,'Product Rows'!$A$2:$A$696,B94,'Product Rows'!$B$2:$B$696,C94),"")</f>
        <v>87.84675</v>
      </c>
      <c r="O94" s="7" t="n">
        <f aca="false">INDEX('API Data'!$E$2:$E$152,MATCH(B94,'API Data'!$A$2:$A$152,0))</f>
        <v>59827.18</v>
      </c>
      <c r="P94" s="5" t="n">
        <f aca="false">COUNTIF($B$5:$B$337,B94)</f>
        <v>8</v>
      </c>
      <c r="Q94" s="8" t="n">
        <f aca="false">IF(ISNUMBER(I94),PERCENTRANK($I$5:$I$337,I94),"")</f>
        <v>0.798</v>
      </c>
      <c r="R94" s="8" t="n">
        <f aca="false">IF(ISNUMBER(N94),PERCENTRANK($N$5:$N$337,N94),"")</f>
        <v>0.71</v>
      </c>
      <c r="S94" s="8" t="n">
        <f aca="false">IF(ISNUMBER(O94),PERCENTRANK($O$5:$O$337,O94),"")</f>
        <v>0.958</v>
      </c>
      <c r="T94" s="8" t="n">
        <f aca="false">IF(ISNUMBER(P94),PERCENTRANK($P$5:$P$337,P94),"")</f>
        <v>0.886</v>
      </c>
      <c r="U94" s="9" t="n">
        <f aca="false">IF((IF(ISNUMBER(Q94),Inputs!$B$4,0)+IF(ISNUMBER(R94),Inputs!$B$5,0)+IF(ISNUMBER(S94),Inputs!$B$6,0)+IF(ISNUMBER(T94),Inputs!$B$7,0))=0,"",(IF(ISNUMBER(Q94),Inputs!$B$4*Q94,0)+IF(ISNUMBER(R94),Inputs!$B$5*R94,0)+IF(ISNUMBER(S94),Inputs!$B$6*S94,0)+IF(ISNUMBER(T94),Inputs!$B$7*T94,0))/(IF(ISNUMBER(Q94),Inputs!$B$4,0)+IF(ISNUMBER(R94),Inputs!$B$5,0)+IF(ISNUMBER(S94),Inputs!$B$6,0)+IF(ISNUMBER(T94),Inputs!$B$7,0)))</f>
        <v>0.834</v>
      </c>
      <c r="V94" s="5" t="str">
        <f aca="false">IF(F94&gt;0,"Yes","No")</f>
        <v>Yes</v>
      </c>
      <c r="W94" s="5" t="str">
        <f aca="false">IF(ISNUMBER(N94),IF(N94&gt;=Inputs!$D$18,"Yes","No"),"No price")</f>
        <v>Yes</v>
      </c>
      <c r="X94" s="5" t="str">
        <f aca="false">IF(K94+L94&gt;0,"Yes",IF(M94&gt;0,"No","Unclear"))</f>
        <v>Yes</v>
      </c>
      <c r="Y94" s="5" t="str">
        <f aca="false">INDEX('API Data'!$H$2:$H$152,MATCH(B94,'API Data'!$A$2:$A$152,0))</f>
        <v>No</v>
      </c>
      <c r="Z94" s="5" t="str">
        <f aca="false">IF(COUNTIFS('Product Rows'!$A$2:$A$696,B94,'Product Rows'!$B$2:$B$696,C94,'Product Rows'!$I$2:$I$696,"Yes")&gt;0,"Yes","No")</f>
        <v>Yes</v>
      </c>
      <c r="AA94" s="5" t="str">
        <f aca="false">IF(P94&gt;=Inputs!$D$22,"Yes","No")</f>
        <v>Yes</v>
      </c>
      <c r="AB94" s="10" t="b">
        <f aca="false">AND(OR(Inputs!$B$17&lt;&gt;"Exclude",V94="Yes"),OR(Inputs!$B$18&lt;&gt;"Exclude",W94&lt;&gt;"No"),OR(Inputs!$B$19&lt;&gt;"Exclude",X94&lt;&gt;"No"),OR(Inputs!$B$20&lt;&gt;"Exclude",Y94="No"),OR(Inputs!$B$21&lt;&gt;"Exclude",Z94="No"),OR(Inputs!$B$22&lt;&gt;"Exclude",AA94="Yes"),ISNUMBER(U94))</f>
        <v>1</v>
      </c>
      <c r="AC94" s="5" t="n">
        <f aca="false">IF(AB94,COUNTIFS($C$5:$C$337,C94,$AB$5:$AB$337,TRUE(),$U$5:$U$337,"&gt;"&amp;U94)+COUNTIFS($C$5:C94,C94,$AB$5:AB94,TRUE(),$U$5:U94,U94),"")</f>
        <v>3</v>
      </c>
      <c r="AD94" s="5" t="str">
        <f aca="false">IF(AC94="","Not eligible",IF(AC94&lt;=Inputs!$B$25,"Lead",IF(AC94&lt;=Inputs!$B$25+Inputs!$B$26,"Next wave","Long list")))</f>
        <v>Lead</v>
      </c>
      <c r="AE94" s="5" t="str">
        <f aca="false">IF(AND(K94+L94=0,M94&gt;0),"Safety upgrade of existing prefilled syringe",IF(K94+L94+M94=0,"Confirm presentation (not stated in source)",IF(AA94="Yes","Differentiation in crowded generic market","Safety-device mandate compliance")))</f>
        <v>Differentiation in crowded generic market</v>
      </c>
      <c r="AF94" s="5" t="str">
        <f aca="false">IF(AC94="","",C94&amp;"|"&amp;AC94)</f>
        <v>Emcure Pharmaceuticals|3</v>
      </c>
    </row>
    <row r="95" customFormat="false" ht="15" hidden="false" customHeight="false" outlineLevel="0" collapsed="false">
      <c r="A95" s="5" t="n">
        <f aca="false">IF(ISNUMBER(U95),RANK(U95,$U$5:$U$337),"")</f>
        <v>27</v>
      </c>
      <c r="B95" s="5" t="s">
        <v>86</v>
      </c>
      <c r="C95" s="5" t="s">
        <v>57</v>
      </c>
      <c r="D95" s="5" t="str">
        <f aca="false">INDEX('API Data'!$B$2:$B$152,MATCH(B95,'API Data'!$A$2:$A$152,0))</f>
        <v>Anti-infective – MRSA skin infections &amp; bacteraemia</v>
      </c>
      <c r="E95" s="5" t="n">
        <f aca="false">COUNTIFS('Market Listing'!$A$2:$A$4054,B95,'Market Listing'!$B$2:$B$4054,C95)</f>
        <v>29</v>
      </c>
      <c r="F95" s="5" t="n">
        <f aca="false">COUNTIFS('Market Listing'!$A$2:$A$4054,B95,'Market Listing'!$B$2:$B$4054,C95,'Market Listing'!$D$2:$D$4054,"Tier 1")</f>
        <v>6</v>
      </c>
      <c r="G95" s="5" t="n">
        <f aca="false">COUNTIFS('Market Listing'!$A$2:$A$4054,B95,'Market Listing'!$B$2:$B$4054,C95,'Market Listing'!$D$2:$D$4054,"Tier 2")</f>
        <v>3</v>
      </c>
      <c r="H95" s="5" t="n">
        <f aca="false">COUNTIFS('Market Listing'!$A$2:$A$4054,B95,'Market Listing'!$B$2:$B$4054,C95,'Market Listing'!$D$2:$D$4054,"Tier 3")</f>
        <v>20</v>
      </c>
      <c r="I95" s="5" t="n">
        <f aca="false">SUMIFS('Market Listing'!$E$2:$E$4054,'Market Listing'!$A$2:$A$4054,B95,'Market Listing'!$B$2:$B$4054,C95)</f>
        <v>44</v>
      </c>
      <c r="J95" s="5" t="n">
        <f aca="false">COUNTIFS('Product Rows'!$A$2:$A$696,B95,'Product Rows'!$B$2:$B$696,C95)</f>
        <v>2</v>
      </c>
      <c r="K95" s="5" t="n">
        <f aca="false">COUNTIFS('Product Rows'!$A$2:$A$696,B95,'Product Rows'!$B$2:$B$696,C95,'Product Rows'!$G$2:$G$696,"Vial")</f>
        <v>2</v>
      </c>
      <c r="L95" s="5" t="n">
        <f aca="false">COUNTIFS('Product Rows'!$A$2:$A$696,B95,'Product Rows'!$B$2:$B$696,C95,'Product Rows'!$G$2:$G$696,"Ampoule")</f>
        <v>0</v>
      </c>
      <c r="M95" s="5" t="n">
        <f aca="false">COUNTIFS('Product Rows'!$A$2:$A$696,B95,'Product Rows'!$B$2:$B$696,C95,'Product Rows'!$G$2:$G$696,"Prefilled syringe/pen")</f>
        <v>0</v>
      </c>
      <c r="N95" s="6" t="n">
        <f aca="false">IFERROR(AVERAGEIFS('Product Rows'!$H$2:$H$696,'Product Rows'!$A$2:$A$696,B95,'Product Rows'!$B$2:$B$696,C95),"")</f>
        <v>83.75175</v>
      </c>
      <c r="O95" s="7" t="n">
        <f aca="false">INDEX('API Data'!$E$2:$E$152,MATCH(B95,'API Data'!$A$2:$A$152,0))</f>
        <v>59827.18</v>
      </c>
      <c r="P95" s="5" t="n">
        <f aca="false">COUNTIF($B$5:$B$337,B95)</f>
        <v>8</v>
      </c>
      <c r="Q95" s="8" t="n">
        <f aca="false">IF(ISNUMBER(I95),PERCENTRANK($I$5:$I$337,I95),"")</f>
        <v>0.798</v>
      </c>
      <c r="R95" s="8" t="n">
        <f aca="false">IF(ISNUMBER(N95),PERCENTRANK($N$5:$N$337,N95),"")</f>
        <v>0.706</v>
      </c>
      <c r="S95" s="8" t="n">
        <f aca="false">IF(ISNUMBER(O95),PERCENTRANK($O$5:$O$337,O95),"")</f>
        <v>0.958</v>
      </c>
      <c r="T95" s="8" t="n">
        <f aca="false">IF(ISNUMBER(P95),PERCENTRANK($P$5:$P$337,P95),"")</f>
        <v>0.886</v>
      </c>
      <c r="U95" s="9" t="n">
        <f aca="false">IF((IF(ISNUMBER(Q95),Inputs!$B$4,0)+IF(ISNUMBER(R95),Inputs!$B$5,0)+IF(ISNUMBER(S95),Inputs!$B$6,0)+IF(ISNUMBER(T95),Inputs!$B$7,0))=0,"",(IF(ISNUMBER(Q95),Inputs!$B$4*Q95,0)+IF(ISNUMBER(R95),Inputs!$B$5*R95,0)+IF(ISNUMBER(S95),Inputs!$B$6*S95,0)+IF(ISNUMBER(T95),Inputs!$B$7*T95,0))/(IF(ISNUMBER(Q95),Inputs!$B$4,0)+IF(ISNUMBER(R95),Inputs!$B$5,0)+IF(ISNUMBER(S95),Inputs!$B$6,0)+IF(ISNUMBER(T95),Inputs!$B$7,0)))</f>
        <v>0.832</v>
      </c>
      <c r="V95" s="5" t="str">
        <f aca="false">IF(F95&gt;0,"Yes","No")</f>
        <v>Yes</v>
      </c>
      <c r="W95" s="5" t="str">
        <f aca="false">IF(ISNUMBER(N95),IF(N95&gt;=Inputs!$D$18,"Yes","No"),"No price")</f>
        <v>Yes</v>
      </c>
      <c r="X95" s="5" t="str">
        <f aca="false">IF(K95+L95&gt;0,"Yes",IF(M95&gt;0,"No","Unclear"))</f>
        <v>Yes</v>
      </c>
      <c r="Y95" s="5" t="str">
        <f aca="false">INDEX('API Data'!$H$2:$H$152,MATCH(B95,'API Data'!$A$2:$A$152,0))</f>
        <v>No</v>
      </c>
      <c r="Z95" s="5" t="str">
        <f aca="false">IF(COUNTIFS('Product Rows'!$A$2:$A$696,B95,'Product Rows'!$B$2:$B$696,C95,'Product Rows'!$I$2:$I$696,"Yes")&gt;0,"Yes","No")</f>
        <v>Yes</v>
      </c>
      <c r="AA95" s="5" t="str">
        <f aca="false">IF(P95&gt;=Inputs!$D$22,"Yes","No")</f>
        <v>Yes</v>
      </c>
      <c r="AB95" s="10" t="b">
        <f aca="false">AND(OR(Inputs!$B$17&lt;&gt;"Exclude",V95="Yes"),OR(Inputs!$B$18&lt;&gt;"Exclude",W95&lt;&gt;"No"),OR(Inputs!$B$19&lt;&gt;"Exclude",X95&lt;&gt;"No"),OR(Inputs!$B$20&lt;&gt;"Exclude",Y95="No"),OR(Inputs!$B$21&lt;&gt;"Exclude",Z95="No"),OR(Inputs!$B$22&lt;&gt;"Exclude",AA95="Yes"),ISNUMBER(U95))</f>
        <v>1</v>
      </c>
      <c r="AC95" s="5" t="n">
        <f aca="false">IF(AB95,COUNTIFS($C$5:$C$337,C95,$AB$5:$AB$337,TRUE(),$U$5:$U$337,"&gt;"&amp;U95)+COUNTIFS($C$5:C95,C95,$AB$5:AB95,TRUE(),$U$5:U95,U95),"")</f>
        <v>4</v>
      </c>
      <c r="AD95" s="5" t="str">
        <f aca="false">IF(AC95="","Not eligible",IF(AC95&lt;=Inputs!$B$25,"Lead",IF(AC95&lt;=Inputs!$B$25+Inputs!$B$26,"Next wave","Long list")))</f>
        <v>Lead</v>
      </c>
      <c r="AE95" s="5" t="str">
        <f aca="false">IF(AND(K95+L95=0,M95&gt;0),"Safety upgrade of existing prefilled syringe",IF(K95+L95+M95=0,"Confirm presentation (not stated in source)",IF(AA95="Yes","Differentiation in crowded generic market","Safety-device mandate compliance")))</f>
        <v>Differentiation in crowded generic market</v>
      </c>
      <c r="AF95" s="5" t="str">
        <f aca="false">IF(AC95="","",C95&amp;"|"&amp;AC95)</f>
        <v>Hetero Labs|4</v>
      </c>
    </row>
    <row r="96" customFormat="false" ht="15" hidden="false" customHeight="false" outlineLevel="0" collapsed="false">
      <c r="A96" s="5" t="n">
        <f aca="false">IF(ISNUMBER(U96),RANK(U96,$U$5:$U$337),"")</f>
        <v>32</v>
      </c>
      <c r="B96" s="5" t="s">
        <v>86</v>
      </c>
      <c r="C96" s="5" t="s">
        <v>44</v>
      </c>
      <c r="D96" s="5" t="str">
        <f aca="false">INDEX('API Data'!$B$2:$B$152,MATCH(B96,'API Data'!$A$2:$A$152,0))</f>
        <v>Anti-infective – MRSA skin infections &amp; bacteraemia</v>
      </c>
      <c r="E96" s="5" t="n">
        <f aca="false">COUNTIFS('Market Listing'!$A$2:$A$4054,B96,'Market Listing'!$B$2:$B$4054,C96)</f>
        <v>31</v>
      </c>
      <c r="F96" s="5" t="n">
        <f aca="false">COUNTIFS('Market Listing'!$A$2:$A$4054,B96,'Market Listing'!$B$2:$B$4054,C96,'Market Listing'!$D$2:$D$4054,"Tier 1")</f>
        <v>6</v>
      </c>
      <c r="G96" s="5" t="n">
        <f aca="false">COUNTIFS('Market Listing'!$A$2:$A$4054,B96,'Market Listing'!$B$2:$B$4054,C96,'Market Listing'!$D$2:$D$4054,"Tier 2")</f>
        <v>5</v>
      </c>
      <c r="H96" s="5" t="n">
        <f aca="false">COUNTIFS('Market Listing'!$A$2:$A$4054,B96,'Market Listing'!$B$2:$B$4054,C96,'Market Listing'!$D$2:$D$4054,"Tier 3")</f>
        <v>20</v>
      </c>
      <c r="I96" s="5" t="n">
        <f aca="false">SUMIFS('Market Listing'!$E$2:$E$4054,'Market Listing'!$A$2:$A$4054,B96,'Market Listing'!$B$2:$B$4054,C96)</f>
        <v>48</v>
      </c>
      <c r="J96" s="5" t="n">
        <f aca="false">COUNTIFS('Product Rows'!$A$2:$A$696,B96,'Product Rows'!$B$2:$B$696,C96)</f>
        <v>5</v>
      </c>
      <c r="K96" s="5" t="n">
        <f aca="false">COUNTIFS('Product Rows'!$A$2:$A$696,B96,'Product Rows'!$B$2:$B$696,C96,'Product Rows'!$G$2:$G$696,"Vial")</f>
        <v>5</v>
      </c>
      <c r="L96" s="5" t="n">
        <f aca="false">COUNTIFS('Product Rows'!$A$2:$A$696,B96,'Product Rows'!$B$2:$B$696,C96,'Product Rows'!$G$2:$G$696,"Ampoule")</f>
        <v>0</v>
      </c>
      <c r="M96" s="5" t="n">
        <f aca="false">COUNTIFS('Product Rows'!$A$2:$A$696,B96,'Product Rows'!$B$2:$B$696,C96,'Product Rows'!$G$2:$G$696,"Prefilled syringe/pen")</f>
        <v>0</v>
      </c>
      <c r="N96" s="6" t="n">
        <f aca="false">IFERROR(AVERAGEIFS('Product Rows'!$H$2:$H$696,'Product Rows'!$A$2:$A$696,B96,'Product Rows'!$B$2:$B$696,C96),"")</f>
        <v>66.7578333333333</v>
      </c>
      <c r="O96" s="7" t="n">
        <f aca="false">INDEX('API Data'!$E$2:$E$152,MATCH(B96,'API Data'!$A$2:$A$152,0))</f>
        <v>59827.18</v>
      </c>
      <c r="P96" s="5" t="n">
        <f aca="false">COUNTIF($B$5:$B$337,B96)</f>
        <v>8</v>
      </c>
      <c r="Q96" s="8" t="n">
        <f aca="false">IF(ISNUMBER(I96),PERCENTRANK($I$5:$I$337,I96),"")</f>
        <v>0.916</v>
      </c>
      <c r="R96" s="8" t="n">
        <f aca="false">IF(ISNUMBER(N96),PERCENTRANK($N$5:$N$337,N96),"")</f>
        <v>0.674</v>
      </c>
      <c r="S96" s="8" t="n">
        <f aca="false">IF(ISNUMBER(O96),PERCENTRANK($O$5:$O$337,O96),"")</f>
        <v>0.958</v>
      </c>
      <c r="T96" s="8" t="n">
        <f aca="false">IF(ISNUMBER(P96),PERCENTRANK($P$5:$P$337,P96),"")</f>
        <v>0.886</v>
      </c>
      <c r="U96" s="9" t="n">
        <f aca="false">IF((IF(ISNUMBER(Q96),Inputs!$B$4,0)+IF(ISNUMBER(R96),Inputs!$B$5,0)+IF(ISNUMBER(S96),Inputs!$B$6,0)+IF(ISNUMBER(T96),Inputs!$B$7,0))=0,"",(IF(ISNUMBER(Q96),Inputs!$B$4*Q96,0)+IF(ISNUMBER(R96),Inputs!$B$5*R96,0)+IF(ISNUMBER(S96),Inputs!$B$6*S96,0)+IF(ISNUMBER(T96),Inputs!$B$7*T96,0))/(IF(ISNUMBER(Q96),Inputs!$B$4,0)+IF(ISNUMBER(R96),Inputs!$B$5,0)+IF(ISNUMBER(S96),Inputs!$B$6,0)+IF(ISNUMBER(T96),Inputs!$B$7,0)))</f>
        <v>0.816</v>
      </c>
      <c r="V96" s="5" t="str">
        <f aca="false">IF(F96&gt;0,"Yes","No")</f>
        <v>Yes</v>
      </c>
      <c r="W96" s="5" t="str">
        <f aca="false">IF(ISNUMBER(N96),IF(N96&gt;=Inputs!$D$18,"Yes","No"),"No price")</f>
        <v>Yes</v>
      </c>
      <c r="X96" s="5" t="str">
        <f aca="false">IF(K96+L96&gt;0,"Yes",IF(M96&gt;0,"No","Unclear"))</f>
        <v>Yes</v>
      </c>
      <c r="Y96" s="5" t="str">
        <f aca="false">INDEX('API Data'!$H$2:$H$152,MATCH(B96,'API Data'!$A$2:$A$152,0))</f>
        <v>No</v>
      </c>
      <c r="Z96" s="5" t="str">
        <f aca="false">IF(COUNTIFS('Product Rows'!$A$2:$A$696,B96,'Product Rows'!$B$2:$B$696,C96,'Product Rows'!$I$2:$I$696,"Yes")&gt;0,"Yes","No")</f>
        <v>Yes</v>
      </c>
      <c r="AA96" s="5" t="str">
        <f aca="false">IF(P96&gt;=Inputs!$D$22,"Yes","No")</f>
        <v>Yes</v>
      </c>
      <c r="AB96" s="10" t="b">
        <f aca="false">AND(OR(Inputs!$B$17&lt;&gt;"Exclude",V96="Yes"),OR(Inputs!$B$18&lt;&gt;"Exclude",W96&lt;&gt;"No"),OR(Inputs!$B$19&lt;&gt;"Exclude",X96&lt;&gt;"No"),OR(Inputs!$B$20&lt;&gt;"Exclude",Y96="No"),OR(Inputs!$B$21&lt;&gt;"Exclude",Z96="No"),OR(Inputs!$B$22&lt;&gt;"Exclude",AA96="Yes"),ISNUMBER(U96))</f>
        <v>1</v>
      </c>
      <c r="AC96" s="5" t="n">
        <f aca="false">IF(AB96,COUNTIFS($C$5:$C$337,C96,$AB$5:$AB$337,TRUE(),$U$5:$U$337,"&gt;"&amp;U96)+COUNTIFS($C$5:C96,C96,$AB$5:AB96,TRUE(),$U$5:U96,U96),"")</f>
        <v>8</v>
      </c>
      <c r="AD96" s="5" t="str">
        <f aca="false">IF(AC96="","Not eligible",IF(AC96&lt;=Inputs!$B$25,"Lead",IF(AC96&lt;=Inputs!$B$25+Inputs!$B$26,"Next wave","Long list")))</f>
        <v>Next wave</v>
      </c>
      <c r="AE96" s="5" t="str">
        <f aca="false">IF(AND(K96+L96=0,M96&gt;0),"Safety upgrade of existing prefilled syringe",IF(K96+L96+M96=0,"Confirm presentation (not stated in source)",IF(AA96="Yes","Differentiation in crowded generic market","Safety-device mandate compliance")))</f>
        <v>Differentiation in crowded generic market</v>
      </c>
      <c r="AF96" s="5" t="str">
        <f aca="false">IF(AC96="","",C96&amp;"|"&amp;AC96)</f>
        <v>Intas Pharmaceuticals|8</v>
      </c>
    </row>
    <row r="97" customFormat="false" ht="15" hidden="false" customHeight="false" outlineLevel="0" collapsed="false">
      <c r="A97" s="5" t="n">
        <f aca="false">IF(ISNUMBER(U97),RANK(U97,$U$5:$U$337),"")</f>
        <v>3</v>
      </c>
      <c r="B97" s="5" t="s">
        <v>86</v>
      </c>
      <c r="C97" s="5" t="s">
        <v>40</v>
      </c>
      <c r="D97" s="5" t="str">
        <f aca="false">INDEX('API Data'!$B$2:$B$152,MATCH(B97,'API Data'!$A$2:$A$152,0))</f>
        <v>Anti-infective – MRSA skin infections &amp; bacteraemia</v>
      </c>
      <c r="E97" s="5" t="n">
        <f aca="false">COUNTIFS('Market Listing'!$A$2:$A$4054,B97,'Market Listing'!$B$2:$B$4054,C97)</f>
        <v>1</v>
      </c>
      <c r="F97" s="5" t="n">
        <f aca="false">COUNTIFS('Market Listing'!$A$2:$A$4054,B97,'Market Listing'!$B$2:$B$4054,C97,'Market Listing'!$D$2:$D$4054,"Tier 1")</f>
        <v>0</v>
      </c>
      <c r="G97" s="5" t="n">
        <f aca="false">COUNTIFS('Market Listing'!$A$2:$A$4054,B97,'Market Listing'!$B$2:$B$4054,C97,'Market Listing'!$D$2:$D$4054,"Tier 2")</f>
        <v>1</v>
      </c>
      <c r="H97" s="5" t="n">
        <f aca="false">COUNTIFS('Market Listing'!$A$2:$A$4054,B97,'Market Listing'!$B$2:$B$4054,C97,'Market Listing'!$D$2:$D$4054,"Tier 3")</f>
        <v>0</v>
      </c>
      <c r="I97" s="5" t="n">
        <f aca="false">SUMIFS('Market Listing'!$E$2:$E$4054,'Market Listing'!$A$2:$A$4054,B97,'Market Listing'!$B$2:$B$4054,C97)</f>
        <v>2</v>
      </c>
      <c r="J97" s="5" t="n">
        <f aca="false">COUNTIFS('Product Rows'!$A$2:$A$696,B97,'Product Rows'!$B$2:$B$696,C97)</f>
        <v>2</v>
      </c>
      <c r="K97" s="5" t="n">
        <f aca="false">COUNTIFS('Product Rows'!$A$2:$A$696,B97,'Product Rows'!$B$2:$B$696,C97,'Product Rows'!$G$2:$G$696,"Vial")</f>
        <v>2</v>
      </c>
      <c r="L97" s="5" t="n">
        <f aca="false">COUNTIFS('Product Rows'!$A$2:$A$696,B97,'Product Rows'!$B$2:$B$696,C97,'Product Rows'!$G$2:$G$696,"Ampoule")</f>
        <v>0</v>
      </c>
      <c r="M97" s="5" t="n">
        <f aca="false">COUNTIFS('Product Rows'!$A$2:$A$696,B97,'Product Rows'!$B$2:$B$696,C97,'Product Rows'!$G$2:$G$696,"Prefilled syringe/pen")</f>
        <v>0</v>
      </c>
      <c r="N97" s="6" t="str">
        <f aca="false">IFERROR(AVERAGEIFS('Product Rows'!$H$2:$H$696,'Product Rows'!$A$2:$A$696,B97,'Product Rows'!$B$2:$B$696,C97),"")</f>
        <v/>
      </c>
      <c r="O97" s="7" t="n">
        <f aca="false">INDEX('API Data'!$E$2:$E$152,MATCH(B97,'API Data'!$A$2:$A$152,0))</f>
        <v>59827.18</v>
      </c>
      <c r="P97" s="5" t="n">
        <f aca="false">COUNTIF($B$5:$B$337,B97)</f>
        <v>8</v>
      </c>
      <c r="Q97" s="8" t="n">
        <f aca="false">IF(ISNUMBER(I97),PERCENTRANK($I$5:$I$337,I97),"")</f>
        <v>0</v>
      </c>
      <c r="R97" s="8" t="str">
        <f aca="false">IF(ISNUMBER(N97),PERCENTRANK($N$5:$N$337,N97),"")</f>
        <v/>
      </c>
      <c r="S97" s="8" t="n">
        <f aca="false">IF(ISNUMBER(O97),PERCENTRANK($O$5:$O$337,O97),"")</f>
        <v>0.958</v>
      </c>
      <c r="T97" s="8" t="n">
        <f aca="false">IF(ISNUMBER(P97),PERCENTRANK($P$5:$P$337,P97),"")</f>
        <v>0.886</v>
      </c>
      <c r="U97" s="9" t="n">
        <f aca="false">IF((IF(ISNUMBER(Q97),Inputs!$B$4,0)+IF(ISNUMBER(R97),Inputs!$B$5,0)+IF(ISNUMBER(S97),Inputs!$B$6,0)+IF(ISNUMBER(T97),Inputs!$B$7,0))=0,"",(IF(ISNUMBER(Q97),Inputs!$B$4*Q97,0)+IF(ISNUMBER(R97),Inputs!$B$5*R97,0)+IF(ISNUMBER(S97),Inputs!$B$6*S97,0)+IF(ISNUMBER(T97),Inputs!$B$7*T97,0))/(IF(ISNUMBER(Q97),Inputs!$B$4,0)+IF(ISNUMBER(R97),Inputs!$B$5,0)+IF(ISNUMBER(S97),Inputs!$B$6,0)+IF(ISNUMBER(T97),Inputs!$B$7,0)))</f>
        <v>0.958</v>
      </c>
      <c r="V97" s="5" t="str">
        <f aca="false">IF(F97&gt;0,"Yes","No")</f>
        <v>No</v>
      </c>
      <c r="W97" s="5" t="str">
        <f aca="false">IF(ISNUMBER(N97),IF(N97&gt;=Inputs!$D$18,"Yes","No"),"No price")</f>
        <v>No price</v>
      </c>
      <c r="X97" s="5" t="str">
        <f aca="false">IF(K97+L97&gt;0,"Yes",IF(M97&gt;0,"No","Unclear"))</f>
        <v>Yes</v>
      </c>
      <c r="Y97" s="5" t="str">
        <f aca="false">INDEX('API Data'!$H$2:$H$152,MATCH(B97,'API Data'!$A$2:$A$152,0))</f>
        <v>No</v>
      </c>
      <c r="Z97" s="5" t="str">
        <f aca="false">IF(COUNTIFS('Product Rows'!$A$2:$A$696,B97,'Product Rows'!$B$2:$B$696,C97,'Product Rows'!$I$2:$I$696,"Yes")&gt;0,"Yes","No")</f>
        <v>Yes</v>
      </c>
      <c r="AA97" s="5" t="str">
        <f aca="false">IF(P97&gt;=Inputs!$D$22,"Yes","No")</f>
        <v>Yes</v>
      </c>
      <c r="AB97" s="10" t="b">
        <f aca="false">AND(OR(Inputs!$B$17&lt;&gt;"Exclude",V97="Yes"),OR(Inputs!$B$18&lt;&gt;"Exclude",W97&lt;&gt;"No"),OR(Inputs!$B$19&lt;&gt;"Exclude",X97&lt;&gt;"No"),OR(Inputs!$B$20&lt;&gt;"Exclude",Y97="No"),OR(Inputs!$B$21&lt;&gt;"Exclude",Z97="No"),OR(Inputs!$B$22&lt;&gt;"Exclude",AA97="Yes"),ISNUMBER(U97))</f>
        <v>0</v>
      </c>
      <c r="AC97" s="5" t="str">
        <f aca="false">IF(AB97,COUNTIFS($C$5:$C$337,C97,$AB$5:$AB$337,TRUE(),$U$5:$U$337,"&gt;"&amp;U97)+COUNTIFS($C$5:C97,C97,$AB$5:AB97,TRUE(),$U$5:U97,U97),"")</f>
        <v/>
      </c>
      <c r="AD97" s="5" t="str">
        <f aca="false">IF(AC97="","Not eligible",IF(AC97&lt;=Inputs!$B$25,"Lead",IF(AC97&lt;=Inputs!$B$25+Inputs!$B$26,"Next wave","Long list")))</f>
        <v>Not eligible</v>
      </c>
      <c r="AE97" s="5" t="str">
        <f aca="false">IF(AND(K97+L97=0,M97&gt;0),"Safety upgrade of existing prefilled syringe",IF(K97+L97+M97=0,"Confirm presentation (not stated in source)",IF(AA97="Yes","Differentiation in crowded generic market","Safety-device mandate compliance")))</f>
        <v>Differentiation in crowded generic market</v>
      </c>
      <c r="AF97" s="5" t="str">
        <f aca="false">IF(AC97="","",C97&amp;"|"&amp;AC97)</f>
        <v/>
      </c>
    </row>
    <row r="98" customFormat="false" ht="15" hidden="false" customHeight="false" outlineLevel="0" collapsed="false">
      <c r="A98" s="5" t="n">
        <f aca="false">IF(ISNUMBER(U98),RANK(U98,$U$5:$U$337),"")</f>
        <v>23</v>
      </c>
      <c r="B98" s="5" t="s">
        <v>86</v>
      </c>
      <c r="C98" s="5" t="s">
        <v>38</v>
      </c>
      <c r="D98" s="5" t="str">
        <f aca="false">INDEX('API Data'!$B$2:$B$152,MATCH(B98,'API Data'!$A$2:$A$152,0))</f>
        <v>Anti-infective – MRSA skin infections &amp; bacteraemia</v>
      </c>
      <c r="E98" s="5" t="n">
        <f aca="false">COUNTIFS('Market Listing'!$A$2:$A$4054,B98,'Market Listing'!$B$2:$B$4054,C98)</f>
        <v>30</v>
      </c>
      <c r="F98" s="5" t="n">
        <f aca="false">COUNTIFS('Market Listing'!$A$2:$A$4054,B98,'Market Listing'!$B$2:$B$4054,C98,'Market Listing'!$D$2:$D$4054,"Tier 1")</f>
        <v>6</v>
      </c>
      <c r="G98" s="5" t="n">
        <f aca="false">COUNTIFS('Market Listing'!$A$2:$A$4054,B98,'Market Listing'!$B$2:$B$4054,C98,'Market Listing'!$D$2:$D$4054,"Tier 2")</f>
        <v>4</v>
      </c>
      <c r="H98" s="5" t="n">
        <f aca="false">COUNTIFS('Market Listing'!$A$2:$A$4054,B98,'Market Listing'!$B$2:$B$4054,C98,'Market Listing'!$D$2:$D$4054,"Tier 3")</f>
        <v>20</v>
      </c>
      <c r="I98" s="5" t="n">
        <f aca="false">SUMIFS('Market Listing'!$E$2:$E$4054,'Market Listing'!$A$2:$A$4054,B98,'Market Listing'!$B$2:$B$4054,C98)</f>
        <v>46</v>
      </c>
      <c r="J98" s="5" t="n">
        <f aca="false">COUNTIFS('Product Rows'!$A$2:$A$696,B98,'Product Rows'!$B$2:$B$696,C98)</f>
        <v>4</v>
      </c>
      <c r="K98" s="5" t="n">
        <f aca="false">COUNTIFS('Product Rows'!$A$2:$A$696,B98,'Product Rows'!$B$2:$B$696,C98,'Product Rows'!$G$2:$G$696,"Vial")</f>
        <v>4</v>
      </c>
      <c r="L98" s="5" t="n">
        <f aca="false">COUNTIFS('Product Rows'!$A$2:$A$696,B98,'Product Rows'!$B$2:$B$696,C98,'Product Rows'!$G$2:$G$696,"Ampoule")</f>
        <v>0</v>
      </c>
      <c r="M98" s="5" t="n">
        <f aca="false">COUNTIFS('Product Rows'!$A$2:$A$696,B98,'Product Rows'!$B$2:$B$696,C98,'Product Rows'!$G$2:$G$696,"Prefilled syringe/pen")</f>
        <v>0</v>
      </c>
      <c r="N98" s="6" t="n">
        <f aca="false">IFERROR(AVERAGEIFS('Product Rows'!$H$2:$H$696,'Product Rows'!$A$2:$A$696,B98,'Product Rows'!$B$2:$B$696,C98),"")</f>
        <v>87.84675</v>
      </c>
      <c r="O98" s="7" t="n">
        <f aca="false">INDEX('API Data'!$E$2:$E$152,MATCH(B98,'API Data'!$A$2:$A$152,0))</f>
        <v>59827.18</v>
      </c>
      <c r="P98" s="5" t="n">
        <f aca="false">COUNTIF($B$5:$B$337,B98)</f>
        <v>8</v>
      </c>
      <c r="Q98" s="8" t="n">
        <f aca="false">IF(ISNUMBER(I98),PERCENTRANK($I$5:$I$337,I98),"")</f>
        <v>0.846</v>
      </c>
      <c r="R98" s="8" t="n">
        <f aca="false">IF(ISNUMBER(N98),PERCENTRANK($N$5:$N$337,N98),"")</f>
        <v>0.71</v>
      </c>
      <c r="S98" s="8" t="n">
        <f aca="false">IF(ISNUMBER(O98),PERCENTRANK($O$5:$O$337,O98),"")</f>
        <v>0.958</v>
      </c>
      <c r="T98" s="8" t="n">
        <f aca="false">IF(ISNUMBER(P98),PERCENTRANK($P$5:$P$337,P98),"")</f>
        <v>0.886</v>
      </c>
      <c r="U98" s="9" t="n">
        <f aca="false">IF((IF(ISNUMBER(Q98),Inputs!$B$4,0)+IF(ISNUMBER(R98),Inputs!$B$5,0)+IF(ISNUMBER(S98),Inputs!$B$6,0)+IF(ISNUMBER(T98),Inputs!$B$7,0))=0,"",(IF(ISNUMBER(Q98),Inputs!$B$4*Q98,0)+IF(ISNUMBER(R98),Inputs!$B$5*R98,0)+IF(ISNUMBER(S98),Inputs!$B$6*S98,0)+IF(ISNUMBER(T98),Inputs!$B$7*T98,0))/(IF(ISNUMBER(Q98),Inputs!$B$4,0)+IF(ISNUMBER(R98),Inputs!$B$5,0)+IF(ISNUMBER(S98),Inputs!$B$6,0)+IF(ISNUMBER(T98),Inputs!$B$7,0)))</f>
        <v>0.834</v>
      </c>
      <c r="V98" s="5" t="str">
        <f aca="false">IF(F98&gt;0,"Yes","No")</f>
        <v>Yes</v>
      </c>
      <c r="W98" s="5" t="str">
        <f aca="false">IF(ISNUMBER(N98),IF(N98&gt;=Inputs!$D$18,"Yes","No"),"No price")</f>
        <v>Yes</v>
      </c>
      <c r="X98" s="5" t="str">
        <f aca="false">IF(K98+L98&gt;0,"Yes",IF(M98&gt;0,"No","Unclear"))</f>
        <v>Yes</v>
      </c>
      <c r="Y98" s="5" t="str">
        <f aca="false">INDEX('API Data'!$H$2:$H$152,MATCH(B98,'API Data'!$A$2:$A$152,0))</f>
        <v>No</v>
      </c>
      <c r="Z98" s="5" t="str">
        <f aca="false">IF(COUNTIFS('Product Rows'!$A$2:$A$696,B98,'Product Rows'!$B$2:$B$696,C98,'Product Rows'!$I$2:$I$696,"Yes")&gt;0,"Yes","No")</f>
        <v>Yes</v>
      </c>
      <c r="AA98" s="5" t="str">
        <f aca="false">IF(P98&gt;=Inputs!$D$22,"Yes","No")</f>
        <v>Yes</v>
      </c>
      <c r="AB98" s="10" t="b">
        <f aca="false">AND(OR(Inputs!$B$17&lt;&gt;"Exclude",V98="Yes"),OR(Inputs!$B$18&lt;&gt;"Exclude",W98&lt;&gt;"No"),OR(Inputs!$B$19&lt;&gt;"Exclude",X98&lt;&gt;"No"),OR(Inputs!$B$20&lt;&gt;"Exclude",Y98="No"),OR(Inputs!$B$21&lt;&gt;"Exclude",Z98="No"),OR(Inputs!$B$22&lt;&gt;"Exclude",AA98="Yes"),ISNUMBER(U98))</f>
        <v>1</v>
      </c>
      <c r="AC98" s="5" t="n">
        <f aca="false">IF(AB98,COUNTIFS($C$5:$C$337,C98,$AB$5:$AB$337,TRUE(),$U$5:$U$337,"&gt;"&amp;U98)+COUNTIFS($C$5:C98,C98,$AB$5:AB98,TRUE(),$U$5:U98,U98),"")</f>
        <v>1</v>
      </c>
      <c r="AD98" s="5" t="str">
        <f aca="false">IF(AC98="","Not eligible",IF(AC98&lt;=Inputs!$B$25,"Lead",IF(AC98&lt;=Inputs!$B$25+Inputs!$B$26,"Next wave","Long list")))</f>
        <v>Lead</v>
      </c>
      <c r="AE98" s="5" t="str">
        <f aca="false">IF(AND(K98+L98=0,M98&gt;0),"Safety upgrade of existing prefilled syringe",IF(K98+L98+M98=0,"Confirm presentation (not stated in source)",IF(AA98="Yes","Differentiation in crowded generic market","Safety-device mandate compliance")))</f>
        <v>Differentiation in crowded generic market</v>
      </c>
      <c r="AF98" s="5" t="str">
        <f aca="false">IF(AC98="","",C98&amp;"|"&amp;AC98)</f>
        <v>Wockhardt|1</v>
      </c>
    </row>
    <row r="99" customFormat="false" ht="15" hidden="false" customHeight="false" outlineLevel="0" collapsed="false">
      <c r="A99" s="5" t="n">
        <f aca="false">IF(ISNUMBER(U99),RANK(U99,$U$5:$U$337),"")</f>
        <v>225</v>
      </c>
      <c r="B99" s="5" t="s">
        <v>87</v>
      </c>
      <c r="C99" s="5" t="s">
        <v>44</v>
      </c>
      <c r="D99" s="5" t="str">
        <f aca="false">INDEX('API Data'!$B$2:$B$152,MATCH(B99,'API Data'!$A$2:$A$152,0))</f>
        <v>Oncology – advanced prostate cancer (hormone therapy)</v>
      </c>
      <c r="E99" s="5" t="n">
        <f aca="false">COUNTIFS('Market Listing'!$A$2:$A$4054,B99,'Market Listing'!$B$2:$B$4054,C99)</f>
        <v>4</v>
      </c>
      <c r="F99" s="5" t="n">
        <f aca="false">COUNTIFS('Market Listing'!$A$2:$A$4054,B99,'Market Listing'!$B$2:$B$4054,C99,'Market Listing'!$D$2:$D$4054,"Tier 1")</f>
        <v>1</v>
      </c>
      <c r="G99" s="5" t="n">
        <f aca="false">COUNTIFS('Market Listing'!$A$2:$A$4054,B99,'Market Listing'!$B$2:$B$4054,C99,'Market Listing'!$D$2:$D$4054,"Tier 2")</f>
        <v>0</v>
      </c>
      <c r="H99" s="5" t="n">
        <f aca="false">COUNTIFS('Market Listing'!$A$2:$A$4054,B99,'Market Listing'!$B$2:$B$4054,C99,'Market Listing'!$D$2:$D$4054,"Tier 3")</f>
        <v>3</v>
      </c>
      <c r="I99" s="5" t="n">
        <f aca="false">SUMIFS('Market Listing'!$E$2:$E$4054,'Market Listing'!$A$2:$A$4054,B99,'Market Listing'!$B$2:$B$4054,C99)</f>
        <v>6</v>
      </c>
      <c r="J99" s="5" t="n">
        <f aca="false">COUNTIFS('Product Rows'!$A$2:$A$696,B99,'Product Rows'!$B$2:$B$696,C99)</f>
        <v>2</v>
      </c>
      <c r="K99" s="5" t="n">
        <f aca="false">COUNTIFS('Product Rows'!$A$2:$A$696,B99,'Product Rows'!$B$2:$B$696,C99,'Product Rows'!$G$2:$G$696,"Vial")</f>
        <v>2</v>
      </c>
      <c r="L99" s="5" t="n">
        <f aca="false">COUNTIFS('Product Rows'!$A$2:$A$696,B99,'Product Rows'!$B$2:$B$696,C99,'Product Rows'!$G$2:$G$696,"Ampoule")</f>
        <v>0</v>
      </c>
      <c r="M99" s="5" t="n">
        <f aca="false">COUNTIFS('Product Rows'!$A$2:$A$696,B99,'Product Rows'!$B$2:$B$696,C99,'Product Rows'!$G$2:$G$696,"Prefilled syringe/pen")</f>
        <v>0</v>
      </c>
      <c r="N99" s="6" t="n">
        <f aca="false">IFERROR(AVERAGEIFS('Product Rows'!$H$2:$H$696,'Product Rows'!$A$2:$A$696,B99,'Product Rows'!$B$2:$B$696,C99),"")</f>
        <v>92.6211</v>
      </c>
      <c r="O99" s="7" t="n">
        <f aca="false">INDEX('API Data'!$E$2:$E$152,MATCH(B99,'API Data'!$A$2:$A$152,0))</f>
        <v>140.86</v>
      </c>
      <c r="P99" s="5" t="n">
        <f aca="false">COUNTIF($B$5:$B$337,B99)</f>
        <v>1</v>
      </c>
      <c r="Q99" s="8" t="n">
        <f aca="false">IF(ISNUMBER(I99),PERCENTRANK($I$5:$I$337,I99),"")</f>
        <v>0.551</v>
      </c>
      <c r="R99" s="8" t="n">
        <f aca="false">IF(ISNUMBER(N99),PERCENTRANK($N$5:$N$337,N99),"")</f>
        <v>0.735</v>
      </c>
      <c r="S99" s="8" t="n">
        <f aca="false">IF(ISNUMBER(O99),PERCENTRANK($O$5:$O$337,O99),"")</f>
        <v>0.0422</v>
      </c>
      <c r="T99" s="8" t="n">
        <f aca="false">IF(ISNUMBER(P99),PERCENTRANK($P$5:$P$337,P99),"")</f>
        <v>0</v>
      </c>
      <c r="U99" s="9" t="n">
        <f aca="false">IF((IF(ISNUMBER(Q99),Inputs!$B$4,0)+IF(ISNUMBER(R99),Inputs!$B$5,0)+IF(ISNUMBER(S99),Inputs!$B$6,0)+IF(ISNUMBER(T99),Inputs!$B$7,0))=0,"",(IF(ISNUMBER(Q99),Inputs!$B$4*Q99,0)+IF(ISNUMBER(R99),Inputs!$B$5*R99,0)+IF(ISNUMBER(S99),Inputs!$B$6*S99,0)+IF(ISNUMBER(T99),Inputs!$B$7*T99,0))/(IF(ISNUMBER(Q99),Inputs!$B$4,0)+IF(ISNUMBER(R99),Inputs!$B$5,0)+IF(ISNUMBER(S99),Inputs!$B$6,0)+IF(ISNUMBER(T99),Inputs!$B$7,0)))</f>
        <v>0.3886</v>
      </c>
      <c r="V99" s="5" t="str">
        <f aca="false">IF(F99&gt;0,"Yes","No")</f>
        <v>Yes</v>
      </c>
      <c r="W99" s="5" t="str">
        <f aca="false">IF(ISNUMBER(N99),IF(N99&gt;=Inputs!$D$18,"Yes","No"),"No price")</f>
        <v>Yes</v>
      </c>
      <c r="X99" s="5" t="str">
        <f aca="false">IF(K99+L99&gt;0,"Yes",IF(M99&gt;0,"No","Unclear"))</f>
        <v>Yes</v>
      </c>
      <c r="Y99" s="5" t="str">
        <f aca="false">INDEX('API Data'!$H$2:$H$152,MATCH(B99,'API Data'!$A$2:$A$152,0))</f>
        <v>No</v>
      </c>
      <c r="Z99" s="5" t="str">
        <f aca="false">IF(COUNTIFS('Product Rows'!$A$2:$A$696,B99,'Product Rows'!$B$2:$B$696,C99,'Product Rows'!$I$2:$I$696,"Yes")&gt;0,"Yes","No")</f>
        <v>Yes</v>
      </c>
      <c r="AA99" s="5" t="str">
        <f aca="false">IF(P99&gt;=Inputs!$D$22,"Yes","No")</f>
        <v>No</v>
      </c>
      <c r="AB99" s="10" t="b">
        <f aca="false">AND(OR(Inputs!$B$17&lt;&gt;"Exclude",V99="Yes"),OR(Inputs!$B$18&lt;&gt;"Exclude",W99&lt;&gt;"No"),OR(Inputs!$B$19&lt;&gt;"Exclude",X99&lt;&gt;"No"),OR(Inputs!$B$20&lt;&gt;"Exclude",Y99="No"),OR(Inputs!$B$21&lt;&gt;"Exclude",Z99="No"),OR(Inputs!$B$22&lt;&gt;"Exclude",AA99="Yes"),ISNUMBER(U99))</f>
        <v>1</v>
      </c>
      <c r="AC99" s="5" t="n">
        <f aca="false">IF(AB99,COUNTIFS($C$5:$C$337,C99,$AB$5:$AB$337,TRUE(),$U$5:$U$337,"&gt;"&amp;U99)+COUNTIFS($C$5:C99,C99,$AB$5:AB99,TRUE(),$U$5:U99,U99),"")</f>
        <v>41</v>
      </c>
      <c r="AD99" s="5" t="str">
        <f aca="false">IF(AC99="","Not eligible",IF(AC99&lt;=Inputs!$B$25,"Lead",IF(AC99&lt;=Inputs!$B$25+Inputs!$B$26,"Next wave","Long list")))</f>
        <v>Long list</v>
      </c>
      <c r="AE99" s="5" t="str">
        <f aca="false">IF(AND(K99+L99=0,M99&gt;0),"Safety upgrade of existing prefilled syringe",IF(K99+L99+M99=0,"Confirm presentation (not stated in source)",IF(AA99="Yes","Differentiation in crowded generic market","Safety-device mandate compliance")))</f>
        <v>Safety-device mandate compliance</v>
      </c>
      <c r="AF99" s="5" t="str">
        <f aca="false">IF(AC99="","",C99&amp;"|"&amp;AC99)</f>
        <v>Intas Pharmaceuticals|41</v>
      </c>
    </row>
    <row r="100" customFormat="false" ht="15" hidden="false" customHeight="false" outlineLevel="0" collapsed="false">
      <c r="A100" s="5" t="n">
        <f aca="false">IF(ISNUMBER(U100),RANK(U100,$U$5:$U$337),"")</f>
        <v>81</v>
      </c>
      <c r="B100" s="5" t="s">
        <v>88</v>
      </c>
      <c r="C100" s="5" t="s">
        <v>44</v>
      </c>
      <c r="D100" s="5" t="str">
        <f aca="false">INDEX('API Data'!$B$2:$B$152,MATCH(B100,'API Data'!$A$2:$A$152,0))</f>
        <v>Ortho / Oncology – bone metastases (120 mg); osteoporosis (60 mg)</v>
      </c>
      <c r="E100" s="5" t="n">
        <f aca="false">COUNTIFS('Market Listing'!$A$2:$A$4054,B100,'Market Listing'!$B$2:$B$4054,C100)</f>
        <v>2</v>
      </c>
      <c r="F100" s="5" t="n">
        <f aca="false">COUNTIFS('Market Listing'!$A$2:$A$4054,B100,'Market Listing'!$B$2:$B$4054,C100,'Market Listing'!$D$2:$D$4054,"Tier 1")</f>
        <v>1</v>
      </c>
      <c r="G100" s="5" t="n">
        <f aca="false">COUNTIFS('Market Listing'!$A$2:$A$4054,B100,'Market Listing'!$B$2:$B$4054,C100,'Market Listing'!$D$2:$D$4054,"Tier 2")</f>
        <v>1</v>
      </c>
      <c r="H100" s="5" t="n">
        <f aca="false">COUNTIFS('Market Listing'!$A$2:$A$4054,B100,'Market Listing'!$B$2:$B$4054,C100,'Market Listing'!$D$2:$D$4054,"Tier 3")</f>
        <v>0</v>
      </c>
      <c r="I100" s="5" t="n">
        <f aca="false">SUMIFS('Market Listing'!$E$2:$E$4054,'Market Listing'!$A$2:$A$4054,B100,'Market Listing'!$B$2:$B$4054,C100)</f>
        <v>5</v>
      </c>
      <c r="J100" s="5" t="n">
        <f aca="false">COUNTIFS('Product Rows'!$A$2:$A$696,B100,'Product Rows'!$B$2:$B$696,C100)</f>
        <v>2</v>
      </c>
      <c r="K100" s="5" t="n">
        <f aca="false">COUNTIFS('Product Rows'!$A$2:$A$696,B100,'Product Rows'!$B$2:$B$696,C100,'Product Rows'!$G$2:$G$696,"Vial")</f>
        <v>2</v>
      </c>
      <c r="L100" s="5" t="n">
        <f aca="false">COUNTIFS('Product Rows'!$A$2:$A$696,B100,'Product Rows'!$B$2:$B$696,C100,'Product Rows'!$G$2:$G$696,"Ampoule")</f>
        <v>0</v>
      </c>
      <c r="M100" s="5" t="n">
        <f aca="false">COUNTIFS('Product Rows'!$A$2:$A$696,B100,'Product Rows'!$B$2:$B$696,C100,'Product Rows'!$G$2:$G$696,"Prefilled syringe/pen")</f>
        <v>0</v>
      </c>
      <c r="N100" s="6" t="n">
        <f aca="false">IFERROR(AVERAGEIFS('Product Rows'!$H$2:$H$696,'Product Rows'!$A$2:$A$696,B100,'Product Rows'!$B$2:$B$696,C100),"")</f>
        <v>162.7665</v>
      </c>
      <c r="O100" s="7" t="n">
        <f aca="false">INDEX('API Data'!$E$2:$E$152,MATCH(B100,'API Data'!$A$2:$A$152,0))</f>
        <v>3429.51</v>
      </c>
      <c r="P100" s="5" t="n">
        <f aca="false">COUNTIF($B$5:$B$337,B100)</f>
        <v>1</v>
      </c>
      <c r="Q100" s="8" t="n">
        <f aca="false">IF(ISNUMBER(I100),PERCENTRANK($I$5:$I$337,I100),"")</f>
        <v>0.521</v>
      </c>
      <c r="R100" s="8" t="n">
        <f aca="false">IF(ISNUMBER(N100),PERCENTRANK($N$5:$N$337,N100),"")</f>
        <v>0.81</v>
      </c>
      <c r="S100" s="8" t="n">
        <f aca="false">IF(ISNUMBER(O100),PERCENTRANK($O$5:$O$337,O100),"")</f>
        <v>0.443</v>
      </c>
      <c r="T100" s="8" t="n">
        <f aca="false">IF(ISNUMBER(P100),PERCENTRANK($P$5:$P$337,P100),"")</f>
        <v>0</v>
      </c>
      <c r="U100" s="9" t="n">
        <f aca="false">IF((IF(ISNUMBER(Q100),Inputs!$B$4,0)+IF(ISNUMBER(R100),Inputs!$B$5,0)+IF(ISNUMBER(S100),Inputs!$B$6,0)+IF(ISNUMBER(T100),Inputs!$B$7,0))=0,"",(IF(ISNUMBER(Q100),Inputs!$B$4*Q100,0)+IF(ISNUMBER(R100),Inputs!$B$5*R100,0)+IF(ISNUMBER(S100),Inputs!$B$6*S100,0)+IF(ISNUMBER(T100),Inputs!$B$7*T100,0))/(IF(ISNUMBER(Q100),Inputs!$B$4,0)+IF(ISNUMBER(R100),Inputs!$B$5,0)+IF(ISNUMBER(S100),Inputs!$B$6,0)+IF(ISNUMBER(T100),Inputs!$B$7,0)))</f>
        <v>0.6265</v>
      </c>
      <c r="V100" s="5" t="str">
        <f aca="false">IF(F100&gt;0,"Yes","No")</f>
        <v>Yes</v>
      </c>
      <c r="W100" s="5" t="str">
        <f aca="false">IF(ISNUMBER(N100),IF(N100&gt;=Inputs!$D$18,"Yes","No"),"No price")</f>
        <v>Yes</v>
      </c>
      <c r="X100" s="5" t="str">
        <f aca="false">IF(K100+L100&gt;0,"Yes",IF(M100&gt;0,"No","Unclear"))</f>
        <v>Yes</v>
      </c>
      <c r="Y100" s="5" t="str">
        <f aca="false">INDEX('API Data'!$H$2:$H$152,MATCH(B100,'API Data'!$A$2:$A$152,0))</f>
        <v>No</v>
      </c>
      <c r="Z100" s="5" t="str">
        <f aca="false">IF(COUNTIFS('Product Rows'!$A$2:$A$696,B100,'Product Rows'!$B$2:$B$696,C100,'Product Rows'!$I$2:$I$696,"Yes")&gt;0,"Yes","No")</f>
        <v>No</v>
      </c>
      <c r="AA100" s="5" t="str">
        <f aca="false">IF(P100&gt;=Inputs!$D$22,"Yes","No")</f>
        <v>No</v>
      </c>
      <c r="AB100" s="10" t="b">
        <f aca="false">AND(OR(Inputs!$B$17&lt;&gt;"Exclude",V100="Yes"),OR(Inputs!$B$18&lt;&gt;"Exclude",W100&lt;&gt;"No"),OR(Inputs!$B$19&lt;&gt;"Exclude",X100&lt;&gt;"No"),OR(Inputs!$B$20&lt;&gt;"Exclude",Y100="No"),OR(Inputs!$B$21&lt;&gt;"Exclude",Z100="No"),OR(Inputs!$B$22&lt;&gt;"Exclude",AA100="Yes"),ISNUMBER(U100))</f>
        <v>1</v>
      </c>
      <c r="AC100" s="5" t="n">
        <f aca="false">IF(AB100,COUNTIFS($C$5:$C$337,C100,$AB$5:$AB$337,TRUE(),$U$5:$U$337,"&gt;"&amp;U100)+COUNTIFS($C$5:C100,C100,$AB$5:AB100,TRUE(),$U$5:U100,U100),"")</f>
        <v>16</v>
      </c>
      <c r="AD100" s="5" t="str">
        <f aca="false">IF(AC100="","Not eligible",IF(AC100&lt;=Inputs!$B$25,"Lead",IF(AC100&lt;=Inputs!$B$25+Inputs!$B$26,"Next wave","Long list")))</f>
        <v>Long list</v>
      </c>
      <c r="AE100" s="5" t="str">
        <f aca="false">IF(AND(K100+L100=0,M100&gt;0),"Safety upgrade of existing prefilled syringe",IF(K100+L100+M100=0,"Confirm presentation (not stated in source)",IF(AA100="Yes","Differentiation in crowded generic market","Safety-device mandate compliance")))</f>
        <v>Safety-device mandate compliance</v>
      </c>
      <c r="AF100" s="5" t="str">
        <f aca="false">IF(AC100="","",C100&amp;"|"&amp;AC100)</f>
        <v>Intas Pharmaceuticals|16</v>
      </c>
    </row>
    <row r="101" customFormat="false" ht="15" hidden="false" customHeight="false" outlineLevel="0" collapsed="false">
      <c r="A101" s="5" t="n">
        <f aca="false">IF(ISNUMBER(U101),RANK(U101,$U$5:$U$337),"")</f>
        <v>186</v>
      </c>
      <c r="B101" s="5" t="s">
        <v>89</v>
      </c>
      <c r="C101" s="5" t="s">
        <v>55</v>
      </c>
      <c r="D101" s="5" t="str">
        <f aca="false">INDEX('API Data'!$B$2:$B$152,MATCH(B101,'API Data'!$A$2:$A$152,0))</f>
        <v>Endocrinology / Haematology – diabetes insipidus; haemophilia A &amp; von Willebrand</v>
      </c>
      <c r="E101" s="5" t="n">
        <f aca="false">COUNTIFS('Market Listing'!$A$2:$A$4054,B101,'Market Listing'!$B$2:$B$4054,C101)</f>
        <v>1</v>
      </c>
      <c r="F101" s="5" t="n">
        <f aca="false">COUNTIFS('Market Listing'!$A$2:$A$4054,B101,'Market Listing'!$B$2:$B$4054,C101,'Market Listing'!$D$2:$D$4054,"Tier 1")</f>
        <v>1</v>
      </c>
      <c r="G101" s="5" t="n">
        <f aca="false">COUNTIFS('Market Listing'!$A$2:$A$4054,B101,'Market Listing'!$B$2:$B$4054,C101,'Market Listing'!$D$2:$D$4054,"Tier 2")</f>
        <v>0</v>
      </c>
      <c r="H101" s="5" t="n">
        <f aca="false">COUNTIFS('Market Listing'!$A$2:$A$4054,B101,'Market Listing'!$B$2:$B$4054,C101,'Market Listing'!$D$2:$D$4054,"Tier 3")</f>
        <v>0</v>
      </c>
      <c r="I101" s="5" t="n">
        <f aca="false">SUMIFS('Market Listing'!$E$2:$E$4054,'Market Listing'!$A$2:$A$4054,B101,'Market Listing'!$B$2:$B$4054,C101)</f>
        <v>3</v>
      </c>
      <c r="J101" s="5" t="n">
        <f aca="false">COUNTIFS('Product Rows'!$A$2:$A$696,B101,'Product Rows'!$B$2:$B$696,C101)</f>
        <v>1</v>
      </c>
      <c r="K101" s="5" t="n">
        <f aca="false">COUNTIFS('Product Rows'!$A$2:$A$696,B101,'Product Rows'!$B$2:$B$696,C101,'Product Rows'!$G$2:$G$696,"Vial")</f>
        <v>1</v>
      </c>
      <c r="L101" s="5" t="n">
        <f aca="false">COUNTIFS('Product Rows'!$A$2:$A$696,B101,'Product Rows'!$B$2:$B$696,C101,'Product Rows'!$G$2:$G$696,"Ampoule")</f>
        <v>0</v>
      </c>
      <c r="M101" s="5" t="n">
        <f aca="false">COUNTIFS('Product Rows'!$A$2:$A$696,B101,'Product Rows'!$B$2:$B$696,C101,'Product Rows'!$G$2:$G$696,"Prefilled syringe/pen")</f>
        <v>0</v>
      </c>
      <c r="N101" s="6" t="n">
        <f aca="false">IFERROR(AVERAGEIFS('Product Rows'!$H$2:$H$696,'Product Rows'!$A$2:$A$696,B101,'Product Rows'!$B$2:$B$696,C101),"")</f>
        <v>133.8</v>
      </c>
      <c r="O101" s="7" t="n">
        <f aca="false">INDEX('API Data'!$E$2:$E$152,MATCH(B101,'API Data'!$A$2:$A$152,0))</f>
        <v>542.986358190985</v>
      </c>
      <c r="P101" s="5" t="n">
        <f aca="false">COUNTIF($B$5:$B$337,B101)</f>
        <v>1</v>
      </c>
      <c r="Q101" s="8" t="n">
        <f aca="false">IF(ISNUMBER(I101),PERCENTRANK($I$5:$I$337,I101),"")</f>
        <v>0.157</v>
      </c>
      <c r="R101" s="8" t="n">
        <f aca="false">IF(ISNUMBER(N101),PERCENTRANK($N$5:$N$337,N101),"")</f>
        <v>0.785</v>
      </c>
      <c r="S101" s="8" t="n">
        <f aca="false">IF(ISNUMBER(O101),PERCENTRANK($O$5:$O$337,O101),"")</f>
        <v>0.12</v>
      </c>
      <c r="T101" s="8" t="n">
        <f aca="false">IF(ISNUMBER(P101),PERCENTRANK($P$5:$P$337,P101),"")</f>
        <v>0</v>
      </c>
      <c r="U101" s="9" t="n">
        <f aca="false">IF((IF(ISNUMBER(Q101),Inputs!$B$4,0)+IF(ISNUMBER(R101),Inputs!$B$5,0)+IF(ISNUMBER(S101),Inputs!$B$6,0)+IF(ISNUMBER(T101),Inputs!$B$7,0))=0,"",(IF(ISNUMBER(Q101),Inputs!$B$4*Q101,0)+IF(ISNUMBER(R101),Inputs!$B$5*R101,0)+IF(ISNUMBER(S101),Inputs!$B$6*S101,0)+IF(ISNUMBER(T101),Inputs!$B$7*T101,0))/(IF(ISNUMBER(Q101),Inputs!$B$4,0)+IF(ISNUMBER(R101),Inputs!$B$5,0)+IF(ISNUMBER(S101),Inputs!$B$6,0)+IF(ISNUMBER(T101),Inputs!$B$7,0)))</f>
        <v>0.4525</v>
      </c>
      <c r="V101" s="5" t="str">
        <f aca="false">IF(F101&gt;0,"Yes","No")</f>
        <v>Yes</v>
      </c>
      <c r="W101" s="5" t="str">
        <f aca="false">IF(ISNUMBER(N101),IF(N101&gt;=Inputs!$D$18,"Yes","No"),"No price")</f>
        <v>Yes</v>
      </c>
      <c r="X101" s="5" t="str">
        <f aca="false">IF(K101+L101&gt;0,"Yes",IF(M101&gt;0,"No","Unclear"))</f>
        <v>Yes</v>
      </c>
      <c r="Y101" s="5" t="str">
        <f aca="false">INDEX('API Data'!$H$2:$H$152,MATCH(B101,'API Data'!$A$2:$A$152,0))</f>
        <v>No</v>
      </c>
      <c r="Z101" s="5" t="str">
        <f aca="false">IF(COUNTIFS('Product Rows'!$A$2:$A$696,B101,'Product Rows'!$B$2:$B$696,C101,'Product Rows'!$I$2:$I$696,"Yes")&gt;0,"Yes","No")</f>
        <v>No</v>
      </c>
      <c r="AA101" s="5" t="str">
        <f aca="false">IF(P101&gt;=Inputs!$D$22,"Yes","No")</f>
        <v>No</v>
      </c>
      <c r="AB101" s="10" t="b">
        <f aca="false">AND(OR(Inputs!$B$17&lt;&gt;"Exclude",V101="Yes"),OR(Inputs!$B$18&lt;&gt;"Exclude",W101&lt;&gt;"No"),OR(Inputs!$B$19&lt;&gt;"Exclude",X101&lt;&gt;"No"),OR(Inputs!$B$20&lt;&gt;"Exclude",Y101="No"),OR(Inputs!$B$21&lt;&gt;"Exclude",Z101="No"),OR(Inputs!$B$22&lt;&gt;"Exclude",AA101="Yes"),ISNUMBER(U101))</f>
        <v>1</v>
      </c>
      <c r="AC101" s="5" t="n">
        <f aca="false">IF(AB101,COUNTIFS($C$5:$C$337,C101,$AB$5:$AB$337,TRUE(),$U$5:$U$337,"&gt;"&amp;U101)+COUNTIFS($C$5:C101,C101,$AB$5:AB101,TRUE(),$U$5:U101,U101),"")</f>
        <v>14</v>
      </c>
      <c r="AD101" s="5" t="str">
        <f aca="false">IF(AC101="","Not eligible",IF(AC101&lt;=Inputs!$B$25,"Lead",IF(AC101&lt;=Inputs!$B$25+Inputs!$B$26,"Next wave","Long list")))</f>
        <v>Long list</v>
      </c>
      <c r="AE101" s="5" t="str">
        <f aca="false">IF(AND(K101+L101=0,M101&gt;0),"Safety upgrade of existing prefilled syringe",IF(K101+L101+M101=0,"Confirm presentation (not stated in source)",IF(AA101="Yes","Differentiation in crowded generic market","Safety-device mandate compliance")))</f>
        <v>Safety-device mandate compliance</v>
      </c>
      <c r="AF101" s="5" t="str">
        <f aca="false">IF(AC101="","",C101&amp;"|"&amp;AC101)</f>
        <v>Dr. Reddy's Laboratories|14</v>
      </c>
    </row>
    <row r="102" customFormat="false" ht="15" hidden="false" customHeight="false" outlineLevel="0" collapsed="false">
      <c r="A102" s="5" t="n">
        <f aca="false">IF(ISNUMBER(U102),RANK(U102,$U$5:$U$337),"")</f>
        <v>317</v>
      </c>
      <c r="B102" s="5" t="s">
        <v>90</v>
      </c>
      <c r="C102" s="5" t="s">
        <v>70</v>
      </c>
      <c r="D102" s="5" t="str">
        <f aca="false">INDEX('API Data'!$B$2:$B$152,MATCH(B102,'API Data'!$A$2:$A$152,0))</f>
        <v>Neurology – status epilepticus, seizures, acute anxiety/sedation</v>
      </c>
      <c r="E102" s="5" t="n">
        <f aca="false">COUNTIFS('Market Listing'!$A$2:$A$4054,B102,'Market Listing'!$B$2:$B$4054,C102)</f>
        <v>1</v>
      </c>
      <c r="F102" s="5" t="n">
        <f aca="false">COUNTIFS('Market Listing'!$A$2:$A$4054,B102,'Market Listing'!$B$2:$B$4054,C102,'Market Listing'!$D$2:$D$4054,"Tier 1")</f>
        <v>1</v>
      </c>
      <c r="G102" s="5" t="n">
        <f aca="false">COUNTIFS('Market Listing'!$A$2:$A$4054,B102,'Market Listing'!$B$2:$B$4054,C102,'Market Listing'!$D$2:$D$4054,"Tier 2")</f>
        <v>0</v>
      </c>
      <c r="H102" s="5" t="n">
        <f aca="false">COUNTIFS('Market Listing'!$A$2:$A$4054,B102,'Market Listing'!$B$2:$B$4054,C102,'Market Listing'!$D$2:$D$4054,"Tier 3")</f>
        <v>0</v>
      </c>
      <c r="I102" s="5" t="n">
        <f aca="false">SUMIFS('Market Listing'!$E$2:$E$4054,'Market Listing'!$A$2:$A$4054,B102,'Market Listing'!$B$2:$B$4054,C102)</f>
        <v>3</v>
      </c>
      <c r="J102" s="5" t="n">
        <f aca="false">COUNTIFS('Product Rows'!$A$2:$A$696,B102,'Product Rows'!$B$2:$B$696,C102)</f>
        <v>1</v>
      </c>
      <c r="K102" s="5" t="n">
        <f aca="false">COUNTIFS('Product Rows'!$A$2:$A$696,B102,'Product Rows'!$B$2:$B$696,C102,'Product Rows'!$G$2:$G$696,"Vial")</f>
        <v>0</v>
      </c>
      <c r="L102" s="5" t="n">
        <f aca="false">COUNTIFS('Product Rows'!$A$2:$A$696,B102,'Product Rows'!$B$2:$B$696,C102,'Product Rows'!$G$2:$G$696,"Ampoule")</f>
        <v>0</v>
      </c>
      <c r="M102" s="5" t="n">
        <f aca="false">COUNTIFS('Product Rows'!$A$2:$A$696,B102,'Product Rows'!$B$2:$B$696,C102,'Product Rows'!$G$2:$G$696,"Prefilled syringe/pen")</f>
        <v>1</v>
      </c>
      <c r="N102" s="6" t="str">
        <f aca="false">IFERROR(AVERAGEIFS('Product Rows'!$H$2:$H$696,'Product Rows'!$A$2:$A$696,B102,'Product Rows'!$B$2:$B$696,C102),"")</f>
        <v/>
      </c>
      <c r="O102" s="7" t="n">
        <f aca="false">INDEX('API Data'!$E$2:$E$152,MATCH(B102,'API Data'!$A$2:$A$152,0))</f>
        <v>1053.62732639831</v>
      </c>
      <c r="P102" s="5" t="n">
        <f aca="false">COUNTIF($B$5:$B$337,B102)</f>
        <v>3</v>
      </c>
      <c r="Q102" s="8" t="n">
        <f aca="false">IF(ISNUMBER(I102),PERCENTRANK($I$5:$I$337,I102),"")</f>
        <v>0.157</v>
      </c>
      <c r="R102" s="8" t="str">
        <f aca="false">IF(ISNUMBER(N102),PERCENTRANK($N$5:$N$337,N102),"")</f>
        <v/>
      </c>
      <c r="S102" s="8" t="n">
        <f aca="false">IF(ISNUMBER(O102),PERCENTRANK($O$5:$O$337,O102),"")</f>
        <v>0.151</v>
      </c>
      <c r="T102" s="8" t="n">
        <f aca="false">IF(ISNUMBER(P102),PERCENTRANK($P$5:$P$337,P102),"")</f>
        <v>0.416</v>
      </c>
      <c r="U102" s="9" t="n">
        <f aca="false">IF((IF(ISNUMBER(Q102),Inputs!$B$4,0)+IF(ISNUMBER(R102),Inputs!$B$5,0)+IF(ISNUMBER(S102),Inputs!$B$6,0)+IF(ISNUMBER(T102),Inputs!$B$7,0))=0,"",(IF(ISNUMBER(Q102),Inputs!$B$4*Q102,0)+IF(ISNUMBER(R102),Inputs!$B$5*R102,0)+IF(ISNUMBER(S102),Inputs!$B$6*S102,0)+IF(ISNUMBER(T102),Inputs!$B$7*T102,0))/(IF(ISNUMBER(Q102),Inputs!$B$4,0)+IF(ISNUMBER(R102),Inputs!$B$5,0)+IF(ISNUMBER(S102),Inputs!$B$6,0)+IF(ISNUMBER(T102),Inputs!$B$7,0)))</f>
        <v>0.151</v>
      </c>
      <c r="V102" s="5" t="str">
        <f aca="false">IF(F102&gt;0,"Yes","No")</f>
        <v>Yes</v>
      </c>
      <c r="W102" s="5" t="str">
        <f aca="false">IF(ISNUMBER(N102),IF(N102&gt;=Inputs!$D$18,"Yes","No"),"No price")</f>
        <v>No price</v>
      </c>
      <c r="X102" s="5" t="str">
        <f aca="false">IF(K102+L102&gt;0,"Yes",IF(M102&gt;0,"No","Unclear"))</f>
        <v>No</v>
      </c>
      <c r="Y102" s="5" t="str">
        <f aca="false">INDEX('API Data'!$H$2:$H$152,MATCH(B102,'API Data'!$A$2:$A$152,0))</f>
        <v>No</v>
      </c>
      <c r="Z102" s="5" t="str">
        <f aca="false">IF(COUNTIFS('Product Rows'!$A$2:$A$696,B102,'Product Rows'!$B$2:$B$696,C102,'Product Rows'!$I$2:$I$696,"Yes")&gt;0,"Yes","No")</f>
        <v>No</v>
      </c>
      <c r="AA102" s="5" t="str">
        <f aca="false">IF(P102&gt;=Inputs!$D$22,"Yes","No")</f>
        <v>Yes</v>
      </c>
      <c r="AB102" s="10" t="b">
        <f aca="false">AND(OR(Inputs!$B$17&lt;&gt;"Exclude",V102="Yes"),OR(Inputs!$B$18&lt;&gt;"Exclude",W102&lt;&gt;"No"),OR(Inputs!$B$19&lt;&gt;"Exclude",X102&lt;&gt;"No"),OR(Inputs!$B$20&lt;&gt;"Exclude",Y102="No"),OR(Inputs!$B$21&lt;&gt;"Exclude",Z102="No"),OR(Inputs!$B$22&lt;&gt;"Exclude",AA102="Yes"),ISNUMBER(U102))</f>
        <v>1</v>
      </c>
      <c r="AC102" s="5" t="n">
        <f aca="false">IF(AB102,COUNTIFS($C$5:$C$337,C102,$AB$5:$AB$337,TRUE(),$U$5:$U$337,"&gt;"&amp;U102)+COUNTIFS($C$5:C102,C102,$AB$5:AB102,TRUE(),$U$5:U102,U102),"")</f>
        <v>6</v>
      </c>
      <c r="AD102" s="5" t="str">
        <f aca="false">IF(AC102="","Not eligible",IF(AC102&lt;=Inputs!$B$25,"Lead",IF(AC102&lt;=Inputs!$B$25+Inputs!$B$26,"Next wave","Long list")))</f>
        <v>Next wave</v>
      </c>
      <c r="AE102" s="5" t="str">
        <f aca="false">IF(AND(K102+L102=0,M102&gt;0),"Safety upgrade of existing prefilled syringe",IF(K102+L102+M102=0,"Confirm presentation (not stated in source)",IF(AA102="Yes","Differentiation in crowded generic market","Safety-device mandate compliance")))</f>
        <v>Safety upgrade of existing prefilled syringe</v>
      </c>
      <c r="AF102" s="5" t="str">
        <f aca="false">IF(AC102="","",C102&amp;"|"&amp;AC102)</f>
        <v>Alembic Pharmaceuticals|6</v>
      </c>
    </row>
    <row r="103" customFormat="false" ht="15" hidden="false" customHeight="false" outlineLevel="0" collapsed="false">
      <c r="A103" s="5" t="n">
        <f aca="false">IF(ISNUMBER(U103),RANK(U103,$U$5:$U$337),"")</f>
        <v>317</v>
      </c>
      <c r="B103" s="5" t="s">
        <v>90</v>
      </c>
      <c r="C103" s="5" t="s">
        <v>55</v>
      </c>
      <c r="D103" s="5" t="str">
        <f aca="false">INDEX('API Data'!$B$2:$B$152,MATCH(B103,'API Data'!$A$2:$A$152,0))</f>
        <v>Neurology – status epilepticus, seizures, acute anxiety/sedation</v>
      </c>
      <c r="E103" s="5" t="n">
        <f aca="false">COUNTIFS('Market Listing'!$A$2:$A$4054,B103,'Market Listing'!$B$2:$B$4054,C103)</f>
        <v>1</v>
      </c>
      <c r="F103" s="5" t="n">
        <f aca="false">COUNTIFS('Market Listing'!$A$2:$A$4054,B103,'Market Listing'!$B$2:$B$4054,C103,'Market Listing'!$D$2:$D$4054,"Tier 1")</f>
        <v>1</v>
      </c>
      <c r="G103" s="5" t="n">
        <f aca="false">COUNTIFS('Market Listing'!$A$2:$A$4054,B103,'Market Listing'!$B$2:$B$4054,C103,'Market Listing'!$D$2:$D$4054,"Tier 2")</f>
        <v>0</v>
      </c>
      <c r="H103" s="5" t="n">
        <f aca="false">COUNTIFS('Market Listing'!$A$2:$A$4054,B103,'Market Listing'!$B$2:$B$4054,C103,'Market Listing'!$D$2:$D$4054,"Tier 3")</f>
        <v>0</v>
      </c>
      <c r="I103" s="5" t="n">
        <f aca="false">SUMIFS('Market Listing'!$E$2:$E$4054,'Market Listing'!$A$2:$A$4054,B103,'Market Listing'!$B$2:$B$4054,C103)</f>
        <v>3</v>
      </c>
      <c r="J103" s="5" t="n">
        <f aca="false">COUNTIFS('Product Rows'!$A$2:$A$696,B103,'Product Rows'!$B$2:$B$696,C103)</f>
        <v>1</v>
      </c>
      <c r="K103" s="5" t="n">
        <f aca="false">COUNTIFS('Product Rows'!$A$2:$A$696,B103,'Product Rows'!$B$2:$B$696,C103,'Product Rows'!$G$2:$G$696,"Vial")</f>
        <v>0</v>
      </c>
      <c r="L103" s="5" t="n">
        <f aca="false">COUNTIFS('Product Rows'!$A$2:$A$696,B103,'Product Rows'!$B$2:$B$696,C103,'Product Rows'!$G$2:$G$696,"Ampoule")</f>
        <v>0</v>
      </c>
      <c r="M103" s="5" t="n">
        <f aca="false">COUNTIFS('Product Rows'!$A$2:$A$696,B103,'Product Rows'!$B$2:$B$696,C103,'Product Rows'!$G$2:$G$696,"Prefilled syringe/pen")</f>
        <v>1</v>
      </c>
      <c r="N103" s="6" t="str">
        <f aca="false">IFERROR(AVERAGEIFS('Product Rows'!$H$2:$H$696,'Product Rows'!$A$2:$A$696,B103,'Product Rows'!$B$2:$B$696,C103),"")</f>
        <v/>
      </c>
      <c r="O103" s="7" t="n">
        <f aca="false">INDEX('API Data'!$E$2:$E$152,MATCH(B103,'API Data'!$A$2:$A$152,0))</f>
        <v>1053.62732639831</v>
      </c>
      <c r="P103" s="5" t="n">
        <f aca="false">COUNTIF($B$5:$B$337,B103)</f>
        <v>3</v>
      </c>
      <c r="Q103" s="8" t="n">
        <f aca="false">IF(ISNUMBER(I103),PERCENTRANK($I$5:$I$337,I103),"")</f>
        <v>0.157</v>
      </c>
      <c r="R103" s="8" t="str">
        <f aca="false">IF(ISNUMBER(N103),PERCENTRANK($N$5:$N$337,N103),"")</f>
        <v/>
      </c>
      <c r="S103" s="8" t="n">
        <f aca="false">IF(ISNUMBER(O103),PERCENTRANK($O$5:$O$337,O103),"")</f>
        <v>0.151</v>
      </c>
      <c r="T103" s="8" t="n">
        <f aca="false">IF(ISNUMBER(P103),PERCENTRANK($P$5:$P$337,P103),"")</f>
        <v>0.416</v>
      </c>
      <c r="U103" s="9" t="n">
        <f aca="false">IF((IF(ISNUMBER(Q103),Inputs!$B$4,0)+IF(ISNUMBER(R103),Inputs!$B$5,0)+IF(ISNUMBER(S103),Inputs!$B$6,0)+IF(ISNUMBER(T103),Inputs!$B$7,0))=0,"",(IF(ISNUMBER(Q103),Inputs!$B$4*Q103,0)+IF(ISNUMBER(R103),Inputs!$B$5*R103,0)+IF(ISNUMBER(S103),Inputs!$B$6*S103,0)+IF(ISNUMBER(T103),Inputs!$B$7*T103,0))/(IF(ISNUMBER(Q103),Inputs!$B$4,0)+IF(ISNUMBER(R103),Inputs!$B$5,0)+IF(ISNUMBER(S103),Inputs!$B$6,0)+IF(ISNUMBER(T103),Inputs!$B$7,0)))</f>
        <v>0.151</v>
      </c>
      <c r="V103" s="5" t="str">
        <f aca="false">IF(F103&gt;0,"Yes","No")</f>
        <v>Yes</v>
      </c>
      <c r="W103" s="5" t="str">
        <f aca="false">IF(ISNUMBER(N103),IF(N103&gt;=Inputs!$D$18,"Yes","No"),"No price")</f>
        <v>No price</v>
      </c>
      <c r="X103" s="5" t="str">
        <f aca="false">IF(K103+L103&gt;0,"Yes",IF(M103&gt;0,"No","Unclear"))</f>
        <v>No</v>
      </c>
      <c r="Y103" s="5" t="str">
        <f aca="false">INDEX('API Data'!$H$2:$H$152,MATCH(B103,'API Data'!$A$2:$A$152,0))</f>
        <v>No</v>
      </c>
      <c r="Z103" s="5" t="str">
        <f aca="false">IF(COUNTIFS('Product Rows'!$A$2:$A$696,B103,'Product Rows'!$B$2:$B$696,C103,'Product Rows'!$I$2:$I$696,"Yes")&gt;0,"Yes","No")</f>
        <v>No</v>
      </c>
      <c r="AA103" s="5" t="str">
        <f aca="false">IF(P103&gt;=Inputs!$D$22,"Yes","No")</f>
        <v>Yes</v>
      </c>
      <c r="AB103" s="10" t="b">
        <f aca="false">AND(OR(Inputs!$B$17&lt;&gt;"Exclude",V103="Yes"),OR(Inputs!$B$18&lt;&gt;"Exclude",W103&lt;&gt;"No"),OR(Inputs!$B$19&lt;&gt;"Exclude",X103&lt;&gt;"No"),OR(Inputs!$B$20&lt;&gt;"Exclude",Y103="No"),OR(Inputs!$B$21&lt;&gt;"Exclude",Z103="No"),OR(Inputs!$B$22&lt;&gt;"Exclude",AA103="Yes"),ISNUMBER(U103))</f>
        <v>1</v>
      </c>
      <c r="AC103" s="5" t="n">
        <f aca="false">IF(AB103,COUNTIFS($C$5:$C$337,C103,$AB$5:$AB$337,TRUE(),$U$5:$U$337,"&gt;"&amp;U103)+COUNTIFS($C$5:C103,C103,$AB$5:AB103,TRUE(),$U$5:U103,U103),"")</f>
        <v>23</v>
      </c>
      <c r="AD103" s="5" t="str">
        <f aca="false">IF(AC103="","Not eligible",IF(AC103&lt;=Inputs!$B$25,"Lead",IF(AC103&lt;=Inputs!$B$25+Inputs!$B$26,"Next wave","Long list")))</f>
        <v>Long list</v>
      </c>
      <c r="AE103" s="5" t="str">
        <f aca="false">IF(AND(K103+L103=0,M103&gt;0),"Safety upgrade of existing prefilled syringe",IF(K103+L103+M103=0,"Confirm presentation (not stated in source)",IF(AA103="Yes","Differentiation in crowded generic market","Safety-device mandate compliance")))</f>
        <v>Safety upgrade of existing prefilled syringe</v>
      </c>
      <c r="AF103" s="5" t="str">
        <f aca="false">IF(AC103="","",C103&amp;"|"&amp;AC103)</f>
        <v>Dr. Reddy's Laboratories|23</v>
      </c>
    </row>
    <row r="104" customFormat="false" ht="15" hidden="false" customHeight="false" outlineLevel="0" collapsed="false">
      <c r="A104" s="5" t="n">
        <f aca="false">IF(ISNUMBER(U104),RANK(U104,$U$5:$U$337),"")</f>
        <v>317</v>
      </c>
      <c r="B104" s="5" t="s">
        <v>90</v>
      </c>
      <c r="C104" s="5" t="s">
        <v>40</v>
      </c>
      <c r="D104" s="5" t="str">
        <f aca="false">INDEX('API Data'!$B$2:$B$152,MATCH(B104,'API Data'!$A$2:$A$152,0))</f>
        <v>Neurology – status epilepticus, seizures, acute anxiety/sedation</v>
      </c>
      <c r="E104" s="5" t="n">
        <f aca="false">COUNTIFS('Market Listing'!$A$2:$A$4054,B104,'Market Listing'!$B$2:$B$4054,C104)</f>
        <v>1</v>
      </c>
      <c r="F104" s="5" t="n">
        <f aca="false">COUNTIFS('Market Listing'!$A$2:$A$4054,B104,'Market Listing'!$B$2:$B$4054,C104,'Market Listing'!$D$2:$D$4054,"Tier 1")</f>
        <v>1</v>
      </c>
      <c r="G104" s="5" t="n">
        <f aca="false">COUNTIFS('Market Listing'!$A$2:$A$4054,B104,'Market Listing'!$B$2:$B$4054,C104,'Market Listing'!$D$2:$D$4054,"Tier 2")</f>
        <v>0</v>
      </c>
      <c r="H104" s="5" t="n">
        <f aca="false">COUNTIFS('Market Listing'!$A$2:$A$4054,B104,'Market Listing'!$B$2:$B$4054,C104,'Market Listing'!$D$2:$D$4054,"Tier 3")</f>
        <v>0</v>
      </c>
      <c r="I104" s="5" t="n">
        <f aca="false">SUMIFS('Market Listing'!$E$2:$E$4054,'Market Listing'!$A$2:$A$4054,B104,'Market Listing'!$B$2:$B$4054,C104)</f>
        <v>3</v>
      </c>
      <c r="J104" s="5" t="n">
        <f aca="false">COUNTIFS('Product Rows'!$A$2:$A$696,B104,'Product Rows'!$B$2:$B$696,C104)</f>
        <v>1</v>
      </c>
      <c r="K104" s="5" t="n">
        <f aca="false">COUNTIFS('Product Rows'!$A$2:$A$696,B104,'Product Rows'!$B$2:$B$696,C104,'Product Rows'!$G$2:$G$696,"Vial")</f>
        <v>0</v>
      </c>
      <c r="L104" s="5" t="n">
        <f aca="false">COUNTIFS('Product Rows'!$A$2:$A$696,B104,'Product Rows'!$B$2:$B$696,C104,'Product Rows'!$G$2:$G$696,"Ampoule")</f>
        <v>0</v>
      </c>
      <c r="M104" s="5" t="n">
        <f aca="false">COUNTIFS('Product Rows'!$A$2:$A$696,B104,'Product Rows'!$B$2:$B$696,C104,'Product Rows'!$G$2:$G$696,"Prefilled syringe/pen")</f>
        <v>0</v>
      </c>
      <c r="N104" s="6" t="str">
        <f aca="false">IFERROR(AVERAGEIFS('Product Rows'!$H$2:$H$696,'Product Rows'!$A$2:$A$696,B104,'Product Rows'!$B$2:$B$696,C104),"")</f>
        <v/>
      </c>
      <c r="O104" s="7" t="n">
        <f aca="false">INDEX('API Data'!$E$2:$E$152,MATCH(B104,'API Data'!$A$2:$A$152,0))</f>
        <v>1053.62732639831</v>
      </c>
      <c r="P104" s="5" t="n">
        <f aca="false">COUNTIF($B$5:$B$337,B104)</f>
        <v>3</v>
      </c>
      <c r="Q104" s="8" t="n">
        <f aca="false">IF(ISNUMBER(I104),PERCENTRANK($I$5:$I$337,I104),"")</f>
        <v>0.157</v>
      </c>
      <c r="R104" s="8" t="str">
        <f aca="false">IF(ISNUMBER(N104),PERCENTRANK($N$5:$N$337,N104),"")</f>
        <v/>
      </c>
      <c r="S104" s="8" t="n">
        <f aca="false">IF(ISNUMBER(O104),PERCENTRANK($O$5:$O$337,O104),"")</f>
        <v>0.151</v>
      </c>
      <c r="T104" s="8" t="n">
        <f aca="false">IF(ISNUMBER(P104),PERCENTRANK($P$5:$P$337,P104),"")</f>
        <v>0.416</v>
      </c>
      <c r="U104" s="9" t="n">
        <f aca="false">IF((IF(ISNUMBER(Q104),Inputs!$B$4,0)+IF(ISNUMBER(R104),Inputs!$B$5,0)+IF(ISNUMBER(S104),Inputs!$B$6,0)+IF(ISNUMBER(T104),Inputs!$B$7,0))=0,"",(IF(ISNUMBER(Q104),Inputs!$B$4*Q104,0)+IF(ISNUMBER(R104),Inputs!$B$5*R104,0)+IF(ISNUMBER(S104),Inputs!$B$6*S104,0)+IF(ISNUMBER(T104),Inputs!$B$7*T104,0))/(IF(ISNUMBER(Q104),Inputs!$B$4,0)+IF(ISNUMBER(R104),Inputs!$B$5,0)+IF(ISNUMBER(S104),Inputs!$B$6,0)+IF(ISNUMBER(T104),Inputs!$B$7,0)))</f>
        <v>0.151</v>
      </c>
      <c r="V104" s="5" t="str">
        <f aca="false">IF(F104&gt;0,"Yes","No")</f>
        <v>Yes</v>
      </c>
      <c r="W104" s="5" t="str">
        <f aca="false">IF(ISNUMBER(N104),IF(N104&gt;=Inputs!$D$18,"Yes","No"),"No price")</f>
        <v>No price</v>
      </c>
      <c r="X104" s="5" t="str">
        <f aca="false">IF(K104+L104&gt;0,"Yes",IF(M104&gt;0,"No","Unclear"))</f>
        <v>Unclear</v>
      </c>
      <c r="Y104" s="5" t="str">
        <f aca="false">INDEX('API Data'!$H$2:$H$152,MATCH(B104,'API Data'!$A$2:$A$152,0))</f>
        <v>No</v>
      </c>
      <c r="Z104" s="5" t="str">
        <f aca="false">IF(COUNTIFS('Product Rows'!$A$2:$A$696,B104,'Product Rows'!$B$2:$B$696,C104,'Product Rows'!$I$2:$I$696,"Yes")&gt;0,"Yes","No")</f>
        <v>No</v>
      </c>
      <c r="AA104" s="5" t="str">
        <f aca="false">IF(P104&gt;=Inputs!$D$22,"Yes","No")</f>
        <v>Yes</v>
      </c>
      <c r="AB104" s="10" t="b">
        <f aca="false">AND(OR(Inputs!$B$17&lt;&gt;"Exclude",V104="Yes"),OR(Inputs!$B$18&lt;&gt;"Exclude",W104&lt;&gt;"No"),OR(Inputs!$B$19&lt;&gt;"Exclude",X104&lt;&gt;"No"),OR(Inputs!$B$20&lt;&gt;"Exclude",Y104="No"),OR(Inputs!$B$21&lt;&gt;"Exclude",Z104="No"),OR(Inputs!$B$22&lt;&gt;"Exclude",AA104="Yes"),ISNUMBER(U104))</f>
        <v>1</v>
      </c>
      <c r="AC104" s="5" t="n">
        <f aca="false">IF(AB104,COUNTIFS($C$5:$C$337,C104,$AB$5:$AB$337,TRUE(),$U$5:$U$337,"&gt;"&amp;U104)+COUNTIFS($C$5:C104,C104,$AB$5:AB104,TRUE(),$U$5:U104,U104),"")</f>
        <v>3</v>
      </c>
      <c r="AD104" s="5" t="str">
        <f aca="false">IF(AC104="","Not eligible",IF(AC104&lt;=Inputs!$B$25,"Lead",IF(AC104&lt;=Inputs!$B$25+Inputs!$B$26,"Next wave","Long list")))</f>
        <v>Lead</v>
      </c>
      <c r="AE104" s="5" t="str">
        <f aca="false">IF(AND(K104+L104=0,M104&gt;0),"Safety upgrade of existing prefilled syringe",IF(K104+L104+M104=0,"Confirm presentation (not stated in source)",IF(AA104="Yes","Differentiation in crowded generic market","Safety-device mandate compliance")))</f>
        <v>Confirm presentation (not stated in source)</v>
      </c>
      <c r="AF104" s="5" t="str">
        <f aca="false">IF(AC104="","",C104&amp;"|"&amp;AC104)</f>
        <v>Lupin|3</v>
      </c>
    </row>
    <row r="105" customFormat="false" ht="15" hidden="false" customHeight="false" outlineLevel="0" collapsed="false">
      <c r="A105" s="5" t="n">
        <f aca="false">IF(ISNUMBER(U105),RANK(U105,$U$5:$U$337),"")</f>
        <v>300</v>
      </c>
      <c r="B105" s="5" t="s">
        <v>91</v>
      </c>
      <c r="C105" s="5" t="s">
        <v>65</v>
      </c>
      <c r="D105" s="5" t="str">
        <f aca="false">INDEX('API Data'!$B$2:$B$152,MATCH(B105,'API Data'!$A$2:$A$152,0))</f>
        <v>Immunology / Allergy – acute allergic reactions; drug-induced dystonia</v>
      </c>
      <c r="E105" s="5" t="n">
        <f aca="false">COUNTIFS('Market Listing'!$A$2:$A$4054,B105,'Market Listing'!$B$2:$B$4054,C105)</f>
        <v>1</v>
      </c>
      <c r="F105" s="5" t="n">
        <f aca="false">COUNTIFS('Market Listing'!$A$2:$A$4054,B105,'Market Listing'!$B$2:$B$4054,C105,'Market Listing'!$D$2:$D$4054,"Tier 1")</f>
        <v>1</v>
      </c>
      <c r="G105" s="5" t="n">
        <f aca="false">COUNTIFS('Market Listing'!$A$2:$A$4054,B105,'Market Listing'!$B$2:$B$4054,C105,'Market Listing'!$D$2:$D$4054,"Tier 2")</f>
        <v>0</v>
      </c>
      <c r="H105" s="5" t="n">
        <f aca="false">COUNTIFS('Market Listing'!$A$2:$A$4054,B105,'Market Listing'!$B$2:$B$4054,C105,'Market Listing'!$D$2:$D$4054,"Tier 3")</f>
        <v>0</v>
      </c>
      <c r="I105" s="5" t="n">
        <f aca="false">SUMIFS('Market Listing'!$E$2:$E$4054,'Market Listing'!$A$2:$A$4054,B105,'Market Listing'!$B$2:$B$4054,C105)</f>
        <v>3</v>
      </c>
      <c r="J105" s="5" t="n">
        <f aca="false">COUNTIFS('Product Rows'!$A$2:$A$696,B105,'Product Rows'!$B$2:$B$696,C105)</f>
        <v>1</v>
      </c>
      <c r="K105" s="5" t="n">
        <f aca="false">COUNTIFS('Product Rows'!$A$2:$A$696,B105,'Product Rows'!$B$2:$B$696,C105,'Product Rows'!$G$2:$G$696,"Vial")</f>
        <v>1</v>
      </c>
      <c r="L105" s="5" t="n">
        <f aca="false">COUNTIFS('Product Rows'!$A$2:$A$696,B105,'Product Rows'!$B$2:$B$696,C105,'Product Rows'!$G$2:$G$696,"Ampoule")</f>
        <v>0</v>
      </c>
      <c r="M105" s="5" t="n">
        <f aca="false">COUNTIFS('Product Rows'!$A$2:$A$696,B105,'Product Rows'!$B$2:$B$696,C105,'Product Rows'!$G$2:$G$696,"Prefilled syringe/pen")</f>
        <v>0</v>
      </c>
      <c r="N105" s="6" t="n">
        <f aca="false">IFERROR(AVERAGEIFS('Product Rows'!$H$2:$H$696,'Product Rows'!$A$2:$A$696,B105,'Product Rows'!$B$2:$B$696,C105),"")</f>
        <v>18</v>
      </c>
      <c r="O105" s="7" t="n">
        <f aca="false">INDEX('API Data'!$E$2:$E$152,MATCH(B105,'API Data'!$A$2:$A$152,0))</f>
        <v>513.225288349885</v>
      </c>
      <c r="P105" s="5" t="n">
        <f aca="false">COUNTIF($B$5:$B$337,B105)</f>
        <v>1</v>
      </c>
      <c r="Q105" s="8" t="n">
        <f aca="false">IF(ISNUMBER(I105),PERCENTRANK($I$5:$I$337,I105),"")</f>
        <v>0.157</v>
      </c>
      <c r="R105" s="8" t="n">
        <f aca="false">IF(ISNUMBER(N105),PERCENTRANK($N$5:$N$337,N105),"")</f>
        <v>0.344</v>
      </c>
      <c r="S105" s="8" t="n">
        <f aca="false">IF(ISNUMBER(O105),PERCENTRANK($O$5:$O$337,O105),"")</f>
        <v>0.105</v>
      </c>
      <c r="T105" s="8" t="n">
        <f aca="false">IF(ISNUMBER(P105),PERCENTRANK($P$5:$P$337,P105),"")</f>
        <v>0</v>
      </c>
      <c r="U105" s="9" t="n">
        <f aca="false">IF((IF(ISNUMBER(Q105),Inputs!$B$4,0)+IF(ISNUMBER(R105),Inputs!$B$5,0)+IF(ISNUMBER(S105),Inputs!$B$6,0)+IF(ISNUMBER(T105),Inputs!$B$7,0))=0,"",(IF(ISNUMBER(Q105),Inputs!$B$4*Q105,0)+IF(ISNUMBER(R105),Inputs!$B$5*R105,0)+IF(ISNUMBER(S105),Inputs!$B$6*S105,0)+IF(ISNUMBER(T105),Inputs!$B$7*T105,0))/(IF(ISNUMBER(Q105),Inputs!$B$4,0)+IF(ISNUMBER(R105),Inputs!$B$5,0)+IF(ISNUMBER(S105),Inputs!$B$6,0)+IF(ISNUMBER(T105),Inputs!$B$7,0)))</f>
        <v>0.2245</v>
      </c>
      <c r="V105" s="5" t="str">
        <f aca="false">IF(F105&gt;0,"Yes","No")</f>
        <v>Yes</v>
      </c>
      <c r="W105" s="5" t="str">
        <f aca="false">IF(ISNUMBER(N105),IF(N105&gt;=Inputs!$D$18,"Yes","No"),"No price")</f>
        <v>Yes</v>
      </c>
      <c r="X105" s="5" t="str">
        <f aca="false">IF(K105+L105&gt;0,"Yes",IF(M105&gt;0,"No","Unclear"))</f>
        <v>Yes</v>
      </c>
      <c r="Y105" s="5" t="str">
        <f aca="false">INDEX('API Data'!$H$2:$H$152,MATCH(B105,'API Data'!$A$2:$A$152,0))</f>
        <v>No</v>
      </c>
      <c r="Z105" s="5" t="str">
        <f aca="false">IF(COUNTIFS('Product Rows'!$A$2:$A$696,B105,'Product Rows'!$B$2:$B$696,C105,'Product Rows'!$I$2:$I$696,"Yes")&gt;0,"Yes","No")</f>
        <v>No</v>
      </c>
      <c r="AA105" s="5" t="str">
        <f aca="false">IF(P105&gt;=Inputs!$D$22,"Yes","No")</f>
        <v>No</v>
      </c>
      <c r="AB105" s="10" t="b">
        <f aca="false">AND(OR(Inputs!$B$17&lt;&gt;"Exclude",V105="Yes"),OR(Inputs!$B$18&lt;&gt;"Exclude",W105&lt;&gt;"No"),OR(Inputs!$B$19&lt;&gt;"Exclude",X105&lt;&gt;"No"),OR(Inputs!$B$20&lt;&gt;"Exclude",Y105="No"),OR(Inputs!$B$21&lt;&gt;"Exclude",Z105="No"),OR(Inputs!$B$22&lt;&gt;"Exclude",AA105="Yes"),ISNUMBER(U105))</f>
        <v>1</v>
      </c>
      <c r="AC105" s="5" t="n">
        <f aca="false">IF(AB105,COUNTIFS($C$5:$C$337,C105,$AB$5:$AB$337,TRUE(),$U$5:$U$337,"&gt;"&amp;U105)+COUNTIFS($C$5:C105,C105,$AB$5:AB105,TRUE(),$U$5:U105,U105),"")</f>
        <v>8</v>
      </c>
      <c r="AD105" s="5" t="str">
        <f aca="false">IF(AC105="","Not eligible",IF(AC105&lt;=Inputs!$B$25,"Lead",IF(AC105&lt;=Inputs!$B$25+Inputs!$B$26,"Next wave","Long list")))</f>
        <v>Next wave</v>
      </c>
      <c r="AE105" s="5" t="str">
        <f aca="false">IF(AND(K105+L105=0,M105&gt;0),"Safety upgrade of existing prefilled syringe",IF(K105+L105+M105=0,"Confirm presentation (not stated in source)",IF(AA105="Yes","Differentiation in crowded generic market","Safety-device mandate compliance")))</f>
        <v>Safety-device mandate compliance</v>
      </c>
      <c r="AF105" s="5" t="str">
        <f aca="false">IF(AC105="","",C105&amp;"|"&amp;AC105)</f>
        <v>Micro Labs|8</v>
      </c>
    </row>
    <row r="106" customFormat="false" ht="15" hidden="false" customHeight="false" outlineLevel="0" collapsed="false">
      <c r="A106" s="5" t="n">
        <f aca="false">IF(ISNUMBER(U106),RANK(U106,$U$5:$U$337),"")</f>
        <v>89</v>
      </c>
      <c r="B106" s="5" t="s">
        <v>92</v>
      </c>
      <c r="C106" s="5" t="s">
        <v>47</v>
      </c>
      <c r="D106" s="5" t="str">
        <f aca="false">INDEX('API Data'!$B$2:$B$152,MATCH(B106,'API Data'!$A$2:$A$152,0))</f>
        <v>Oncology – breast cancer, lymphomas, sarcomas, leukaemia</v>
      </c>
      <c r="E106" s="5" t="n">
        <f aca="false">COUNTIFS('Market Listing'!$A$2:$A$4054,B106,'Market Listing'!$B$2:$B$4054,C106)</f>
        <v>31</v>
      </c>
      <c r="F106" s="5" t="n">
        <f aca="false">COUNTIFS('Market Listing'!$A$2:$A$4054,B106,'Market Listing'!$B$2:$B$4054,C106,'Market Listing'!$D$2:$D$4054,"Tier 1")</f>
        <v>5</v>
      </c>
      <c r="G106" s="5" t="n">
        <f aca="false">COUNTIFS('Market Listing'!$A$2:$A$4054,B106,'Market Listing'!$B$2:$B$4054,C106,'Market Listing'!$D$2:$D$4054,"Tier 2")</f>
        <v>3</v>
      </c>
      <c r="H106" s="5" t="n">
        <f aca="false">COUNTIFS('Market Listing'!$A$2:$A$4054,B106,'Market Listing'!$B$2:$B$4054,C106,'Market Listing'!$D$2:$D$4054,"Tier 3")</f>
        <v>23</v>
      </c>
      <c r="I106" s="5" t="n">
        <f aca="false">SUMIFS('Market Listing'!$E$2:$E$4054,'Market Listing'!$A$2:$A$4054,B106,'Market Listing'!$B$2:$B$4054,C106)</f>
        <v>44</v>
      </c>
      <c r="J106" s="5" t="n">
        <f aca="false">COUNTIFS('Product Rows'!$A$2:$A$696,B106,'Product Rows'!$B$2:$B$696,C106)</f>
        <v>1</v>
      </c>
      <c r="K106" s="5" t="n">
        <f aca="false">COUNTIFS('Product Rows'!$A$2:$A$696,B106,'Product Rows'!$B$2:$B$696,C106,'Product Rows'!$G$2:$G$696,"Vial")</f>
        <v>1</v>
      </c>
      <c r="L106" s="5" t="n">
        <f aca="false">COUNTIFS('Product Rows'!$A$2:$A$696,B106,'Product Rows'!$B$2:$B$696,C106,'Product Rows'!$G$2:$G$696,"Ampoule")</f>
        <v>0</v>
      </c>
      <c r="M106" s="5" t="n">
        <f aca="false">COUNTIFS('Product Rows'!$A$2:$A$696,B106,'Product Rows'!$B$2:$B$696,C106,'Product Rows'!$G$2:$G$696,"Prefilled syringe/pen")</f>
        <v>0</v>
      </c>
      <c r="N106" s="6" t="n">
        <f aca="false">IFERROR(AVERAGEIFS('Product Rows'!$H$2:$H$696,'Product Rows'!$A$2:$A$696,B106,'Product Rows'!$B$2:$B$696,C106),"")</f>
        <v>16.837</v>
      </c>
      <c r="O106" s="7" t="n">
        <f aca="false">INDEX('API Data'!$E$2:$E$152,MATCH(B106,'API Data'!$A$2:$A$152,0))</f>
        <v>41503.1541474654</v>
      </c>
      <c r="P106" s="5" t="n">
        <f aca="false">COUNTIF($B$5:$B$337,B106)</f>
        <v>4</v>
      </c>
      <c r="Q106" s="8" t="n">
        <f aca="false">IF(ISNUMBER(I106),PERCENTRANK($I$5:$I$337,I106),"")</f>
        <v>0.798</v>
      </c>
      <c r="R106" s="8" t="n">
        <f aca="false">IF(ISNUMBER(N106),PERCENTRANK($N$5:$N$337,N106),"")</f>
        <v>0.323</v>
      </c>
      <c r="S106" s="8" t="n">
        <f aca="false">IF(ISNUMBER(O106),PERCENTRANK($O$5:$O$337,O106),"")</f>
        <v>0.886</v>
      </c>
      <c r="T106" s="8" t="n">
        <f aca="false">IF(ISNUMBER(P106),PERCENTRANK($P$5:$P$337,P106),"")</f>
        <v>0.569</v>
      </c>
      <c r="U106" s="9" t="n">
        <f aca="false">IF((IF(ISNUMBER(Q106),Inputs!$B$4,0)+IF(ISNUMBER(R106),Inputs!$B$5,0)+IF(ISNUMBER(S106),Inputs!$B$6,0)+IF(ISNUMBER(T106),Inputs!$B$7,0))=0,"",(IF(ISNUMBER(Q106),Inputs!$B$4*Q106,0)+IF(ISNUMBER(R106),Inputs!$B$5*R106,0)+IF(ISNUMBER(S106),Inputs!$B$6*S106,0)+IF(ISNUMBER(T106),Inputs!$B$7*T106,0))/(IF(ISNUMBER(Q106),Inputs!$B$4,0)+IF(ISNUMBER(R106),Inputs!$B$5,0)+IF(ISNUMBER(S106),Inputs!$B$6,0)+IF(ISNUMBER(T106),Inputs!$B$7,0)))</f>
        <v>0.6045</v>
      </c>
      <c r="V106" s="5" t="str">
        <f aca="false">IF(F106&gt;0,"Yes","No")</f>
        <v>Yes</v>
      </c>
      <c r="W106" s="5" t="str">
        <f aca="false">IF(ISNUMBER(N106),IF(N106&gt;=Inputs!$D$18,"Yes","No"),"No price")</f>
        <v>Yes</v>
      </c>
      <c r="X106" s="5" t="str">
        <f aca="false">IF(K106+L106&gt;0,"Yes",IF(M106&gt;0,"No","Unclear"))</f>
        <v>Yes</v>
      </c>
      <c r="Y106" s="5" t="str">
        <f aca="false">INDEX('API Data'!$H$2:$H$152,MATCH(B106,'API Data'!$A$2:$A$152,0))</f>
        <v>Yes</v>
      </c>
      <c r="Z106" s="5" t="str">
        <f aca="false">IF(COUNTIFS('Product Rows'!$A$2:$A$696,B106,'Product Rows'!$B$2:$B$696,C106,'Product Rows'!$I$2:$I$696,"Yes")&gt;0,"Yes","No")</f>
        <v>No</v>
      </c>
      <c r="AA106" s="5" t="str">
        <f aca="false">IF(P106&gt;=Inputs!$D$22,"Yes","No")</f>
        <v>Yes</v>
      </c>
      <c r="AB106" s="10" t="b">
        <f aca="false">AND(OR(Inputs!$B$17&lt;&gt;"Exclude",V106="Yes"),OR(Inputs!$B$18&lt;&gt;"Exclude",W106&lt;&gt;"No"),OR(Inputs!$B$19&lt;&gt;"Exclude",X106&lt;&gt;"No"),OR(Inputs!$B$20&lt;&gt;"Exclude",Y106="No"),OR(Inputs!$B$21&lt;&gt;"Exclude",Z106="No"),OR(Inputs!$B$22&lt;&gt;"Exclude",AA106="Yes"),ISNUMBER(U106))</f>
        <v>1</v>
      </c>
      <c r="AC106" s="5" t="n">
        <f aca="false">IF(AB106,COUNTIFS($C$5:$C$337,C106,$AB$5:$AB$337,TRUE(),$U$5:$U$337,"&gt;"&amp;U106)+COUNTIFS($C$5:C106,C106,$AB$5:AB106,TRUE(),$U$5:U106,U106),"")</f>
        <v>11</v>
      </c>
      <c r="AD106" s="5" t="str">
        <f aca="false">IF(AC106="","Not eligible",IF(AC106&lt;=Inputs!$B$25,"Lead",IF(AC106&lt;=Inputs!$B$25+Inputs!$B$26,"Next wave","Long list")))</f>
        <v>Long list</v>
      </c>
      <c r="AE106" s="5" t="str">
        <f aca="false">IF(AND(K106+L106=0,M106&gt;0),"Safety upgrade of existing prefilled syringe",IF(K106+L106+M106=0,"Confirm presentation (not stated in source)",IF(AA106="Yes","Differentiation in crowded generic market","Safety-device mandate compliance")))</f>
        <v>Differentiation in crowded generic market</v>
      </c>
      <c r="AF106" s="5" t="str">
        <f aca="false">IF(AC106="","",C106&amp;"|"&amp;AC106)</f>
        <v>Aurobindo Pharma|11</v>
      </c>
    </row>
    <row r="107" customFormat="false" ht="15" hidden="false" customHeight="false" outlineLevel="0" collapsed="false">
      <c r="A107" s="5" t="n">
        <f aca="false">IF(ISNUMBER(U107),RANK(U107,$U$5:$U$337),"")</f>
        <v>83</v>
      </c>
      <c r="B107" s="5" t="s">
        <v>92</v>
      </c>
      <c r="C107" s="5" t="s">
        <v>54</v>
      </c>
      <c r="D107" s="5" t="str">
        <f aca="false">INDEX('API Data'!$B$2:$B$152,MATCH(B107,'API Data'!$A$2:$A$152,0))</f>
        <v>Oncology – breast cancer, lymphomas, sarcomas, leukaemia</v>
      </c>
      <c r="E107" s="5" t="n">
        <f aca="false">COUNTIFS('Market Listing'!$A$2:$A$4054,B107,'Market Listing'!$B$2:$B$4054,C107)</f>
        <v>1</v>
      </c>
      <c r="F107" s="5" t="n">
        <f aca="false">COUNTIFS('Market Listing'!$A$2:$A$4054,B107,'Market Listing'!$B$2:$B$4054,C107,'Market Listing'!$D$2:$D$4054,"Tier 1")</f>
        <v>0</v>
      </c>
      <c r="G107" s="5" t="n">
        <f aca="false">COUNTIFS('Market Listing'!$A$2:$A$4054,B107,'Market Listing'!$B$2:$B$4054,C107,'Market Listing'!$D$2:$D$4054,"Tier 2")</f>
        <v>1</v>
      </c>
      <c r="H107" s="5" t="n">
        <f aca="false">COUNTIFS('Market Listing'!$A$2:$A$4054,B107,'Market Listing'!$B$2:$B$4054,C107,'Market Listing'!$D$2:$D$4054,"Tier 3")</f>
        <v>0</v>
      </c>
      <c r="I107" s="5" t="n">
        <f aca="false">SUMIFS('Market Listing'!$E$2:$E$4054,'Market Listing'!$A$2:$A$4054,B107,'Market Listing'!$B$2:$B$4054,C107)</f>
        <v>2</v>
      </c>
      <c r="J107" s="5" t="n">
        <f aca="false">COUNTIFS('Product Rows'!$A$2:$A$696,B107,'Product Rows'!$B$2:$B$696,C107)</f>
        <v>2</v>
      </c>
      <c r="K107" s="5" t="n">
        <f aca="false">COUNTIFS('Product Rows'!$A$2:$A$696,B107,'Product Rows'!$B$2:$B$696,C107,'Product Rows'!$G$2:$G$696,"Vial")</f>
        <v>2</v>
      </c>
      <c r="L107" s="5" t="n">
        <f aca="false">COUNTIFS('Product Rows'!$A$2:$A$696,B107,'Product Rows'!$B$2:$B$696,C107,'Product Rows'!$G$2:$G$696,"Ampoule")</f>
        <v>0</v>
      </c>
      <c r="M107" s="5" t="n">
        <f aca="false">COUNTIFS('Product Rows'!$A$2:$A$696,B107,'Product Rows'!$B$2:$B$696,C107,'Product Rows'!$G$2:$G$696,"Prefilled syringe/pen")</f>
        <v>0</v>
      </c>
      <c r="N107" s="6" t="n">
        <f aca="false">IFERROR(AVERAGEIFS('Product Rows'!$H$2:$H$696,'Product Rows'!$A$2:$A$696,B107,'Product Rows'!$B$2:$B$696,C107),"")</f>
        <v>18.925</v>
      </c>
      <c r="O107" s="7" t="n">
        <f aca="false">INDEX('API Data'!$E$2:$E$152,MATCH(B107,'API Data'!$A$2:$A$152,0))</f>
        <v>41503.1541474654</v>
      </c>
      <c r="P107" s="5" t="n">
        <f aca="false">COUNTIF($B$5:$B$337,B107)</f>
        <v>4</v>
      </c>
      <c r="Q107" s="8" t="n">
        <f aca="false">IF(ISNUMBER(I107),PERCENTRANK($I$5:$I$337,I107),"")</f>
        <v>0</v>
      </c>
      <c r="R107" s="8" t="n">
        <f aca="false">IF(ISNUMBER(N107),PERCENTRANK($N$5:$N$337,N107),"")</f>
        <v>0.351</v>
      </c>
      <c r="S107" s="8" t="n">
        <f aca="false">IF(ISNUMBER(O107),PERCENTRANK($O$5:$O$337,O107),"")</f>
        <v>0.886</v>
      </c>
      <c r="T107" s="8" t="n">
        <f aca="false">IF(ISNUMBER(P107),PERCENTRANK($P$5:$P$337,P107),"")</f>
        <v>0.569</v>
      </c>
      <c r="U107" s="9" t="n">
        <f aca="false">IF((IF(ISNUMBER(Q107),Inputs!$B$4,0)+IF(ISNUMBER(R107),Inputs!$B$5,0)+IF(ISNUMBER(S107),Inputs!$B$6,0)+IF(ISNUMBER(T107),Inputs!$B$7,0))=0,"",(IF(ISNUMBER(Q107),Inputs!$B$4*Q107,0)+IF(ISNUMBER(R107),Inputs!$B$5*R107,0)+IF(ISNUMBER(S107),Inputs!$B$6*S107,0)+IF(ISNUMBER(T107),Inputs!$B$7*T107,0))/(IF(ISNUMBER(Q107),Inputs!$B$4,0)+IF(ISNUMBER(R107),Inputs!$B$5,0)+IF(ISNUMBER(S107),Inputs!$B$6,0)+IF(ISNUMBER(T107),Inputs!$B$7,0)))</f>
        <v>0.6185</v>
      </c>
      <c r="V107" s="5" t="str">
        <f aca="false">IF(F107&gt;0,"Yes","No")</f>
        <v>No</v>
      </c>
      <c r="W107" s="5" t="str">
        <f aca="false">IF(ISNUMBER(N107),IF(N107&gt;=Inputs!$D$18,"Yes","No"),"No price")</f>
        <v>Yes</v>
      </c>
      <c r="X107" s="5" t="str">
        <f aca="false">IF(K107+L107&gt;0,"Yes",IF(M107&gt;0,"No","Unclear"))</f>
        <v>Yes</v>
      </c>
      <c r="Y107" s="5" t="str">
        <f aca="false">INDEX('API Data'!$H$2:$H$152,MATCH(B107,'API Data'!$A$2:$A$152,0))</f>
        <v>Yes</v>
      </c>
      <c r="Z107" s="5" t="str">
        <f aca="false">IF(COUNTIFS('Product Rows'!$A$2:$A$696,B107,'Product Rows'!$B$2:$B$696,C107,'Product Rows'!$I$2:$I$696,"Yes")&gt;0,"Yes","No")</f>
        <v>Yes</v>
      </c>
      <c r="AA107" s="5" t="str">
        <f aca="false">IF(P107&gt;=Inputs!$D$22,"Yes","No")</f>
        <v>Yes</v>
      </c>
      <c r="AB107" s="10" t="b">
        <f aca="false">AND(OR(Inputs!$B$17&lt;&gt;"Exclude",V107="Yes"),OR(Inputs!$B$18&lt;&gt;"Exclude",W107&lt;&gt;"No"),OR(Inputs!$B$19&lt;&gt;"Exclude",X107&lt;&gt;"No"),OR(Inputs!$B$20&lt;&gt;"Exclude",Y107="No"),OR(Inputs!$B$21&lt;&gt;"Exclude",Z107="No"),OR(Inputs!$B$22&lt;&gt;"Exclude",AA107="Yes"),ISNUMBER(U107))</f>
        <v>0</v>
      </c>
      <c r="AC107" s="5" t="str">
        <f aca="false">IF(AB107,COUNTIFS($C$5:$C$337,C107,$AB$5:$AB$337,TRUE(),$U$5:$U$337,"&gt;"&amp;U107)+COUNTIFS($C$5:C107,C107,$AB$5:AB107,TRUE(),$U$5:U107,U107),"")</f>
        <v/>
      </c>
      <c r="AD107" s="5" t="str">
        <f aca="false">IF(AC107="","Not eligible",IF(AC107&lt;=Inputs!$B$25,"Lead",IF(AC107&lt;=Inputs!$B$25+Inputs!$B$26,"Next wave","Long list")))</f>
        <v>Not eligible</v>
      </c>
      <c r="AE107" s="5" t="str">
        <f aca="false">IF(AND(K107+L107=0,M107&gt;0),"Safety upgrade of existing prefilled syringe",IF(K107+L107+M107=0,"Confirm presentation (not stated in source)",IF(AA107="Yes","Differentiation in crowded generic market","Safety-device mandate compliance")))</f>
        <v>Differentiation in crowded generic market</v>
      </c>
      <c r="AF107" s="5" t="str">
        <f aca="false">IF(AC107="","",C107&amp;"|"&amp;AC107)</f>
        <v/>
      </c>
    </row>
    <row r="108" customFormat="false" ht="15" hidden="false" customHeight="false" outlineLevel="0" collapsed="false">
      <c r="A108" s="5" t="n">
        <f aca="false">IF(ISNUMBER(U108),RANK(U108,$U$5:$U$337),"")</f>
        <v>56</v>
      </c>
      <c r="B108" s="5" t="s">
        <v>92</v>
      </c>
      <c r="C108" s="5" t="s">
        <v>44</v>
      </c>
      <c r="D108" s="5" t="str">
        <f aca="false">INDEX('API Data'!$B$2:$B$152,MATCH(B108,'API Data'!$A$2:$A$152,0))</f>
        <v>Oncology – breast cancer, lymphomas, sarcomas, leukaemia</v>
      </c>
      <c r="E108" s="5" t="n">
        <f aca="false">COUNTIFS('Market Listing'!$A$2:$A$4054,B108,'Market Listing'!$B$2:$B$4054,C108)</f>
        <v>34</v>
      </c>
      <c r="F108" s="5" t="n">
        <f aca="false">COUNTIFS('Market Listing'!$A$2:$A$4054,B108,'Market Listing'!$B$2:$B$4054,C108,'Market Listing'!$D$2:$D$4054,"Tier 1")</f>
        <v>6</v>
      </c>
      <c r="G108" s="5" t="n">
        <f aca="false">COUNTIFS('Market Listing'!$A$2:$A$4054,B108,'Market Listing'!$B$2:$B$4054,C108,'Market Listing'!$D$2:$D$4054,"Tier 2")</f>
        <v>5</v>
      </c>
      <c r="H108" s="5" t="n">
        <f aca="false">COUNTIFS('Market Listing'!$A$2:$A$4054,B108,'Market Listing'!$B$2:$B$4054,C108,'Market Listing'!$D$2:$D$4054,"Tier 3")</f>
        <v>23</v>
      </c>
      <c r="I108" s="5" t="n">
        <f aca="false">SUMIFS('Market Listing'!$E$2:$E$4054,'Market Listing'!$A$2:$A$4054,B108,'Market Listing'!$B$2:$B$4054,C108)</f>
        <v>51</v>
      </c>
      <c r="J108" s="5" t="n">
        <f aca="false">COUNTIFS('Product Rows'!$A$2:$A$696,B108,'Product Rows'!$B$2:$B$696,C108)</f>
        <v>6</v>
      </c>
      <c r="K108" s="5" t="n">
        <f aca="false">COUNTIFS('Product Rows'!$A$2:$A$696,B108,'Product Rows'!$B$2:$B$696,C108,'Product Rows'!$G$2:$G$696,"Vial")</f>
        <v>6</v>
      </c>
      <c r="L108" s="5" t="n">
        <f aca="false">COUNTIFS('Product Rows'!$A$2:$A$696,B108,'Product Rows'!$B$2:$B$696,C108,'Product Rows'!$G$2:$G$696,"Ampoule")</f>
        <v>0</v>
      </c>
      <c r="M108" s="5" t="n">
        <f aca="false">COUNTIFS('Product Rows'!$A$2:$A$696,B108,'Product Rows'!$B$2:$B$696,C108,'Product Rows'!$G$2:$G$696,"Prefilled syringe/pen")</f>
        <v>0</v>
      </c>
      <c r="N108" s="6" t="n">
        <f aca="false">IFERROR(AVERAGEIFS('Product Rows'!$H$2:$H$696,'Product Rows'!$A$2:$A$696,B108,'Product Rows'!$B$2:$B$696,C108),"")</f>
        <v>41.3165</v>
      </c>
      <c r="O108" s="7" t="n">
        <f aca="false">INDEX('API Data'!$E$2:$E$152,MATCH(B108,'API Data'!$A$2:$A$152,0))</f>
        <v>41503.1541474654</v>
      </c>
      <c r="P108" s="5" t="n">
        <f aca="false">COUNTIF($B$5:$B$337,B108)</f>
        <v>4</v>
      </c>
      <c r="Q108" s="8" t="n">
        <f aca="false">IF(ISNUMBER(I108),PERCENTRANK($I$5:$I$337,I108),"")</f>
        <v>0.97</v>
      </c>
      <c r="R108" s="8" t="n">
        <f aca="false">IF(ISNUMBER(N108),PERCENTRANK($N$5:$N$337,N108),"")</f>
        <v>0.581</v>
      </c>
      <c r="S108" s="8" t="n">
        <f aca="false">IF(ISNUMBER(O108),PERCENTRANK($O$5:$O$337,O108),"")</f>
        <v>0.886</v>
      </c>
      <c r="T108" s="8" t="n">
        <f aca="false">IF(ISNUMBER(P108),PERCENTRANK($P$5:$P$337,P108),"")</f>
        <v>0.569</v>
      </c>
      <c r="U108" s="9" t="n">
        <f aca="false">IF((IF(ISNUMBER(Q108),Inputs!$B$4,0)+IF(ISNUMBER(R108),Inputs!$B$5,0)+IF(ISNUMBER(S108),Inputs!$B$6,0)+IF(ISNUMBER(T108),Inputs!$B$7,0))=0,"",(IF(ISNUMBER(Q108),Inputs!$B$4*Q108,0)+IF(ISNUMBER(R108),Inputs!$B$5*R108,0)+IF(ISNUMBER(S108),Inputs!$B$6*S108,0)+IF(ISNUMBER(T108),Inputs!$B$7*T108,0))/(IF(ISNUMBER(Q108),Inputs!$B$4,0)+IF(ISNUMBER(R108),Inputs!$B$5,0)+IF(ISNUMBER(S108),Inputs!$B$6,0)+IF(ISNUMBER(T108),Inputs!$B$7,0)))</f>
        <v>0.7335</v>
      </c>
      <c r="V108" s="5" t="str">
        <f aca="false">IF(F108&gt;0,"Yes","No")</f>
        <v>Yes</v>
      </c>
      <c r="W108" s="5" t="str">
        <f aca="false">IF(ISNUMBER(N108),IF(N108&gt;=Inputs!$D$18,"Yes","No"),"No price")</f>
        <v>Yes</v>
      </c>
      <c r="X108" s="5" t="str">
        <f aca="false">IF(K108+L108&gt;0,"Yes",IF(M108&gt;0,"No","Unclear"))</f>
        <v>Yes</v>
      </c>
      <c r="Y108" s="5" t="str">
        <f aca="false">INDEX('API Data'!$H$2:$H$152,MATCH(B108,'API Data'!$A$2:$A$152,0))</f>
        <v>Yes</v>
      </c>
      <c r="Z108" s="5" t="str">
        <f aca="false">IF(COUNTIFS('Product Rows'!$A$2:$A$696,B108,'Product Rows'!$B$2:$B$696,C108,'Product Rows'!$I$2:$I$696,"Yes")&gt;0,"Yes","No")</f>
        <v>No</v>
      </c>
      <c r="AA108" s="5" t="str">
        <f aca="false">IF(P108&gt;=Inputs!$D$22,"Yes","No")</f>
        <v>Yes</v>
      </c>
      <c r="AB108" s="10" t="b">
        <f aca="false">AND(OR(Inputs!$B$17&lt;&gt;"Exclude",V108="Yes"),OR(Inputs!$B$18&lt;&gt;"Exclude",W108&lt;&gt;"No"),OR(Inputs!$B$19&lt;&gt;"Exclude",X108&lt;&gt;"No"),OR(Inputs!$B$20&lt;&gt;"Exclude",Y108="No"),OR(Inputs!$B$21&lt;&gt;"Exclude",Z108="No"),OR(Inputs!$B$22&lt;&gt;"Exclude",AA108="Yes"),ISNUMBER(U108))</f>
        <v>1</v>
      </c>
      <c r="AC108" s="5" t="n">
        <f aca="false">IF(AB108,COUNTIFS($C$5:$C$337,C108,$AB$5:$AB$337,TRUE(),$U$5:$U$337,"&gt;"&amp;U108)+COUNTIFS($C$5:C108,C108,$AB$5:AB108,TRUE(),$U$5:U108,U108),"")</f>
        <v>11</v>
      </c>
      <c r="AD108" s="5" t="str">
        <f aca="false">IF(AC108="","Not eligible",IF(AC108&lt;=Inputs!$B$25,"Lead",IF(AC108&lt;=Inputs!$B$25+Inputs!$B$26,"Next wave","Long list")))</f>
        <v>Long list</v>
      </c>
      <c r="AE108" s="5" t="str">
        <f aca="false">IF(AND(K108+L108=0,M108&gt;0),"Safety upgrade of existing prefilled syringe",IF(K108+L108+M108=0,"Confirm presentation (not stated in source)",IF(AA108="Yes","Differentiation in crowded generic market","Safety-device mandate compliance")))</f>
        <v>Differentiation in crowded generic market</v>
      </c>
      <c r="AF108" s="5" t="str">
        <f aca="false">IF(AC108="","",C108&amp;"|"&amp;AC108)</f>
        <v>Intas Pharmaceuticals|11</v>
      </c>
    </row>
    <row r="109" customFormat="false" ht="15" hidden="false" customHeight="false" outlineLevel="0" collapsed="false">
      <c r="A109" s="5" t="n">
        <f aca="false">IF(ISNUMBER(U109),RANK(U109,$U$5:$U$337),"")</f>
        <v>92</v>
      </c>
      <c r="B109" s="5" t="s">
        <v>92</v>
      </c>
      <c r="C109" s="5" t="s">
        <v>50</v>
      </c>
      <c r="D109" s="5" t="str">
        <f aca="false">INDEX('API Data'!$B$2:$B$152,MATCH(B109,'API Data'!$A$2:$A$152,0))</f>
        <v>Oncology – breast cancer, lymphomas, sarcomas, leukaemia</v>
      </c>
      <c r="E109" s="5" t="n">
        <f aca="false">COUNTIFS('Market Listing'!$A$2:$A$4054,B109,'Market Listing'!$B$2:$B$4054,C109)</f>
        <v>1</v>
      </c>
      <c r="F109" s="5" t="n">
        <f aca="false">COUNTIFS('Market Listing'!$A$2:$A$4054,B109,'Market Listing'!$B$2:$B$4054,C109,'Market Listing'!$D$2:$D$4054,"Tier 1")</f>
        <v>1</v>
      </c>
      <c r="G109" s="5" t="n">
        <f aca="false">COUNTIFS('Market Listing'!$A$2:$A$4054,B109,'Market Listing'!$B$2:$B$4054,C109,'Market Listing'!$D$2:$D$4054,"Tier 2")</f>
        <v>0</v>
      </c>
      <c r="H109" s="5" t="n">
        <f aca="false">COUNTIFS('Market Listing'!$A$2:$A$4054,B109,'Market Listing'!$B$2:$B$4054,C109,'Market Listing'!$D$2:$D$4054,"Tier 3")</f>
        <v>0</v>
      </c>
      <c r="I109" s="5" t="n">
        <f aca="false">SUMIFS('Market Listing'!$E$2:$E$4054,'Market Listing'!$A$2:$A$4054,B109,'Market Listing'!$B$2:$B$4054,C109)</f>
        <v>3</v>
      </c>
      <c r="J109" s="5" t="n">
        <f aca="false">COUNTIFS('Product Rows'!$A$2:$A$696,B109,'Product Rows'!$B$2:$B$696,C109)</f>
        <v>1</v>
      </c>
      <c r="K109" s="5" t="n">
        <f aca="false">COUNTIFS('Product Rows'!$A$2:$A$696,B109,'Product Rows'!$B$2:$B$696,C109,'Product Rows'!$G$2:$G$696,"Vial")</f>
        <v>1</v>
      </c>
      <c r="L109" s="5" t="n">
        <f aca="false">COUNTIFS('Product Rows'!$A$2:$A$696,B109,'Product Rows'!$B$2:$B$696,C109,'Product Rows'!$G$2:$G$696,"Ampoule")</f>
        <v>0</v>
      </c>
      <c r="M109" s="5" t="n">
        <f aca="false">COUNTIFS('Product Rows'!$A$2:$A$696,B109,'Product Rows'!$B$2:$B$696,C109,'Product Rows'!$G$2:$G$696,"Prefilled syringe/pen")</f>
        <v>0</v>
      </c>
      <c r="N109" s="6" t="n">
        <f aca="false">IFERROR(AVERAGEIFS('Product Rows'!$H$2:$H$696,'Product Rows'!$A$2:$A$696,B109,'Product Rows'!$B$2:$B$696,C109),"")</f>
        <v>15.95</v>
      </c>
      <c r="O109" s="7" t="n">
        <f aca="false">INDEX('API Data'!$E$2:$E$152,MATCH(B109,'API Data'!$A$2:$A$152,0))</f>
        <v>41503.1541474654</v>
      </c>
      <c r="P109" s="5" t="n">
        <f aca="false">COUNTIF($B$5:$B$337,B109)</f>
        <v>4</v>
      </c>
      <c r="Q109" s="8" t="n">
        <f aca="false">IF(ISNUMBER(I109),PERCENTRANK($I$5:$I$337,I109),"")</f>
        <v>0.157</v>
      </c>
      <c r="R109" s="8" t="n">
        <f aca="false">IF(ISNUMBER(N109),PERCENTRANK($N$5:$N$337,N109),"")</f>
        <v>0.315</v>
      </c>
      <c r="S109" s="8" t="n">
        <f aca="false">IF(ISNUMBER(O109),PERCENTRANK($O$5:$O$337,O109),"")</f>
        <v>0.886</v>
      </c>
      <c r="T109" s="8" t="n">
        <f aca="false">IF(ISNUMBER(P109),PERCENTRANK($P$5:$P$337,P109),"")</f>
        <v>0.569</v>
      </c>
      <c r="U109" s="9" t="n">
        <f aca="false">IF((IF(ISNUMBER(Q109),Inputs!$B$4,0)+IF(ISNUMBER(R109),Inputs!$B$5,0)+IF(ISNUMBER(S109),Inputs!$B$6,0)+IF(ISNUMBER(T109),Inputs!$B$7,0))=0,"",(IF(ISNUMBER(Q109),Inputs!$B$4*Q109,0)+IF(ISNUMBER(R109),Inputs!$B$5*R109,0)+IF(ISNUMBER(S109),Inputs!$B$6*S109,0)+IF(ISNUMBER(T109),Inputs!$B$7*T109,0))/(IF(ISNUMBER(Q109),Inputs!$B$4,0)+IF(ISNUMBER(R109),Inputs!$B$5,0)+IF(ISNUMBER(S109),Inputs!$B$6,0)+IF(ISNUMBER(T109),Inputs!$B$7,0)))</f>
        <v>0.6005</v>
      </c>
      <c r="V109" s="5" t="str">
        <f aca="false">IF(F109&gt;0,"Yes","No")</f>
        <v>Yes</v>
      </c>
      <c r="W109" s="5" t="str">
        <f aca="false">IF(ISNUMBER(N109),IF(N109&gt;=Inputs!$D$18,"Yes","No"),"No price")</f>
        <v>Yes</v>
      </c>
      <c r="X109" s="5" t="str">
        <f aca="false">IF(K109+L109&gt;0,"Yes",IF(M109&gt;0,"No","Unclear"))</f>
        <v>Yes</v>
      </c>
      <c r="Y109" s="5" t="str">
        <f aca="false">INDEX('API Data'!$H$2:$H$152,MATCH(B109,'API Data'!$A$2:$A$152,0))</f>
        <v>Yes</v>
      </c>
      <c r="Z109" s="5" t="str">
        <f aca="false">IF(COUNTIFS('Product Rows'!$A$2:$A$696,B109,'Product Rows'!$B$2:$B$696,C109,'Product Rows'!$I$2:$I$696,"Yes")&gt;0,"Yes","No")</f>
        <v>No</v>
      </c>
      <c r="AA109" s="5" t="str">
        <f aca="false">IF(P109&gt;=Inputs!$D$22,"Yes","No")</f>
        <v>Yes</v>
      </c>
      <c r="AB109" s="10" t="b">
        <f aca="false">AND(OR(Inputs!$B$17&lt;&gt;"Exclude",V109="Yes"),OR(Inputs!$B$18&lt;&gt;"Exclude",W109&lt;&gt;"No"),OR(Inputs!$B$19&lt;&gt;"Exclude",X109&lt;&gt;"No"),OR(Inputs!$B$20&lt;&gt;"Exclude",Y109="No"),OR(Inputs!$B$21&lt;&gt;"Exclude",Z109="No"),OR(Inputs!$B$22&lt;&gt;"Exclude",AA109="Yes"),ISNUMBER(U109))</f>
        <v>1</v>
      </c>
      <c r="AC109" s="5" t="n">
        <f aca="false">IF(AB109,COUNTIFS($C$5:$C$337,C109,$AB$5:$AB$337,TRUE(),$U$5:$U$337,"&gt;"&amp;U109)+COUNTIFS($C$5:C109,C109,$AB$5:AB109,TRUE(),$U$5:U109,U109),"")</f>
        <v>5</v>
      </c>
      <c r="AD109" s="5" t="str">
        <f aca="false">IF(AC109="","Not eligible",IF(AC109&lt;=Inputs!$B$25,"Lead",IF(AC109&lt;=Inputs!$B$25+Inputs!$B$26,"Next wave","Long list")))</f>
        <v>Lead</v>
      </c>
      <c r="AE109" s="5" t="str">
        <f aca="false">IF(AND(K109+L109=0,M109&gt;0),"Safety upgrade of existing prefilled syringe",IF(K109+L109+M109=0,"Confirm presentation (not stated in source)",IF(AA109="Yes","Differentiation in crowded generic market","Safety-device mandate compliance")))</f>
        <v>Differentiation in crowded generic market</v>
      </c>
      <c r="AF109" s="5" t="str">
        <f aca="false">IF(AC109="","",C109&amp;"|"&amp;AC109)</f>
        <v>Sun Pharma|5</v>
      </c>
    </row>
    <row r="110" customFormat="false" ht="15" hidden="false" customHeight="false" outlineLevel="0" collapsed="false">
      <c r="A110" s="5" t="n">
        <f aca="false">IF(ISNUMBER(U110),RANK(U110,$U$5:$U$337),"")</f>
        <v>331</v>
      </c>
      <c r="B110" s="5" t="s">
        <v>93</v>
      </c>
      <c r="C110" s="5" t="s">
        <v>40</v>
      </c>
      <c r="D110" s="5" t="str">
        <f aca="false">INDEX('API Data'!$B$2:$B$152,MATCH(B110,'API Data'!$A$2:$A$152,0))</f>
        <v>Anaesthesia – post-operative nausea &amp; vomiting (PONV)</v>
      </c>
      <c r="E110" s="5" t="n">
        <f aca="false">COUNTIFS('Market Listing'!$A$2:$A$4054,B110,'Market Listing'!$B$2:$B$4054,C110)</f>
        <v>1</v>
      </c>
      <c r="F110" s="5" t="n">
        <f aca="false">COUNTIFS('Market Listing'!$A$2:$A$4054,B110,'Market Listing'!$B$2:$B$4054,C110,'Market Listing'!$D$2:$D$4054,"Tier 1")</f>
        <v>0</v>
      </c>
      <c r="G110" s="5" t="n">
        <f aca="false">COUNTIFS('Market Listing'!$A$2:$A$4054,B110,'Market Listing'!$B$2:$B$4054,C110,'Market Listing'!$D$2:$D$4054,"Tier 2")</f>
        <v>1</v>
      </c>
      <c r="H110" s="5" t="n">
        <f aca="false">COUNTIFS('Market Listing'!$A$2:$A$4054,B110,'Market Listing'!$B$2:$B$4054,C110,'Market Listing'!$D$2:$D$4054,"Tier 3")</f>
        <v>0</v>
      </c>
      <c r="I110" s="5" t="n">
        <f aca="false">SUMIFS('Market Listing'!$E$2:$E$4054,'Market Listing'!$A$2:$A$4054,B110,'Market Listing'!$B$2:$B$4054,C110)</f>
        <v>2</v>
      </c>
      <c r="J110" s="5" t="n">
        <f aca="false">COUNTIFS('Product Rows'!$A$2:$A$696,B110,'Product Rows'!$B$2:$B$696,C110)</f>
        <v>2</v>
      </c>
      <c r="K110" s="5" t="n">
        <f aca="false">COUNTIFS('Product Rows'!$A$2:$A$696,B110,'Product Rows'!$B$2:$B$696,C110,'Product Rows'!$G$2:$G$696,"Vial")</f>
        <v>0</v>
      </c>
      <c r="L110" s="5" t="n">
        <f aca="false">COUNTIFS('Product Rows'!$A$2:$A$696,B110,'Product Rows'!$B$2:$B$696,C110,'Product Rows'!$G$2:$G$696,"Ampoule")</f>
        <v>2</v>
      </c>
      <c r="M110" s="5" t="n">
        <f aca="false">COUNTIFS('Product Rows'!$A$2:$A$696,B110,'Product Rows'!$B$2:$B$696,C110,'Product Rows'!$G$2:$G$696,"Prefilled syringe/pen")</f>
        <v>0</v>
      </c>
      <c r="N110" s="6" t="str">
        <f aca="false">IFERROR(AVERAGEIFS('Product Rows'!$H$2:$H$696,'Product Rows'!$A$2:$A$696,B110,'Product Rows'!$B$2:$B$696,C110),"")</f>
        <v/>
      </c>
      <c r="O110" s="7" t="n">
        <f aca="false">INDEX('API Data'!$E$2:$E$152,MATCH(B110,'API Data'!$A$2:$A$152,0))</f>
        <v>170.54</v>
      </c>
      <c r="P110" s="5" t="n">
        <f aca="false">COUNTIF($B$5:$B$337,B110)</f>
        <v>1</v>
      </c>
      <c r="Q110" s="8" t="n">
        <f aca="false">IF(ISNUMBER(I110),PERCENTRANK($I$5:$I$337,I110),"")</f>
        <v>0</v>
      </c>
      <c r="R110" s="8" t="str">
        <f aca="false">IF(ISNUMBER(N110),PERCENTRANK($N$5:$N$337,N110),"")</f>
        <v/>
      </c>
      <c r="S110" s="8" t="n">
        <f aca="false">IF(ISNUMBER(O110),PERCENTRANK($O$5:$O$337,O110),"")</f>
        <v>0.0542</v>
      </c>
      <c r="T110" s="8" t="n">
        <f aca="false">IF(ISNUMBER(P110),PERCENTRANK($P$5:$P$337,P110),"")</f>
        <v>0</v>
      </c>
      <c r="U110" s="9" t="n">
        <f aca="false">IF((IF(ISNUMBER(Q110),Inputs!$B$4,0)+IF(ISNUMBER(R110),Inputs!$B$5,0)+IF(ISNUMBER(S110),Inputs!$B$6,0)+IF(ISNUMBER(T110),Inputs!$B$7,0))=0,"",(IF(ISNUMBER(Q110),Inputs!$B$4*Q110,0)+IF(ISNUMBER(R110),Inputs!$B$5*R110,0)+IF(ISNUMBER(S110),Inputs!$B$6*S110,0)+IF(ISNUMBER(T110),Inputs!$B$7*T110,0))/(IF(ISNUMBER(Q110),Inputs!$B$4,0)+IF(ISNUMBER(R110),Inputs!$B$5,0)+IF(ISNUMBER(S110),Inputs!$B$6,0)+IF(ISNUMBER(T110),Inputs!$B$7,0)))</f>
        <v>0.0542</v>
      </c>
      <c r="V110" s="5" t="str">
        <f aca="false">IF(F110&gt;0,"Yes","No")</f>
        <v>No</v>
      </c>
      <c r="W110" s="5" t="str">
        <f aca="false">IF(ISNUMBER(N110),IF(N110&gt;=Inputs!$D$18,"Yes","No"),"No price")</f>
        <v>No price</v>
      </c>
      <c r="X110" s="5" t="str">
        <f aca="false">IF(K110+L110&gt;0,"Yes",IF(M110&gt;0,"No","Unclear"))</f>
        <v>Yes</v>
      </c>
      <c r="Y110" s="5" t="str">
        <f aca="false">INDEX('API Data'!$H$2:$H$152,MATCH(B110,'API Data'!$A$2:$A$152,0))</f>
        <v>No</v>
      </c>
      <c r="Z110" s="5" t="str">
        <f aca="false">IF(COUNTIFS('Product Rows'!$A$2:$A$696,B110,'Product Rows'!$B$2:$B$696,C110,'Product Rows'!$I$2:$I$696,"Yes")&gt;0,"Yes","No")</f>
        <v>No</v>
      </c>
      <c r="AA110" s="5" t="str">
        <f aca="false">IF(P110&gt;=Inputs!$D$22,"Yes","No")</f>
        <v>No</v>
      </c>
      <c r="AB110" s="10" t="b">
        <f aca="false">AND(OR(Inputs!$B$17&lt;&gt;"Exclude",V110="Yes"),OR(Inputs!$B$18&lt;&gt;"Exclude",W110&lt;&gt;"No"),OR(Inputs!$B$19&lt;&gt;"Exclude",X110&lt;&gt;"No"),OR(Inputs!$B$20&lt;&gt;"Exclude",Y110="No"),OR(Inputs!$B$21&lt;&gt;"Exclude",Z110="No"),OR(Inputs!$B$22&lt;&gt;"Exclude",AA110="Yes"),ISNUMBER(U110))</f>
        <v>0</v>
      </c>
      <c r="AC110" s="5" t="str">
        <f aca="false">IF(AB110,COUNTIFS($C$5:$C$337,C110,$AB$5:$AB$337,TRUE(),$U$5:$U$337,"&gt;"&amp;U110)+COUNTIFS($C$5:C110,C110,$AB$5:AB110,TRUE(),$U$5:U110,U110),"")</f>
        <v/>
      </c>
      <c r="AD110" s="5" t="str">
        <f aca="false">IF(AC110="","Not eligible",IF(AC110&lt;=Inputs!$B$25,"Lead",IF(AC110&lt;=Inputs!$B$25+Inputs!$B$26,"Next wave","Long list")))</f>
        <v>Not eligible</v>
      </c>
      <c r="AE110" s="5" t="str">
        <f aca="false">IF(AND(K110+L110=0,M110&gt;0),"Safety upgrade of existing prefilled syringe",IF(K110+L110+M110=0,"Confirm presentation (not stated in source)",IF(AA110="Yes","Differentiation in crowded generic market","Safety-device mandate compliance")))</f>
        <v>Safety-device mandate compliance</v>
      </c>
      <c r="AF110" s="5" t="str">
        <f aca="false">IF(AC110="","",C110&amp;"|"&amp;AC110)</f>
        <v/>
      </c>
    </row>
    <row r="111" customFormat="false" ht="15" hidden="false" customHeight="false" outlineLevel="0" collapsed="false">
      <c r="A111" s="5" t="n">
        <f aca="false">IF(ISNUMBER(U111),RANK(U111,$U$5:$U$337),"")</f>
        <v>249</v>
      </c>
      <c r="B111" s="5" t="s">
        <v>94</v>
      </c>
      <c r="C111" s="5" t="s">
        <v>40</v>
      </c>
      <c r="D111" s="5" t="str">
        <f aca="false">INDEX('API Data'!$B$2:$B$152,MATCH(B111,'API Data'!$A$2:$A$152,0))</f>
        <v>Haematology / Nephrology – IV iron for iron-deficiency anaemia (iron sucrose)</v>
      </c>
      <c r="E111" s="5" t="n">
        <f aca="false">COUNTIFS('Market Listing'!$A$2:$A$4054,B111,'Market Listing'!$B$2:$B$4054,C111)</f>
        <v>1</v>
      </c>
      <c r="F111" s="5" t="n">
        <f aca="false">COUNTIFS('Market Listing'!$A$2:$A$4054,B111,'Market Listing'!$B$2:$B$4054,C111,'Market Listing'!$D$2:$D$4054,"Tier 1")</f>
        <v>0</v>
      </c>
      <c r="G111" s="5" t="n">
        <f aca="false">COUNTIFS('Market Listing'!$A$2:$A$4054,B111,'Market Listing'!$B$2:$B$4054,C111,'Market Listing'!$D$2:$D$4054,"Tier 2")</f>
        <v>1</v>
      </c>
      <c r="H111" s="5" t="n">
        <f aca="false">COUNTIFS('Market Listing'!$A$2:$A$4054,B111,'Market Listing'!$B$2:$B$4054,C111,'Market Listing'!$D$2:$D$4054,"Tier 3")</f>
        <v>0</v>
      </c>
      <c r="I111" s="5" t="n">
        <f aca="false">SUMIFS('Market Listing'!$E$2:$E$4054,'Market Listing'!$A$2:$A$4054,B111,'Market Listing'!$B$2:$B$4054,C111)</f>
        <v>2</v>
      </c>
      <c r="J111" s="5" t="n">
        <f aca="false">COUNTIFS('Product Rows'!$A$2:$A$696,B111,'Product Rows'!$B$2:$B$696,C111)</f>
        <v>1</v>
      </c>
      <c r="K111" s="5" t="n">
        <f aca="false">COUNTIFS('Product Rows'!$A$2:$A$696,B111,'Product Rows'!$B$2:$B$696,C111,'Product Rows'!$G$2:$G$696,"Vial")</f>
        <v>0</v>
      </c>
      <c r="L111" s="5" t="n">
        <f aca="false">COUNTIFS('Product Rows'!$A$2:$A$696,B111,'Product Rows'!$B$2:$B$696,C111,'Product Rows'!$G$2:$G$696,"Ampoule")</f>
        <v>1</v>
      </c>
      <c r="M111" s="5" t="n">
        <f aca="false">COUNTIFS('Product Rows'!$A$2:$A$696,B111,'Product Rows'!$B$2:$B$696,C111,'Product Rows'!$G$2:$G$696,"Prefilled syringe/pen")</f>
        <v>0</v>
      </c>
      <c r="N111" s="6" t="n">
        <f aca="false">IFERROR(AVERAGEIFS('Product Rows'!$H$2:$H$696,'Product Rows'!$A$2:$A$696,B111,'Product Rows'!$B$2:$B$696,C111),"")</f>
        <v>7.55</v>
      </c>
      <c r="O111" s="7" t="n">
        <f aca="false">INDEX('API Data'!$E$2:$E$152,MATCH(B111,'API Data'!$A$2:$A$152,0))</f>
        <v>4930.5665</v>
      </c>
      <c r="P111" s="5" t="n">
        <f aca="false">COUNTIF($B$5:$B$337,B111)</f>
        <v>1</v>
      </c>
      <c r="Q111" s="8" t="n">
        <f aca="false">IF(ISNUMBER(I111),PERCENTRANK($I$5:$I$337,I111),"")</f>
        <v>0</v>
      </c>
      <c r="R111" s="8" t="n">
        <f aca="false">IF(ISNUMBER(N111),PERCENTRANK($N$5:$N$337,N111),"")</f>
        <v>0.129</v>
      </c>
      <c r="S111" s="8" t="n">
        <f aca="false">IF(ISNUMBER(O111),PERCENTRANK($O$5:$O$337,O111),"")</f>
        <v>0.548</v>
      </c>
      <c r="T111" s="8" t="n">
        <f aca="false">IF(ISNUMBER(P111),PERCENTRANK($P$5:$P$337,P111),"")</f>
        <v>0</v>
      </c>
      <c r="U111" s="9" t="n">
        <f aca="false">IF((IF(ISNUMBER(Q111),Inputs!$B$4,0)+IF(ISNUMBER(R111),Inputs!$B$5,0)+IF(ISNUMBER(S111),Inputs!$B$6,0)+IF(ISNUMBER(T111),Inputs!$B$7,0))=0,"",(IF(ISNUMBER(Q111),Inputs!$B$4*Q111,0)+IF(ISNUMBER(R111),Inputs!$B$5*R111,0)+IF(ISNUMBER(S111),Inputs!$B$6*S111,0)+IF(ISNUMBER(T111),Inputs!$B$7*T111,0))/(IF(ISNUMBER(Q111),Inputs!$B$4,0)+IF(ISNUMBER(R111),Inputs!$B$5,0)+IF(ISNUMBER(S111),Inputs!$B$6,0)+IF(ISNUMBER(T111),Inputs!$B$7,0)))</f>
        <v>0.3385</v>
      </c>
      <c r="V111" s="5" t="str">
        <f aca="false">IF(F111&gt;0,"Yes","No")</f>
        <v>No</v>
      </c>
      <c r="W111" s="5" t="str">
        <f aca="false">IF(ISNUMBER(N111),IF(N111&gt;=Inputs!$D$18,"Yes","No"),"No price")</f>
        <v>Yes</v>
      </c>
      <c r="X111" s="5" t="str">
        <f aca="false">IF(K111+L111&gt;0,"Yes",IF(M111&gt;0,"No","Unclear"))</f>
        <v>Yes</v>
      </c>
      <c r="Y111" s="5" t="str">
        <f aca="false">INDEX('API Data'!$H$2:$H$152,MATCH(B111,'API Data'!$A$2:$A$152,0))</f>
        <v>No</v>
      </c>
      <c r="Z111" s="5" t="str">
        <f aca="false">IF(COUNTIFS('Product Rows'!$A$2:$A$696,B111,'Product Rows'!$B$2:$B$696,C111,'Product Rows'!$I$2:$I$696,"Yes")&gt;0,"Yes","No")</f>
        <v>No</v>
      </c>
      <c r="AA111" s="5" t="str">
        <f aca="false">IF(P111&gt;=Inputs!$D$22,"Yes","No")</f>
        <v>No</v>
      </c>
      <c r="AB111" s="10" t="b">
        <f aca="false">AND(OR(Inputs!$B$17&lt;&gt;"Exclude",V111="Yes"),OR(Inputs!$B$18&lt;&gt;"Exclude",W111&lt;&gt;"No"),OR(Inputs!$B$19&lt;&gt;"Exclude",X111&lt;&gt;"No"),OR(Inputs!$B$20&lt;&gt;"Exclude",Y111="No"),OR(Inputs!$B$21&lt;&gt;"Exclude",Z111="No"),OR(Inputs!$B$22&lt;&gt;"Exclude",AA111="Yes"),ISNUMBER(U111))</f>
        <v>0</v>
      </c>
      <c r="AC111" s="5" t="str">
        <f aca="false">IF(AB111,COUNTIFS($C$5:$C$337,C111,$AB$5:$AB$337,TRUE(),$U$5:$U$337,"&gt;"&amp;U111)+COUNTIFS($C$5:C111,C111,$AB$5:AB111,TRUE(),$U$5:U111,U111),"")</f>
        <v/>
      </c>
      <c r="AD111" s="5" t="str">
        <f aca="false">IF(AC111="","Not eligible",IF(AC111&lt;=Inputs!$B$25,"Lead",IF(AC111&lt;=Inputs!$B$25+Inputs!$B$26,"Next wave","Long list")))</f>
        <v>Not eligible</v>
      </c>
      <c r="AE111" s="5" t="str">
        <f aca="false">IF(AND(K111+L111=0,M111&gt;0),"Safety upgrade of existing prefilled syringe",IF(K111+L111+M111=0,"Confirm presentation (not stated in source)",IF(AA111="Yes","Differentiation in crowded generic market","Safety-device mandate compliance")))</f>
        <v>Safety-device mandate compliance</v>
      </c>
      <c r="AF111" s="5" t="str">
        <f aca="false">IF(AC111="","",C111&amp;"|"&amp;AC111)</f>
        <v/>
      </c>
    </row>
    <row r="112" customFormat="false" ht="15" hidden="false" customHeight="false" outlineLevel="0" collapsed="false">
      <c r="A112" s="5" t="n">
        <f aca="false">IF(ISNUMBER(U112),RANK(U112,$U$5:$U$337),"")</f>
        <v>304</v>
      </c>
      <c r="B112" s="5" t="s">
        <v>95</v>
      </c>
      <c r="C112" s="5" t="s">
        <v>47</v>
      </c>
      <c r="D112" s="5" t="str">
        <f aca="false">INDEX('API Data'!$B$2:$B$152,MATCH(B112,'API Data'!$A$2:$A$152,0))</f>
        <v>Anaesthesia – hypotension during anaesthesia (spinal / C-section)</v>
      </c>
      <c r="E112" s="5" t="n">
        <f aca="false">COUNTIFS('Market Listing'!$A$2:$A$4054,B112,'Market Listing'!$B$2:$B$4054,C112)</f>
        <v>1</v>
      </c>
      <c r="F112" s="5" t="n">
        <f aca="false">COUNTIFS('Market Listing'!$A$2:$A$4054,B112,'Market Listing'!$B$2:$B$4054,C112,'Market Listing'!$D$2:$D$4054,"Tier 1")</f>
        <v>1</v>
      </c>
      <c r="G112" s="5" t="n">
        <f aca="false">COUNTIFS('Market Listing'!$A$2:$A$4054,B112,'Market Listing'!$B$2:$B$4054,C112,'Market Listing'!$D$2:$D$4054,"Tier 2")</f>
        <v>0</v>
      </c>
      <c r="H112" s="5" t="n">
        <f aca="false">COUNTIFS('Market Listing'!$A$2:$A$4054,B112,'Market Listing'!$B$2:$B$4054,C112,'Market Listing'!$D$2:$D$4054,"Tier 3")</f>
        <v>0</v>
      </c>
      <c r="I112" s="5" t="n">
        <f aca="false">SUMIFS('Market Listing'!$E$2:$E$4054,'Market Listing'!$A$2:$A$4054,B112,'Market Listing'!$B$2:$B$4054,C112)</f>
        <v>3</v>
      </c>
      <c r="J112" s="5" t="n">
        <f aca="false">COUNTIFS('Product Rows'!$A$2:$A$696,B112,'Product Rows'!$B$2:$B$696,C112)</f>
        <v>1</v>
      </c>
      <c r="K112" s="5" t="n">
        <f aca="false">COUNTIFS('Product Rows'!$A$2:$A$696,B112,'Product Rows'!$B$2:$B$696,C112,'Product Rows'!$G$2:$G$696,"Vial")</f>
        <v>1</v>
      </c>
      <c r="L112" s="5" t="n">
        <f aca="false">COUNTIFS('Product Rows'!$A$2:$A$696,B112,'Product Rows'!$B$2:$B$696,C112,'Product Rows'!$G$2:$G$696,"Ampoule")</f>
        <v>0</v>
      </c>
      <c r="M112" s="5" t="n">
        <f aca="false">COUNTIFS('Product Rows'!$A$2:$A$696,B112,'Product Rows'!$B$2:$B$696,C112,'Product Rows'!$G$2:$G$696,"Prefilled syringe/pen")</f>
        <v>0</v>
      </c>
      <c r="N112" s="6" t="n">
        <f aca="false">IFERROR(AVERAGEIFS('Product Rows'!$H$2:$H$696,'Product Rows'!$A$2:$A$696,B112,'Product Rows'!$B$2:$B$696,C112),"")</f>
        <v>5.35</v>
      </c>
      <c r="O112" s="7" t="n">
        <f aca="false">INDEX('API Data'!$E$2:$E$152,MATCH(B112,'API Data'!$A$2:$A$152,0))</f>
        <v>2937.31179223046</v>
      </c>
      <c r="P112" s="5" t="n">
        <f aca="false">COUNTIF($B$5:$B$337,B112)</f>
        <v>3</v>
      </c>
      <c r="Q112" s="8" t="n">
        <f aca="false">IF(ISNUMBER(I112),PERCENTRANK($I$5:$I$337,I112),"")</f>
        <v>0.157</v>
      </c>
      <c r="R112" s="8" t="n">
        <f aca="false">IF(ISNUMBER(N112),PERCENTRANK($N$5:$N$337,N112),"")</f>
        <v>0.0143</v>
      </c>
      <c r="S112" s="8" t="n">
        <f aca="false">IF(ISNUMBER(O112),PERCENTRANK($O$5:$O$337,O112),"")</f>
        <v>0.407</v>
      </c>
      <c r="T112" s="8" t="n">
        <f aca="false">IF(ISNUMBER(P112),PERCENTRANK($P$5:$P$337,P112),"")</f>
        <v>0.416</v>
      </c>
      <c r="U112" s="9" t="n">
        <f aca="false">IF((IF(ISNUMBER(Q112),Inputs!$B$4,0)+IF(ISNUMBER(R112),Inputs!$B$5,0)+IF(ISNUMBER(S112),Inputs!$B$6,0)+IF(ISNUMBER(T112),Inputs!$B$7,0))=0,"",(IF(ISNUMBER(Q112),Inputs!$B$4*Q112,0)+IF(ISNUMBER(R112),Inputs!$B$5*R112,0)+IF(ISNUMBER(S112),Inputs!$B$6*S112,0)+IF(ISNUMBER(T112),Inputs!$B$7*T112,0))/(IF(ISNUMBER(Q112),Inputs!$B$4,0)+IF(ISNUMBER(R112),Inputs!$B$5,0)+IF(ISNUMBER(S112),Inputs!$B$6,0)+IF(ISNUMBER(T112),Inputs!$B$7,0)))</f>
        <v>0.21065</v>
      </c>
      <c r="V112" s="5" t="str">
        <f aca="false">IF(F112&gt;0,"Yes","No")</f>
        <v>Yes</v>
      </c>
      <c r="W112" s="5" t="str">
        <f aca="false">IF(ISNUMBER(N112),IF(N112&gt;=Inputs!$D$18,"Yes","No"),"No price")</f>
        <v>Yes</v>
      </c>
      <c r="X112" s="5" t="str">
        <f aca="false">IF(K112+L112&gt;0,"Yes",IF(M112&gt;0,"No","Unclear"))</f>
        <v>Yes</v>
      </c>
      <c r="Y112" s="5" t="str">
        <f aca="false">INDEX('API Data'!$H$2:$H$152,MATCH(B112,'API Data'!$A$2:$A$152,0))</f>
        <v>No</v>
      </c>
      <c r="Z112" s="5" t="str">
        <f aca="false">IF(COUNTIFS('Product Rows'!$A$2:$A$696,B112,'Product Rows'!$B$2:$B$696,C112,'Product Rows'!$I$2:$I$696,"Yes")&gt;0,"Yes","No")</f>
        <v>No</v>
      </c>
      <c r="AA112" s="5" t="str">
        <f aca="false">IF(P112&gt;=Inputs!$D$22,"Yes","No")</f>
        <v>Yes</v>
      </c>
      <c r="AB112" s="10" t="b">
        <f aca="false">AND(OR(Inputs!$B$17&lt;&gt;"Exclude",V112="Yes"),OR(Inputs!$B$18&lt;&gt;"Exclude",W112&lt;&gt;"No"),OR(Inputs!$B$19&lt;&gt;"Exclude",X112&lt;&gt;"No"),OR(Inputs!$B$20&lt;&gt;"Exclude",Y112="No"),OR(Inputs!$B$21&lt;&gt;"Exclude",Z112="No"),OR(Inputs!$B$22&lt;&gt;"Exclude",AA112="Yes"),ISNUMBER(U112))</f>
        <v>1</v>
      </c>
      <c r="AC112" s="5" t="n">
        <f aca="false">IF(AB112,COUNTIFS($C$5:$C$337,C112,$AB$5:$AB$337,TRUE(),$U$5:$U$337,"&gt;"&amp;U112)+COUNTIFS($C$5:C112,C112,$AB$5:AB112,TRUE(),$U$5:U112,U112),"")</f>
        <v>47</v>
      </c>
      <c r="AD112" s="5" t="str">
        <f aca="false">IF(AC112="","Not eligible",IF(AC112&lt;=Inputs!$B$25,"Lead",IF(AC112&lt;=Inputs!$B$25+Inputs!$B$26,"Next wave","Long list")))</f>
        <v>Long list</v>
      </c>
      <c r="AE112" s="5" t="str">
        <f aca="false">IF(AND(K112+L112=0,M112&gt;0),"Safety upgrade of existing prefilled syringe",IF(K112+L112+M112=0,"Confirm presentation (not stated in source)",IF(AA112="Yes","Differentiation in crowded generic market","Safety-device mandate compliance")))</f>
        <v>Differentiation in crowded generic market</v>
      </c>
      <c r="AF112" s="5" t="str">
        <f aca="false">IF(AC112="","",C112&amp;"|"&amp;AC112)</f>
        <v>Aurobindo Pharma|47</v>
      </c>
    </row>
    <row r="113" customFormat="false" ht="15" hidden="false" customHeight="false" outlineLevel="0" collapsed="false">
      <c r="A113" s="5" t="n">
        <f aca="false">IF(ISNUMBER(U113),RANK(U113,$U$5:$U$337),"")</f>
        <v>304</v>
      </c>
      <c r="B113" s="5" t="s">
        <v>95</v>
      </c>
      <c r="C113" s="5" t="s">
        <v>55</v>
      </c>
      <c r="D113" s="5" t="str">
        <f aca="false">INDEX('API Data'!$B$2:$B$152,MATCH(B113,'API Data'!$A$2:$A$152,0))</f>
        <v>Anaesthesia – hypotension during anaesthesia (spinal / C-section)</v>
      </c>
      <c r="E113" s="5" t="n">
        <f aca="false">COUNTIFS('Market Listing'!$A$2:$A$4054,B113,'Market Listing'!$B$2:$B$4054,C113)</f>
        <v>1</v>
      </c>
      <c r="F113" s="5" t="n">
        <f aca="false">COUNTIFS('Market Listing'!$A$2:$A$4054,B113,'Market Listing'!$B$2:$B$4054,C113,'Market Listing'!$D$2:$D$4054,"Tier 1")</f>
        <v>1</v>
      </c>
      <c r="G113" s="5" t="n">
        <f aca="false">COUNTIFS('Market Listing'!$A$2:$A$4054,B113,'Market Listing'!$B$2:$B$4054,C113,'Market Listing'!$D$2:$D$4054,"Tier 2")</f>
        <v>0</v>
      </c>
      <c r="H113" s="5" t="n">
        <f aca="false">COUNTIFS('Market Listing'!$A$2:$A$4054,B113,'Market Listing'!$B$2:$B$4054,C113,'Market Listing'!$D$2:$D$4054,"Tier 3")</f>
        <v>0</v>
      </c>
      <c r="I113" s="5" t="n">
        <f aca="false">SUMIFS('Market Listing'!$E$2:$E$4054,'Market Listing'!$A$2:$A$4054,B113,'Market Listing'!$B$2:$B$4054,C113)</f>
        <v>3</v>
      </c>
      <c r="J113" s="5" t="n">
        <f aca="false">COUNTIFS('Product Rows'!$A$2:$A$696,B113,'Product Rows'!$B$2:$B$696,C113)</f>
        <v>1</v>
      </c>
      <c r="K113" s="5" t="n">
        <f aca="false">COUNTIFS('Product Rows'!$A$2:$A$696,B113,'Product Rows'!$B$2:$B$696,C113,'Product Rows'!$G$2:$G$696,"Vial")</f>
        <v>1</v>
      </c>
      <c r="L113" s="5" t="n">
        <f aca="false">COUNTIFS('Product Rows'!$A$2:$A$696,B113,'Product Rows'!$B$2:$B$696,C113,'Product Rows'!$G$2:$G$696,"Ampoule")</f>
        <v>0</v>
      </c>
      <c r="M113" s="5" t="n">
        <f aca="false">COUNTIFS('Product Rows'!$A$2:$A$696,B113,'Product Rows'!$B$2:$B$696,C113,'Product Rows'!$G$2:$G$696,"Prefilled syringe/pen")</f>
        <v>0</v>
      </c>
      <c r="N113" s="6" t="n">
        <f aca="false">IFERROR(AVERAGEIFS('Product Rows'!$H$2:$H$696,'Product Rows'!$A$2:$A$696,B113,'Product Rows'!$B$2:$B$696,C113),"")</f>
        <v>5.35</v>
      </c>
      <c r="O113" s="7" t="n">
        <f aca="false">INDEX('API Data'!$E$2:$E$152,MATCH(B113,'API Data'!$A$2:$A$152,0))</f>
        <v>2937.31179223046</v>
      </c>
      <c r="P113" s="5" t="n">
        <f aca="false">COUNTIF($B$5:$B$337,B113)</f>
        <v>3</v>
      </c>
      <c r="Q113" s="8" t="n">
        <f aca="false">IF(ISNUMBER(I113),PERCENTRANK($I$5:$I$337,I113),"")</f>
        <v>0.157</v>
      </c>
      <c r="R113" s="8" t="n">
        <f aca="false">IF(ISNUMBER(N113),PERCENTRANK($N$5:$N$337,N113),"")</f>
        <v>0.0143</v>
      </c>
      <c r="S113" s="8" t="n">
        <f aca="false">IF(ISNUMBER(O113),PERCENTRANK($O$5:$O$337,O113),"")</f>
        <v>0.407</v>
      </c>
      <c r="T113" s="8" t="n">
        <f aca="false">IF(ISNUMBER(P113),PERCENTRANK($P$5:$P$337,P113),"")</f>
        <v>0.416</v>
      </c>
      <c r="U113" s="9" t="n">
        <f aca="false">IF((IF(ISNUMBER(Q113),Inputs!$B$4,0)+IF(ISNUMBER(R113),Inputs!$B$5,0)+IF(ISNUMBER(S113),Inputs!$B$6,0)+IF(ISNUMBER(T113),Inputs!$B$7,0))=0,"",(IF(ISNUMBER(Q113),Inputs!$B$4*Q113,0)+IF(ISNUMBER(R113),Inputs!$B$5*R113,0)+IF(ISNUMBER(S113),Inputs!$B$6*S113,0)+IF(ISNUMBER(T113),Inputs!$B$7*T113,0))/(IF(ISNUMBER(Q113),Inputs!$B$4,0)+IF(ISNUMBER(R113),Inputs!$B$5,0)+IF(ISNUMBER(S113),Inputs!$B$6,0)+IF(ISNUMBER(T113),Inputs!$B$7,0)))</f>
        <v>0.21065</v>
      </c>
      <c r="V113" s="5" t="str">
        <f aca="false">IF(F113&gt;0,"Yes","No")</f>
        <v>Yes</v>
      </c>
      <c r="W113" s="5" t="str">
        <f aca="false">IF(ISNUMBER(N113),IF(N113&gt;=Inputs!$D$18,"Yes","No"),"No price")</f>
        <v>Yes</v>
      </c>
      <c r="X113" s="5" t="str">
        <f aca="false">IF(K113+L113&gt;0,"Yes",IF(M113&gt;0,"No","Unclear"))</f>
        <v>Yes</v>
      </c>
      <c r="Y113" s="5" t="str">
        <f aca="false">INDEX('API Data'!$H$2:$H$152,MATCH(B113,'API Data'!$A$2:$A$152,0))</f>
        <v>No</v>
      </c>
      <c r="Z113" s="5" t="str">
        <f aca="false">IF(COUNTIFS('Product Rows'!$A$2:$A$696,B113,'Product Rows'!$B$2:$B$696,C113,'Product Rows'!$I$2:$I$696,"Yes")&gt;0,"Yes","No")</f>
        <v>No</v>
      </c>
      <c r="AA113" s="5" t="str">
        <f aca="false">IF(P113&gt;=Inputs!$D$22,"Yes","No")</f>
        <v>Yes</v>
      </c>
      <c r="AB113" s="10" t="b">
        <f aca="false">AND(OR(Inputs!$B$17&lt;&gt;"Exclude",V113="Yes"),OR(Inputs!$B$18&lt;&gt;"Exclude",W113&lt;&gt;"No"),OR(Inputs!$B$19&lt;&gt;"Exclude",X113&lt;&gt;"No"),OR(Inputs!$B$20&lt;&gt;"Exclude",Y113="No"),OR(Inputs!$B$21&lt;&gt;"Exclude",Z113="No"),OR(Inputs!$B$22&lt;&gt;"Exclude",AA113="Yes"),ISNUMBER(U113))</f>
        <v>1</v>
      </c>
      <c r="AC113" s="5" t="n">
        <f aca="false">IF(AB113,COUNTIFS($C$5:$C$337,C113,$AB$5:$AB$337,TRUE(),$U$5:$U$337,"&gt;"&amp;U113)+COUNTIFS($C$5:C113,C113,$AB$5:AB113,TRUE(),$U$5:U113,U113),"")</f>
        <v>20</v>
      </c>
      <c r="AD113" s="5" t="str">
        <f aca="false">IF(AC113="","Not eligible",IF(AC113&lt;=Inputs!$B$25,"Lead",IF(AC113&lt;=Inputs!$B$25+Inputs!$B$26,"Next wave","Long list")))</f>
        <v>Long list</v>
      </c>
      <c r="AE113" s="5" t="str">
        <f aca="false">IF(AND(K113+L113=0,M113&gt;0),"Safety upgrade of existing prefilled syringe",IF(K113+L113+M113=0,"Confirm presentation (not stated in source)",IF(AA113="Yes","Differentiation in crowded generic market","Safety-device mandate compliance")))</f>
        <v>Differentiation in crowded generic market</v>
      </c>
      <c r="AF113" s="5" t="str">
        <f aca="false">IF(AC113="","",C113&amp;"|"&amp;AC113)</f>
        <v>Dr. Reddy's Laboratories|20</v>
      </c>
    </row>
    <row r="114" customFormat="false" ht="15" hidden="false" customHeight="false" outlineLevel="0" collapsed="false">
      <c r="A114" s="5" t="n">
        <f aca="false">IF(ISNUMBER(U114),RANK(U114,$U$5:$U$337),"")</f>
        <v>215</v>
      </c>
      <c r="B114" s="5" t="s">
        <v>95</v>
      </c>
      <c r="C114" s="5" t="s">
        <v>40</v>
      </c>
      <c r="D114" s="5" t="str">
        <f aca="false">INDEX('API Data'!$B$2:$B$152,MATCH(B114,'API Data'!$A$2:$A$152,0))</f>
        <v>Anaesthesia – hypotension during anaesthesia (spinal / C-section)</v>
      </c>
      <c r="E114" s="5" t="n">
        <f aca="false">COUNTIFS('Market Listing'!$A$2:$A$4054,B114,'Market Listing'!$B$2:$B$4054,C114)</f>
        <v>1</v>
      </c>
      <c r="F114" s="5" t="n">
        <f aca="false">COUNTIFS('Market Listing'!$A$2:$A$4054,B114,'Market Listing'!$B$2:$B$4054,C114,'Market Listing'!$D$2:$D$4054,"Tier 1")</f>
        <v>0</v>
      </c>
      <c r="G114" s="5" t="n">
        <f aca="false">COUNTIFS('Market Listing'!$A$2:$A$4054,B114,'Market Listing'!$B$2:$B$4054,C114,'Market Listing'!$D$2:$D$4054,"Tier 2")</f>
        <v>1</v>
      </c>
      <c r="H114" s="5" t="n">
        <f aca="false">COUNTIFS('Market Listing'!$A$2:$A$4054,B114,'Market Listing'!$B$2:$B$4054,C114,'Market Listing'!$D$2:$D$4054,"Tier 3")</f>
        <v>0</v>
      </c>
      <c r="I114" s="5" t="n">
        <f aca="false">SUMIFS('Market Listing'!$E$2:$E$4054,'Market Listing'!$A$2:$A$4054,B114,'Market Listing'!$B$2:$B$4054,C114)</f>
        <v>2</v>
      </c>
      <c r="J114" s="5" t="n">
        <f aca="false">COUNTIFS('Product Rows'!$A$2:$A$696,B114,'Product Rows'!$B$2:$B$696,C114)</f>
        <v>1</v>
      </c>
      <c r="K114" s="5" t="n">
        <f aca="false">COUNTIFS('Product Rows'!$A$2:$A$696,B114,'Product Rows'!$B$2:$B$696,C114,'Product Rows'!$G$2:$G$696,"Vial")</f>
        <v>0</v>
      </c>
      <c r="L114" s="5" t="n">
        <f aca="false">COUNTIFS('Product Rows'!$A$2:$A$696,B114,'Product Rows'!$B$2:$B$696,C114,'Product Rows'!$G$2:$G$696,"Ampoule")</f>
        <v>1</v>
      </c>
      <c r="M114" s="5" t="n">
        <f aca="false">COUNTIFS('Product Rows'!$A$2:$A$696,B114,'Product Rows'!$B$2:$B$696,C114,'Product Rows'!$G$2:$G$696,"Prefilled syringe/pen")</f>
        <v>0</v>
      </c>
      <c r="N114" s="6" t="str">
        <f aca="false">IFERROR(AVERAGEIFS('Product Rows'!$H$2:$H$696,'Product Rows'!$A$2:$A$696,B114,'Product Rows'!$B$2:$B$696,C114),"")</f>
        <v/>
      </c>
      <c r="O114" s="7" t="n">
        <f aca="false">INDEX('API Data'!$E$2:$E$152,MATCH(B114,'API Data'!$A$2:$A$152,0))</f>
        <v>2937.31179223046</v>
      </c>
      <c r="P114" s="5" t="n">
        <f aca="false">COUNTIF($B$5:$B$337,B114)</f>
        <v>3</v>
      </c>
      <c r="Q114" s="8" t="n">
        <f aca="false">IF(ISNUMBER(I114),PERCENTRANK($I$5:$I$337,I114),"")</f>
        <v>0</v>
      </c>
      <c r="R114" s="8" t="str">
        <f aca="false">IF(ISNUMBER(N114),PERCENTRANK($N$5:$N$337,N114),"")</f>
        <v/>
      </c>
      <c r="S114" s="8" t="n">
        <f aca="false">IF(ISNUMBER(O114),PERCENTRANK($O$5:$O$337,O114),"")</f>
        <v>0.407</v>
      </c>
      <c r="T114" s="8" t="n">
        <f aca="false">IF(ISNUMBER(P114),PERCENTRANK($P$5:$P$337,P114),"")</f>
        <v>0.416</v>
      </c>
      <c r="U114" s="9" t="n">
        <f aca="false">IF((IF(ISNUMBER(Q114),Inputs!$B$4,0)+IF(ISNUMBER(R114),Inputs!$B$5,0)+IF(ISNUMBER(S114),Inputs!$B$6,0)+IF(ISNUMBER(T114),Inputs!$B$7,0))=0,"",(IF(ISNUMBER(Q114),Inputs!$B$4*Q114,0)+IF(ISNUMBER(R114),Inputs!$B$5*R114,0)+IF(ISNUMBER(S114),Inputs!$B$6*S114,0)+IF(ISNUMBER(T114),Inputs!$B$7*T114,0))/(IF(ISNUMBER(Q114),Inputs!$B$4,0)+IF(ISNUMBER(R114),Inputs!$B$5,0)+IF(ISNUMBER(S114),Inputs!$B$6,0)+IF(ISNUMBER(T114),Inputs!$B$7,0)))</f>
        <v>0.407</v>
      </c>
      <c r="V114" s="5" t="str">
        <f aca="false">IF(F114&gt;0,"Yes","No")</f>
        <v>No</v>
      </c>
      <c r="W114" s="5" t="str">
        <f aca="false">IF(ISNUMBER(N114),IF(N114&gt;=Inputs!$D$18,"Yes","No"),"No price")</f>
        <v>No price</v>
      </c>
      <c r="X114" s="5" t="str">
        <f aca="false">IF(K114+L114&gt;0,"Yes",IF(M114&gt;0,"No","Unclear"))</f>
        <v>Yes</v>
      </c>
      <c r="Y114" s="5" t="str">
        <f aca="false">INDEX('API Data'!$H$2:$H$152,MATCH(B114,'API Data'!$A$2:$A$152,0))</f>
        <v>No</v>
      </c>
      <c r="Z114" s="5" t="str">
        <f aca="false">IF(COUNTIFS('Product Rows'!$A$2:$A$696,B114,'Product Rows'!$B$2:$B$696,C114,'Product Rows'!$I$2:$I$696,"Yes")&gt;0,"Yes","No")</f>
        <v>No</v>
      </c>
      <c r="AA114" s="5" t="str">
        <f aca="false">IF(P114&gt;=Inputs!$D$22,"Yes","No")</f>
        <v>Yes</v>
      </c>
      <c r="AB114" s="10" t="b">
        <f aca="false">AND(OR(Inputs!$B$17&lt;&gt;"Exclude",V114="Yes"),OR(Inputs!$B$18&lt;&gt;"Exclude",W114&lt;&gt;"No"),OR(Inputs!$B$19&lt;&gt;"Exclude",X114&lt;&gt;"No"),OR(Inputs!$B$20&lt;&gt;"Exclude",Y114="No"),OR(Inputs!$B$21&lt;&gt;"Exclude",Z114="No"),OR(Inputs!$B$22&lt;&gt;"Exclude",AA114="Yes"),ISNUMBER(U114))</f>
        <v>0</v>
      </c>
      <c r="AC114" s="5" t="str">
        <f aca="false">IF(AB114,COUNTIFS($C$5:$C$337,C114,$AB$5:$AB$337,TRUE(),$U$5:$U$337,"&gt;"&amp;U114)+COUNTIFS($C$5:C114,C114,$AB$5:AB114,TRUE(),$U$5:U114,U114),"")</f>
        <v/>
      </c>
      <c r="AD114" s="5" t="str">
        <f aca="false">IF(AC114="","Not eligible",IF(AC114&lt;=Inputs!$B$25,"Lead",IF(AC114&lt;=Inputs!$B$25+Inputs!$B$26,"Next wave","Long list")))</f>
        <v>Not eligible</v>
      </c>
      <c r="AE114" s="5" t="str">
        <f aca="false">IF(AND(K114+L114=0,M114&gt;0),"Safety upgrade of existing prefilled syringe",IF(K114+L114+M114=0,"Confirm presentation (not stated in source)",IF(AA114="Yes","Differentiation in crowded generic market","Safety-device mandate compliance")))</f>
        <v>Differentiation in crowded generic market</v>
      </c>
      <c r="AF114" s="5" t="str">
        <f aca="false">IF(AC114="","",C114&amp;"|"&amp;AC114)</f>
        <v/>
      </c>
    </row>
    <row r="115" customFormat="false" ht="15" hidden="false" customHeight="false" outlineLevel="0" collapsed="false">
      <c r="A115" s="5" t="n">
        <f aca="false">IF(ISNUMBER(U115),RANK(U115,$U$5:$U$337),"")</f>
        <v>172</v>
      </c>
      <c r="B115" s="5" t="s">
        <v>96</v>
      </c>
      <c r="C115" s="5" t="s">
        <v>44</v>
      </c>
      <c r="D115" s="5" t="str">
        <f aca="false">INDEX('API Data'!$B$2:$B$152,MATCH(B115,'API Data'!$A$2:$A$152,0))</f>
        <v>Critical care – anaphylaxis, cardiac arrest, shock</v>
      </c>
      <c r="E115" s="5" t="n">
        <f aca="false">COUNTIFS('Market Listing'!$A$2:$A$4054,B115,'Market Listing'!$B$2:$B$4054,C115)</f>
        <v>31</v>
      </c>
      <c r="F115" s="5" t="n">
        <f aca="false">COUNTIFS('Market Listing'!$A$2:$A$4054,B115,'Market Listing'!$B$2:$B$4054,C115,'Market Listing'!$D$2:$D$4054,"Tier 1")</f>
        <v>5</v>
      </c>
      <c r="G115" s="5" t="n">
        <f aca="false">COUNTIFS('Market Listing'!$A$2:$A$4054,B115,'Market Listing'!$B$2:$B$4054,C115,'Market Listing'!$D$2:$D$4054,"Tier 2")</f>
        <v>3</v>
      </c>
      <c r="H115" s="5" t="n">
        <f aca="false">COUNTIFS('Market Listing'!$A$2:$A$4054,B115,'Market Listing'!$B$2:$B$4054,C115,'Market Listing'!$D$2:$D$4054,"Tier 3")</f>
        <v>23</v>
      </c>
      <c r="I115" s="5" t="n">
        <f aca="false">SUMIFS('Market Listing'!$E$2:$E$4054,'Market Listing'!$A$2:$A$4054,B115,'Market Listing'!$B$2:$B$4054,C115)</f>
        <v>44</v>
      </c>
      <c r="J115" s="5" t="n">
        <f aca="false">COUNTIFS('Product Rows'!$A$2:$A$696,B115,'Product Rows'!$B$2:$B$696,C115)</f>
        <v>1</v>
      </c>
      <c r="K115" s="5" t="n">
        <f aca="false">COUNTIFS('Product Rows'!$A$2:$A$696,B115,'Product Rows'!$B$2:$B$696,C115,'Product Rows'!$G$2:$G$696,"Vial")</f>
        <v>0</v>
      </c>
      <c r="L115" s="5" t="n">
        <f aca="false">COUNTIFS('Product Rows'!$A$2:$A$696,B115,'Product Rows'!$B$2:$B$696,C115,'Product Rows'!$G$2:$G$696,"Ampoule")</f>
        <v>0</v>
      </c>
      <c r="M115" s="5" t="n">
        <f aca="false">COUNTIFS('Product Rows'!$A$2:$A$696,B115,'Product Rows'!$B$2:$B$696,C115,'Product Rows'!$G$2:$G$696,"Prefilled syringe/pen")</f>
        <v>1</v>
      </c>
      <c r="N115" s="6" t="n">
        <f aca="false">IFERROR(AVERAGEIFS('Product Rows'!$H$2:$H$696,'Product Rows'!$A$2:$A$696,B115,'Product Rows'!$B$2:$B$696,C115),"")</f>
        <v>28.6681</v>
      </c>
      <c r="O115" s="7" t="n">
        <f aca="false">INDEX('API Data'!$E$2:$E$152,MATCH(B115,'API Data'!$A$2:$A$152,0))</f>
        <v>3722.26092600815</v>
      </c>
      <c r="P115" s="5" t="n">
        <f aca="false">COUNTIF($B$5:$B$337,B115)</f>
        <v>1</v>
      </c>
      <c r="Q115" s="8" t="n">
        <f aca="false">IF(ISNUMBER(I115),PERCENTRANK($I$5:$I$337,I115),"")</f>
        <v>0.798</v>
      </c>
      <c r="R115" s="8" t="n">
        <f aca="false">IF(ISNUMBER(N115),PERCENTRANK($N$5:$N$337,N115),"")</f>
        <v>0.462</v>
      </c>
      <c r="S115" s="8" t="n">
        <f aca="false">IF(ISNUMBER(O115),PERCENTRANK($O$5:$O$337,O115),"")</f>
        <v>0.473</v>
      </c>
      <c r="T115" s="8" t="n">
        <f aca="false">IF(ISNUMBER(P115),PERCENTRANK($P$5:$P$337,P115),"")</f>
        <v>0</v>
      </c>
      <c r="U115" s="9" t="n">
        <f aca="false">IF((IF(ISNUMBER(Q115),Inputs!$B$4,0)+IF(ISNUMBER(R115),Inputs!$B$5,0)+IF(ISNUMBER(S115),Inputs!$B$6,0)+IF(ISNUMBER(T115),Inputs!$B$7,0))=0,"",(IF(ISNUMBER(Q115),Inputs!$B$4*Q115,0)+IF(ISNUMBER(R115),Inputs!$B$5*R115,0)+IF(ISNUMBER(S115),Inputs!$B$6*S115,0)+IF(ISNUMBER(T115),Inputs!$B$7*T115,0))/(IF(ISNUMBER(Q115),Inputs!$B$4,0)+IF(ISNUMBER(R115),Inputs!$B$5,0)+IF(ISNUMBER(S115),Inputs!$B$6,0)+IF(ISNUMBER(T115),Inputs!$B$7,0)))</f>
        <v>0.4675</v>
      </c>
      <c r="V115" s="5" t="str">
        <f aca="false">IF(F115&gt;0,"Yes","No")</f>
        <v>Yes</v>
      </c>
      <c r="W115" s="5" t="str">
        <f aca="false">IF(ISNUMBER(N115),IF(N115&gt;=Inputs!$D$18,"Yes","No"),"No price")</f>
        <v>Yes</v>
      </c>
      <c r="X115" s="5" t="str">
        <f aca="false">IF(K115+L115&gt;0,"Yes",IF(M115&gt;0,"No","Unclear"))</f>
        <v>No</v>
      </c>
      <c r="Y115" s="5" t="str">
        <f aca="false">INDEX('API Data'!$H$2:$H$152,MATCH(B115,'API Data'!$A$2:$A$152,0))</f>
        <v>No</v>
      </c>
      <c r="Z115" s="5" t="str">
        <f aca="false">IF(COUNTIFS('Product Rows'!$A$2:$A$696,B115,'Product Rows'!$B$2:$B$696,C115,'Product Rows'!$I$2:$I$696,"Yes")&gt;0,"Yes","No")</f>
        <v>No</v>
      </c>
      <c r="AA115" s="5" t="str">
        <f aca="false">IF(P115&gt;=Inputs!$D$22,"Yes","No")</f>
        <v>No</v>
      </c>
      <c r="AB115" s="10" t="b">
        <f aca="false">AND(OR(Inputs!$B$17&lt;&gt;"Exclude",V115="Yes"),OR(Inputs!$B$18&lt;&gt;"Exclude",W115&lt;&gt;"No"),OR(Inputs!$B$19&lt;&gt;"Exclude",X115&lt;&gt;"No"),OR(Inputs!$B$20&lt;&gt;"Exclude",Y115="No"),OR(Inputs!$B$21&lt;&gt;"Exclude",Z115="No"),OR(Inputs!$B$22&lt;&gt;"Exclude",AA115="Yes"),ISNUMBER(U115))</f>
        <v>1</v>
      </c>
      <c r="AC115" s="5" t="n">
        <f aca="false">IF(AB115,COUNTIFS($C$5:$C$337,C115,$AB$5:$AB$337,TRUE(),$U$5:$U$337,"&gt;"&amp;U115)+COUNTIFS($C$5:C115,C115,$AB$5:AB115,TRUE(),$U$5:U115,U115),"")</f>
        <v>31</v>
      </c>
      <c r="AD115" s="5" t="str">
        <f aca="false">IF(AC115="","Not eligible",IF(AC115&lt;=Inputs!$B$25,"Lead",IF(AC115&lt;=Inputs!$B$25+Inputs!$B$26,"Next wave","Long list")))</f>
        <v>Long list</v>
      </c>
      <c r="AE115" s="5" t="str">
        <f aca="false">IF(AND(K115+L115=0,M115&gt;0),"Safety upgrade of existing prefilled syringe",IF(K115+L115+M115=0,"Confirm presentation (not stated in source)",IF(AA115="Yes","Differentiation in crowded generic market","Safety-device mandate compliance")))</f>
        <v>Safety upgrade of existing prefilled syringe</v>
      </c>
      <c r="AF115" s="5" t="str">
        <f aca="false">IF(AC115="","",C115&amp;"|"&amp;AC115)</f>
        <v>Intas Pharmaceuticals|31</v>
      </c>
    </row>
    <row r="116" customFormat="false" ht="15" hidden="false" customHeight="false" outlineLevel="0" collapsed="false">
      <c r="A116" s="5" t="n">
        <f aca="false">IF(ISNUMBER(U116),RANK(U116,$U$5:$U$337),"")</f>
        <v>131</v>
      </c>
      <c r="B116" s="5" t="s">
        <v>97</v>
      </c>
      <c r="C116" s="5" t="s">
        <v>47</v>
      </c>
      <c r="D116" s="5" t="str">
        <f aca="false">INDEX('API Data'!$B$2:$B$152,MATCH(B116,'API Data'!$A$2:$A$152,0))</f>
        <v>Oncology – breast cancer (adjuvant)</v>
      </c>
      <c r="E116" s="5" t="n">
        <f aca="false">COUNTIFS('Market Listing'!$A$2:$A$4054,B116,'Market Listing'!$B$2:$B$4054,C116)</f>
        <v>29</v>
      </c>
      <c r="F116" s="5" t="n">
        <f aca="false">COUNTIFS('Market Listing'!$A$2:$A$4054,B116,'Market Listing'!$B$2:$B$4054,C116,'Market Listing'!$D$2:$D$4054,"Tier 1")</f>
        <v>5</v>
      </c>
      <c r="G116" s="5" t="n">
        <f aca="false">COUNTIFS('Market Listing'!$A$2:$A$4054,B116,'Market Listing'!$B$2:$B$4054,C116,'Market Listing'!$D$2:$D$4054,"Tier 2")</f>
        <v>3</v>
      </c>
      <c r="H116" s="5" t="n">
        <f aca="false">COUNTIFS('Market Listing'!$A$2:$A$4054,B116,'Market Listing'!$B$2:$B$4054,C116,'Market Listing'!$D$2:$D$4054,"Tier 3")</f>
        <v>21</v>
      </c>
      <c r="I116" s="5" t="n">
        <f aca="false">SUMIFS('Market Listing'!$E$2:$E$4054,'Market Listing'!$A$2:$A$4054,B116,'Market Listing'!$B$2:$B$4054,C116)</f>
        <v>42</v>
      </c>
      <c r="J116" s="5" t="n">
        <f aca="false">COUNTIFS('Product Rows'!$A$2:$A$696,B116,'Product Rows'!$B$2:$B$696,C116)</f>
        <v>1</v>
      </c>
      <c r="K116" s="5" t="n">
        <f aca="false">COUNTIFS('Product Rows'!$A$2:$A$696,B116,'Product Rows'!$B$2:$B$696,C116,'Product Rows'!$G$2:$G$696,"Vial")</f>
        <v>1</v>
      </c>
      <c r="L116" s="5" t="n">
        <f aca="false">COUNTIFS('Product Rows'!$A$2:$A$696,B116,'Product Rows'!$B$2:$B$696,C116,'Product Rows'!$G$2:$G$696,"Ampoule")</f>
        <v>0</v>
      </c>
      <c r="M116" s="5" t="n">
        <f aca="false">COUNTIFS('Product Rows'!$A$2:$A$696,B116,'Product Rows'!$B$2:$B$696,C116,'Product Rows'!$G$2:$G$696,"Prefilled syringe/pen")</f>
        <v>0</v>
      </c>
      <c r="N116" s="6" t="n">
        <f aca="false">IFERROR(AVERAGEIFS('Product Rows'!$H$2:$H$696,'Product Rows'!$A$2:$A$696,B116,'Product Rows'!$B$2:$B$696,C116),"")</f>
        <v>91.7334</v>
      </c>
      <c r="O116" s="7" t="n">
        <f aca="false">INDEX('API Data'!$E$2:$E$152,MATCH(B116,'API Data'!$A$2:$A$152,0))</f>
        <v>2770.15132075472</v>
      </c>
      <c r="P116" s="5" t="n">
        <f aca="false">COUNTIF($B$5:$B$337,B116)</f>
        <v>2</v>
      </c>
      <c r="Q116" s="8" t="n">
        <f aca="false">IF(ISNUMBER(I116),PERCENTRANK($I$5:$I$337,I116),"")</f>
        <v>0.729</v>
      </c>
      <c r="R116" s="8" t="n">
        <f aca="false">IF(ISNUMBER(N116),PERCENTRANK($N$5:$N$337,N116),"")</f>
        <v>0.731</v>
      </c>
      <c r="S116" s="8" t="n">
        <f aca="false">IF(ISNUMBER(O116),PERCENTRANK($O$5:$O$337,O116),"")</f>
        <v>0.346</v>
      </c>
      <c r="T116" s="8" t="n">
        <f aca="false">IF(ISNUMBER(P116),PERCENTRANK($P$5:$P$337,P116),"")</f>
        <v>0.235</v>
      </c>
      <c r="U116" s="9" t="n">
        <f aca="false">IF((IF(ISNUMBER(Q116),Inputs!$B$4,0)+IF(ISNUMBER(R116),Inputs!$B$5,0)+IF(ISNUMBER(S116),Inputs!$B$6,0)+IF(ISNUMBER(T116),Inputs!$B$7,0))=0,"",(IF(ISNUMBER(Q116),Inputs!$B$4*Q116,0)+IF(ISNUMBER(R116),Inputs!$B$5*R116,0)+IF(ISNUMBER(S116),Inputs!$B$6*S116,0)+IF(ISNUMBER(T116),Inputs!$B$7*T116,0))/(IF(ISNUMBER(Q116),Inputs!$B$4,0)+IF(ISNUMBER(R116),Inputs!$B$5,0)+IF(ISNUMBER(S116),Inputs!$B$6,0)+IF(ISNUMBER(T116),Inputs!$B$7,0)))</f>
        <v>0.5385</v>
      </c>
      <c r="V116" s="5" t="str">
        <f aca="false">IF(F116&gt;0,"Yes","No")</f>
        <v>Yes</v>
      </c>
      <c r="W116" s="5" t="str">
        <f aca="false">IF(ISNUMBER(N116),IF(N116&gt;=Inputs!$D$18,"Yes","No"),"No price")</f>
        <v>Yes</v>
      </c>
      <c r="X116" s="5" t="str">
        <f aca="false">IF(K116+L116&gt;0,"Yes",IF(M116&gt;0,"No","Unclear"))</f>
        <v>Yes</v>
      </c>
      <c r="Y116" s="5" t="str">
        <f aca="false">INDEX('API Data'!$H$2:$H$152,MATCH(B116,'API Data'!$A$2:$A$152,0))</f>
        <v>Yes</v>
      </c>
      <c r="Z116" s="5" t="str">
        <f aca="false">IF(COUNTIFS('Product Rows'!$A$2:$A$696,B116,'Product Rows'!$B$2:$B$696,C116,'Product Rows'!$I$2:$I$696,"Yes")&gt;0,"Yes","No")</f>
        <v>No</v>
      </c>
      <c r="AA116" s="5" t="str">
        <f aca="false">IF(P116&gt;=Inputs!$D$22,"Yes","No")</f>
        <v>No</v>
      </c>
      <c r="AB116" s="10" t="b">
        <f aca="false">AND(OR(Inputs!$B$17&lt;&gt;"Exclude",V116="Yes"),OR(Inputs!$B$18&lt;&gt;"Exclude",W116&lt;&gt;"No"),OR(Inputs!$B$19&lt;&gt;"Exclude",X116&lt;&gt;"No"),OR(Inputs!$B$20&lt;&gt;"Exclude",Y116="No"),OR(Inputs!$B$21&lt;&gt;"Exclude",Z116="No"),OR(Inputs!$B$22&lt;&gt;"Exclude",AA116="Yes"),ISNUMBER(U116))</f>
        <v>1</v>
      </c>
      <c r="AC116" s="5" t="n">
        <f aca="false">IF(AB116,COUNTIFS($C$5:$C$337,C116,$AB$5:$AB$337,TRUE(),$U$5:$U$337,"&gt;"&amp;U116)+COUNTIFS($C$5:C116,C116,$AB$5:AB116,TRUE(),$U$5:U116,U116),"")</f>
        <v>17</v>
      </c>
      <c r="AD116" s="5" t="str">
        <f aca="false">IF(AC116="","Not eligible",IF(AC116&lt;=Inputs!$B$25,"Lead",IF(AC116&lt;=Inputs!$B$25+Inputs!$B$26,"Next wave","Long list")))</f>
        <v>Long list</v>
      </c>
      <c r="AE116" s="5" t="str">
        <f aca="false">IF(AND(K116+L116=0,M116&gt;0),"Safety upgrade of existing prefilled syringe",IF(K116+L116+M116=0,"Confirm presentation (not stated in source)",IF(AA116="Yes","Differentiation in crowded generic market","Safety-device mandate compliance")))</f>
        <v>Safety-device mandate compliance</v>
      </c>
      <c r="AF116" s="5" t="str">
        <f aca="false">IF(AC116="","",C116&amp;"|"&amp;AC116)</f>
        <v>Aurobindo Pharma|17</v>
      </c>
    </row>
    <row r="117" customFormat="false" ht="15" hidden="false" customHeight="false" outlineLevel="0" collapsed="false">
      <c r="A117" s="5" t="n">
        <f aca="false">IF(ISNUMBER(U117),RANK(U117,$U$5:$U$337),"")</f>
        <v>222</v>
      </c>
      <c r="B117" s="5" t="s">
        <v>97</v>
      </c>
      <c r="C117" s="5" t="s">
        <v>44</v>
      </c>
      <c r="D117" s="5" t="str">
        <f aca="false">INDEX('API Data'!$B$2:$B$152,MATCH(B117,'API Data'!$A$2:$A$152,0))</f>
        <v>Oncology – breast cancer (adjuvant)</v>
      </c>
      <c r="E117" s="5" t="n">
        <f aca="false">COUNTIFS('Market Listing'!$A$2:$A$4054,B117,'Market Listing'!$B$2:$B$4054,C117)</f>
        <v>32</v>
      </c>
      <c r="F117" s="5" t="n">
        <f aca="false">COUNTIFS('Market Listing'!$A$2:$A$4054,B117,'Market Listing'!$B$2:$B$4054,C117,'Market Listing'!$D$2:$D$4054,"Tier 1")</f>
        <v>6</v>
      </c>
      <c r="G117" s="5" t="n">
        <f aca="false">COUNTIFS('Market Listing'!$A$2:$A$4054,B117,'Market Listing'!$B$2:$B$4054,C117,'Market Listing'!$D$2:$D$4054,"Tier 2")</f>
        <v>5</v>
      </c>
      <c r="H117" s="5" t="n">
        <f aca="false">COUNTIFS('Market Listing'!$A$2:$A$4054,B117,'Market Listing'!$B$2:$B$4054,C117,'Market Listing'!$D$2:$D$4054,"Tier 3")</f>
        <v>21</v>
      </c>
      <c r="I117" s="5" t="n">
        <f aca="false">SUMIFS('Market Listing'!$E$2:$E$4054,'Market Listing'!$A$2:$A$4054,B117,'Market Listing'!$B$2:$B$4054,C117)</f>
        <v>49</v>
      </c>
      <c r="J117" s="5" t="n">
        <f aca="false">COUNTIFS('Product Rows'!$A$2:$A$696,B117,'Product Rows'!$B$2:$B$696,C117)</f>
        <v>9</v>
      </c>
      <c r="K117" s="5" t="n">
        <f aca="false">COUNTIFS('Product Rows'!$A$2:$A$696,B117,'Product Rows'!$B$2:$B$696,C117,'Product Rows'!$G$2:$G$696,"Vial")</f>
        <v>9</v>
      </c>
      <c r="L117" s="5" t="n">
        <f aca="false">COUNTIFS('Product Rows'!$A$2:$A$696,B117,'Product Rows'!$B$2:$B$696,C117,'Product Rows'!$G$2:$G$696,"Ampoule")</f>
        <v>0</v>
      </c>
      <c r="M117" s="5" t="n">
        <f aca="false">COUNTIFS('Product Rows'!$A$2:$A$696,B117,'Product Rows'!$B$2:$B$696,C117,'Product Rows'!$G$2:$G$696,"Prefilled syringe/pen")</f>
        <v>0</v>
      </c>
      <c r="N117" s="6" t="n">
        <f aca="false">IFERROR(AVERAGEIFS('Product Rows'!$H$2:$H$696,'Product Rows'!$A$2:$A$696,B117,'Product Rows'!$B$2:$B$696,C117),"")</f>
        <v>25.1576444444444</v>
      </c>
      <c r="O117" s="7" t="n">
        <f aca="false">INDEX('API Data'!$E$2:$E$152,MATCH(B117,'API Data'!$A$2:$A$152,0))</f>
        <v>2770.15132075472</v>
      </c>
      <c r="P117" s="5" t="n">
        <f aca="false">COUNTIF($B$5:$B$337,B117)</f>
        <v>2</v>
      </c>
      <c r="Q117" s="8" t="n">
        <f aca="false">IF(ISNUMBER(I117),PERCENTRANK($I$5:$I$337,I117),"")</f>
        <v>0.934</v>
      </c>
      <c r="R117" s="8" t="n">
        <f aca="false">IF(ISNUMBER(N117),PERCENTRANK($N$5:$N$337,N117),"")</f>
        <v>0.444</v>
      </c>
      <c r="S117" s="8" t="n">
        <f aca="false">IF(ISNUMBER(O117),PERCENTRANK($O$5:$O$337,O117),"")</f>
        <v>0.346</v>
      </c>
      <c r="T117" s="8" t="n">
        <f aca="false">IF(ISNUMBER(P117),PERCENTRANK($P$5:$P$337,P117),"")</f>
        <v>0.235</v>
      </c>
      <c r="U117" s="9" t="n">
        <f aca="false">IF((IF(ISNUMBER(Q117),Inputs!$B$4,0)+IF(ISNUMBER(R117),Inputs!$B$5,0)+IF(ISNUMBER(S117),Inputs!$B$6,0)+IF(ISNUMBER(T117),Inputs!$B$7,0))=0,"",(IF(ISNUMBER(Q117),Inputs!$B$4*Q117,0)+IF(ISNUMBER(R117),Inputs!$B$5*R117,0)+IF(ISNUMBER(S117),Inputs!$B$6*S117,0)+IF(ISNUMBER(T117),Inputs!$B$7*T117,0))/(IF(ISNUMBER(Q117),Inputs!$B$4,0)+IF(ISNUMBER(R117),Inputs!$B$5,0)+IF(ISNUMBER(S117),Inputs!$B$6,0)+IF(ISNUMBER(T117),Inputs!$B$7,0)))</f>
        <v>0.395</v>
      </c>
      <c r="V117" s="5" t="str">
        <f aca="false">IF(F117&gt;0,"Yes","No")</f>
        <v>Yes</v>
      </c>
      <c r="W117" s="5" t="str">
        <f aca="false">IF(ISNUMBER(N117),IF(N117&gt;=Inputs!$D$18,"Yes","No"),"No price")</f>
        <v>Yes</v>
      </c>
      <c r="X117" s="5" t="str">
        <f aca="false">IF(K117+L117&gt;0,"Yes",IF(M117&gt;0,"No","Unclear"))</f>
        <v>Yes</v>
      </c>
      <c r="Y117" s="5" t="str">
        <f aca="false">INDEX('API Data'!$H$2:$H$152,MATCH(B117,'API Data'!$A$2:$A$152,0))</f>
        <v>Yes</v>
      </c>
      <c r="Z117" s="5" t="str">
        <f aca="false">IF(COUNTIFS('Product Rows'!$A$2:$A$696,B117,'Product Rows'!$B$2:$B$696,C117,'Product Rows'!$I$2:$I$696,"Yes")&gt;0,"Yes","No")</f>
        <v>No</v>
      </c>
      <c r="AA117" s="5" t="str">
        <f aca="false">IF(P117&gt;=Inputs!$D$22,"Yes","No")</f>
        <v>No</v>
      </c>
      <c r="AB117" s="10" t="b">
        <f aca="false">AND(OR(Inputs!$B$17&lt;&gt;"Exclude",V117="Yes"),OR(Inputs!$B$18&lt;&gt;"Exclude",W117&lt;&gt;"No"),OR(Inputs!$B$19&lt;&gt;"Exclude",X117&lt;&gt;"No"),OR(Inputs!$B$20&lt;&gt;"Exclude",Y117="No"),OR(Inputs!$B$21&lt;&gt;"Exclude",Z117="No"),OR(Inputs!$B$22&lt;&gt;"Exclude",AA117="Yes"),ISNUMBER(U117))</f>
        <v>1</v>
      </c>
      <c r="AC117" s="5" t="n">
        <f aca="false">IF(AB117,COUNTIFS($C$5:$C$337,C117,$AB$5:$AB$337,TRUE(),$U$5:$U$337,"&gt;"&amp;U117)+COUNTIFS($C$5:C117,C117,$AB$5:AB117,TRUE(),$U$5:U117,U117),"")</f>
        <v>40</v>
      </c>
      <c r="AD117" s="5" t="str">
        <f aca="false">IF(AC117="","Not eligible",IF(AC117&lt;=Inputs!$B$25,"Lead",IF(AC117&lt;=Inputs!$B$25+Inputs!$B$26,"Next wave","Long list")))</f>
        <v>Long list</v>
      </c>
      <c r="AE117" s="5" t="str">
        <f aca="false">IF(AND(K117+L117=0,M117&gt;0),"Safety upgrade of existing prefilled syringe",IF(K117+L117+M117=0,"Confirm presentation (not stated in source)",IF(AA117="Yes","Differentiation in crowded generic market","Safety-device mandate compliance")))</f>
        <v>Safety-device mandate compliance</v>
      </c>
      <c r="AF117" s="5" t="str">
        <f aca="false">IF(AC117="","",C117&amp;"|"&amp;AC117)</f>
        <v>Intas Pharmaceuticals|40</v>
      </c>
    </row>
    <row r="118" customFormat="false" ht="15" hidden="false" customHeight="false" outlineLevel="0" collapsed="false">
      <c r="A118" s="5" t="n">
        <f aca="false">IF(ISNUMBER(U118),RANK(U118,$U$5:$U$337),"")</f>
        <v>59</v>
      </c>
      <c r="B118" s="5" t="s">
        <v>98</v>
      </c>
      <c r="C118" s="5" t="s">
        <v>47</v>
      </c>
      <c r="D118" s="5" t="str">
        <f aca="false">INDEX('API Data'!$B$2:$B$152,MATCH(B118,'API Data'!$A$2:$A$152,0))</f>
        <v>Cardiovascular – acute coronary syndrome &amp; PCI (antiplatelet)</v>
      </c>
      <c r="E118" s="5" t="n">
        <f aca="false">COUNTIFS('Market Listing'!$A$2:$A$4054,B118,'Market Listing'!$B$2:$B$4054,C118)</f>
        <v>1</v>
      </c>
      <c r="F118" s="5" t="n">
        <f aca="false">COUNTIFS('Market Listing'!$A$2:$A$4054,B118,'Market Listing'!$B$2:$B$4054,C118,'Market Listing'!$D$2:$D$4054,"Tier 1")</f>
        <v>1</v>
      </c>
      <c r="G118" s="5" t="n">
        <f aca="false">COUNTIFS('Market Listing'!$A$2:$A$4054,B118,'Market Listing'!$B$2:$B$4054,C118,'Market Listing'!$D$2:$D$4054,"Tier 2")</f>
        <v>0</v>
      </c>
      <c r="H118" s="5" t="n">
        <f aca="false">COUNTIFS('Market Listing'!$A$2:$A$4054,B118,'Market Listing'!$B$2:$B$4054,C118,'Market Listing'!$D$2:$D$4054,"Tier 3")</f>
        <v>0</v>
      </c>
      <c r="I118" s="5" t="n">
        <f aca="false">SUMIFS('Market Listing'!$E$2:$E$4054,'Market Listing'!$A$2:$A$4054,B118,'Market Listing'!$B$2:$B$4054,C118)</f>
        <v>3</v>
      </c>
      <c r="J118" s="5" t="n">
        <f aca="false">COUNTIFS('Product Rows'!$A$2:$A$696,B118,'Product Rows'!$B$2:$B$696,C118)</f>
        <v>1</v>
      </c>
      <c r="K118" s="5" t="n">
        <f aca="false">COUNTIFS('Product Rows'!$A$2:$A$696,B118,'Product Rows'!$B$2:$B$696,C118,'Product Rows'!$G$2:$G$696,"Vial")</f>
        <v>1</v>
      </c>
      <c r="L118" s="5" t="n">
        <f aca="false">COUNTIFS('Product Rows'!$A$2:$A$696,B118,'Product Rows'!$B$2:$B$696,C118,'Product Rows'!$G$2:$G$696,"Ampoule")</f>
        <v>0</v>
      </c>
      <c r="M118" s="5" t="n">
        <f aca="false">COUNTIFS('Product Rows'!$A$2:$A$696,B118,'Product Rows'!$B$2:$B$696,C118,'Product Rows'!$G$2:$G$696,"Prefilled syringe/pen")</f>
        <v>0</v>
      </c>
      <c r="N118" s="6" t="n">
        <f aca="false">IFERROR(AVERAGEIFS('Product Rows'!$H$2:$H$696,'Product Rows'!$A$2:$A$696,B118,'Product Rows'!$B$2:$B$696,C118),"")</f>
        <v>343.8</v>
      </c>
      <c r="O118" s="7" t="n">
        <f aca="false">INDEX('API Data'!$E$2:$E$152,MATCH(B118,'API Data'!$A$2:$A$152,0))</f>
        <v>5178.32161764706</v>
      </c>
      <c r="P118" s="5" t="n">
        <f aca="false">COUNTIF($B$5:$B$337,B118)</f>
        <v>2</v>
      </c>
      <c r="Q118" s="8" t="n">
        <f aca="false">IF(ISNUMBER(I118),PERCENTRANK($I$5:$I$337,I118),"")</f>
        <v>0.157</v>
      </c>
      <c r="R118" s="8" t="n">
        <f aca="false">IF(ISNUMBER(N118),PERCENTRANK($N$5:$N$337,N118),"")</f>
        <v>0.892</v>
      </c>
      <c r="S118" s="8" t="n">
        <f aca="false">IF(ISNUMBER(O118),PERCENTRANK($O$5:$O$337,O118),"")</f>
        <v>0.554</v>
      </c>
      <c r="T118" s="8" t="n">
        <f aca="false">IF(ISNUMBER(P118),PERCENTRANK($P$5:$P$337,P118),"")</f>
        <v>0.235</v>
      </c>
      <c r="U118" s="9" t="n">
        <f aca="false">IF((IF(ISNUMBER(Q118),Inputs!$B$4,0)+IF(ISNUMBER(R118),Inputs!$B$5,0)+IF(ISNUMBER(S118),Inputs!$B$6,0)+IF(ISNUMBER(T118),Inputs!$B$7,0))=0,"",(IF(ISNUMBER(Q118),Inputs!$B$4*Q118,0)+IF(ISNUMBER(R118),Inputs!$B$5*R118,0)+IF(ISNUMBER(S118),Inputs!$B$6*S118,0)+IF(ISNUMBER(T118),Inputs!$B$7*T118,0))/(IF(ISNUMBER(Q118),Inputs!$B$4,0)+IF(ISNUMBER(R118),Inputs!$B$5,0)+IF(ISNUMBER(S118),Inputs!$B$6,0)+IF(ISNUMBER(T118),Inputs!$B$7,0)))</f>
        <v>0.723</v>
      </c>
      <c r="V118" s="5" t="str">
        <f aca="false">IF(F118&gt;0,"Yes","No")</f>
        <v>Yes</v>
      </c>
      <c r="W118" s="5" t="str">
        <f aca="false">IF(ISNUMBER(N118),IF(N118&gt;=Inputs!$D$18,"Yes","No"),"No price")</f>
        <v>Yes</v>
      </c>
      <c r="X118" s="5" t="str">
        <f aca="false">IF(K118+L118&gt;0,"Yes",IF(M118&gt;0,"No","Unclear"))</f>
        <v>Yes</v>
      </c>
      <c r="Y118" s="5" t="str">
        <f aca="false">INDEX('API Data'!$H$2:$H$152,MATCH(B118,'API Data'!$A$2:$A$152,0))</f>
        <v>No</v>
      </c>
      <c r="Z118" s="5" t="str">
        <f aca="false">IF(COUNTIFS('Product Rows'!$A$2:$A$696,B118,'Product Rows'!$B$2:$B$696,C118,'Product Rows'!$I$2:$I$696,"Yes")&gt;0,"Yes","No")</f>
        <v>No</v>
      </c>
      <c r="AA118" s="5" t="str">
        <f aca="false">IF(P118&gt;=Inputs!$D$22,"Yes","No")</f>
        <v>No</v>
      </c>
      <c r="AB118" s="10" t="b">
        <f aca="false">AND(OR(Inputs!$B$17&lt;&gt;"Exclude",V118="Yes"),OR(Inputs!$B$18&lt;&gt;"Exclude",W118&lt;&gt;"No"),OR(Inputs!$B$19&lt;&gt;"Exclude",X118&lt;&gt;"No"),OR(Inputs!$B$20&lt;&gt;"Exclude",Y118="No"),OR(Inputs!$B$21&lt;&gt;"Exclude",Z118="No"),OR(Inputs!$B$22&lt;&gt;"Exclude",AA118="Yes"),ISNUMBER(U118))</f>
        <v>1</v>
      </c>
      <c r="AC118" s="5" t="n">
        <f aca="false">IF(AB118,COUNTIFS($C$5:$C$337,C118,$AB$5:$AB$337,TRUE(),$U$5:$U$337,"&gt;"&amp;U118)+COUNTIFS($C$5:C118,C118,$AB$5:AB118,TRUE(),$U$5:U118,U118),"")</f>
        <v>6</v>
      </c>
      <c r="AD118" s="5" t="str">
        <f aca="false">IF(AC118="","Not eligible",IF(AC118&lt;=Inputs!$B$25,"Lead",IF(AC118&lt;=Inputs!$B$25+Inputs!$B$26,"Next wave","Long list")))</f>
        <v>Next wave</v>
      </c>
      <c r="AE118" s="5" t="str">
        <f aca="false">IF(AND(K118+L118=0,M118&gt;0),"Safety upgrade of existing prefilled syringe",IF(K118+L118+M118=0,"Confirm presentation (not stated in source)",IF(AA118="Yes","Differentiation in crowded generic market","Safety-device mandate compliance")))</f>
        <v>Safety-device mandate compliance</v>
      </c>
      <c r="AF118" s="5" t="str">
        <f aca="false">IF(AC118="","",C118&amp;"|"&amp;AC118)</f>
        <v>Aurobindo Pharma|6</v>
      </c>
    </row>
    <row r="119" customFormat="false" ht="15" hidden="false" customHeight="false" outlineLevel="0" collapsed="false">
      <c r="A119" s="5" t="n">
        <f aca="false">IF(ISNUMBER(U119),RANK(U119,$U$5:$U$337),"")</f>
        <v>87</v>
      </c>
      <c r="B119" s="5" t="s">
        <v>98</v>
      </c>
      <c r="C119" s="5" t="s">
        <v>44</v>
      </c>
      <c r="D119" s="5" t="str">
        <f aca="false">INDEX('API Data'!$B$2:$B$152,MATCH(B119,'API Data'!$A$2:$A$152,0))</f>
        <v>Cardiovascular – acute coronary syndrome &amp; PCI (antiplatelet)</v>
      </c>
      <c r="E119" s="5" t="n">
        <f aca="false">COUNTIFS('Market Listing'!$A$2:$A$4054,B119,'Market Listing'!$B$2:$B$4054,C119)</f>
        <v>14</v>
      </c>
      <c r="F119" s="5" t="n">
        <f aca="false">COUNTIFS('Market Listing'!$A$2:$A$4054,B119,'Market Listing'!$B$2:$B$4054,C119,'Market Listing'!$D$2:$D$4054,"Tier 1")</f>
        <v>3</v>
      </c>
      <c r="G119" s="5" t="n">
        <f aca="false">COUNTIFS('Market Listing'!$A$2:$A$4054,B119,'Market Listing'!$B$2:$B$4054,C119,'Market Listing'!$D$2:$D$4054,"Tier 2")</f>
        <v>1</v>
      </c>
      <c r="H119" s="5" t="n">
        <f aca="false">COUNTIFS('Market Listing'!$A$2:$A$4054,B119,'Market Listing'!$B$2:$B$4054,C119,'Market Listing'!$D$2:$D$4054,"Tier 3")</f>
        <v>10</v>
      </c>
      <c r="I119" s="5" t="n">
        <f aca="false">SUMIFS('Market Listing'!$E$2:$E$4054,'Market Listing'!$A$2:$A$4054,B119,'Market Listing'!$B$2:$B$4054,C119)</f>
        <v>21</v>
      </c>
      <c r="J119" s="5" t="n">
        <f aca="false">COUNTIFS('Product Rows'!$A$2:$A$696,B119,'Product Rows'!$B$2:$B$696,C119)</f>
        <v>1</v>
      </c>
      <c r="K119" s="5" t="n">
        <f aca="false">COUNTIFS('Product Rows'!$A$2:$A$696,B119,'Product Rows'!$B$2:$B$696,C119,'Product Rows'!$G$2:$G$696,"Vial")</f>
        <v>1</v>
      </c>
      <c r="L119" s="5" t="n">
        <f aca="false">COUNTIFS('Product Rows'!$A$2:$A$696,B119,'Product Rows'!$B$2:$B$696,C119,'Product Rows'!$G$2:$G$696,"Ampoule")</f>
        <v>0</v>
      </c>
      <c r="M119" s="5" t="n">
        <f aca="false">COUNTIFS('Product Rows'!$A$2:$A$696,B119,'Product Rows'!$B$2:$B$696,C119,'Product Rows'!$G$2:$G$696,"Prefilled syringe/pen")</f>
        <v>0</v>
      </c>
      <c r="N119" s="6" t="n">
        <f aca="false">IFERROR(AVERAGEIFS('Product Rows'!$H$2:$H$696,'Product Rows'!$A$2:$A$696,B119,'Product Rows'!$B$2:$B$696,C119),"")</f>
        <v>62.0257</v>
      </c>
      <c r="O119" s="7" t="n">
        <f aca="false">INDEX('API Data'!$E$2:$E$152,MATCH(B119,'API Data'!$A$2:$A$152,0))</f>
        <v>5178.32161764706</v>
      </c>
      <c r="P119" s="5" t="n">
        <f aca="false">COUNTIF($B$5:$B$337,B119)</f>
        <v>2</v>
      </c>
      <c r="Q119" s="8" t="n">
        <f aca="false">IF(ISNUMBER(I119),PERCENTRANK($I$5:$I$337,I119),"")</f>
        <v>0.599</v>
      </c>
      <c r="R119" s="8" t="n">
        <f aca="false">IF(ISNUMBER(N119),PERCENTRANK($N$5:$N$337,N119),"")</f>
        <v>0.659</v>
      </c>
      <c r="S119" s="8" t="n">
        <f aca="false">IF(ISNUMBER(O119),PERCENTRANK($O$5:$O$337,O119),"")</f>
        <v>0.554</v>
      </c>
      <c r="T119" s="8" t="n">
        <f aca="false">IF(ISNUMBER(P119),PERCENTRANK($P$5:$P$337,P119),"")</f>
        <v>0.235</v>
      </c>
      <c r="U119" s="9" t="n">
        <f aca="false">IF((IF(ISNUMBER(Q119),Inputs!$B$4,0)+IF(ISNUMBER(R119),Inputs!$B$5,0)+IF(ISNUMBER(S119),Inputs!$B$6,0)+IF(ISNUMBER(T119),Inputs!$B$7,0))=0,"",(IF(ISNUMBER(Q119),Inputs!$B$4*Q119,0)+IF(ISNUMBER(R119),Inputs!$B$5*R119,0)+IF(ISNUMBER(S119),Inputs!$B$6*S119,0)+IF(ISNUMBER(T119),Inputs!$B$7*T119,0))/(IF(ISNUMBER(Q119),Inputs!$B$4,0)+IF(ISNUMBER(R119),Inputs!$B$5,0)+IF(ISNUMBER(S119),Inputs!$B$6,0)+IF(ISNUMBER(T119),Inputs!$B$7,0)))</f>
        <v>0.6065</v>
      </c>
      <c r="V119" s="5" t="str">
        <f aca="false">IF(F119&gt;0,"Yes","No")</f>
        <v>Yes</v>
      </c>
      <c r="W119" s="5" t="str">
        <f aca="false">IF(ISNUMBER(N119),IF(N119&gt;=Inputs!$D$18,"Yes","No"),"No price")</f>
        <v>Yes</v>
      </c>
      <c r="X119" s="5" t="str">
        <f aca="false">IF(K119+L119&gt;0,"Yes",IF(M119&gt;0,"No","Unclear"))</f>
        <v>Yes</v>
      </c>
      <c r="Y119" s="5" t="str">
        <f aca="false">INDEX('API Data'!$H$2:$H$152,MATCH(B119,'API Data'!$A$2:$A$152,0))</f>
        <v>No</v>
      </c>
      <c r="Z119" s="5" t="str">
        <f aca="false">IF(COUNTIFS('Product Rows'!$A$2:$A$696,B119,'Product Rows'!$B$2:$B$696,C119,'Product Rows'!$I$2:$I$696,"Yes")&gt;0,"Yes","No")</f>
        <v>No</v>
      </c>
      <c r="AA119" s="5" t="str">
        <f aca="false">IF(P119&gt;=Inputs!$D$22,"Yes","No")</f>
        <v>No</v>
      </c>
      <c r="AB119" s="10" t="b">
        <f aca="false">AND(OR(Inputs!$B$17&lt;&gt;"Exclude",V119="Yes"),OR(Inputs!$B$18&lt;&gt;"Exclude",W119&lt;&gt;"No"),OR(Inputs!$B$19&lt;&gt;"Exclude",X119&lt;&gt;"No"),OR(Inputs!$B$20&lt;&gt;"Exclude",Y119="No"),OR(Inputs!$B$21&lt;&gt;"Exclude",Z119="No"),OR(Inputs!$B$22&lt;&gt;"Exclude",AA119="Yes"),ISNUMBER(U119))</f>
        <v>1</v>
      </c>
      <c r="AC119" s="5" t="n">
        <f aca="false">IF(AB119,COUNTIFS($C$5:$C$337,C119,$AB$5:$AB$337,TRUE(),$U$5:$U$337,"&gt;"&amp;U119)+COUNTIFS($C$5:C119,C119,$AB$5:AB119,TRUE(),$U$5:U119,U119),"")</f>
        <v>18</v>
      </c>
      <c r="AD119" s="5" t="str">
        <f aca="false">IF(AC119="","Not eligible",IF(AC119&lt;=Inputs!$B$25,"Lead",IF(AC119&lt;=Inputs!$B$25+Inputs!$B$26,"Next wave","Long list")))</f>
        <v>Long list</v>
      </c>
      <c r="AE119" s="5" t="str">
        <f aca="false">IF(AND(K119+L119=0,M119&gt;0),"Safety upgrade of existing prefilled syringe",IF(K119+L119+M119=0,"Confirm presentation (not stated in source)",IF(AA119="Yes","Differentiation in crowded generic market","Safety-device mandate compliance")))</f>
        <v>Safety-device mandate compliance</v>
      </c>
      <c r="AF119" s="5" t="str">
        <f aca="false">IF(AC119="","",C119&amp;"|"&amp;AC119)</f>
        <v>Intas Pharmaceuticals|18</v>
      </c>
    </row>
    <row r="120" customFormat="false" ht="15" hidden="false" customHeight="false" outlineLevel="0" collapsed="false">
      <c r="A120" s="5" t="n">
        <f aca="false">IF(ISNUMBER(U120),RANK(U120,$U$5:$U$337),"")</f>
        <v>115</v>
      </c>
      <c r="B120" s="5" t="s">
        <v>99</v>
      </c>
      <c r="C120" s="5" t="s">
        <v>55</v>
      </c>
      <c r="D120" s="5" t="str">
        <f aca="false">INDEX('API Data'!$B$2:$B$152,MATCH(B120,'API Data'!$A$2:$A$152,0))</f>
        <v>Oncology – metastatic breast cancer; liposarcoma</v>
      </c>
      <c r="E120" s="5" t="n">
        <f aca="false">COUNTIFS('Market Listing'!$A$2:$A$4054,B120,'Market Listing'!$B$2:$B$4054,C120)</f>
        <v>30</v>
      </c>
      <c r="F120" s="5" t="n">
        <f aca="false">COUNTIFS('Market Listing'!$A$2:$A$4054,B120,'Market Listing'!$B$2:$B$4054,C120,'Market Listing'!$D$2:$D$4054,"Tier 1")</f>
        <v>8</v>
      </c>
      <c r="G120" s="5" t="n">
        <f aca="false">COUNTIFS('Market Listing'!$A$2:$A$4054,B120,'Market Listing'!$B$2:$B$4054,C120,'Market Listing'!$D$2:$D$4054,"Tier 2")</f>
        <v>5</v>
      </c>
      <c r="H120" s="5" t="n">
        <f aca="false">COUNTIFS('Market Listing'!$A$2:$A$4054,B120,'Market Listing'!$B$2:$B$4054,C120,'Market Listing'!$D$2:$D$4054,"Tier 3")</f>
        <v>17</v>
      </c>
      <c r="I120" s="5" t="n">
        <f aca="false">SUMIFS('Market Listing'!$E$2:$E$4054,'Market Listing'!$A$2:$A$4054,B120,'Market Listing'!$B$2:$B$4054,C120)</f>
        <v>51</v>
      </c>
      <c r="J120" s="5" t="n">
        <f aca="false">COUNTIFS('Product Rows'!$A$2:$A$696,B120,'Product Rows'!$B$2:$B$696,C120)</f>
        <v>6</v>
      </c>
      <c r="K120" s="5" t="n">
        <f aca="false">COUNTIFS('Product Rows'!$A$2:$A$696,B120,'Product Rows'!$B$2:$B$696,C120,'Product Rows'!$G$2:$G$696,"Vial")</f>
        <v>6</v>
      </c>
      <c r="L120" s="5" t="n">
        <f aca="false">COUNTIFS('Product Rows'!$A$2:$A$696,B120,'Product Rows'!$B$2:$B$696,C120,'Product Rows'!$G$2:$G$696,"Ampoule")</f>
        <v>0</v>
      </c>
      <c r="M120" s="5" t="n">
        <f aca="false">COUNTIFS('Product Rows'!$A$2:$A$696,B120,'Product Rows'!$B$2:$B$696,C120,'Product Rows'!$G$2:$G$696,"Prefilled syringe/pen")</f>
        <v>0</v>
      </c>
      <c r="N120" s="6" t="n">
        <f aca="false">IFERROR(AVERAGEIFS('Product Rows'!$H$2:$H$696,'Product Rows'!$A$2:$A$696,B120,'Product Rows'!$B$2:$B$696,C120),"")</f>
        <v>333.84525</v>
      </c>
      <c r="O120" s="7" t="n">
        <f aca="false">INDEX('API Data'!$E$2:$E$152,MATCH(B120,'API Data'!$A$2:$A$152,0))</f>
        <v>1874.63</v>
      </c>
      <c r="P120" s="5" t="n">
        <f aca="false">COUNTIF($B$5:$B$337,B120)</f>
        <v>4</v>
      </c>
      <c r="Q120" s="8" t="n">
        <f aca="false">IF(ISNUMBER(I120),PERCENTRANK($I$5:$I$337,I120),"")</f>
        <v>0.97</v>
      </c>
      <c r="R120" s="8" t="n">
        <f aca="false">IF(ISNUMBER(N120),PERCENTRANK($N$5:$N$337,N120),"")</f>
        <v>0.889</v>
      </c>
      <c r="S120" s="8" t="n">
        <f aca="false">IF(ISNUMBER(O120),PERCENTRANK($O$5:$O$337,O120),"")</f>
        <v>0.244</v>
      </c>
      <c r="T120" s="8" t="n">
        <f aca="false">IF(ISNUMBER(P120),PERCENTRANK($P$5:$P$337,P120),"")</f>
        <v>0.569</v>
      </c>
      <c r="U120" s="9" t="n">
        <f aca="false">IF((IF(ISNUMBER(Q120),Inputs!$B$4,0)+IF(ISNUMBER(R120),Inputs!$B$5,0)+IF(ISNUMBER(S120),Inputs!$B$6,0)+IF(ISNUMBER(T120),Inputs!$B$7,0))=0,"",(IF(ISNUMBER(Q120),Inputs!$B$4*Q120,0)+IF(ISNUMBER(R120),Inputs!$B$5*R120,0)+IF(ISNUMBER(S120),Inputs!$B$6*S120,0)+IF(ISNUMBER(T120),Inputs!$B$7*T120,0))/(IF(ISNUMBER(Q120),Inputs!$B$4,0)+IF(ISNUMBER(R120),Inputs!$B$5,0)+IF(ISNUMBER(S120),Inputs!$B$6,0)+IF(ISNUMBER(T120),Inputs!$B$7,0)))</f>
        <v>0.5665</v>
      </c>
      <c r="V120" s="5" t="str">
        <f aca="false">IF(F120&gt;0,"Yes","No")</f>
        <v>Yes</v>
      </c>
      <c r="W120" s="5" t="str">
        <f aca="false">IF(ISNUMBER(N120),IF(N120&gt;=Inputs!$D$18,"Yes","No"),"No price")</f>
        <v>Yes</v>
      </c>
      <c r="X120" s="5" t="str">
        <f aca="false">IF(K120+L120&gt;0,"Yes",IF(M120&gt;0,"No","Unclear"))</f>
        <v>Yes</v>
      </c>
      <c r="Y120" s="5" t="str">
        <f aca="false">INDEX('API Data'!$H$2:$H$152,MATCH(B120,'API Data'!$A$2:$A$152,0))</f>
        <v>Yes</v>
      </c>
      <c r="Z120" s="5" t="str">
        <f aca="false">IF(COUNTIFS('Product Rows'!$A$2:$A$696,B120,'Product Rows'!$B$2:$B$696,C120,'Product Rows'!$I$2:$I$696,"Yes")&gt;0,"Yes","No")</f>
        <v>No</v>
      </c>
      <c r="AA120" s="5" t="str">
        <f aca="false">IF(P120&gt;=Inputs!$D$22,"Yes","No")</f>
        <v>Yes</v>
      </c>
      <c r="AB120" s="10" t="b">
        <f aca="false">AND(OR(Inputs!$B$17&lt;&gt;"Exclude",V120="Yes"),OR(Inputs!$B$18&lt;&gt;"Exclude",W120&lt;&gt;"No"),OR(Inputs!$B$19&lt;&gt;"Exclude",X120&lt;&gt;"No"),OR(Inputs!$B$20&lt;&gt;"Exclude",Y120="No"),OR(Inputs!$B$21&lt;&gt;"Exclude",Z120="No"),OR(Inputs!$B$22&lt;&gt;"Exclude",AA120="Yes"),ISNUMBER(U120))</f>
        <v>1</v>
      </c>
      <c r="AC120" s="5" t="n">
        <f aca="false">IF(AB120,COUNTIFS($C$5:$C$337,C120,$AB$5:$AB$337,TRUE(),$U$5:$U$337,"&gt;"&amp;U120)+COUNTIFS($C$5:C120,C120,$AB$5:AB120,TRUE(),$U$5:U120,U120),"")</f>
        <v>10</v>
      </c>
      <c r="AD120" s="5" t="str">
        <f aca="false">IF(AC120="","Not eligible",IF(AC120&lt;=Inputs!$B$25,"Lead",IF(AC120&lt;=Inputs!$B$25+Inputs!$B$26,"Next wave","Long list")))</f>
        <v>Next wave</v>
      </c>
      <c r="AE120" s="5" t="str">
        <f aca="false">IF(AND(K120+L120=0,M120&gt;0),"Safety upgrade of existing prefilled syringe",IF(K120+L120+M120=0,"Confirm presentation (not stated in source)",IF(AA120="Yes","Differentiation in crowded generic market","Safety-device mandate compliance")))</f>
        <v>Differentiation in crowded generic market</v>
      </c>
      <c r="AF120" s="5" t="str">
        <f aca="false">IF(AC120="","",C120&amp;"|"&amp;AC120)</f>
        <v>Dr. Reddy's Laboratories|10</v>
      </c>
    </row>
    <row r="121" customFormat="false" ht="15" hidden="false" customHeight="false" outlineLevel="0" collapsed="false">
      <c r="A121" s="5" t="n">
        <f aca="false">IF(ISNUMBER(U121),RANK(U121,$U$5:$U$337),"")</f>
        <v>106</v>
      </c>
      <c r="B121" s="5" t="s">
        <v>99</v>
      </c>
      <c r="C121" s="5" t="s">
        <v>35</v>
      </c>
      <c r="D121" s="5" t="str">
        <f aca="false">INDEX('API Data'!$B$2:$B$152,MATCH(B121,'API Data'!$A$2:$A$152,0))</f>
        <v>Oncology – metastatic breast cancer; liposarcoma</v>
      </c>
      <c r="E121" s="5" t="n">
        <f aca="false">COUNTIFS('Market Listing'!$A$2:$A$4054,B121,'Market Listing'!$B$2:$B$4054,C121)</f>
        <v>25</v>
      </c>
      <c r="F121" s="5" t="n">
        <f aca="false">COUNTIFS('Market Listing'!$A$2:$A$4054,B121,'Market Listing'!$B$2:$B$4054,C121,'Market Listing'!$D$2:$D$4054,"Tier 1")</f>
        <v>5</v>
      </c>
      <c r="G121" s="5" t="n">
        <f aca="false">COUNTIFS('Market Listing'!$A$2:$A$4054,B121,'Market Listing'!$B$2:$B$4054,C121,'Market Listing'!$D$2:$D$4054,"Tier 2")</f>
        <v>3</v>
      </c>
      <c r="H121" s="5" t="n">
        <f aca="false">COUNTIFS('Market Listing'!$A$2:$A$4054,B121,'Market Listing'!$B$2:$B$4054,C121,'Market Listing'!$D$2:$D$4054,"Tier 3")</f>
        <v>17</v>
      </c>
      <c r="I121" s="5" t="n">
        <f aca="false">SUMIFS('Market Listing'!$E$2:$E$4054,'Market Listing'!$A$2:$A$4054,B121,'Market Listing'!$B$2:$B$4054,C121)</f>
        <v>38</v>
      </c>
      <c r="J121" s="5" t="n">
        <f aca="false">COUNTIFS('Product Rows'!$A$2:$A$696,B121,'Product Rows'!$B$2:$B$696,C121)</f>
        <v>1</v>
      </c>
      <c r="K121" s="5" t="n">
        <f aca="false">COUNTIFS('Product Rows'!$A$2:$A$696,B121,'Product Rows'!$B$2:$B$696,C121,'Product Rows'!$G$2:$G$696,"Vial")</f>
        <v>1</v>
      </c>
      <c r="L121" s="5" t="n">
        <f aca="false">COUNTIFS('Product Rows'!$A$2:$A$696,B121,'Product Rows'!$B$2:$B$696,C121,'Product Rows'!$G$2:$G$696,"Ampoule")</f>
        <v>0</v>
      </c>
      <c r="M121" s="5" t="n">
        <f aca="false">COUNTIFS('Product Rows'!$A$2:$A$696,B121,'Product Rows'!$B$2:$B$696,C121,'Product Rows'!$G$2:$G$696,"Prefilled syringe/pen")</f>
        <v>0</v>
      </c>
      <c r="N121" s="6" t="n">
        <f aca="false">IFERROR(AVERAGEIFS('Product Rows'!$H$2:$H$696,'Product Rows'!$A$2:$A$696,B121,'Product Rows'!$B$2:$B$696,C121),"")</f>
        <v>404.5852</v>
      </c>
      <c r="O121" s="7" t="n">
        <f aca="false">INDEX('API Data'!$E$2:$E$152,MATCH(B121,'API Data'!$A$2:$A$152,0))</f>
        <v>1874.63</v>
      </c>
      <c r="P121" s="5" t="n">
        <f aca="false">COUNTIF($B$5:$B$337,B121)</f>
        <v>4</v>
      </c>
      <c r="Q121" s="8" t="n">
        <f aca="false">IF(ISNUMBER(I121),PERCENTRANK($I$5:$I$337,I121),"")</f>
        <v>0.666</v>
      </c>
      <c r="R121" s="8" t="n">
        <f aca="false">IF(ISNUMBER(N121),PERCENTRANK($N$5:$N$337,N121),"")</f>
        <v>0.918</v>
      </c>
      <c r="S121" s="8" t="n">
        <f aca="false">IF(ISNUMBER(O121),PERCENTRANK($O$5:$O$337,O121),"")</f>
        <v>0.244</v>
      </c>
      <c r="T121" s="8" t="n">
        <f aca="false">IF(ISNUMBER(P121),PERCENTRANK($P$5:$P$337,P121),"")</f>
        <v>0.569</v>
      </c>
      <c r="U121" s="9" t="n">
        <f aca="false">IF((IF(ISNUMBER(Q121),Inputs!$B$4,0)+IF(ISNUMBER(R121),Inputs!$B$5,0)+IF(ISNUMBER(S121),Inputs!$B$6,0)+IF(ISNUMBER(T121),Inputs!$B$7,0))=0,"",(IF(ISNUMBER(Q121),Inputs!$B$4*Q121,0)+IF(ISNUMBER(R121),Inputs!$B$5*R121,0)+IF(ISNUMBER(S121),Inputs!$B$6*S121,0)+IF(ISNUMBER(T121),Inputs!$B$7*T121,0))/(IF(ISNUMBER(Q121),Inputs!$B$4,0)+IF(ISNUMBER(R121),Inputs!$B$5,0)+IF(ISNUMBER(S121),Inputs!$B$6,0)+IF(ISNUMBER(T121),Inputs!$B$7,0)))</f>
        <v>0.581</v>
      </c>
      <c r="V121" s="5" t="str">
        <f aca="false">IF(F121&gt;0,"Yes","No")</f>
        <v>Yes</v>
      </c>
      <c r="W121" s="5" t="str">
        <f aca="false">IF(ISNUMBER(N121),IF(N121&gt;=Inputs!$D$18,"Yes","No"),"No price")</f>
        <v>Yes</v>
      </c>
      <c r="X121" s="5" t="str">
        <f aca="false">IF(K121+L121&gt;0,"Yes",IF(M121&gt;0,"No","Unclear"))</f>
        <v>Yes</v>
      </c>
      <c r="Y121" s="5" t="str">
        <f aca="false">INDEX('API Data'!$H$2:$H$152,MATCH(B121,'API Data'!$A$2:$A$152,0))</f>
        <v>Yes</v>
      </c>
      <c r="Z121" s="5" t="str">
        <f aca="false">IF(COUNTIFS('Product Rows'!$A$2:$A$696,B121,'Product Rows'!$B$2:$B$696,C121,'Product Rows'!$I$2:$I$696,"Yes")&gt;0,"Yes","No")</f>
        <v>No</v>
      </c>
      <c r="AA121" s="5" t="str">
        <f aca="false">IF(P121&gt;=Inputs!$D$22,"Yes","No")</f>
        <v>Yes</v>
      </c>
      <c r="AB121" s="10" t="b">
        <f aca="false">AND(OR(Inputs!$B$17&lt;&gt;"Exclude",V121="Yes"),OR(Inputs!$B$18&lt;&gt;"Exclude",W121&lt;&gt;"No"),OR(Inputs!$B$19&lt;&gt;"Exclude",X121&lt;&gt;"No"),OR(Inputs!$B$20&lt;&gt;"Exclude",Y121="No"),OR(Inputs!$B$21&lt;&gt;"Exclude",Z121="No"),OR(Inputs!$B$22&lt;&gt;"Exclude",AA121="Yes"),ISNUMBER(U121))</f>
        <v>1</v>
      </c>
      <c r="AC121" s="5" t="n">
        <f aca="false">IF(AB121,COUNTIFS($C$5:$C$337,C121,$AB$5:$AB$337,TRUE(),$U$5:$U$337,"&gt;"&amp;U121)+COUNTIFS($C$5:C121,C121,$AB$5:AB121,TRUE(),$U$5:U121,U121),"")</f>
        <v>8</v>
      </c>
      <c r="AD121" s="5" t="str">
        <f aca="false">IF(AC121="","Not eligible",IF(AC121&lt;=Inputs!$B$25,"Lead",IF(AC121&lt;=Inputs!$B$25+Inputs!$B$26,"Next wave","Long list")))</f>
        <v>Next wave</v>
      </c>
      <c r="AE121" s="5" t="str">
        <f aca="false">IF(AND(K121+L121=0,M121&gt;0),"Safety upgrade of existing prefilled syringe",IF(K121+L121+M121=0,"Confirm presentation (not stated in source)",IF(AA121="Yes","Differentiation in crowded generic market","Safety-device mandate compliance")))</f>
        <v>Differentiation in crowded generic market</v>
      </c>
      <c r="AF121" s="5" t="str">
        <f aca="false">IF(AC121="","",C121&amp;"|"&amp;AC121)</f>
        <v>Emcure Pharmaceuticals|8</v>
      </c>
    </row>
    <row r="122" customFormat="false" ht="15" hidden="false" customHeight="false" outlineLevel="0" collapsed="false">
      <c r="A122" s="5" t="n">
        <f aca="false">IF(ISNUMBER(U122),RANK(U122,$U$5:$U$337),"")</f>
        <v>111</v>
      </c>
      <c r="B122" s="5" t="s">
        <v>99</v>
      </c>
      <c r="C122" s="5" t="s">
        <v>56</v>
      </c>
      <c r="D122" s="5" t="str">
        <f aca="false">INDEX('API Data'!$B$2:$B$152,MATCH(B122,'API Data'!$A$2:$A$152,0))</f>
        <v>Oncology – metastatic breast cancer; liposarcoma</v>
      </c>
      <c r="E122" s="5" t="n">
        <f aca="false">COUNTIFS('Market Listing'!$A$2:$A$4054,B122,'Market Listing'!$B$2:$B$4054,C122)</f>
        <v>27</v>
      </c>
      <c r="F122" s="5" t="n">
        <f aca="false">COUNTIFS('Market Listing'!$A$2:$A$4054,B122,'Market Listing'!$B$2:$B$4054,C122,'Market Listing'!$D$2:$D$4054,"Tier 1")</f>
        <v>7</v>
      </c>
      <c r="G122" s="5" t="n">
        <f aca="false">COUNTIFS('Market Listing'!$A$2:$A$4054,B122,'Market Listing'!$B$2:$B$4054,C122,'Market Listing'!$D$2:$D$4054,"Tier 2")</f>
        <v>3</v>
      </c>
      <c r="H122" s="5" t="n">
        <f aca="false">COUNTIFS('Market Listing'!$A$2:$A$4054,B122,'Market Listing'!$B$2:$B$4054,C122,'Market Listing'!$D$2:$D$4054,"Tier 3")</f>
        <v>17</v>
      </c>
      <c r="I122" s="5" t="n">
        <f aca="false">SUMIFS('Market Listing'!$E$2:$E$4054,'Market Listing'!$A$2:$A$4054,B122,'Market Listing'!$B$2:$B$4054,C122)</f>
        <v>44</v>
      </c>
      <c r="J122" s="5" t="n">
        <f aca="false">COUNTIFS('Product Rows'!$A$2:$A$696,B122,'Product Rows'!$B$2:$B$696,C122)</f>
        <v>3</v>
      </c>
      <c r="K122" s="5" t="n">
        <f aca="false">COUNTIFS('Product Rows'!$A$2:$A$696,B122,'Product Rows'!$B$2:$B$696,C122,'Product Rows'!$G$2:$G$696,"Vial")</f>
        <v>3</v>
      </c>
      <c r="L122" s="5" t="n">
        <f aca="false">COUNTIFS('Product Rows'!$A$2:$A$696,B122,'Product Rows'!$B$2:$B$696,C122,'Product Rows'!$G$2:$G$696,"Ampoule")</f>
        <v>0</v>
      </c>
      <c r="M122" s="5" t="n">
        <f aca="false">COUNTIFS('Product Rows'!$A$2:$A$696,B122,'Product Rows'!$B$2:$B$696,C122,'Product Rows'!$G$2:$G$696,"Prefilled syringe/pen")</f>
        <v>0</v>
      </c>
      <c r="N122" s="6" t="n">
        <f aca="false">IFERROR(AVERAGEIFS('Product Rows'!$H$2:$H$696,'Product Rows'!$A$2:$A$696,B122,'Product Rows'!$B$2:$B$696,C122),"")</f>
        <v>400.862166666667</v>
      </c>
      <c r="O122" s="7" t="n">
        <f aca="false">INDEX('API Data'!$E$2:$E$152,MATCH(B122,'API Data'!$A$2:$A$152,0))</f>
        <v>1874.63</v>
      </c>
      <c r="P122" s="5" t="n">
        <f aca="false">COUNTIF($B$5:$B$337,B122)</f>
        <v>4</v>
      </c>
      <c r="Q122" s="8" t="n">
        <f aca="false">IF(ISNUMBER(I122),PERCENTRANK($I$5:$I$337,I122),"")</f>
        <v>0.798</v>
      </c>
      <c r="R122" s="8" t="n">
        <f aca="false">IF(ISNUMBER(N122),PERCENTRANK($N$5:$N$337,N122),"")</f>
        <v>0.914</v>
      </c>
      <c r="S122" s="8" t="n">
        <f aca="false">IF(ISNUMBER(O122),PERCENTRANK($O$5:$O$337,O122),"")</f>
        <v>0.244</v>
      </c>
      <c r="T122" s="8" t="n">
        <f aca="false">IF(ISNUMBER(P122),PERCENTRANK($P$5:$P$337,P122),"")</f>
        <v>0.569</v>
      </c>
      <c r="U122" s="9" t="n">
        <f aca="false">IF((IF(ISNUMBER(Q122),Inputs!$B$4,0)+IF(ISNUMBER(R122),Inputs!$B$5,0)+IF(ISNUMBER(S122),Inputs!$B$6,0)+IF(ISNUMBER(T122),Inputs!$B$7,0))=0,"",(IF(ISNUMBER(Q122),Inputs!$B$4*Q122,0)+IF(ISNUMBER(R122),Inputs!$B$5*R122,0)+IF(ISNUMBER(S122),Inputs!$B$6*S122,0)+IF(ISNUMBER(T122),Inputs!$B$7*T122,0))/(IF(ISNUMBER(Q122),Inputs!$B$4,0)+IF(ISNUMBER(R122),Inputs!$B$5,0)+IF(ISNUMBER(S122),Inputs!$B$6,0)+IF(ISNUMBER(T122),Inputs!$B$7,0)))</f>
        <v>0.579</v>
      </c>
      <c r="V122" s="5" t="str">
        <f aca="false">IF(F122&gt;0,"Yes","No")</f>
        <v>Yes</v>
      </c>
      <c r="W122" s="5" t="str">
        <f aca="false">IF(ISNUMBER(N122),IF(N122&gt;=Inputs!$D$18,"Yes","No"),"No price")</f>
        <v>Yes</v>
      </c>
      <c r="X122" s="5" t="str">
        <f aca="false">IF(K122+L122&gt;0,"Yes",IF(M122&gt;0,"No","Unclear"))</f>
        <v>Yes</v>
      </c>
      <c r="Y122" s="5" t="str">
        <f aca="false">INDEX('API Data'!$H$2:$H$152,MATCH(B122,'API Data'!$A$2:$A$152,0))</f>
        <v>Yes</v>
      </c>
      <c r="Z122" s="5" t="str">
        <f aca="false">IF(COUNTIFS('Product Rows'!$A$2:$A$696,B122,'Product Rows'!$B$2:$B$696,C122,'Product Rows'!$I$2:$I$696,"Yes")&gt;0,"Yes","No")</f>
        <v>No</v>
      </c>
      <c r="AA122" s="5" t="str">
        <f aca="false">IF(P122&gt;=Inputs!$D$22,"Yes","No")</f>
        <v>Yes</v>
      </c>
      <c r="AB122" s="10" t="b">
        <f aca="false">AND(OR(Inputs!$B$17&lt;&gt;"Exclude",V122="Yes"),OR(Inputs!$B$18&lt;&gt;"Exclude",W122&lt;&gt;"No"),OR(Inputs!$B$19&lt;&gt;"Exclude",X122&lt;&gt;"No"),OR(Inputs!$B$20&lt;&gt;"Exclude",Y122="No"),OR(Inputs!$B$21&lt;&gt;"Exclude",Z122="No"),OR(Inputs!$B$22&lt;&gt;"Exclude",AA122="Yes"),ISNUMBER(U122))</f>
        <v>1</v>
      </c>
      <c r="AC122" s="5" t="n">
        <f aca="false">IF(AB122,COUNTIFS($C$5:$C$337,C122,$AB$5:$AB$337,TRUE(),$U$5:$U$337,"&gt;"&amp;U122)+COUNTIFS($C$5:C122,C122,$AB$5:AB122,TRUE(),$U$5:U122,U122),"")</f>
        <v>6</v>
      </c>
      <c r="AD122" s="5" t="str">
        <f aca="false">IF(AC122="","Not eligible",IF(AC122&lt;=Inputs!$B$25,"Lead",IF(AC122&lt;=Inputs!$B$25+Inputs!$B$26,"Next wave","Long list")))</f>
        <v>Next wave</v>
      </c>
      <c r="AE122" s="5" t="str">
        <f aca="false">IF(AND(K122+L122=0,M122&gt;0),"Safety upgrade of existing prefilled syringe",IF(K122+L122+M122=0,"Confirm presentation (not stated in source)",IF(AA122="Yes","Differentiation in crowded generic market","Safety-device mandate compliance")))</f>
        <v>Differentiation in crowded generic market</v>
      </c>
      <c r="AF122" s="5" t="str">
        <f aca="false">IF(AC122="","",C122&amp;"|"&amp;AC122)</f>
        <v>Glenmark Pharmaceuticals|6</v>
      </c>
    </row>
    <row r="123" customFormat="false" ht="15" hidden="false" customHeight="false" outlineLevel="0" collapsed="false">
      <c r="A123" s="5" t="n">
        <f aca="false">IF(ISNUMBER(U123),RANK(U123,$U$5:$U$337),"")</f>
        <v>99</v>
      </c>
      <c r="B123" s="5" t="s">
        <v>99</v>
      </c>
      <c r="C123" s="5" t="s">
        <v>44</v>
      </c>
      <c r="D123" s="5" t="str">
        <f aca="false">INDEX('API Data'!$B$2:$B$152,MATCH(B123,'API Data'!$A$2:$A$152,0))</f>
        <v>Oncology – metastatic breast cancer; liposarcoma</v>
      </c>
      <c r="E123" s="5" t="n">
        <f aca="false">COUNTIFS('Market Listing'!$A$2:$A$4054,B123,'Market Listing'!$B$2:$B$4054,C123)</f>
        <v>25</v>
      </c>
      <c r="F123" s="5" t="n">
        <f aca="false">COUNTIFS('Market Listing'!$A$2:$A$4054,B123,'Market Listing'!$B$2:$B$4054,C123,'Market Listing'!$D$2:$D$4054,"Tier 1")</f>
        <v>5</v>
      </c>
      <c r="G123" s="5" t="n">
        <f aca="false">COUNTIFS('Market Listing'!$A$2:$A$4054,B123,'Market Listing'!$B$2:$B$4054,C123,'Market Listing'!$D$2:$D$4054,"Tier 2")</f>
        <v>3</v>
      </c>
      <c r="H123" s="5" t="n">
        <f aca="false">COUNTIFS('Market Listing'!$A$2:$A$4054,B123,'Market Listing'!$B$2:$B$4054,C123,'Market Listing'!$D$2:$D$4054,"Tier 3")</f>
        <v>17</v>
      </c>
      <c r="I123" s="5" t="n">
        <f aca="false">SUMIFS('Market Listing'!$E$2:$E$4054,'Market Listing'!$A$2:$A$4054,B123,'Market Listing'!$B$2:$B$4054,C123)</f>
        <v>38</v>
      </c>
      <c r="J123" s="5" t="n">
        <f aca="false">COUNTIFS('Product Rows'!$A$2:$A$696,B123,'Product Rows'!$B$2:$B$696,C123)</f>
        <v>1</v>
      </c>
      <c r="K123" s="5" t="n">
        <f aca="false">COUNTIFS('Product Rows'!$A$2:$A$696,B123,'Product Rows'!$B$2:$B$696,C123,'Product Rows'!$G$2:$G$696,"Vial")</f>
        <v>1</v>
      </c>
      <c r="L123" s="5" t="n">
        <f aca="false">COUNTIFS('Product Rows'!$A$2:$A$696,B123,'Product Rows'!$B$2:$B$696,C123,'Product Rows'!$G$2:$G$696,"Ampoule")</f>
        <v>0</v>
      </c>
      <c r="M123" s="5" t="n">
        <f aca="false">COUNTIFS('Product Rows'!$A$2:$A$696,B123,'Product Rows'!$B$2:$B$696,C123,'Product Rows'!$G$2:$G$696,"Prefilled syringe/pen")</f>
        <v>0</v>
      </c>
      <c r="N123" s="6" t="n">
        <f aca="false">IFERROR(AVERAGEIFS('Product Rows'!$H$2:$H$696,'Product Rows'!$A$2:$A$696,B123,'Product Rows'!$B$2:$B$696,C123),"")</f>
        <v>471.2665</v>
      </c>
      <c r="O123" s="7" t="n">
        <f aca="false">INDEX('API Data'!$E$2:$E$152,MATCH(B123,'API Data'!$A$2:$A$152,0))</f>
        <v>1874.63</v>
      </c>
      <c r="P123" s="5" t="n">
        <f aca="false">COUNTIF($B$5:$B$337,B123)</f>
        <v>4</v>
      </c>
      <c r="Q123" s="8" t="n">
        <f aca="false">IF(ISNUMBER(I123),PERCENTRANK($I$5:$I$337,I123),"")</f>
        <v>0.666</v>
      </c>
      <c r="R123" s="8" t="n">
        <f aca="false">IF(ISNUMBER(N123),PERCENTRANK($N$5:$N$337,N123),"")</f>
        <v>0.935</v>
      </c>
      <c r="S123" s="8" t="n">
        <f aca="false">IF(ISNUMBER(O123),PERCENTRANK($O$5:$O$337,O123),"")</f>
        <v>0.244</v>
      </c>
      <c r="T123" s="8" t="n">
        <f aca="false">IF(ISNUMBER(P123),PERCENTRANK($P$5:$P$337,P123),"")</f>
        <v>0.569</v>
      </c>
      <c r="U123" s="9" t="n">
        <f aca="false">IF((IF(ISNUMBER(Q123),Inputs!$B$4,0)+IF(ISNUMBER(R123),Inputs!$B$5,0)+IF(ISNUMBER(S123),Inputs!$B$6,0)+IF(ISNUMBER(T123),Inputs!$B$7,0))=0,"",(IF(ISNUMBER(Q123),Inputs!$B$4*Q123,0)+IF(ISNUMBER(R123),Inputs!$B$5*R123,0)+IF(ISNUMBER(S123),Inputs!$B$6*S123,0)+IF(ISNUMBER(T123),Inputs!$B$7*T123,0))/(IF(ISNUMBER(Q123),Inputs!$B$4,0)+IF(ISNUMBER(R123),Inputs!$B$5,0)+IF(ISNUMBER(S123),Inputs!$B$6,0)+IF(ISNUMBER(T123),Inputs!$B$7,0)))</f>
        <v>0.5895</v>
      </c>
      <c r="V123" s="5" t="str">
        <f aca="false">IF(F123&gt;0,"Yes","No")</f>
        <v>Yes</v>
      </c>
      <c r="W123" s="5" t="str">
        <f aca="false">IF(ISNUMBER(N123),IF(N123&gt;=Inputs!$D$18,"Yes","No"),"No price")</f>
        <v>Yes</v>
      </c>
      <c r="X123" s="5" t="str">
        <f aca="false">IF(K123+L123&gt;0,"Yes",IF(M123&gt;0,"No","Unclear"))</f>
        <v>Yes</v>
      </c>
      <c r="Y123" s="5" t="str">
        <f aca="false">INDEX('API Data'!$H$2:$H$152,MATCH(B123,'API Data'!$A$2:$A$152,0))</f>
        <v>Yes</v>
      </c>
      <c r="Z123" s="5" t="str">
        <f aca="false">IF(COUNTIFS('Product Rows'!$A$2:$A$696,B123,'Product Rows'!$B$2:$B$696,C123,'Product Rows'!$I$2:$I$696,"Yes")&gt;0,"Yes","No")</f>
        <v>No</v>
      </c>
      <c r="AA123" s="5" t="str">
        <f aca="false">IF(P123&gt;=Inputs!$D$22,"Yes","No")</f>
        <v>Yes</v>
      </c>
      <c r="AB123" s="10" t="b">
        <f aca="false">AND(OR(Inputs!$B$17&lt;&gt;"Exclude",V123="Yes"),OR(Inputs!$B$18&lt;&gt;"Exclude",W123&lt;&gt;"No"),OR(Inputs!$B$19&lt;&gt;"Exclude",X123&lt;&gt;"No"),OR(Inputs!$B$20&lt;&gt;"Exclude",Y123="No"),OR(Inputs!$B$21&lt;&gt;"Exclude",Z123="No"),OR(Inputs!$B$22&lt;&gt;"Exclude",AA123="Yes"),ISNUMBER(U123))</f>
        <v>1</v>
      </c>
      <c r="AC123" s="5" t="n">
        <f aca="false">IF(AB123,COUNTIFS($C$5:$C$337,C123,$AB$5:$AB$337,TRUE(),$U$5:$U$337,"&gt;"&amp;U123)+COUNTIFS($C$5:C123,C123,$AB$5:AB123,TRUE(),$U$5:U123,U123),"")</f>
        <v>20</v>
      </c>
      <c r="AD123" s="5" t="str">
        <f aca="false">IF(AC123="","Not eligible",IF(AC123&lt;=Inputs!$B$25,"Lead",IF(AC123&lt;=Inputs!$B$25+Inputs!$B$26,"Next wave","Long list")))</f>
        <v>Long list</v>
      </c>
      <c r="AE123" s="5" t="str">
        <f aca="false">IF(AND(K123+L123=0,M123&gt;0),"Safety upgrade of existing prefilled syringe",IF(K123+L123+M123=0,"Confirm presentation (not stated in source)",IF(AA123="Yes","Differentiation in crowded generic market","Safety-device mandate compliance")))</f>
        <v>Differentiation in crowded generic market</v>
      </c>
      <c r="AF123" s="5" t="str">
        <f aca="false">IF(AC123="","",C123&amp;"|"&amp;AC123)</f>
        <v>Intas Pharmaceuticals|20</v>
      </c>
    </row>
    <row r="124" customFormat="false" ht="15" hidden="false" customHeight="false" outlineLevel="0" collapsed="false">
      <c r="A124" s="5" t="n">
        <f aca="false">IF(ISNUMBER(U124),RANK(U124,$U$5:$U$337),"")</f>
        <v>66</v>
      </c>
      <c r="B124" s="5" t="s">
        <v>100</v>
      </c>
      <c r="C124" s="5" t="s">
        <v>47</v>
      </c>
      <c r="D124" s="5" t="str">
        <f aca="false">INDEX('API Data'!$B$2:$B$152,MATCH(B124,'API Data'!$A$2:$A$152,0))</f>
        <v>Anti-infective – intra-abdominal, skin, urinary infections, pneumonia</v>
      </c>
      <c r="E124" s="5" t="n">
        <f aca="false">COUNTIFS('Market Listing'!$A$2:$A$4054,B124,'Market Listing'!$B$2:$B$4054,C124)</f>
        <v>3</v>
      </c>
      <c r="F124" s="5" t="n">
        <f aca="false">COUNTIFS('Market Listing'!$A$2:$A$4054,B124,'Market Listing'!$B$2:$B$4054,C124,'Market Listing'!$D$2:$D$4054,"Tier 1")</f>
        <v>2</v>
      </c>
      <c r="G124" s="5" t="n">
        <f aca="false">COUNTIFS('Market Listing'!$A$2:$A$4054,B124,'Market Listing'!$B$2:$B$4054,C124,'Market Listing'!$D$2:$D$4054,"Tier 2")</f>
        <v>1</v>
      </c>
      <c r="H124" s="5" t="n">
        <f aca="false">COUNTIFS('Market Listing'!$A$2:$A$4054,B124,'Market Listing'!$B$2:$B$4054,C124,'Market Listing'!$D$2:$D$4054,"Tier 3")</f>
        <v>0</v>
      </c>
      <c r="I124" s="5" t="n">
        <f aca="false">SUMIFS('Market Listing'!$E$2:$E$4054,'Market Listing'!$A$2:$A$4054,B124,'Market Listing'!$B$2:$B$4054,C124)</f>
        <v>8</v>
      </c>
      <c r="J124" s="5" t="n">
        <f aca="false">COUNTIFS('Product Rows'!$A$2:$A$696,B124,'Product Rows'!$B$2:$B$696,C124)</f>
        <v>7</v>
      </c>
      <c r="K124" s="5" t="n">
        <f aca="false">COUNTIFS('Product Rows'!$A$2:$A$696,B124,'Product Rows'!$B$2:$B$696,C124,'Product Rows'!$G$2:$G$696,"Vial")</f>
        <v>7</v>
      </c>
      <c r="L124" s="5" t="n">
        <f aca="false">COUNTIFS('Product Rows'!$A$2:$A$696,B124,'Product Rows'!$B$2:$B$696,C124,'Product Rows'!$G$2:$G$696,"Ampoule")</f>
        <v>0</v>
      </c>
      <c r="M124" s="5" t="n">
        <f aca="false">COUNTIFS('Product Rows'!$A$2:$A$696,B124,'Product Rows'!$B$2:$B$696,C124,'Product Rows'!$G$2:$G$696,"Prefilled syringe/pen")</f>
        <v>0</v>
      </c>
      <c r="N124" s="6" t="n">
        <f aca="false">IFERROR(AVERAGEIFS('Product Rows'!$H$2:$H$696,'Product Rows'!$A$2:$A$696,B124,'Product Rows'!$B$2:$B$696,C124),"")</f>
        <v>28.5542857142857</v>
      </c>
      <c r="O124" s="7" t="n">
        <f aca="false">INDEX('API Data'!$E$2:$E$152,MATCH(B124,'API Data'!$A$2:$A$152,0))</f>
        <v>53539.87</v>
      </c>
      <c r="P124" s="5" t="n">
        <f aca="false">COUNTIF($B$5:$B$337,B124)</f>
        <v>3</v>
      </c>
      <c r="Q124" s="8" t="n">
        <f aca="false">IF(ISNUMBER(I124),PERCENTRANK($I$5:$I$337,I124),"")</f>
        <v>0.575</v>
      </c>
      <c r="R124" s="8" t="n">
        <f aca="false">IF(ISNUMBER(N124),PERCENTRANK($N$5:$N$337,N124),"")</f>
        <v>0.459</v>
      </c>
      <c r="S124" s="8" t="n">
        <f aca="false">IF(ISNUMBER(O124),PERCENTRANK($O$5:$O$337,O124),"")</f>
        <v>0.922</v>
      </c>
      <c r="T124" s="8" t="n">
        <f aca="false">IF(ISNUMBER(P124),PERCENTRANK($P$5:$P$337,P124),"")</f>
        <v>0.416</v>
      </c>
      <c r="U124" s="9" t="n">
        <f aca="false">IF((IF(ISNUMBER(Q124),Inputs!$B$4,0)+IF(ISNUMBER(R124),Inputs!$B$5,0)+IF(ISNUMBER(S124),Inputs!$B$6,0)+IF(ISNUMBER(T124),Inputs!$B$7,0))=0,"",(IF(ISNUMBER(Q124),Inputs!$B$4*Q124,0)+IF(ISNUMBER(R124),Inputs!$B$5*R124,0)+IF(ISNUMBER(S124),Inputs!$B$6*S124,0)+IF(ISNUMBER(T124),Inputs!$B$7*T124,0))/(IF(ISNUMBER(Q124),Inputs!$B$4,0)+IF(ISNUMBER(R124),Inputs!$B$5,0)+IF(ISNUMBER(S124),Inputs!$B$6,0)+IF(ISNUMBER(T124),Inputs!$B$7,0)))</f>
        <v>0.6905</v>
      </c>
      <c r="V124" s="5" t="str">
        <f aca="false">IF(F124&gt;0,"Yes","No")</f>
        <v>Yes</v>
      </c>
      <c r="W124" s="5" t="str">
        <f aca="false">IF(ISNUMBER(N124),IF(N124&gt;=Inputs!$D$18,"Yes","No"),"No price")</f>
        <v>Yes</v>
      </c>
      <c r="X124" s="5" t="str">
        <f aca="false">IF(K124+L124&gt;0,"Yes",IF(M124&gt;0,"No","Unclear"))</f>
        <v>Yes</v>
      </c>
      <c r="Y124" s="5" t="str">
        <f aca="false">INDEX('API Data'!$H$2:$H$152,MATCH(B124,'API Data'!$A$2:$A$152,0))</f>
        <v>No</v>
      </c>
      <c r="Z124" s="5" t="str">
        <f aca="false">IF(COUNTIFS('Product Rows'!$A$2:$A$696,B124,'Product Rows'!$B$2:$B$696,C124,'Product Rows'!$I$2:$I$696,"Yes")&gt;0,"Yes","No")</f>
        <v>Yes</v>
      </c>
      <c r="AA124" s="5" t="str">
        <f aca="false">IF(P124&gt;=Inputs!$D$22,"Yes","No")</f>
        <v>Yes</v>
      </c>
      <c r="AB124" s="10" t="b">
        <f aca="false">AND(OR(Inputs!$B$17&lt;&gt;"Exclude",V124="Yes"),OR(Inputs!$B$18&lt;&gt;"Exclude",W124&lt;&gt;"No"),OR(Inputs!$B$19&lt;&gt;"Exclude",X124&lt;&gt;"No"),OR(Inputs!$B$20&lt;&gt;"Exclude",Y124="No"),OR(Inputs!$B$21&lt;&gt;"Exclude",Z124="No"),OR(Inputs!$B$22&lt;&gt;"Exclude",AA124="Yes"),ISNUMBER(U124))</f>
        <v>1</v>
      </c>
      <c r="AC124" s="5" t="n">
        <f aca="false">IF(AB124,COUNTIFS($C$5:$C$337,C124,$AB$5:$AB$337,TRUE(),$U$5:$U$337,"&gt;"&amp;U124)+COUNTIFS($C$5:C124,C124,$AB$5:AB124,TRUE(),$U$5:U124,U124),"")</f>
        <v>7</v>
      </c>
      <c r="AD124" s="5" t="str">
        <f aca="false">IF(AC124="","Not eligible",IF(AC124&lt;=Inputs!$B$25,"Lead",IF(AC124&lt;=Inputs!$B$25+Inputs!$B$26,"Next wave","Long list")))</f>
        <v>Next wave</v>
      </c>
      <c r="AE124" s="5" t="str">
        <f aca="false">IF(AND(K124+L124=0,M124&gt;0),"Safety upgrade of existing prefilled syringe",IF(K124+L124+M124=0,"Confirm presentation (not stated in source)",IF(AA124="Yes","Differentiation in crowded generic market","Safety-device mandate compliance")))</f>
        <v>Differentiation in crowded generic market</v>
      </c>
      <c r="AF124" s="5" t="str">
        <f aca="false">IF(AC124="","",C124&amp;"|"&amp;AC124)</f>
        <v>Aurobindo Pharma|7</v>
      </c>
    </row>
    <row r="125" customFormat="false" ht="15" hidden="false" customHeight="false" outlineLevel="0" collapsed="false">
      <c r="A125" s="5" t="n">
        <f aca="false">IF(ISNUMBER(U125),RANK(U125,$U$5:$U$337),"")</f>
        <v>55</v>
      </c>
      <c r="B125" s="5" t="s">
        <v>100</v>
      </c>
      <c r="C125" s="5" t="s">
        <v>55</v>
      </c>
      <c r="D125" s="5" t="str">
        <f aca="false">INDEX('API Data'!$B$2:$B$152,MATCH(B125,'API Data'!$A$2:$A$152,0))</f>
        <v>Anti-infective – intra-abdominal, skin, urinary infections, pneumonia</v>
      </c>
      <c r="E125" s="5" t="n">
        <f aca="false">COUNTIFS('Market Listing'!$A$2:$A$4054,B125,'Market Listing'!$B$2:$B$4054,C125)</f>
        <v>1</v>
      </c>
      <c r="F125" s="5" t="n">
        <f aca="false">COUNTIFS('Market Listing'!$A$2:$A$4054,B125,'Market Listing'!$B$2:$B$4054,C125,'Market Listing'!$D$2:$D$4054,"Tier 1")</f>
        <v>1</v>
      </c>
      <c r="G125" s="5" t="n">
        <f aca="false">COUNTIFS('Market Listing'!$A$2:$A$4054,B125,'Market Listing'!$B$2:$B$4054,C125,'Market Listing'!$D$2:$D$4054,"Tier 2")</f>
        <v>0</v>
      </c>
      <c r="H125" s="5" t="n">
        <f aca="false">COUNTIFS('Market Listing'!$A$2:$A$4054,B125,'Market Listing'!$B$2:$B$4054,C125,'Market Listing'!$D$2:$D$4054,"Tier 3")</f>
        <v>0</v>
      </c>
      <c r="I125" s="5" t="n">
        <f aca="false">SUMIFS('Market Listing'!$E$2:$E$4054,'Market Listing'!$A$2:$A$4054,B125,'Market Listing'!$B$2:$B$4054,C125)</f>
        <v>3</v>
      </c>
      <c r="J125" s="5" t="n">
        <f aca="false">COUNTIFS('Product Rows'!$A$2:$A$696,B125,'Product Rows'!$B$2:$B$696,C125)</f>
        <v>1</v>
      </c>
      <c r="K125" s="5" t="n">
        <f aca="false">COUNTIFS('Product Rows'!$A$2:$A$696,B125,'Product Rows'!$B$2:$B$696,C125,'Product Rows'!$G$2:$G$696,"Vial")</f>
        <v>1</v>
      </c>
      <c r="L125" s="5" t="n">
        <f aca="false">COUNTIFS('Product Rows'!$A$2:$A$696,B125,'Product Rows'!$B$2:$B$696,C125,'Product Rows'!$G$2:$G$696,"Ampoule")</f>
        <v>0</v>
      </c>
      <c r="M125" s="5" t="n">
        <f aca="false">COUNTIFS('Product Rows'!$A$2:$A$696,B125,'Product Rows'!$B$2:$B$696,C125,'Product Rows'!$G$2:$G$696,"Prefilled syringe/pen")</f>
        <v>0</v>
      </c>
      <c r="N125" s="6" t="n">
        <f aca="false">IFERROR(AVERAGEIFS('Product Rows'!$H$2:$H$696,'Product Rows'!$A$2:$A$696,B125,'Product Rows'!$B$2:$B$696,C125),"")</f>
        <v>36.5855</v>
      </c>
      <c r="O125" s="7" t="n">
        <f aca="false">INDEX('API Data'!$E$2:$E$152,MATCH(B125,'API Data'!$A$2:$A$152,0))</f>
        <v>53539.87</v>
      </c>
      <c r="P125" s="5" t="n">
        <f aca="false">COUNTIF($B$5:$B$337,B125)</f>
        <v>3</v>
      </c>
      <c r="Q125" s="8" t="n">
        <f aca="false">IF(ISNUMBER(I125),PERCENTRANK($I$5:$I$337,I125),"")</f>
        <v>0.157</v>
      </c>
      <c r="R125" s="8" t="n">
        <f aca="false">IF(ISNUMBER(N125),PERCENTRANK($N$5:$N$337,N125),"")</f>
        <v>0.556</v>
      </c>
      <c r="S125" s="8" t="n">
        <f aca="false">IF(ISNUMBER(O125),PERCENTRANK($O$5:$O$337,O125),"")</f>
        <v>0.922</v>
      </c>
      <c r="T125" s="8" t="n">
        <f aca="false">IF(ISNUMBER(P125),PERCENTRANK($P$5:$P$337,P125),"")</f>
        <v>0.416</v>
      </c>
      <c r="U125" s="9" t="n">
        <f aca="false">IF((IF(ISNUMBER(Q125),Inputs!$B$4,0)+IF(ISNUMBER(R125),Inputs!$B$5,0)+IF(ISNUMBER(S125),Inputs!$B$6,0)+IF(ISNUMBER(T125),Inputs!$B$7,0))=0,"",(IF(ISNUMBER(Q125),Inputs!$B$4*Q125,0)+IF(ISNUMBER(R125),Inputs!$B$5*R125,0)+IF(ISNUMBER(S125),Inputs!$B$6*S125,0)+IF(ISNUMBER(T125),Inputs!$B$7*T125,0))/(IF(ISNUMBER(Q125),Inputs!$B$4,0)+IF(ISNUMBER(R125),Inputs!$B$5,0)+IF(ISNUMBER(S125),Inputs!$B$6,0)+IF(ISNUMBER(T125),Inputs!$B$7,0)))</f>
        <v>0.739</v>
      </c>
      <c r="V125" s="5" t="str">
        <f aca="false">IF(F125&gt;0,"Yes","No")</f>
        <v>Yes</v>
      </c>
      <c r="W125" s="5" t="str">
        <f aca="false">IF(ISNUMBER(N125),IF(N125&gt;=Inputs!$D$18,"Yes","No"),"No price")</f>
        <v>Yes</v>
      </c>
      <c r="X125" s="5" t="str">
        <f aca="false">IF(K125+L125&gt;0,"Yes",IF(M125&gt;0,"No","Unclear"))</f>
        <v>Yes</v>
      </c>
      <c r="Y125" s="5" t="str">
        <f aca="false">INDEX('API Data'!$H$2:$H$152,MATCH(B125,'API Data'!$A$2:$A$152,0))</f>
        <v>No</v>
      </c>
      <c r="Z125" s="5" t="str">
        <f aca="false">IF(COUNTIFS('Product Rows'!$A$2:$A$696,B125,'Product Rows'!$B$2:$B$696,C125,'Product Rows'!$I$2:$I$696,"Yes")&gt;0,"Yes","No")</f>
        <v>No</v>
      </c>
      <c r="AA125" s="5" t="str">
        <f aca="false">IF(P125&gt;=Inputs!$D$22,"Yes","No")</f>
        <v>Yes</v>
      </c>
      <c r="AB125" s="10" t="b">
        <f aca="false">AND(OR(Inputs!$B$17&lt;&gt;"Exclude",V125="Yes"),OR(Inputs!$B$18&lt;&gt;"Exclude",W125&lt;&gt;"No"),OR(Inputs!$B$19&lt;&gt;"Exclude",X125&lt;&gt;"No"),OR(Inputs!$B$20&lt;&gt;"Exclude",Y125="No"),OR(Inputs!$B$21&lt;&gt;"Exclude",Z125="No"),OR(Inputs!$B$22&lt;&gt;"Exclude",AA125="Yes"),ISNUMBER(U125))</f>
        <v>1</v>
      </c>
      <c r="AC125" s="5" t="n">
        <f aca="false">IF(AB125,COUNTIFS($C$5:$C$337,C125,$AB$5:$AB$337,TRUE(),$U$5:$U$337,"&gt;"&amp;U125)+COUNTIFS($C$5:C125,C125,$AB$5:AB125,TRUE(),$U$5:U125,U125),"")</f>
        <v>7</v>
      </c>
      <c r="AD125" s="5" t="str">
        <f aca="false">IF(AC125="","Not eligible",IF(AC125&lt;=Inputs!$B$25,"Lead",IF(AC125&lt;=Inputs!$B$25+Inputs!$B$26,"Next wave","Long list")))</f>
        <v>Next wave</v>
      </c>
      <c r="AE125" s="5" t="str">
        <f aca="false">IF(AND(K125+L125=0,M125&gt;0),"Safety upgrade of existing prefilled syringe",IF(K125+L125+M125=0,"Confirm presentation (not stated in source)",IF(AA125="Yes","Differentiation in crowded generic market","Safety-device mandate compliance")))</f>
        <v>Differentiation in crowded generic market</v>
      </c>
      <c r="AF125" s="5" t="str">
        <f aca="false">IF(AC125="","",C125&amp;"|"&amp;AC125)</f>
        <v>Dr. Reddy's Laboratories|7</v>
      </c>
    </row>
    <row r="126" customFormat="false" ht="15" hidden="false" customHeight="false" outlineLevel="0" collapsed="false">
      <c r="A126" s="5" t="n">
        <f aca="false">IF(ISNUMBER(U126),RANK(U126,$U$5:$U$337),"")</f>
        <v>75</v>
      </c>
      <c r="B126" s="5" t="s">
        <v>100</v>
      </c>
      <c r="C126" s="5" t="s">
        <v>40</v>
      </c>
      <c r="D126" s="5" t="str">
        <f aca="false">INDEX('API Data'!$B$2:$B$152,MATCH(B126,'API Data'!$A$2:$A$152,0))</f>
        <v>Anti-infective – intra-abdominal, skin, urinary infections, pneumonia</v>
      </c>
      <c r="E126" s="5" t="n">
        <f aca="false">COUNTIFS('Market Listing'!$A$2:$A$4054,B126,'Market Listing'!$B$2:$B$4054,C126)</f>
        <v>1</v>
      </c>
      <c r="F126" s="5" t="n">
        <f aca="false">COUNTIFS('Market Listing'!$A$2:$A$4054,B126,'Market Listing'!$B$2:$B$4054,C126,'Market Listing'!$D$2:$D$4054,"Tier 1")</f>
        <v>0</v>
      </c>
      <c r="G126" s="5" t="n">
        <f aca="false">COUNTIFS('Market Listing'!$A$2:$A$4054,B126,'Market Listing'!$B$2:$B$4054,C126,'Market Listing'!$D$2:$D$4054,"Tier 2")</f>
        <v>1</v>
      </c>
      <c r="H126" s="5" t="n">
        <f aca="false">COUNTIFS('Market Listing'!$A$2:$A$4054,B126,'Market Listing'!$B$2:$B$4054,C126,'Market Listing'!$D$2:$D$4054,"Tier 3")</f>
        <v>0</v>
      </c>
      <c r="I126" s="5" t="n">
        <f aca="false">SUMIFS('Market Listing'!$E$2:$E$4054,'Market Listing'!$A$2:$A$4054,B126,'Market Listing'!$B$2:$B$4054,C126)</f>
        <v>2</v>
      </c>
      <c r="J126" s="5" t="n">
        <f aca="false">COUNTIFS('Product Rows'!$A$2:$A$696,B126,'Product Rows'!$B$2:$B$696,C126)</f>
        <v>1</v>
      </c>
      <c r="K126" s="5" t="n">
        <f aca="false">COUNTIFS('Product Rows'!$A$2:$A$696,B126,'Product Rows'!$B$2:$B$696,C126,'Product Rows'!$G$2:$G$696,"Vial")</f>
        <v>1</v>
      </c>
      <c r="L126" s="5" t="n">
        <f aca="false">COUNTIFS('Product Rows'!$A$2:$A$696,B126,'Product Rows'!$B$2:$B$696,C126,'Product Rows'!$G$2:$G$696,"Ampoule")</f>
        <v>0</v>
      </c>
      <c r="M126" s="5" t="n">
        <f aca="false">COUNTIFS('Product Rows'!$A$2:$A$696,B126,'Product Rows'!$B$2:$B$696,C126,'Product Rows'!$G$2:$G$696,"Prefilled syringe/pen")</f>
        <v>0</v>
      </c>
      <c r="N126" s="6" t="n">
        <f aca="false">IFERROR(AVERAGEIFS('Product Rows'!$H$2:$H$696,'Product Rows'!$A$2:$A$696,B126,'Product Rows'!$B$2:$B$696,C126),"")</f>
        <v>21.3</v>
      </c>
      <c r="O126" s="7" t="n">
        <f aca="false">INDEX('API Data'!$E$2:$E$152,MATCH(B126,'API Data'!$A$2:$A$152,0))</f>
        <v>53539.87</v>
      </c>
      <c r="P126" s="5" t="n">
        <f aca="false">COUNTIF($B$5:$B$337,B126)</f>
        <v>3</v>
      </c>
      <c r="Q126" s="8" t="n">
        <f aca="false">IF(ISNUMBER(I126),PERCENTRANK($I$5:$I$337,I126),"")</f>
        <v>0</v>
      </c>
      <c r="R126" s="8" t="n">
        <f aca="false">IF(ISNUMBER(N126),PERCENTRANK($N$5:$N$337,N126),"")</f>
        <v>0.38</v>
      </c>
      <c r="S126" s="8" t="n">
        <f aca="false">IF(ISNUMBER(O126),PERCENTRANK($O$5:$O$337,O126),"")</f>
        <v>0.922</v>
      </c>
      <c r="T126" s="8" t="n">
        <f aca="false">IF(ISNUMBER(P126),PERCENTRANK($P$5:$P$337,P126),"")</f>
        <v>0.416</v>
      </c>
      <c r="U126" s="9" t="n">
        <f aca="false">IF((IF(ISNUMBER(Q126),Inputs!$B$4,0)+IF(ISNUMBER(R126),Inputs!$B$5,0)+IF(ISNUMBER(S126),Inputs!$B$6,0)+IF(ISNUMBER(T126),Inputs!$B$7,0))=0,"",(IF(ISNUMBER(Q126),Inputs!$B$4*Q126,0)+IF(ISNUMBER(R126),Inputs!$B$5*R126,0)+IF(ISNUMBER(S126),Inputs!$B$6*S126,0)+IF(ISNUMBER(T126),Inputs!$B$7*T126,0))/(IF(ISNUMBER(Q126),Inputs!$B$4,0)+IF(ISNUMBER(R126),Inputs!$B$5,0)+IF(ISNUMBER(S126),Inputs!$B$6,0)+IF(ISNUMBER(T126),Inputs!$B$7,0)))</f>
        <v>0.651</v>
      </c>
      <c r="V126" s="5" t="str">
        <f aca="false">IF(F126&gt;0,"Yes","No")</f>
        <v>No</v>
      </c>
      <c r="W126" s="5" t="str">
        <f aca="false">IF(ISNUMBER(N126),IF(N126&gt;=Inputs!$D$18,"Yes","No"),"No price")</f>
        <v>Yes</v>
      </c>
      <c r="X126" s="5" t="str">
        <f aca="false">IF(K126+L126&gt;0,"Yes",IF(M126&gt;0,"No","Unclear"))</f>
        <v>Yes</v>
      </c>
      <c r="Y126" s="5" t="str">
        <f aca="false">INDEX('API Data'!$H$2:$H$152,MATCH(B126,'API Data'!$A$2:$A$152,0))</f>
        <v>No</v>
      </c>
      <c r="Z126" s="5" t="str">
        <f aca="false">IF(COUNTIFS('Product Rows'!$A$2:$A$696,B126,'Product Rows'!$B$2:$B$696,C126,'Product Rows'!$I$2:$I$696,"Yes")&gt;0,"Yes","No")</f>
        <v>Yes</v>
      </c>
      <c r="AA126" s="5" t="str">
        <f aca="false">IF(P126&gt;=Inputs!$D$22,"Yes","No")</f>
        <v>Yes</v>
      </c>
      <c r="AB126" s="10" t="b">
        <f aca="false">AND(OR(Inputs!$B$17&lt;&gt;"Exclude",V126="Yes"),OR(Inputs!$B$18&lt;&gt;"Exclude",W126&lt;&gt;"No"),OR(Inputs!$B$19&lt;&gt;"Exclude",X126&lt;&gt;"No"),OR(Inputs!$B$20&lt;&gt;"Exclude",Y126="No"),OR(Inputs!$B$21&lt;&gt;"Exclude",Z126="No"),OR(Inputs!$B$22&lt;&gt;"Exclude",AA126="Yes"),ISNUMBER(U126))</f>
        <v>0</v>
      </c>
      <c r="AC126" s="5" t="str">
        <f aca="false">IF(AB126,COUNTIFS($C$5:$C$337,C126,$AB$5:$AB$337,TRUE(),$U$5:$U$337,"&gt;"&amp;U126)+COUNTIFS($C$5:C126,C126,$AB$5:AB126,TRUE(),$U$5:U126,U126),"")</f>
        <v/>
      </c>
      <c r="AD126" s="5" t="str">
        <f aca="false">IF(AC126="","Not eligible",IF(AC126&lt;=Inputs!$B$25,"Lead",IF(AC126&lt;=Inputs!$B$25+Inputs!$B$26,"Next wave","Long list")))</f>
        <v>Not eligible</v>
      </c>
      <c r="AE126" s="5" t="str">
        <f aca="false">IF(AND(K126+L126=0,M126&gt;0),"Safety upgrade of existing prefilled syringe",IF(K126+L126+M126=0,"Confirm presentation (not stated in source)",IF(AA126="Yes","Differentiation in crowded generic market","Safety-device mandate compliance")))</f>
        <v>Differentiation in crowded generic market</v>
      </c>
      <c r="AF126" s="5" t="str">
        <f aca="false">IF(AC126="","",C126&amp;"|"&amp;AC126)</f>
        <v/>
      </c>
    </row>
    <row r="127" customFormat="false" ht="15" hidden="false" customHeight="false" outlineLevel="0" collapsed="false">
      <c r="A127" s="5" t="n">
        <f aca="false">IF(ISNUMBER(U127),RANK(U127,$U$5:$U$337),"")</f>
        <v>92</v>
      </c>
      <c r="B127" s="5" t="s">
        <v>101</v>
      </c>
      <c r="C127" s="5" t="s">
        <v>47</v>
      </c>
      <c r="D127" s="5" t="str">
        <f aca="false">INDEX('API Data'!$B$2:$B$152,MATCH(B127,'API Data'!$A$2:$A$152,0))</f>
        <v>Cardiovascular – rapid heart-rate control (SVT, peri-operative)</v>
      </c>
      <c r="E127" s="5" t="n">
        <f aca="false">COUNTIFS('Market Listing'!$A$2:$A$4054,B127,'Market Listing'!$B$2:$B$4054,C127)</f>
        <v>1</v>
      </c>
      <c r="F127" s="5" t="n">
        <f aca="false">COUNTIFS('Market Listing'!$A$2:$A$4054,B127,'Market Listing'!$B$2:$B$4054,C127,'Market Listing'!$D$2:$D$4054,"Tier 1")</f>
        <v>1</v>
      </c>
      <c r="G127" s="5" t="n">
        <f aca="false">COUNTIFS('Market Listing'!$A$2:$A$4054,B127,'Market Listing'!$B$2:$B$4054,C127,'Market Listing'!$D$2:$D$4054,"Tier 2")</f>
        <v>0</v>
      </c>
      <c r="H127" s="5" t="n">
        <f aca="false">COUNTIFS('Market Listing'!$A$2:$A$4054,B127,'Market Listing'!$B$2:$B$4054,C127,'Market Listing'!$D$2:$D$4054,"Tier 3")</f>
        <v>0</v>
      </c>
      <c r="I127" s="5" t="n">
        <f aca="false">SUMIFS('Market Listing'!$E$2:$E$4054,'Market Listing'!$A$2:$A$4054,B127,'Market Listing'!$B$2:$B$4054,C127)</f>
        <v>3</v>
      </c>
      <c r="J127" s="5" t="n">
        <f aca="false">COUNTIFS('Product Rows'!$A$2:$A$696,B127,'Product Rows'!$B$2:$B$696,C127)</f>
        <v>2</v>
      </c>
      <c r="K127" s="5" t="n">
        <f aca="false">COUNTIFS('Product Rows'!$A$2:$A$696,B127,'Product Rows'!$B$2:$B$696,C127,'Product Rows'!$G$2:$G$696,"Vial")</f>
        <v>0</v>
      </c>
      <c r="L127" s="5" t="n">
        <f aca="false">COUNTIFS('Product Rows'!$A$2:$A$696,B127,'Product Rows'!$B$2:$B$696,C127,'Product Rows'!$G$2:$G$696,"Ampoule")</f>
        <v>0</v>
      </c>
      <c r="M127" s="5" t="n">
        <f aca="false">COUNTIFS('Product Rows'!$A$2:$A$696,B127,'Product Rows'!$B$2:$B$696,C127,'Product Rows'!$G$2:$G$696,"Prefilled syringe/pen")</f>
        <v>0</v>
      </c>
      <c r="N127" s="6" t="n">
        <f aca="false">IFERROR(AVERAGEIFS('Product Rows'!$H$2:$H$696,'Product Rows'!$A$2:$A$696,B127,'Product Rows'!$B$2:$B$696,C127),"")</f>
        <v>54.54</v>
      </c>
      <c r="O127" s="7" t="n">
        <f aca="false">INDEX('API Data'!$E$2:$E$152,MATCH(B127,'API Data'!$A$2:$A$152,0))</f>
        <v>5896.49</v>
      </c>
      <c r="P127" s="5" t="n">
        <f aca="false">COUNTIF($B$5:$B$337,B127)</f>
        <v>1</v>
      </c>
      <c r="Q127" s="8" t="n">
        <f aca="false">IF(ISNUMBER(I127),PERCENTRANK($I$5:$I$337,I127),"")</f>
        <v>0.157</v>
      </c>
      <c r="R127" s="8" t="n">
        <f aca="false">IF(ISNUMBER(N127),PERCENTRANK($N$5:$N$337,N127),"")</f>
        <v>0.62</v>
      </c>
      <c r="S127" s="8" t="n">
        <f aca="false">IF(ISNUMBER(O127),PERCENTRANK($O$5:$O$337,O127),"")</f>
        <v>0.581</v>
      </c>
      <c r="T127" s="8" t="n">
        <f aca="false">IF(ISNUMBER(P127),PERCENTRANK($P$5:$P$337,P127),"")</f>
        <v>0</v>
      </c>
      <c r="U127" s="9" t="n">
        <f aca="false">IF((IF(ISNUMBER(Q127),Inputs!$B$4,0)+IF(ISNUMBER(R127),Inputs!$B$5,0)+IF(ISNUMBER(S127),Inputs!$B$6,0)+IF(ISNUMBER(T127),Inputs!$B$7,0))=0,"",(IF(ISNUMBER(Q127),Inputs!$B$4*Q127,0)+IF(ISNUMBER(R127),Inputs!$B$5*R127,0)+IF(ISNUMBER(S127),Inputs!$B$6*S127,0)+IF(ISNUMBER(T127),Inputs!$B$7*T127,0))/(IF(ISNUMBER(Q127),Inputs!$B$4,0)+IF(ISNUMBER(R127),Inputs!$B$5,0)+IF(ISNUMBER(S127),Inputs!$B$6,0)+IF(ISNUMBER(T127),Inputs!$B$7,0)))</f>
        <v>0.6005</v>
      </c>
      <c r="V127" s="5" t="str">
        <f aca="false">IF(F127&gt;0,"Yes","No")</f>
        <v>Yes</v>
      </c>
      <c r="W127" s="5" t="str">
        <f aca="false">IF(ISNUMBER(N127),IF(N127&gt;=Inputs!$D$18,"Yes","No"),"No price")</f>
        <v>Yes</v>
      </c>
      <c r="X127" s="5" t="str">
        <f aca="false">IF(K127+L127&gt;0,"Yes",IF(M127&gt;0,"No","Unclear"))</f>
        <v>Unclear</v>
      </c>
      <c r="Y127" s="5" t="str">
        <f aca="false">INDEX('API Data'!$H$2:$H$152,MATCH(B127,'API Data'!$A$2:$A$152,0))</f>
        <v>No</v>
      </c>
      <c r="Z127" s="5" t="str">
        <f aca="false">IF(COUNTIFS('Product Rows'!$A$2:$A$696,B127,'Product Rows'!$B$2:$B$696,C127,'Product Rows'!$I$2:$I$696,"Yes")&gt;0,"Yes","No")</f>
        <v>No</v>
      </c>
      <c r="AA127" s="5" t="str">
        <f aca="false">IF(P127&gt;=Inputs!$D$22,"Yes","No")</f>
        <v>No</v>
      </c>
      <c r="AB127" s="10" t="b">
        <f aca="false">AND(OR(Inputs!$B$17&lt;&gt;"Exclude",V127="Yes"),OR(Inputs!$B$18&lt;&gt;"Exclude",W127&lt;&gt;"No"),OR(Inputs!$B$19&lt;&gt;"Exclude",X127&lt;&gt;"No"),OR(Inputs!$B$20&lt;&gt;"Exclude",Y127="No"),OR(Inputs!$B$21&lt;&gt;"Exclude",Z127="No"),OR(Inputs!$B$22&lt;&gt;"Exclude",AA127="Yes"),ISNUMBER(U127))</f>
        <v>1</v>
      </c>
      <c r="AC127" s="5" t="n">
        <f aca="false">IF(AB127,COUNTIFS($C$5:$C$337,C127,$AB$5:$AB$337,TRUE(),$U$5:$U$337,"&gt;"&amp;U127)+COUNTIFS($C$5:C127,C127,$AB$5:AB127,TRUE(),$U$5:U127,U127),"")</f>
        <v>13</v>
      </c>
      <c r="AD127" s="5" t="str">
        <f aca="false">IF(AC127="","Not eligible",IF(AC127&lt;=Inputs!$B$25,"Lead",IF(AC127&lt;=Inputs!$B$25+Inputs!$B$26,"Next wave","Long list")))</f>
        <v>Long list</v>
      </c>
      <c r="AE127" s="5" t="str">
        <f aca="false">IF(AND(K127+L127=0,M127&gt;0),"Safety upgrade of existing prefilled syringe",IF(K127+L127+M127=0,"Confirm presentation (not stated in source)",IF(AA127="Yes","Differentiation in crowded generic market","Safety-device mandate compliance")))</f>
        <v>Confirm presentation (not stated in source)</v>
      </c>
      <c r="AF127" s="5" t="str">
        <f aca="false">IF(AC127="","",C127&amp;"|"&amp;AC127)</f>
        <v>Aurobindo Pharma|13</v>
      </c>
    </row>
    <row r="128" customFormat="false" ht="15" hidden="false" customHeight="false" outlineLevel="0" collapsed="false">
      <c r="A128" s="5" t="n">
        <f aca="false">IF(ISNUMBER(U128),RANK(U128,$U$5:$U$337),"")</f>
        <v>200</v>
      </c>
      <c r="B128" s="5" t="s">
        <v>102</v>
      </c>
      <c r="C128" s="5" t="s">
        <v>35</v>
      </c>
      <c r="D128" s="5" t="str">
        <f aca="false">INDEX('API Data'!$B$2:$B$152,MATCH(B128,'API Data'!$A$2:$A$152,0))</f>
        <v>Gastroenterology – GERD; peptic ulcer re-bleeding prevention (IV PPI)</v>
      </c>
      <c r="E128" s="5" t="n">
        <f aca="false">COUNTIFS('Market Listing'!$A$2:$A$4054,B128,'Market Listing'!$B$2:$B$4054,C128)</f>
        <v>31</v>
      </c>
      <c r="F128" s="5" t="n">
        <f aca="false">COUNTIFS('Market Listing'!$A$2:$A$4054,B128,'Market Listing'!$B$2:$B$4054,C128,'Market Listing'!$D$2:$D$4054,"Tier 1")</f>
        <v>5</v>
      </c>
      <c r="G128" s="5" t="n">
        <f aca="false">COUNTIFS('Market Listing'!$A$2:$A$4054,B128,'Market Listing'!$B$2:$B$4054,C128,'Market Listing'!$D$2:$D$4054,"Tier 2")</f>
        <v>3</v>
      </c>
      <c r="H128" s="5" t="n">
        <f aca="false">COUNTIFS('Market Listing'!$A$2:$A$4054,B128,'Market Listing'!$B$2:$B$4054,C128,'Market Listing'!$D$2:$D$4054,"Tier 3")</f>
        <v>23</v>
      </c>
      <c r="I128" s="5" t="n">
        <f aca="false">SUMIFS('Market Listing'!$E$2:$E$4054,'Market Listing'!$A$2:$A$4054,B128,'Market Listing'!$B$2:$B$4054,C128)</f>
        <v>44</v>
      </c>
      <c r="J128" s="5" t="n">
        <f aca="false">COUNTIFS('Product Rows'!$A$2:$A$696,B128,'Product Rows'!$B$2:$B$696,C128)</f>
        <v>1</v>
      </c>
      <c r="K128" s="5" t="n">
        <f aca="false">COUNTIFS('Product Rows'!$A$2:$A$696,B128,'Product Rows'!$B$2:$B$696,C128,'Product Rows'!$G$2:$G$696,"Vial")</f>
        <v>1</v>
      </c>
      <c r="L128" s="5" t="n">
        <f aca="false">COUNTIFS('Product Rows'!$A$2:$A$696,B128,'Product Rows'!$B$2:$B$696,C128,'Product Rows'!$G$2:$G$696,"Ampoule")</f>
        <v>0</v>
      </c>
      <c r="M128" s="5" t="n">
        <f aca="false">COUNTIFS('Product Rows'!$A$2:$A$696,B128,'Product Rows'!$B$2:$B$696,C128,'Product Rows'!$G$2:$G$696,"Prefilled syringe/pen")</f>
        <v>0</v>
      </c>
      <c r="N128" s="6" t="n">
        <f aca="false">IFERROR(AVERAGEIFS('Product Rows'!$H$2:$H$696,'Product Rows'!$A$2:$A$696,B128,'Product Rows'!$B$2:$B$696,C128),"")</f>
        <v>7.2772</v>
      </c>
      <c r="O128" s="7" t="n">
        <f aca="false">INDEX('API Data'!$E$2:$E$152,MATCH(B128,'API Data'!$A$2:$A$152,0))</f>
        <v>13516.1096631019</v>
      </c>
      <c r="P128" s="5" t="n">
        <f aca="false">COUNTIF($B$5:$B$337,B128)</f>
        <v>3</v>
      </c>
      <c r="Q128" s="8" t="n">
        <f aca="false">IF(ISNUMBER(I128),PERCENTRANK($I$5:$I$337,I128),"")</f>
        <v>0.798</v>
      </c>
      <c r="R128" s="8" t="n">
        <f aca="false">IF(ISNUMBER(N128),PERCENTRANK($N$5:$N$337,N128),"")</f>
        <v>0.115</v>
      </c>
      <c r="S128" s="8" t="n">
        <f aca="false">IF(ISNUMBER(O128),PERCENTRANK($O$5:$O$337,O128),"")</f>
        <v>0.732</v>
      </c>
      <c r="T128" s="8" t="n">
        <f aca="false">IF(ISNUMBER(P128),PERCENTRANK($P$5:$P$337,P128),"")</f>
        <v>0.416</v>
      </c>
      <c r="U128" s="9" t="n">
        <f aca="false">IF((IF(ISNUMBER(Q128),Inputs!$B$4,0)+IF(ISNUMBER(R128),Inputs!$B$5,0)+IF(ISNUMBER(S128),Inputs!$B$6,0)+IF(ISNUMBER(T128),Inputs!$B$7,0))=0,"",(IF(ISNUMBER(Q128),Inputs!$B$4*Q128,0)+IF(ISNUMBER(R128),Inputs!$B$5*R128,0)+IF(ISNUMBER(S128),Inputs!$B$6*S128,0)+IF(ISNUMBER(T128),Inputs!$B$7*T128,0))/(IF(ISNUMBER(Q128),Inputs!$B$4,0)+IF(ISNUMBER(R128),Inputs!$B$5,0)+IF(ISNUMBER(S128),Inputs!$B$6,0)+IF(ISNUMBER(T128),Inputs!$B$7,0)))</f>
        <v>0.4235</v>
      </c>
      <c r="V128" s="5" t="str">
        <f aca="false">IF(F128&gt;0,"Yes","No")</f>
        <v>Yes</v>
      </c>
      <c r="W128" s="5" t="str">
        <f aca="false">IF(ISNUMBER(N128),IF(N128&gt;=Inputs!$D$18,"Yes","No"),"No price")</f>
        <v>Yes</v>
      </c>
      <c r="X128" s="5" t="str">
        <f aca="false">IF(K128+L128&gt;0,"Yes",IF(M128&gt;0,"No","Unclear"))</f>
        <v>Yes</v>
      </c>
      <c r="Y128" s="5" t="str">
        <f aca="false">INDEX('API Data'!$H$2:$H$152,MATCH(B128,'API Data'!$A$2:$A$152,0))</f>
        <v>No</v>
      </c>
      <c r="Z128" s="5" t="str">
        <f aca="false">IF(COUNTIFS('Product Rows'!$A$2:$A$696,B128,'Product Rows'!$B$2:$B$696,C128,'Product Rows'!$I$2:$I$696,"Yes")&gt;0,"Yes","No")</f>
        <v>Yes</v>
      </c>
      <c r="AA128" s="5" t="str">
        <f aca="false">IF(P128&gt;=Inputs!$D$22,"Yes","No")</f>
        <v>Yes</v>
      </c>
      <c r="AB128" s="10" t="b">
        <f aca="false">AND(OR(Inputs!$B$17&lt;&gt;"Exclude",V128="Yes"),OR(Inputs!$B$18&lt;&gt;"Exclude",W128&lt;&gt;"No"),OR(Inputs!$B$19&lt;&gt;"Exclude",X128&lt;&gt;"No"),OR(Inputs!$B$20&lt;&gt;"Exclude",Y128="No"),OR(Inputs!$B$21&lt;&gt;"Exclude",Z128="No"),OR(Inputs!$B$22&lt;&gt;"Exclude",AA128="Yes"),ISNUMBER(U128))</f>
        <v>1</v>
      </c>
      <c r="AC128" s="5" t="n">
        <f aca="false">IF(AB128,COUNTIFS($C$5:$C$337,C128,$AB$5:$AB$337,TRUE(),$U$5:$U$337,"&gt;"&amp;U128)+COUNTIFS($C$5:C128,C128,$AB$5:AB128,TRUE(),$U$5:U128,U128),"")</f>
        <v>15</v>
      </c>
      <c r="AD128" s="5" t="str">
        <f aca="false">IF(AC128="","Not eligible",IF(AC128&lt;=Inputs!$B$25,"Lead",IF(AC128&lt;=Inputs!$B$25+Inputs!$B$26,"Next wave","Long list")))</f>
        <v>Long list</v>
      </c>
      <c r="AE128" s="5" t="str">
        <f aca="false">IF(AND(K128+L128=0,M128&gt;0),"Safety upgrade of existing prefilled syringe",IF(K128+L128+M128=0,"Confirm presentation (not stated in source)",IF(AA128="Yes","Differentiation in crowded generic market","Safety-device mandate compliance")))</f>
        <v>Differentiation in crowded generic market</v>
      </c>
      <c r="AF128" s="5" t="str">
        <f aca="false">IF(AC128="","",C128&amp;"|"&amp;AC128)</f>
        <v>Emcure Pharmaceuticals|15</v>
      </c>
    </row>
    <row r="129" customFormat="false" ht="15" hidden="false" customHeight="false" outlineLevel="0" collapsed="false">
      <c r="A129" s="5" t="n">
        <f aca="false">IF(ISNUMBER(U129),RANK(U129,$U$5:$U$337),"")</f>
        <v>218</v>
      </c>
      <c r="B129" s="5" t="s">
        <v>102</v>
      </c>
      <c r="C129" s="5" t="s">
        <v>44</v>
      </c>
      <c r="D129" s="5" t="str">
        <f aca="false">INDEX('API Data'!$B$2:$B$152,MATCH(B129,'API Data'!$A$2:$A$152,0))</f>
        <v>Gastroenterology – GERD; peptic ulcer re-bleeding prevention (IV PPI)</v>
      </c>
      <c r="E129" s="5" t="n">
        <f aca="false">COUNTIFS('Market Listing'!$A$2:$A$4054,B129,'Market Listing'!$B$2:$B$4054,C129)</f>
        <v>32</v>
      </c>
      <c r="F129" s="5" t="n">
        <f aca="false">COUNTIFS('Market Listing'!$A$2:$A$4054,B129,'Market Listing'!$B$2:$B$4054,C129,'Market Listing'!$D$2:$D$4054,"Tier 1")</f>
        <v>6</v>
      </c>
      <c r="G129" s="5" t="n">
        <f aca="false">COUNTIFS('Market Listing'!$A$2:$A$4054,B129,'Market Listing'!$B$2:$B$4054,C129,'Market Listing'!$D$2:$D$4054,"Tier 2")</f>
        <v>3</v>
      </c>
      <c r="H129" s="5" t="n">
        <f aca="false">COUNTIFS('Market Listing'!$A$2:$A$4054,B129,'Market Listing'!$B$2:$B$4054,C129,'Market Listing'!$D$2:$D$4054,"Tier 3")</f>
        <v>23</v>
      </c>
      <c r="I129" s="5" t="n">
        <f aca="false">SUMIFS('Market Listing'!$E$2:$E$4054,'Market Listing'!$A$2:$A$4054,B129,'Market Listing'!$B$2:$B$4054,C129)</f>
        <v>47</v>
      </c>
      <c r="J129" s="5" t="n">
        <f aca="false">COUNTIFS('Product Rows'!$A$2:$A$696,B129,'Product Rows'!$B$2:$B$696,C129)</f>
        <v>2</v>
      </c>
      <c r="K129" s="5" t="n">
        <f aca="false">COUNTIFS('Product Rows'!$A$2:$A$696,B129,'Product Rows'!$B$2:$B$696,C129,'Product Rows'!$G$2:$G$696,"Vial")</f>
        <v>2</v>
      </c>
      <c r="L129" s="5" t="n">
        <f aca="false">COUNTIFS('Product Rows'!$A$2:$A$696,B129,'Product Rows'!$B$2:$B$696,C129,'Product Rows'!$G$2:$G$696,"Ampoule")</f>
        <v>0</v>
      </c>
      <c r="M129" s="5" t="n">
        <f aca="false">COUNTIFS('Product Rows'!$A$2:$A$696,B129,'Product Rows'!$B$2:$B$696,C129,'Product Rows'!$G$2:$G$696,"Prefilled syringe/pen")</f>
        <v>0</v>
      </c>
      <c r="N129" s="6" t="n">
        <f aca="false">IFERROR(AVERAGEIFS('Product Rows'!$H$2:$H$696,'Product Rows'!$A$2:$A$696,B129,'Product Rows'!$B$2:$B$696,C129),"")</f>
        <v>6.44295</v>
      </c>
      <c r="O129" s="7" t="n">
        <f aca="false">INDEX('API Data'!$E$2:$E$152,MATCH(B129,'API Data'!$A$2:$A$152,0))</f>
        <v>13516.1096631019</v>
      </c>
      <c r="P129" s="5" t="n">
        <f aca="false">COUNTIF($B$5:$B$337,B129)</f>
        <v>3</v>
      </c>
      <c r="Q129" s="8" t="n">
        <f aca="false">IF(ISNUMBER(I129),PERCENTRANK($I$5:$I$337,I129),"")</f>
        <v>0.892</v>
      </c>
      <c r="R129" s="8" t="n">
        <f aca="false">IF(ISNUMBER(N129),PERCENTRANK($N$5:$N$337,N129),"")</f>
        <v>0.0681</v>
      </c>
      <c r="S129" s="8" t="n">
        <f aca="false">IF(ISNUMBER(O129),PERCENTRANK($O$5:$O$337,O129),"")</f>
        <v>0.732</v>
      </c>
      <c r="T129" s="8" t="n">
        <f aca="false">IF(ISNUMBER(P129),PERCENTRANK($P$5:$P$337,P129),"")</f>
        <v>0.416</v>
      </c>
      <c r="U129" s="9" t="n">
        <f aca="false">IF((IF(ISNUMBER(Q129),Inputs!$B$4,0)+IF(ISNUMBER(R129),Inputs!$B$5,0)+IF(ISNUMBER(S129),Inputs!$B$6,0)+IF(ISNUMBER(T129),Inputs!$B$7,0))=0,"",(IF(ISNUMBER(Q129),Inputs!$B$4*Q129,0)+IF(ISNUMBER(R129),Inputs!$B$5*R129,0)+IF(ISNUMBER(S129),Inputs!$B$6*S129,0)+IF(ISNUMBER(T129),Inputs!$B$7*T129,0))/(IF(ISNUMBER(Q129),Inputs!$B$4,0)+IF(ISNUMBER(R129),Inputs!$B$5,0)+IF(ISNUMBER(S129),Inputs!$B$6,0)+IF(ISNUMBER(T129),Inputs!$B$7,0)))</f>
        <v>0.40005</v>
      </c>
      <c r="V129" s="5" t="str">
        <f aca="false">IF(F129&gt;0,"Yes","No")</f>
        <v>Yes</v>
      </c>
      <c r="W129" s="5" t="str">
        <f aca="false">IF(ISNUMBER(N129),IF(N129&gt;=Inputs!$D$18,"Yes","No"),"No price")</f>
        <v>Yes</v>
      </c>
      <c r="X129" s="5" t="str">
        <f aca="false">IF(K129+L129&gt;0,"Yes",IF(M129&gt;0,"No","Unclear"))</f>
        <v>Yes</v>
      </c>
      <c r="Y129" s="5" t="str">
        <f aca="false">INDEX('API Data'!$H$2:$H$152,MATCH(B129,'API Data'!$A$2:$A$152,0))</f>
        <v>No</v>
      </c>
      <c r="Z129" s="5" t="str">
        <f aca="false">IF(COUNTIFS('Product Rows'!$A$2:$A$696,B129,'Product Rows'!$B$2:$B$696,C129,'Product Rows'!$I$2:$I$696,"Yes")&gt;0,"Yes","No")</f>
        <v>Yes</v>
      </c>
      <c r="AA129" s="5" t="str">
        <f aca="false">IF(P129&gt;=Inputs!$D$22,"Yes","No")</f>
        <v>Yes</v>
      </c>
      <c r="AB129" s="10" t="b">
        <f aca="false">AND(OR(Inputs!$B$17&lt;&gt;"Exclude",V129="Yes"),OR(Inputs!$B$18&lt;&gt;"Exclude",W129&lt;&gt;"No"),OR(Inputs!$B$19&lt;&gt;"Exclude",X129&lt;&gt;"No"),OR(Inputs!$B$20&lt;&gt;"Exclude",Y129="No"),OR(Inputs!$B$21&lt;&gt;"Exclude",Z129="No"),OR(Inputs!$B$22&lt;&gt;"Exclude",AA129="Yes"),ISNUMBER(U129))</f>
        <v>1</v>
      </c>
      <c r="AC129" s="5" t="n">
        <f aca="false">IF(AB129,COUNTIFS($C$5:$C$337,C129,$AB$5:$AB$337,TRUE(),$U$5:$U$337,"&gt;"&amp;U129)+COUNTIFS($C$5:C129,C129,$AB$5:AB129,TRUE(),$U$5:U129,U129),"")</f>
        <v>39</v>
      </c>
      <c r="AD129" s="5" t="str">
        <f aca="false">IF(AC129="","Not eligible",IF(AC129&lt;=Inputs!$B$25,"Lead",IF(AC129&lt;=Inputs!$B$25+Inputs!$B$26,"Next wave","Long list")))</f>
        <v>Long list</v>
      </c>
      <c r="AE129" s="5" t="str">
        <f aca="false">IF(AND(K129+L129=0,M129&gt;0),"Safety upgrade of existing prefilled syringe",IF(K129+L129+M129=0,"Confirm presentation (not stated in source)",IF(AA129="Yes","Differentiation in crowded generic market","Safety-device mandate compliance")))</f>
        <v>Differentiation in crowded generic market</v>
      </c>
      <c r="AF129" s="5" t="str">
        <f aca="false">IF(AC129="","",C129&amp;"|"&amp;AC129)</f>
        <v>Intas Pharmaceuticals|39</v>
      </c>
    </row>
    <row r="130" customFormat="false" ht="15" hidden="false" customHeight="false" outlineLevel="0" collapsed="false">
      <c r="A130" s="5" t="n">
        <f aca="false">IF(ISNUMBER(U130),RANK(U130,$U$5:$U$337),"")</f>
        <v>201</v>
      </c>
      <c r="B130" s="5" t="s">
        <v>102</v>
      </c>
      <c r="C130" s="5" t="s">
        <v>50</v>
      </c>
      <c r="D130" s="5" t="str">
        <f aca="false">INDEX('API Data'!$B$2:$B$152,MATCH(B130,'API Data'!$A$2:$A$152,0))</f>
        <v>Gastroenterology – GERD; peptic ulcer re-bleeding prevention (IV PPI)</v>
      </c>
      <c r="E130" s="5" t="n">
        <f aca="false">COUNTIFS('Market Listing'!$A$2:$A$4054,B130,'Market Listing'!$B$2:$B$4054,C130)</f>
        <v>32</v>
      </c>
      <c r="F130" s="5" t="n">
        <f aca="false">COUNTIFS('Market Listing'!$A$2:$A$4054,B130,'Market Listing'!$B$2:$B$4054,C130,'Market Listing'!$D$2:$D$4054,"Tier 1")</f>
        <v>5</v>
      </c>
      <c r="G130" s="5" t="n">
        <f aca="false">COUNTIFS('Market Listing'!$A$2:$A$4054,B130,'Market Listing'!$B$2:$B$4054,C130,'Market Listing'!$D$2:$D$4054,"Tier 2")</f>
        <v>4</v>
      </c>
      <c r="H130" s="5" t="n">
        <f aca="false">COUNTIFS('Market Listing'!$A$2:$A$4054,B130,'Market Listing'!$B$2:$B$4054,C130,'Market Listing'!$D$2:$D$4054,"Tier 3")</f>
        <v>23</v>
      </c>
      <c r="I130" s="5" t="n">
        <f aca="false">SUMIFS('Market Listing'!$E$2:$E$4054,'Market Listing'!$A$2:$A$4054,B130,'Market Listing'!$B$2:$B$4054,C130)</f>
        <v>46</v>
      </c>
      <c r="J130" s="5" t="n">
        <f aca="false">COUNTIFS('Product Rows'!$A$2:$A$696,B130,'Product Rows'!$B$2:$B$696,C130)</f>
        <v>2</v>
      </c>
      <c r="K130" s="5" t="n">
        <f aca="false">COUNTIFS('Product Rows'!$A$2:$A$696,B130,'Product Rows'!$B$2:$B$696,C130,'Product Rows'!$G$2:$G$696,"Vial")</f>
        <v>2</v>
      </c>
      <c r="L130" s="5" t="n">
        <f aca="false">COUNTIFS('Product Rows'!$A$2:$A$696,B130,'Product Rows'!$B$2:$B$696,C130,'Product Rows'!$G$2:$G$696,"Ampoule")</f>
        <v>0</v>
      </c>
      <c r="M130" s="5" t="n">
        <f aca="false">COUNTIFS('Product Rows'!$A$2:$A$696,B130,'Product Rows'!$B$2:$B$696,C130,'Product Rows'!$G$2:$G$696,"Prefilled syringe/pen")</f>
        <v>0</v>
      </c>
      <c r="N130" s="6" t="n">
        <f aca="false">IFERROR(AVERAGEIFS('Product Rows'!$H$2:$H$696,'Product Rows'!$A$2:$A$696,B130,'Product Rows'!$B$2:$B$696,C130),"")</f>
        <v>7.2659</v>
      </c>
      <c r="O130" s="7" t="n">
        <f aca="false">INDEX('API Data'!$E$2:$E$152,MATCH(B130,'API Data'!$A$2:$A$152,0))</f>
        <v>13516.1096631019</v>
      </c>
      <c r="P130" s="5" t="n">
        <f aca="false">COUNTIF($B$5:$B$337,B130)</f>
        <v>3</v>
      </c>
      <c r="Q130" s="8" t="n">
        <f aca="false">IF(ISNUMBER(I130),PERCENTRANK($I$5:$I$337,I130),"")</f>
        <v>0.846</v>
      </c>
      <c r="R130" s="8" t="n">
        <f aca="false">IF(ISNUMBER(N130),PERCENTRANK($N$5:$N$337,N130),"")</f>
        <v>0.111</v>
      </c>
      <c r="S130" s="8" t="n">
        <f aca="false">IF(ISNUMBER(O130),PERCENTRANK($O$5:$O$337,O130),"")</f>
        <v>0.732</v>
      </c>
      <c r="T130" s="8" t="n">
        <f aca="false">IF(ISNUMBER(P130),PERCENTRANK($P$5:$P$337,P130),"")</f>
        <v>0.416</v>
      </c>
      <c r="U130" s="9" t="n">
        <f aca="false">IF((IF(ISNUMBER(Q130),Inputs!$B$4,0)+IF(ISNUMBER(R130),Inputs!$B$5,0)+IF(ISNUMBER(S130),Inputs!$B$6,0)+IF(ISNUMBER(T130),Inputs!$B$7,0))=0,"",(IF(ISNUMBER(Q130),Inputs!$B$4*Q130,0)+IF(ISNUMBER(R130),Inputs!$B$5*R130,0)+IF(ISNUMBER(S130),Inputs!$B$6*S130,0)+IF(ISNUMBER(T130),Inputs!$B$7*T130,0))/(IF(ISNUMBER(Q130),Inputs!$B$4,0)+IF(ISNUMBER(R130),Inputs!$B$5,0)+IF(ISNUMBER(S130),Inputs!$B$6,0)+IF(ISNUMBER(T130),Inputs!$B$7,0)))</f>
        <v>0.4215</v>
      </c>
      <c r="V130" s="5" t="str">
        <f aca="false">IF(F130&gt;0,"Yes","No")</f>
        <v>Yes</v>
      </c>
      <c r="W130" s="5" t="str">
        <f aca="false">IF(ISNUMBER(N130),IF(N130&gt;=Inputs!$D$18,"Yes","No"),"No price")</f>
        <v>Yes</v>
      </c>
      <c r="X130" s="5" t="str">
        <f aca="false">IF(K130+L130&gt;0,"Yes",IF(M130&gt;0,"No","Unclear"))</f>
        <v>Yes</v>
      </c>
      <c r="Y130" s="5" t="str">
        <f aca="false">INDEX('API Data'!$H$2:$H$152,MATCH(B130,'API Data'!$A$2:$A$152,0))</f>
        <v>No</v>
      </c>
      <c r="Z130" s="5" t="str">
        <f aca="false">IF(COUNTIFS('Product Rows'!$A$2:$A$696,B130,'Product Rows'!$B$2:$B$696,C130,'Product Rows'!$I$2:$I$696,"Yes")&gt;0,"Yes","No")</f>
        <v>Yes</v>
      </c>
      <c r="AA130" s="5" t="str">
        <f aca="false">IF(P130&gt;=Inputs!$D$22,"Yes","No")</f>
        <v>Yes</v>
      </c>
      <c r="AB130" s="10" t="b">
        <f aca="false">AND(OR(Inputs!$B$17&lt;&gt;"Exclude",V130="Yes"),OR(Inputs!$B$18&lt;&gt;"Exclude",W130&lt;&gt;"No"),OR(Inputs!$B$19&lt;&gt;"Exclude",X130&lt;&gt;"No"),OR(Inputs!$B$20&lt;&gt;"Exclude",Y130="No"),OR(Inputs!$B$21&lt;&gt;"Exclude",Z130="No"),OR(Inputs!$B$22&lt;&gt;"Exclude",AA130="Yes"),ISNUMBER(U130))</f>
        <v>1</v>
      </c>
      <c r="AC130" s="5" t="n">
        <f aca="false">IF(AB130,COUNTIFS($C$5:$C$337,C130,$AB$5:$AB$337,TRUE(),$U$5:$U$337,"&gt;"&amp;U130)+COUNTIFS($C$5:C130,C130,$AB$5:AB130,TRUE(),$U$5:U130,U130),"")</f>
        <v>12</v>
      </c>
      <c r="AD130" s="5" t="str">
        <f aca="false">IF(AC130="","Not eligible",IF(AC130&lt;=Inputs!$B$25,"Lead",IF(AC130&lt;=Inputs!$B$25+Inputs!$B$26,"Next wave","Long list")))</f>
        <v>Long list</v>
      </c>
      <c r="AE130" s="5" t="str">
        <f aca="false">IF(AND(K130+L130=0,M130&gt;0),"Safety upgrade of existing prefilled syringe",IF(K130+L130+M130=0,"Confirm presentation (not stated in source)",IF(AA130="Yes","Differentiation in crowded generic market","Safety-device mandate compliance")))</f>
        <v>Differentiation in crowded generic market</v>
      </c>
      <c r="AF130" s="5" t="str">
        <f aca="false">IF(AC130="","",C130&amp;"|"&amp;AC130)</f>
        <v>Sun Pharma|12</v>
      </c>
    </row>
    <row r="131" customFormat="false" ht="15" hidden="false" customHeight="false" outlineLevel="0" collapsed="false">
      <c r="A131" s="5" t="n">
        <f aca="false">IF(ISNUMBER(U131),RANK(U131,$U$5:$U$337),"")</f>
        <v>143</v>
      </c>
      <c r="B131" s="5" t="s">
        <v>103</v>
      </c>
      <c r="C131" s="5" t="s">
        <v>36</v>
      </c>
      <c r="D131" s="5" t="str">
        <f aca="false">INDEX('API Data'!$B$2:$B$152,MATCH(B131,'API Data'!$A$2:$A$152,0))</f>
        <v>Cardiovascular / Renal – loop diuretic for sulfa-allergic patients</v>
      </c>
      <c r="E131" s="5" t="n">
        <f aca="false">COUNTIFS('Market Listing'!$A$2:$A$4054,B131,'Market Listing'!$B$2:$B$4054,C131)</f>
        <v>1</v>
      </c>
      <c r="F131" s="5" t="n">
        <f aca="false">COUNTIFS('Market Listing'!$A$2:$A$4054,B131,'Market Listing'!$B$2:$B$4054,C131,'Market Listing'!$D$2:$D$4054,"Tier 1")</f>
        <v>1</v>
      </c>
      <c r="G131" s="5" t="n">
        <f aca="false">COUNTIFS('Market Listing'!$A$2:$A$4054,B131,'Market Listing'!$B$2:$B$4054,C131,'Market Listing'!$D$2:$D$4054,"Tier 2")</f>
        <v>0</v>
      </c>
      <c r="H131" s="5" t="n">
        <f aca="false">COUNTIFS('Market Listing'!$A$2:$A$4054,B131,'Market Listing'!$B$2:$B$4054,C131,'Market Listing'!$D$2:$D$4054,"Tier 3")</f>
        <v>0</v>
      </c>
      <c r="I131" s="5" t="n">
        <f aca="false">SUMIFS('Market Listing'!$E$2:$E$4054,'Market Listing'!$A$2:$A$4054,B131,'Market Listing'!$B$2:$B$4054,C131)</f>
        <v>3</v>
      </c>
      <c r="J131" s="5" t="n">
        <f aca="false">COUNTIFS('Product Rows'!$A$2:$A$696,B131,'Product Rows'!$B$2:$B$696,C131)</f>
        <v>1</v>
      </c>
      <c r="K131" s="5" t="n">
        <f aca="false">COUNTIFS('Product Rows'!$A$2:$A$696,B131,'Product Rows'!$B$2:$B$696,C131,'Product Rows'!$G$2:$G$696,"Vial")</f>
        <v>0</v>
      </c>
      <c r="L131" s="5" t="n">
        <f aca="false">COUNTIFS('Product Rows'!$A$2:$A$696,B131,'Product Rows'!$B$2:$B$696,C131,'Product Rows'!$G$2:$G$696,"Ampoule")</f>
        <v>0</v>
      </c>
      <c r="M131" s="5" t="n">
        <f aca="false">COUNTIFS('Product Rows'!$A$2:$A$696,B131,'Product Rows'!$B$2:$B$696,C131,'Product Rows'!$G$2:$G$696,"Prefilled syringe/pen")</f>
        <v>0</v>
      </c>
      <c r="N131" s="6" t="n">
        <f aca="false">IFERROR(AVERAGEIFS('Product Rows'!$H$2:$H$696,'Product Rows'!$A$2:$A$696,B131,'Product Rows'!$B$2:$B$696,C131),"")</f>
        <v>5289.94</v>
      </c>
      <c r="O131" s="7" t="n">
        <f aca="false">INDEX('API Data'!$E$2:$E$152,MATCH(B131,'API Data'!$A$2:$A$152,0))</f>
        <v>147.215555555555</v>
      </c>
      <c r="P131" s="5" t="n">
        <f aca="false">COUNTIF($B$5:$B$337,B131)</f>
        <v>1</v>
      </c>
      <c r="Q131" s="8" t="n">
        <f aca="false">IF(ISNUMBER(I131),PERCENTRANK($I$5:$I$337,I131),"")</f>
        <v>0.157</v>
      </c>
      <c r="R131" s="8" t="n">
        <f aca="false">IF(ISNUMBER(N131),PERCENTRANK($N$5:$N$337,N131),"")</f>
        <v>0.989</v>
      </c>
      <c r="S131" s="8" t="n">
        <f aca="false">IF(ISNUMBER(O131),PERCENTRANK($O$5:$O$337,O131),"")</f>
        <v>0.0452</v>
      </c>
      <c r="T131" s="8" t="n">
        <f aca="false">IF(ISNUMBER(P131),PERCENTRANK($P$5:$P$337,P131),"")</f>
        <v>0</v>
      </c>
      <c r="U131" s="9" t="n">
        <f aca="false">IF((IF(ISNUMBER(Q131),Inputs!$B$4,0)+IF(ISNUMBER(R131),Inputs!$B$5,0)+IF(ISNUMBER(S131),Inputs!$B$6,0)+IF(ISNUMBER(T131),Inputs!$B$7,0))=0,"",(IF(ISNUMBER(Q131),Inputs!$B$4*Q131,0)+IF(ISNUMBER(R131),Inputs!$B$5*R131,0)+IF(ISNUMBER(S131),Inputs!$B$6*S131,0)+IF(ISNUMBER(T131),Inputs!$B$7*T131,0))/(IF(ISNUMBER(Q131),Inputs!$B$4,0)+IF(ISNUMBER(R131),Inputs!$B$5,0)+IF(ISNUMBER(S131),Inputs!$B$6,0)+IF(ISNUMBER(T131),Inputs!$B$7,0)))</f>
        <v>0.5171</v>
      </c>
      <c r="V131" s="5" t="str">
        <f aca="false">IF(F131&gt;0,"Yes","No")</f>
        <v>Yes</v>
      </c>
      <c r="W131" s="5" t="str">
        <f aca="false">IF(ISNUMBER(N131),IF(N131&gt;=Inputs!$D$18,"Yes","No"),"No price")</f>
        <v>Yes</v>
      </c>
      <c r="X131" s="5" t="str">
        <f aca="false">IF(K131+L131&gt;0,"Yes",IF(M131&gt;0,"No","Unclear"))</f>
        <v>Unclear</v>
      </c>
      <c r="Y131" s="5" t="str">
        <f aca="false">INDEX('API Data'!$H$2:$H$152,MATCH(B131,'API Data'!$A$2:$A$152,0))</f>
        <v>No</v>
      </c>
      <c r="Z131" s="5" t="str">
        <f aca="false">IF(COUNTIFS('Product Rows'!$A$2:$A$696,B131,'Product Rows'!$B$2:$B$696,C131,'Product Rows'!$I$2:$I$696,"Yes")&gt;0,"Yes","No")</f>
        <v>No</v>
      </c>
      <c r="AA131" s="5" t="str">
        <f aca="false">IF(P131&gt;=Inputs!$D$22,"Yes","No")</f>
        <v>No</v>
      </c>
      <c r="AB131" s="10" t="b">
        <f aca="false">AND(OR(Inputs!$B$17&lt;&gt;"Exclude",V131="Yes"),OR(Inputs!$B$18&lt;&gt;"Exclude",W131&lt;&gt;"No"),OR(Inputs!$B$19&lt;&gt;"Exclude",X131&lt;&gt;"No"),OR(Inputs!$B$20&lt;&gt;"Exclude",Y131="No"),OR(Inputs!$B$21&lt;&gt;"Exclude",Z131="No"),OR(Inputs!$B$22&lt;&gt;"Exclude",AA131="Yes"),ISNUMBER(U131))</f>
        <v>1</v>
      </c>
      <c r="AC131" s="5" t="n">
        <f aca="false">IF(AB131,COUNTIFS($C$5:$C$337,C131,$AB$5:$AB$337,TRUE(),$U$5:$U$337,"&gt;"&amp;U131)+COUNTIFS($C$5:C131,C131,$AB$5:AB131,TRUE(),$U$5:U131,U131),"")</f>
        <v>6</v>
      </c>
      <c r="AD131" s="5" t="str">
        <f aca="false">IF(AC131="","Not eligible",IF(AC131&lt;=Inputs!$B$25,"Lead",IF(AC131&lt;=Inputs!$B$25+Inputs!$B$26,"Next wave","Long list")))</f>
        <v>Next wave</v>
      </c>
      <c r="AE131" s="5" t="str">
        <f aca="false">IF(AND(K131+L131=0,M131&gt;0),"Safety upgrade of existing prefilled syringe",IF(K131+L131+M131=0,"Confirm presentation (not stated in source)",IF(AA131="Yes","Differentiation in crowded generic market","Safety-device mandate compliance")))</f>
        <v>Confirm presentation (not stated in source)</v>
      </c>
      <c r="AF131" s="5" t="str">
        <f aca="false">IF(AC131="","",C131&amp;"|"&amp;AC131)</f>
        <v>Zydus Lifesciences|6</v>
      </c>
    </row>
    <row r="132" customFormat="false" ht="15" hidden="false" customHeight="false" outlineLevel="0" collapsed="false">
      <c r="A132" s="5" t="n">
        <f aca="false">IF(ISNUMBER(U132),RANK(U132,$U$5:$U$337),"")</f>
        <v>308</v>
      </c>
      <c r="B132" s="5" t="s">
        <v>104</v>
      </c>
      <c r="C132" s="5" t="s">
        <v>41</v>
      </c>
      <c r="D132" s="5" t="str">
        <f aca="false">INDEX('API Data'!$B$2:$B$152,MATCH(B132,'API Data'!$A$2:$A$152,0))</f>
        <v>Anaesthesia – induction of general anaesthesia (unstable patients)</v>
      </c>
      <c r="E132" s="5" t="n">
        <f aca="false">COUNTIFS('Market Listing'!$A$2:$A$4054,B132,'Market Listing'!$B$2:$B$4054,C132)</f>
        <v>16</v>
      </c>
      <c r="F132" s="5" t="n">
        <f aca="false">COUNTIFS('Market Listing'!$A$2:$A$4054,B132,'Market Listing'!$B$2:$B$4054,C132,'Market Listing'!$D$2:$D$4054,"Tier 1")</f>
        <v>5</v>
      </c>
      <c r="G132" s="5" t="n">
        <f aca="false">COUNTIFS('Market Listing'!$A$2:$A$4054,B132,'Market Listing'!$B$2:$B$4054,C132,'Market Listing'!$D$2:$D$4054,"Tier 2")</f>
        <v>2</v>
      </c>
      <c r="H132" s="5" t="n">
        <f aca="false">COUNTIFS('Market Listing'!$A$2:$A$4054,B132,'Market Listing'!$B$2:$B$4054,C132,'Market Listing'!$D$2:$D$4054,"Tier 3")</f>
        <v>9</v>
      </c>
      <c r="I132" s="5" t="n">
        <f aca="false">SUMIFS('Market Listing'!$E$2:$E$4054,'Market Listing'!$A$2:$A$4054,B132,'Market Listing'!$B$2:$B$4054,C132)</f>
        <v>28</v>
      </c>
      <c r="J132" s="5" t="n">
        <f aca="false">COUNTIFS('Product Rows'!$A$2:$A$696,B132,'Product Rows'!$B$2:$B$696,C132)</f>
        <v>2</v>
      </c>
      <c r="K132" s="5" t="n">
        <f aca="false">COUNTIFS('Product Rows'!$A$2:$A$696,B132,'Product Rows'!$B$2:$B$696,C132,'Product Rows'!$G$2:$G$696,"Vial")</f>
        <v>0</v>
      </c>
      <c r="L132" s="5" t="n">
        <f aca="false">COUNTIFS('Product Rows'!$A$2:$A$696,B132,'Product Rows'!$B$2:$B$696,C132,'Product Rows'!$G$2:$G$696,"Ampoule")</f>
        <v>2</v>
      </c>
      <c r="M132" s="5" t="n">
        <f aca="false">COUNTIFS('Product Rows'!$A$2:$A$696,B132,'Product Rows'!$B$2:$B$696,C132,'Product Rows'!$G$2:$G$696,"Prefilled syringe/pen")</f>
        <v>0</v>
      </c>
      <c r="N132" s="6" t="n">
        <f aca="false">IFERROR(AVERAGEIFS('Product Rows'!$H$2:$H$696,'Product Rows'!$A$2:$A$696,B132,'Product Rows'!$B$2:$B$696,C132),"")</f>
        <v>8.7121</v>
      </c>
      <c r="O132" s="7" t="n">
        <f aca="false">INDEX('API Data'!$E$2:$E$152,MATCH(B132,'API Data'!$A$2:$A$152,0))</f>
        <v>1781.11</v>
      </c>
      <c r="P132" s="5" t="n">
        <f aca="false">COUNTIF($B$5:$B$337,B132)</f>
        <v>2</v>
      </c>
      <c r="Q132" s="8" t="n">
        <f aca="false">IF(ISNUMBER(I132),PERCENTRANK($I$5:$I$337,I132),"")</f>
        <v>0.611</v>
      </c>
      <c r="R132" s="8" t="n">
        <f aca="false">IF(ISNUMBER(N132),PERCENTRANK($N$5:$N$337,N132),"")</f>
        <v>0.161</v>
      </c>
      <c r="S132" s="8" t="n">
        <f aca="false">IF(ISNUMBER(O132),PERCENTRANK($O$5:$O$337,O132),"")</f>
        <v>0.229</v>
      </c>
      <c r="T132" s="8" t="n">
        <f aca="false">IF(ISNUMBER(P132),PERCENTRANK($P$5:$P$337,P132),"")</f>
        <v>0.235</v>
      </c>
      <c r="U132" s="9" t="n">
        <f aca="false">IF((IF(ISNUMBER(Q132),Inputs!$B$4,0)+IF(ISNUMBER(R132),Inputs!$B$5,0)+IF(ISNUMBER(S132),Inputs!$B$6,0)+IF(ISNUMBER(T132),Inputs!$B$7,0))=0,"",(IF(ISNUMBER(Q132),Inputs!$B$4*Q132,0)+IF(ISNUMBER(R132),Inputs!$B$5*R132,0)+IF(ISNUMBER(S132),Inputs!$B$6*S132,0)+IF(ISNUMBER(T132),Inputs!$B$7*T132,0))/(IF(ISNUMBER(Q132),Inputs!$B$4,0)+IF(ISNUMBER(R132),Inputs!$B$5,0)+IF(ISNUMBER(S132),Inputs!$B$6,0)+IF(ISNUMBER(T132),Inputs!$B$7,0)))</f>
        <v>0.195</v>
      </c>
      <c r="V132" s="5" t="str">
        <f aca="false">IF(F132&gt;0,"Yes","No")</f>
        <v>Yes</v>
      </c>
      <c r="W132" s="5" t="str">
        <f aca="false">IF(ISNUMBER(N132),IF(N132&gt;=Inputs!$D$18,"Yes","No"),"No price")</f>
        <v>Yes</v>
      </c>
      <c r="X132" s="5" t="str">
        <f aca="false">IF(K132+L132&gt;0,"Yes",IF(M132&gt;0,"No","Unclear"))</f>
        <v>Yes</v>
      </c>
      <c r="Y132" s="5" t="str">
        <f aca="false">INDEX('API Data'!$H$2:$H$152,MATCH(B132,'API Data'!$A$2:$A$152,0))</f>
        <v>No</v>
      </c>
      <c r="Z132" s="5" t="str">
        <f aca="false">IF(COUNTIFS('Product Rows'!$A$2:$A$696,B132,'Product Rows'!$B$2:$B$696,C132,'Product Rows'!$I$2:$I$696,"Yes")&gt;0,"Yes","No")</f>
        <v>No</v>
      </c>
      <c r="AA132" s="5" t="str">
        <f aca="false">IF(P132&gt;=Inputs!$D$22,"Yes","No")</f>
        <v>No</v>
      </c>
      <c r="AB132" s="10" t="b">
        <f aca="false">AND(OR(Inputs!$B$17&lt;&gt;"Exclude",V132="Yes"),OR(Inputs!$B$18&lt;&gt;"Exclude",W132&lt;&gt;"No"),OR(Inputs!$B$19&lt;&gt;"Exclude",X132&lt;&gt;"No"),OR(Inputs!$B$20&lt;&gt;"Exclude",Y132="No"),OR(Inputs!$B$21&lt;&gt;"Exclude",Z132="No"),OR(Inputs!$B$22&lt;&gt;"Exclude",AA132="Yes"),ISNUMBER(U132))</f>
        <v>1</v>
      </c>
      <c r="AC132" s="5" t="n">
        <f aca="false">IF(AB132,COUNTIFS($C$5:$C$337,C132,$AB$5:$AB$337,TRUE(),$U$5:$U$337,"&gt;"&amp;U132)+COUNTIFS($C$5:C132,C132,$AB$5:AB132,TRUE(),$U$5:U132,U132),"")</f>
        <v>5</v>
      </c>
      <c r="AD132" s="5" t="str">
        <f aca="false">IF(AC132="","Not eligible",IF(AC132&lt;=Inputs!$B$25,"Lead",IF(AC132&lt;=Inputs!$B$25+Inputs!$B$26,"Next wave","Long list")))</f>
        <v>Lead</v>
      </c>
      <c r="AE132" s="5" t="str">
        <f aca="false">IF(AND(K132+L132=0,M132&gt;0),"Safety upgrade of existing prefilled syringe",IF(K132+L132+M132=0,"Confirm presentation (not stated in source)",IF(AA132="Yes","Differentiation in crowded generic market","Safety-device mandate compliance")))</f>
        <v>Safety-device mandate compliance</v>
      </c>
      <c r="AF132" s="5" t="str">
        <f aca="false">IF(AC132="","",C132&amp;"|"&amp;AC132)</f>
        <v>Piramal Pharma|5</v>
      </c>
    </row>
    <row r="133" customFormat="false" ht="15" hidden="false" customHeight="false" outlineLevel="0" collapsed="false">
      <c r="A133" s="5" t="n">
        <f aca="false">IF(ISNUMBER(U133),RANK(U133,$U$5:$U$337),"")</f>
        <v>298</v>
      </c>
      <c r="B133" s="5" t="s">
        <v>104</v>
      </c>
      <c r="C133" s="5" t="s">
        <v>36</v>
      </c>
      <c r="D133" s="5" t="str">
        <f aca="false">INDEX('API Data'!$B$2:$B$152,MATCH(B133,'API Data'!$A$2:$A$152,0))</f>
        <v>Anaesthesia – induction of general anaesthesia (unstable patients)</v>
      </c>
      <c r="E133" s="5" t="n">
        <f aca="false">COUNTIFS('Market Listing'!$A$2:$A$4054,B133,'Market Listing'!$B$2:$B$4054,C133)</f>
        <v>1</v>
      </c>
      <c r="F133" s="5" t="n">
        <f aca="false">COUNTIFS('Market Listing'!$A$2:$A$4054,B133,'Market Listing'!$B$2:$B$4054,C133,'Market Listing'!$D$2:$D$4054,"Tier 1")</f>
        <v>1</v>
      </c>
      <c r="G133" s="5" t="n">
        <f aca="false">COUNTIFS('Market Listing'!$A$2:$A$4054,B133,'Market Listing'!$B$2:$B$4054,C133,'Market Listing'!$D$2:$D$4054,"Tier 2")</f>
        <v>0</v>
      </c>
      <c r="H133" s="5" t="n">
        <f aca="false">COUNTIFS('Market Listing'!$A$2:$A$4054,B133,'Market Listing'!$B$2:$B$4054,C133,'Market Listing'!$D$2:$D$4054,"Tier 3")</f>
        <v>0</v>
      </c>
      <c r="I133" s="5" t="n">
        <f aca="false">SUMIFS('Market Listing'!$E$2:$E$4054,'Market Listing'!$A$2:$A$4054,B133,'Market Listing'!$B$2:$B$4054,C133)</f>
        <v>3</v>
      </c>
      <c r="J133" s="5" t="n">
        <f aca="false">COUNTIFS('Product Rows'!$A$2:$A$696,B133,'Product Rows'!$B$2:$B$696,C133)</f>
        <v>1</v>
      </c>
      <c r="K133" s="5" t="n">
        <f aca="false">COUNTIFS('Product Rows'!$A$2:$A$696,B133,'Product Rows'!$B$2:$B$696,C133,'Product Rows'!$G$2:$G$696,"Vial")</f>
        <v>0</v>
      </c>
      <c r="L133" s="5" t="n">
        <f aca="false">COUNTIFS('Product Rows'!$A$2:$A$696,B133,'Product Rows'!$B$2:$B$696,C133,'Product Rows'!$G$2:$G$696,"Ampoule")</f>
        <v>0</v>
      </c>
      <c r="M133" s="5" t="n">
        <f aca="false">COUNTIFS('Product Rows'!$A$2:$A$696,B133,'Product Rows'!$B$2:$B$696,C133,'Product Rows'!$G$2:$G$696,"Prefilled syringe/pen")</f>
        <v>0</v>
      </c>
      <c r="N133" s="6" t="str">
        <f aca="false">IFERROR(AVERAGEIFS('Product Rows'!$H$2:$H$696,'Product Rows'!$A$2:$A$696,B133,'Product Rows'!$B$2:$B$696,C133),"")</f>
        <v/>
      </c>
      <c r="O133" s="7" t="n">
        <f aca="false">INDEX('API Data'!$E$2:$E$152,MATCH(B133,'API Data'!$A$2:$A$152,0))</f>
        <v>1781.11</v>
      </c>
      <c r="P133" s="5" t="n">
        <f aca="false">COUNTIF($B$5:$B$337,B133)</f>
        <v>2</v>
      </c>
      <c r="Q133" s="8" t="n">
        <f aca="false">IF(ISNUMBER(I133),PERCENTRANK($I$5:$I$337,I133),"")</f>
        <v>0.157</v>
      </c>
      <c r="R133" s="8" t="str">
        <f aca="false">IF(ISNUMBER(N133),PERCENTRANK($N$5:$N$337,N133),"")</f>
        <v/>
      </c>
      <c r="S133" s="8" t="n">
        <f aca="false">IF(ISNUMBER(O133),PERCENTRANK($O$5:$O$337,O133),"")</f>
        <v>0.229</v>
      </c>
      <c r="T133" s="8" t="n">
        <f aca="false">IF(ISNUMBER(P133),PERCENTRANK($P$5:$P$337,P133),"")</f>
        <v>0.235</v>
      </c>
      <c r="U133" s="9" t="n">
        <f aca="false">IF((IF(ISNUMBER(Q133),Inputs!$B$4,0)+IF(ISNUMBER(R133),Inputs!$B$5,0)+IF(ISNUMBER(S133),Inputs!$B$6,0)+IF(ISNUMBER(T133),Inputs!$B$7,0))=0,"",(IF(ISNUMBER(Q133),Inputs!$B$4*Q133,0)+IF(ISNUMBER(R133),Inputs!$B$5*R133,0)+IF(ISNUMBER(S133),Inputs!$B$6*S133,0)+IF(ISNUMBER(T133),Inputs!$B$7*T133,0))/(IF(ISNUMBER(Q133),Inputs!$B$4,0)+IF(ISNUMBER(R133),Inputs!$B$5,0)+IF(ISNUMBER(S133),Inputs!$B$6,0)+IF(ISNUMBER(T133),Inputs!$B$7,0)))</f>
        <v>0.229</v>
      </c>
      <c r="V133" s="5" t="str">
        <f aca="false">IF(F133&gt;0,"Yes","No")</f>
        <v>Yes</v>
      </c>
      <c r="W133" s="5" t="str">
        <f aca="false">IF(ISNUMBER(N133),IF(N133&gt;=Inputs!$D$18,"Yes","No"),"No price")</f>
        <v>No price</v>
      </c>
      <c r="X133" s="5" t="str">
        <f aca="false">IF(K133+L133&gt;0,"Yes",IF(M133&gt;0,"No","Unclear"))</f>
        <v>Unclear</v>
      </c>
      <c r="Y133" s="5" t="str">
        <f aca="false">INDEX('API Data'!$H$2:$H$152,MATCH(B133,'API Data'!$A$2:$A$152,0))</f>
        <v>No</v>
      </c>
      <c r="Z133" s="5" t="str">
        <f aca="false">IF(COUNTIFS('Product Rows'!$A$2:$A$696,B133,'Product Rows'!$B$2:$B$696,C133,'Product Rows'!$I$2:$I$696,"Yes")&gt;0,"Yes","No")</f>
        <v>No</v>
      </c>
      <c r="AA133" s="5" t="str">
        <f aca="false">IF(P133&gt;=Inputs!$D$22,"Yes","No")</f>
        <v>No</v>
      </c>
      <c r="AB133" s="10" t="b">
        <f aca="false">AND(OR(Inputs!$B$17&lt;&gt;"Exclude",V133="Yes"),OR(Inputs!$B$18&lt;&gt;"Exclude",W133&lt;&gt;"No"),OR(Inputs!$B$19&lt;&gt;"Exclude",X133&lt;&gt;"No"),OR(Inputs!$B$20&lt;&gt;"Exclude",Y133="No"),OR(Inputs!$B$21&lt;&gt;"Exclude",Z133="No"),OR(Inputs!$B$22&lt;&gt;"Exclude",AA133="Yes"),ISNUMBER(U133))</f>
        <v>1</v>
      </c>
      <c r="AC133" s="5" t="n">
        <f aca="false">IF(AB133,COUNTIFS($C$5:$C$337,C133,$AB$5:$AB$337,TRUE(),$U$5:$U$337,"&gt;"&amp;U133)+COUNTIFS($C$5:C133,C133,$AB$5:AB133,TRUE(),$U$5:U133,U133),"")</f>
        <v>16</v>
      </c>
      <c r="AD133" s="5" t="str">
        <f aca="false">IF(AC133="","Not eligible",IF(AC133&lt;=Inputs!$B$25,"Lead",IF(AC133&lt;=Inputs!$B$25+Inputs!$B$26,"Next wave","Long list")))</f>
        <v>Long list</v>
      </c>
      <c r="AE133" s="5" t="str">
        <f aca="false">IF(AND(K133+L133=0,M133&gt;0),"Safety upgrade of existing prefilled syringe",IF(K133+L133+M133=0,"Confirm presentation (not stated in source)",IF(AA133="Yes","Differentiation in crowded generic market","Safety-device mandate compliance")))</f>
        <v>Confirm presentation (not stated in source)</v>
      </c>
      <c r="AF133" s="5" t="str">
        <f aca="false">IF(AC133="","",C133&amp;"|"&amp;AC133)</f>
        <v>Zydus Lifesciences|16</v>
      </c>
    </row>
    <row r="134" customFormat="false" ht="15" hidden="false" customHeight="false" outlineLevel="0" collapsed="false">
      <c r="A134" s="5" t="n">
        <f aca="false">IF(ISNUMBER(U134),RANK(U134,$U$5:$U$337),"")</f>
        <v>303</v>
      </c>
      <c r="B134" s="5" t="s">
        <v>105</v>
      </c>
      <c r="C134" s="5" t="s">
        <v>40</v>
      </c>
      <c r="D134" s="5" t="str">
        <f aca="false">INDEX('API Data'!$B$2:$B$152,MATCH(B134,'API Data'!$A$2:$A$152,0))</f>
        <v>Gastroenterology – ulcers, GERD, hypersecretory states (IV H2 blocker)</v>
      </c>
      <c r="E134" s="5" t="n">
        <f aca="false">COUNTIFS('Market Listing'!$A$2:$A$4054,B134,'Market Listing'!$B$2:$B$4054,C134)</f>
        <v>1</v>
      </c>
      <c r="F134" s="5" t="n">
        <f aca="false">COUNTIFS('Market Listing'!$A$2:$A$4054,B134,'Market Listing'!$B$2:$B$4054,C134,'Market Listing'!$D$2:$D$4054,"Tier 1")</f>
        <v>1</v>
      </c>
      <c r="G134" s="5" t="n">
        <f aca="false">COUNTIFS('Market Listing'!$A$2:$A$4054,B134,'Market Listing'!$B$2:$B$4054,C134,'Market Listing'!$D$2:$D$4054,"Tier 2")</f>
        <v>0</v>
      </c>
      <c r="H134" s="5" t="n">
        <f aca="false">COUNTIFS('Market Listing'!$A$2:$A$4054,B134,'Market Listing'!$B$2:$B$4054,C134,'Market Listing'!$D$2:$D$4054,"Tier 3")</f>
        <v>0</v>
      </c>
      <c r="I134" s="5" t="n">
        <f aca="false">SUMIFS('Market Listing'!$E$2:$E$4054,'Market Listing'!$A$2:$A$4054,B134,'Market Listing'!$B$2:$B$4054,C134)</f>
        <v>3</v>
      </c>
      <c r="J134" s="5" t="n">
        <f aca="false">COUNTIFS('Product Rows'!$A$2:$A$696,B134,'Product Rows'!$B$2:$B$696,C134)</f>
        <v>1</v>
      </c>
      <c r="K134" s="5" t="n">
        <f aca="false">COUNTIFS('Product Rows'!$A$2:$A$696,B134,'Product Rows'!$B$2:$B$696,C134,'Product Rows'!$G$2:$G$696,"Vial")</f>
        <v>0</v>
      </c>
      <c r="L134" s="5" t="n">
        <f aca="false">COUNTIFS('Product Rows'!$A$2:$A$696,B134,'Product Rows'!$B$2:$B$696,C134,'Product Rows'!$G$2:$G$696,"Ampoule")</f>
        <v>0</v>
      </c>
      <c r="M134" s="5" t="n">
        <f aca="false">COUNTIFS('Product Rows'!$A$2:$A$696,B134,'Product Rows'!$B$2:$B$696,C134,'Product Rows'!$G$2:$G$696,"Prefilled syringe/pen")</f>
        <v>0</v>
      </c>
      <c r="N134" s="6" t="str">
        <f aca="false">IFERROR(AVERAGEIFS('Product Rows'!$H$2:$H$696,'Product Rows'!$A$2:$A$696,B134,'Product Rows'!$B$2:$B$696,C134),"")</f>
        <v/>
      </c>
      <c r="O134" s="7" t="n">
        <f aca="false">INDEX('API Data'!$E$2:$E$152,MATCH(B134,'API Data'!$A$2:$A$152,0))</f>
        <v>1578.85421890766</v>
      </c>
      <c r="P134" s="5" t="n">
        <f aca="false">COUNTIF($B$5:$B$337,B134)</f>
        <v>1</v>
      </c>
      <c r="Q134" s="8" t="n">
        <f aca="false">IF(ISNUMBER(I134),PERCENTRANK($I$5:$I$337,I134),"")</f>
        <v>0.157</v>
      </c>
      <c r="R134" s="8" t="str">
        <f aca="false">IF(ISNUMBER(N134),PERCENTRANK($N$5:$N$337,N134),"")</f>
        <v/>
      </c>
      <c r="S134" s="8" t="n">
        <f aca="false">IF(ISNUMBER(O134),PERCENTRANK($O$5:$O$337,O134),"")</f>
        <v>0.217</v>
      </c>
      <c r="T134" s="8" t="n">
        <f aca="false">IF(ISNUMBER(P134),PERCENTRANK($P$5:$P$337,P134),"")</f>
        <v>0</v>
      </c>
      <c r="U134" s="9" t="n">
        <f aca="false">IF((IF(ISNUMBER(Q134),Inputs!$B$4,0)+IF(ISNUMBER(R134),Inputs!$B$5,0)+IF(ISNUMBER(S134),Inputs!$B$6,0)+IF(ISNUMBER(T134),Inputs!$B$7,0))=0,"",(IF(ISNUMBER(Q134),Inputs!$B$4*Q134,0)+IF(ISNUMBER(R134),Inputs!$B$5*R134,0)+IF(ISNUMBER(S134),Inputs!$B$6*S134,0)+IF(ISNUMBER(T134),Inputs!$B$7*T134,0))/(IF(ISNUMBER(Q134),Inputs!$B$4,0)+IF(ISNUMBER(R134),Inputs!$B$5,0)+IF(ISNUMBER(S134),Inputs!$B$6,0)+IF(ISNUMBER(T134),Inputs!$B$7,0)))</f>
        <v>0.217</v>
      </c>
      <c r="V134" s="5" t="str">
        <f aca="false">IF(F134&gt;0,"Yes","No")</f>
        <v>Yes</v>
      </c>
      <c r="W134" s="5" t="str">
        <f aca="false">IF(ISNUMBER(N134),IF(N134&gt;=Inputs!$D$18,"Yes","No"),"No price")</f>
        <v>No price</v>
      </c>
      <c r="X134" s="5" t="str">
        <f aca="false">IF(K134+L134&gt;0,"Yes",IF(M134&gt;0,"No","Unclear"))</f>
        <v>Unclear</v>
      </c>
      <c r="Y134" s="5" t="str">
        <f aca="false">INDEX('API Data'!$H$2:$H$152,MATCH(B134,'API Data'!$A$2:$A$152,0))</f>
        <v>No</v>
      </c>
      <c r="Z134" s="5" t="str">
        <f aca="false">IF(COUNTIFS('Product Rows'!$A$2:$A$696,B134,'Product Rows'!$B$2:$B$696,C134,'Product Rows'!$I$2:$I$696,"Yes")&gt;0,"Yes","No")</f>
        <v>No</v>
      </c>
      <c r="AA134" s="5" t="str">
        <f aca="false">IF(P134&gt;=Inputs!$D$22,"Yes","No")</f>
        <v>No</v>
      </c>
      <c r="AB134" s="10" t="b">
        <f aca="false">AND(OR(Inputs!$B$17&lt;&gt;"Exclude",V134="Yes"),OR(Inputs!$B$18&lt;&gt;"Exclude",W134&lt;&gt;"No"),OR(Inputs!$B$19&lt;&gt;"Exclude",X134&lt;&gt;"No"),OR(Inputs!$B$20&lt;&gt;"Exclude",Y134="No"),OR(Inputs!$B$21&lt;&gt;"Exclude",Z134="No"),OR(Inputs!$B$22&lt;&gt;"Exclude",AA134="Yes"),ISNUMBER(U134))</f>
        <v>1</v>
      </c>
      <c r="AC134" s="5" t="n">
        <f aca="false">IF(AB134,COUNTIFS($C$5:$C$337,C134,$AB$5:$AB$337,TRUE(),$U$5:$U$337,"&gt;"&amp;U134)+COUNTIFS($C$5:C134,C134,$AB$5:AB134,TRUE(),$U$5:U134,U134),"")</f>
        <v>2</v>
      </c>
      <c r="AD134" s="5" t="str">
        <f aca="false">IF(AC134="","Not eligible",IF(AC134&lt;=Inputs!$B$25,"Lead",IF(AC134&lt;=Inputs!$B$25+Inputs!$B$26,"Next wave","Long list")))</f>
        <v>Lead</v>
      </c>
      <c r="AE134" s="5" t="str">
        <f aca="false">IF(AND(K134+L134=0,M134&gt;0),"Safety upgrade of existing prefilled syringe",IF(K134+L134+M134=0,"Confirm presentation (not stated in source)",IF(AA134="Yes","Differentiation in crowded generic market","Safety-device mandate compliance")))</f>
        <v>Confirm presentation (not stated in source)</v>
      </c>
      <c r="AF134" s="5" t="str">
        <f aca="false">IF(AC134="","",C134&amp;"|"&amp;AC134)</f>
        <v>Lupin|2</v>
      </c>
    </row>
    <row r="135" customFormat="false" ht="15" hidden="false" customHeight="false" outlineLevel="0" collapsed="false">
      <c r="A135" s="5" t="n">
        <f aca="false">IF(ISNUMBER(U135),RANK(U135,$U$5:$U$337),"")</f>
        <v>328</v>
      </c>
      <c r="B135" s="5" t="s">
        <v>106</v>
      </c>
      <c r="C135" s="5" t="s">
        <v>40</v>
      </c>
      <c r="D135" s="5" t="str">
        <f aca="false">INDEX('API Data'!$B$2:$B$152,MATCH(B135,'API Data'!$A$2:$A$152,0))</f>
        <v>Anaesthesia / Pain – surgical &amp; ICU analgesia (opioid)</v>
      </c>
      <c r="E135" s="5" t="n">
        <f aca="false">COUNTIFS('Market Listing'!$A$2:$A$4054,B135,'Market Listing'!$B$2:$B$4054,C135)</f>
        <v>1</v>
      </c>
      <c r="F135" s="5" t="n">
        <f aca="false">COUNTIFS('Market Listing'!$A$2:$A$4054,B135,'Market Listing'!$B$2:$B$4054,C135,'Market Listing'!$D$2:$D$4054,"Tier 1")</f>
        <v>0</v>
      </c>
      <c r="G135" s="5" t="n">
        <f aca="false">COUNTIFS('Market Listing'!$A$2:$A$4054,B135,'Market Listing'!$B$2:$B$4054,C135,'Market Listing'!$D$2:$D$4054,"Tier 2")</f>
        <v>1</v>
      </c>
      <c r="H135" s="5" t="n">
        <f aca="false">COUNTIFS('Market Listing'!$A$2:$A$4054,B135,'Market Listing'!$B$2:$B$4054,C135,'Market Listing'!$D$2:$D$4054,"Tier 3")</f>
        <v>0</v>
      </c>
      <c r="I135" s="5" t="n">
        <f aca="false">SUMIFS('Market Listing'!$E$2:$E$4054,'Market Listing'!$A$2:$A$4054,B135,'Market Listing'!$B$2:$B$4054,C135)</f>
        <v>2</v>
      </c>
      <c r="J135" s="5" t="n">
        <f aca="false">COUNTIFS('Product Rows'!$A$2:$A$696,B135,'Product Rows'!$B$2:$B$696,C135)</f>
        <v>2</v>
      </c>
      <c r="K135" s="5" t="n">
        <f aca="false">COUNTIFS('Product Rows'!$A$2:$A$696,B135,'Product Rows'!$B$2:$B$696,C135,'Product Rows'!$G$2:$G$696,"Vial")</f>
        <v>0</v>
      </c>
      <c r="L135" s="5" t="n">
        <f aca="false">COUNTIFS('Product Rows'!$A$2:$A$696,B135,'Product Rows'!$B$2:$B$696,C135,'Product Rows'!$G$2:$G$696,"Ampoule")</f>
        <v>2</v>
      </c>
      <c r="M135" s="5" t="n">
        <f aca="false">COUNTIFS('Product Rows'!$A$2:$A$696,B135,'Product Rows'!$B$2:$B$696,C135,'Product Rows'!$G$2:$G$696,"Prefilled syringe/pen")</f>
        <v>0</v>
      </c>
      <c r="N135" s="6" t="str">
        <f aca="false">IFERROR(AVERAGEIFS('Product Rows'!$H$2:$H$696,'Product Rows'!$A$2:$A$696,B135,'Product Rows'!$B$2:$B$696,C135),"")</f>
        <v/>
      </c>
      <c r="O135" s="7" t="n">
        <f aca="false">INDEX('API Data'!$E$2:$E$152,MATCH(B135,'API Data'!$A$2:$A$152,0))</f>
        <v>287.50815546681</v>
      </c>
      <c r="P135" s="5" t="n">
        <f aca="false">COUNTIF($B$5:$B$337,B135)</f>
        <v>2</v>
      </c>
      <c r="Q135" s="8" t="n">
        <f aca="false">IF(ISNUMBER(I135),PERCENTRANK($I$5:$I$337,I135),"")</f>
        <v>0</v>
      </c>
      <c r="R135" s="8" t="str">
        <f aca="false">IF(ISNUMBER(N135),PERCENTRANK($N$5:$N$337,N135),"")</f>
        <v/>
      </c>
      <c r="S135" s="8" t="n">
        <f aca="false">IF(ISNUMBER(O135),PERCENTRANK($O$5:$O$337,O135),"")</f>
        <v>0.0753</v>
      </c>
      <c r="T135" s="8" t="n">
        <f aca="false">IF(ISNUMBER(P135),PERCENTRANK($P$5:$P$337,P135),"")</f>
        <v>0.235</v>
      </c>
      <c r="U135" s="9" t="n">
        <f aca="false">IF((IF(ISNUMBER(Q135),Inputs!$B$4,0)+IF(ISNUMBER(R135),Inputs!$B$5,0)+IF(ISNUMBER(S135),Inputs!$B$6,0)+IF(ISNUMBER(T135),Inputs!$B$7,0))=0,"",(IF(ISNUMBER(Q135),Inputs!$B$4*Q135,0)+IF(ISNUMBER(R135),Inputs!$B$5*R135,0)+IF(ISNUMBER(S135),Inputs!$B$6*S135,0)+IF(ISNUMBER(T135),Inputs!$B$7*T135,0))/(IF(ISNUMBER(Q135),Inputs!$B$4,0)+IF(ISNUMBER(R135),Inputs!$B$5,0)+IF(ISNUMBER(S135),Inputs!$B$6,0)+IF(ISNUMBER(T135),Inputs!$B$7,0)))</f>
        <v>0.0753</v>
      </c>
      <c r="V135" s="5" t="str">
        <f aca="false">IF(F135&gt;0,"Yes","No")</f>
        <v>No</v>
      </c>
      <c r="W135" s="5" t="str">
        <f aca="false">IF(ISNUMBER(N135),IF(N135&gt;=Inputs!$D$18,"Yes","No"),"No price")</f>
        <v>No price</v>
      </c>
      <c r="X135" s="5" t="str">
        <f aca="false">IF(K135+L135&gt;0,"Yes",IF(M135&gt;0,"No","Unclear"))</f>
        <v>Yes</v>
      </c>
      <c r="Y135" s="5" t="str">
        <f aca="false">INDEX('API Data'!$H$2:$H$152,MATCH(B135,'API Data'!$A$2:$A$152,0))</f>
        <v>No</v>
      </c>
      <c r="Z135" s="5" t="str">
        <f aca="false">IF(COUNTIFS('Product Rows'!$A$2:$A$696,B135,'Product Rows'!$B$2:$B$696,C135,'Product Rows'!$I$2:$I$696,"Yes")&gt;0,"Yes","No")</f>
        <v>No</v>
      </c>
      <c r="AA135" s="5" t="str">
        <f aca="false">IF(P135&gt;=Inputs!$D$22,"Yes","No")</f>
        <v>No</v>
      </c>
      <c r="AB135" s="10" t="b">
        <f aca="false">AND(OR(Inputs!$B$17&lt;&gt;"Exclude",V135="Yes"),OR(Inputs!$B$18&lt;&gt;"Exclude",W135&lt;&gt;"No"),OR(Inputs!$B$19&lt;&gt;"Exclude",X135&lt;&gt;"No"),OR(Inputs!$B$20&lt;&gt;"Exclude",Y135="No"),OR(Inputs!$B$21&lt;&gt;"Exclude",Z135="No"),OR(Inputs!$B$22&lt;&gt;"Exclude",AA135="Yes"),ISNUMBER(U135))</f>
        <v>0</v>
      </c>
      <c r="AC135" s="5" t="str">
        <f aca="false">IF(AB135,COUNTIFS($C$5:$C$337,C135,$AB$5:$AB$337,TRUE(),$U$5:$U$337,"&gt;"&amp;U135)+COUNTIFS($C$5:C135,C135,$AB$5:AB135,TRUE(),$U$5:U135,U135),"")</f>
        <v/>
      </c>
      <c r="AD135" s="5" t="str">
        <f aca="false">IF(AC135="","Not eligible",IF(AC135&lt;=Inputs!$B$25,"Lead",IF(AC135&lt;=Inputs!$B$25+Inputs!$B$26,"Next wave","Long list")))</f>
        <v>Not eligible</v>
      </c>
      <c r="AE135" s="5" t="str">
        <f aca="false">IF(AND(K135+L135=0,M135&gt;0),"Safety upgrade of existing prefilled syringe",IF(K135+L135+M135=0,"Confirm presentation (not stated in source)",IF(AA135="Yes","Differentiation in crowded generic market","Safety-device mandate compliance")))</f>
        <v>Safety-device mandate compliance</v>
      </c>
      <c r="AF135" s="5" t="str">
        <f aca="false">IF(AC135="","",C135&amp;"|"&amp;AC135)</f>
        <v/>
      </c>
    </row>
    <row r="136" customFormat="false" ht="15" hidden="false" customHeight="false" outlineLevel="0" collapsed="false">
      <c r="A136" s="5" t="n">
        <f aca="false">IF(ISNUMBER(U136),RANK(U136,$U$5:$U$337),"")</f>
        <v>309</v>
      </c>
      <c r="B136" s="5" t="s">
        <v>106</v>
      </c>
      <c r="C136" s="5" t="s">
        <v>41</v>
      </c>
      <c r="D136" s="5" t="str">
        <f aca="false">INDEX('API Data'!$B$2:$B$152,MATCH(B136,'API Data'!$A$2:$A$152,0))</f>
        <v>Anaesthesia / Pain – surgical &amp; ICU analgesia (opioid)</v>
      </c>
      <c r="E136" s="5" t="n">
        <f aca="false">COUNTIFS('Market Listing'!$A$2:$A$4054,B136,'Market Listing'!$B$2:$B$4054,C136)</f>
        <v>1</v>
      </c>
      <c r="F136" s="5" t="n">
        <f aca="false">COUNTIFS('Market Listing'!$A$2:$A$4054,B136,'Market Listing'!$B$2:$B$4054,C136,'Market Listing'!$D$2:$D$4054,"Tier 1")</f>
        <v>0</v>
      </c>
      <c r="G136" s="5" t="n">
        <f aca="false">COUNTIFS('Market Listing'!$A$2:$A$4054,B136,'Market Listing'!$B$2:$B$4054,C136,'Market Listing'!$D$2:$D$4054,"Tier 2")</f>
        <v>1</v>
      </c>
      <c r="H136" s="5" t="n">
        <f aca="false">COUNTIFS('Market Listing'!$A$2:$A$4054,B136,'Market Listing'!$B$2:$B$4054,C136,'Market Listing'!$D$2:$D$4054,"Tier 3")</f>
        <v>0</v>
      </c>
      <c r="I136" s="5" t="n">
        <f aca="false">SUMIFS('Market Listing'!$E$2:$E$4054,'Market Listing'!$A$2:$A$4054,B136,'Market Listing'!$B$2:$B$4054,C136)</f>
        <v>2</v>
      </c>
      <c r="J136" s="5" t="n">
        <f aca="false">COUNTIFS('Product Rows'!$A$2:$A$696,B136,'Product Rows'!$B$2:$B$696,C136)</f>
        <v>2</v>
      </c>
      <c r="K136" s="5" t="n">
        <f aca="false">COUNTIFS('Product Rows'!$A$2:$A$696,B136,'Product Rows'!$B$2:$B$696,C136,'Product Rows'!$G$2:$G$696,"Vial")</f>
        <v>0</v>
      </c>
      <c r="L136" s="5" t="n">
        <f aca="false">COUNTIFS('Product Rows'!$A$2:$A$696,B136,'Product Rows'!$B$2:$B$696,C136,'Product Rows'!$G$2:$G$696,"Ampoule")</f>
        <v>2</v>
      </c>
      <c r="M136" s="5" t="n">
        <f aca="false">COUNTIFS('Product Rows'!$A$2:$A$696,B136,'Product Rows'!$B$2:$B$696,C136,'Product Rows'!$G$2:$G$696,"Prefilled syringe/pen")</f>
        <v>0</v>
      </c>
      <c r="N136" s="6" t="n">
        <f aca="false">IFERROR(AVERAGEIFS('Product Rows'!$H$2:$H$696,'Product Rows'!$A$2:$A$696,B136,'Product Rows'!$B$2:$B$696,C136),"")</f>
        <v>15.8</v>
      </c>
      <c r="O136" s="7" t="n">
        <f aca="false">INDEX('API Data'!$E$2:$E$152,MATCH(B136,'API Data'!$A$2:$A$152,0))</f>
        <v>287.50815546681</v>
      </c>
      <c r="P136" s="5" t="n">
        <f aca="false">COUNTIF($B$5:$B$337,B136)</f>
        <v>2</v>
      </c>
      <c r="Q136" s="8" t="n">
        <f aca="false">IF(ISNUMBER(I136),PERCENTRANK($I$5:$I$337,I136),"")</f>
        <v>0</v>
      </c>
      <c r="R136" s="8" t="n">
        <f aca="false">IF(ISNUMBER(N136),PERCENTRANK($N$5:$N$337,N136),"")</f>
        <v>0.312</v>
      </c>
      <c r="S136" s="8" t="n">
        <f aca="false">IF(ISNUMBER(O136),PERCENTRANK($O$5:$O$337,O136),"")</f>
        <v>0.0753</v>
      </c>
      <c r="T136" s="8" t="n">
        <f aca="false">IF(ISNUMBER(P136),PERCENTRANK($P$5:$P$337,P136),"")</f>
        <v>0.235</v>
      </c>
      <c r="U136" s="9" t="n">
        <f aca="false">IF((IF(ISNUMBER(Q136),Inputs!$B$4,0)+IF(ISNUMBER(R136),Inputs!$B$5,0)+IF(ISNUMBER(S136),Inputs!$B$6,0)+IF(ISNUMBER(T136),Inputs!$B$7,0))=0,"",(IF(ISNUMBER(Q136),Inputs!$B$4*Q136,0)+IF(ISNUMBER(R136),Inputs!$B$5*R136,0)+IF(ISNUMBER(S136),Inputs!$B$6*S136,0)+IF(ISNUMBER(T136),Inputs!$B$7*T136,0))/(IF(ISNUMBER(Q136),Inputs!$B$4,0)+IF(ISNUMBER(R136),Inputs!$B$5,0)+IF(ISNUMBER(S136),Inputs!$B$6,0)+IF(ISNUMBER(T136),Inputs!$B$7,0)))</f>
        <v>0.19365</v>
      </c>
      <c r="V136" s="5" t="str">
        <f aca="false">IF(F136&gt;0,"Yes","No")</f>
        <v>No</v>
      </c>
      <c r="W136" s="5" t="str">
        <f aca="false">IF(ISNUMBER(N136),IF(N136&gt;=Inputs!$D$18,"Yes","No"),"No price")</f>
        <v>Yes</v>
      </c>
      <c r="X136" s="5" t="str">
        <f aca="false">IF(K136+L136&gt;0,"Yes",IF(M136&gt;0,"No","Unclear"))</f>
        <v>Yes</v>
      </c>
      <c r="Y136" s="5" t="str">
        <f aca="false">INDEX('API Data'!$H$2:$H$152,MATCH(B136,'API Data'!$A$2:$A$152,0))</f>
        <v>No</v>
      </c>
      <c r="Z136" s="5" t="str">
        <f aca="false">IF(COUNTIFS('Product Rows'!$A$2:$A$696,B136,'Product Rows'!$B$2:$B$696,C136,'Product Rows'!$I$2:$I$696,"Yes")&gt;0,"Yes","No")</f>
        <v>No</v>
      </c>
      <c r="AA136" s="5" t="str">
        <f aca="false">IF(P136&gt;=Inputs!$D$22,"Yes","No")</f>
        <v>No</v>
      </c>
      <c r="AB136" s="10" t="b">
        <f aca="false">AND(OR(Inputs!$B$17&lt;&gt;"Exclude",V136="Yes"),OR(Inputs!$B$18&lt;&gt;"Exclude",W136&lt;&gt;"No"),OR(Inputs!$B$19&lt;&gt;"Exclude",X136&lt;&gt;"No"),OR(Inputs!$B$20&lt;&gt;"Exclude",Y136="No"),OR(Inputs!$B$21&lt;&gt;"Exclude",Z136="No"),OR(Inputs!$B$22&lt;&gt;"Exclude",AA136="Yes"),ISNUMBER(U136))</f>
        <v>0</v>
      </c>
      <c r="AC136" s="5" t="str">
        <f aca="false">IF(AB136,COUNTIFS($C$5:$C$337,C136,$AB$5:$AB$337,TRUE(),$U$5:$U$337,"&gt;"&amp;U136)+COUNTIFS($C$5:C136,C136,$AB$5:AB136,TRUE(),$U$5:U136,U136),"")</f>
        <v/>
      </c>
      <c r="AD136" s="5" t="str">
        <f aca="false">IF(AC136="","Not eligible",IF(AC136&lt;=Inputs!$B$25,"Lead",IF(AC136&lt;=Inputs!$B$25+Inputs!$B$26,"Next wave","Long list")))</f>
        <v>Not eligible</v>
      </c>
      <c r="AE136" s="5" t="str">
        <f aca="false">IF(AND(K136+L136=0,M136&gt;0),"Safety upgrade of existing prefilled syringe",IF(K136+L136+M136=0,"Confirm presentation (not stated in source)",IF(AA136="Yes","Differentiation in crowded generic market","Safety-device mandate compliance")))</f>
        <v>Safety-device mandate compliance</v>
      </c>
      <c r="AF136" s="5" t="str">
        <f aca="false">IF(AC136="","",C136&amp;"|"&amp;AC136)</f>
        <v/>
      </c>
    </row>
    <row r="137" customFormat="false" ht="15" hidden="false" customHeight="false" outlineLevel="0" collapsed="false">
      <c r="A137" s="5" t="n">
        <f aca="false">IF(ISNUMBER(U137),RANK(U137,$U$5:$U$337),"")</f>
        <v>265</v>
      </c>
      <c r="B137" s="5" t="s">
        <v>107</v>
      </c>
      <c r="C137" s="5" t="s">
        <v>55</v>
      </c>
      <c r="D137" s="5" t="str">
        <f aca="false">INDEX('API Data'!$B$2:$B$152,MATCH(B137,'API Data'!$A$2:$A$152,0))</f>
        <v>Haematology / Nephrology – IV iron for iron-deficiency anaemia (CKD, heart failure)</v>
      </c>
      <c r="E137" s="5" t="n">
        <f aca="false">COUNTIFS('Market Listing'!$A$2:$A$4054,B137,'Market Listing'!$B$2:$B$4054,C137)</f>
        <v>1</v>
      </c>
      <c r="F137" s="5" t="n">
        <f aca="false">COUNTIFS('Market Listing'!$A$2:$A$4054,B137,'Market Listing'!$B$2:$B$4054,C137,'Market Listing'!$D$2:$D$4054,"Tier 1")</f>
        <v>0</v>
      </c>
      <c r="G137" s="5" t="n">
        <f aca="false">COUNTIFS('Market Listing'!$A$2:$A$4054,B137,'Market Listing'!$B$2:$B$4054,C137,'Market Listing'!$D$2:$D$4054,"Tier 2")</f>
        <v>1</v>
      </c>
      <c r="H137" s="5" t="n">
        <f aca="false">COUNTIFS('Market Listing'!$A$2:$A$4054,B137,'Market Listing'!$B$2:$B$4054,C137,'Market Listing'!$D$2:$D$4054,"Tier 3")</f>
        <v>0</v>
      </c>
      <c r="I137" s="5" t="n">
        <f aca="false">SUMIFS('Market Listing'!$E$2:$E$4054,'Market Listing'!$A$2:$A$4054,B137,'Market Listing'!$B$2:$B$4054,C137)</f>
        <v>2</v>
      </c>
      <c r="J137" s="5" t="n">
        <f aca="false">COUNTIFS('Product Rows'!$A$2:$A$696,B137,'Product Rows'!$B$2:$B$696,C137)</f>
        <v>3</v>
      </c>
      <c r="K137" s="5" t="n">
        <f aca="false">COUNTIFS('Product Rows'!$A$2:$A$696,B137,'Product Rows'!$B$2:$B$696,C137,'Product Rows'!$G$2:$G$696,"Vial")</f>
        <v>3</v>
      </c>
      <c r="L137" s="5" t="n">
        <f aca="false">COUNTIFS('Product Rows'!$A$2:$A$696,B137,'Product Rows'!$B$2:$B$696,C137,'Product Rows'!$G$2:$G$696,"Ampoule")</f>
        <v>0</v>
      </c>
      <c r="M137" s="5" t="n">
        <f aca="false">COUNTIFS('Product Rows'!$A$2:$A$696,B137,'Product Rows'!$B$2:$B$696,C137,'Product Rows'!$G$2:$G$696,"Prefilled syringe/pen")</f>
        <v>0</v>
      </c>
      <c r="N137" s="6" t="n">
        <f aca="false">IFERROR(AVERAGEIFS('Product Rows'!$H$2:$H$696,'Product Rows'!$A$2:$A$696,B137,'Product Rows'!$B$2:$B$696,C137),"")</f>
        <v>30.59</v>
      </c>
      <c r="O137" s="7" t="n">
        <f aca="false">INDEX('API Data'!$E$2:$E$152,MATCH(B137,'API Data'!$A$2:$A$152,0))</f>
        <v>373.880733333333</v>
      </c>
      <c r="P137" s="5" t="n">
        <f aca="false">COUNTIF($B$5:$B$337,B137)</f>
        <v>1</v>
      </c>
      <c r="Q137" s="8" t="n">
        <f aca="false">IF(ISNUMBER(I137),PERCENTRANK($I$5:$I$337,I137),"")</f>
        <v>0</v>
      </c>
      <c r="R137" s="8" t="n">
        <f aca="false">IF(ISNUMBER(N137),PERCENTRANK($N$5:$N$337,N137),"")</f>
        <v>0.498</v>
      </c>
      <c r="S137" s="8" t="n">
        <f aca="false">IF(ISNUMBER(O137),PERCENTRANK($O$5:$O$337,O137),"")</f>
        <v>0.0934</v>
      </c>
      <c r="T137" s="8" t="n">
        <f aca="false">IF(ISNUMBER(P137),PERCENTRANK($P$5:$P$337,P137),"")</f>
        <v>0</v>
      </c>
      <c r="U137" s="9" t="n">
        <f aca="false">IF((IF(ISNUMBER(Q137),Inputs!$B$4,0)+IF(ISNUMBER(R137),Inputs!$B$5,0)+IF(ISNUMBER(S137),Inputs!$B$6,0)+IF(ISNUMBER(T137),Inputs!$B$7,0))=0,"",(IF(ISNUMBER(Q137),Inputs!$B$4*Q137,0)+IF(ISNUMBER(R137),Inputs!$B$5*R137,0)+IF(ISNUMBER(S137),Inputs!$B$6*S137,0)+IF(ISNUMBER(T137),Inputs!$B$7*T137,0))/(IF(ISNUMBER(Q137),Inputs!$B$4,0)+IF(ISNUMBER(R137),Inputs!$B$5,0)+IF(ISNUMBER(S137),Inputs!$B$6,0)+IF(ISNUMBER(T137),Inputs!$B$7,0)))</f>
        <v>0.2957</v>
      </c>
      <c r="V137" s="5" t="str">
        <f aca="false">IF(F137&gt;0,"Yes","No")</f>
        <v>No</v>
      </c>
      <c r="W137" s="5" t="str">
        <f aca="false">IF(ISNUMBER(N137),IF(N137&gt;=Inputs!$D$18,"Yes","No"),"No price")</f>
        <v>Yes</v>
      </c>
      <c r="X137" s="5" t="str">
        <f aca="false">IF(K137+L137&gt;0,"Yes",IF(M137&gt;0,"No","Unclear"))</f>
        <v>Yes</v>
      </c>
      <c r="Y137" s="5" t="str">
        <f aca="false">INDEX('API Data'!$H$2:$H$152,MATCH(B137,'API Data'!$A$2:$A$152,0))</f>
        <v>No</v>
      </c>
      <c r="Z137" s="5" t="str">
        <f aca="false">IF(COUNTIFS('Product Rows'!$A$2:$A$696,B137,'Product Rows'!$B$2:$B$696,C137,'Product Rows'!$I$2:$I$696,"Yes")&gt;0,"Yes","No")</f>
        <v>No</v>
      </c>
      <c r="AA137" s="5" t="str">
        <f aca="false">IF(P137&gt;=Inputs!$D$22,"Yes","No")</f>
        <v>No</v>
      </c>
      <c r="AB137" s="10" t="b">
        <f aca="false">AND(OR(Inputs!$B$17&lt;&gt;"Exclude",V137="Yes"),OR(Inputs!$B$18&lt;&gt;"Exclude",W137&lt;&gt;"No"),OR(Inputs!$B$19&lt;&gt;"Exclude",X137&lt;&gt;"No"),OR(Inputs!$B$20&lt;&gt;"Exclude",Y137="No"),OR(Inputs!$B$21&lt;&gt;"Exclude",Z137="No"),OR(Inputs!$B$22&lt;&gt;"Exclude",AA137="Yes"),ISNUMBER(U137))</f>
        <v>0</v>
      </c>
      <c r="AC137" s="5" t="str">
        <f aca="false">IF(AB137,COUNTIFS($C$5:$C$337,C137,$AB$5:$AB$337,TRUE(),$U$5:$U$337,"&gt;"&amp;U137)+COUNTIFS($C$5:C137,C137,$AB$5:AB137,TRUE(),$U$5:U137,U137),"")</f>
        <v/>
      </c>
      <c r="AD137" s="5" t="str">
        <f aca="false">IF(AC137="","Not eligible",IF(AC137&lt;=Inputs!$B$25,"Lead",IF(AC137&lt;=Inputs!$B$25+Inputs!$B$26,"Next wave","Long list")))</f>
        <v>Not eligible</v>
      </c>
      <c r="AE137" s="5" t="str">
        <f aca="false">IF(AND(K137+L137=0,M137&gt;0),"Safety upgrade of existing prefilled syringe",IF(K137+L137+M137=0,"Confirm presentation (not stated in source)",IF(AA137="Yes","Differentiation in crowded generic market","Safety-device mandate compliance")))</f>
        <v>Safety-device mandate compliance</v>
      </c>
      <c r="AF137" s="5" t="str">
        <f aca="false">IF(AC137="","",C137&amp;"|"&amp;AC137)</f>
        <v/>
      </c>
    </row>
    <row r="138" customFormat="false" ht="15" hidden="false" customHeight="false" outlineLevel="0" collapsed="false">
      <c r="A138" s="5" t="n">
        <f aca="false">IF(ISNUMBER(U138),RANK(U138,$U$5:$U$337),"")</f>
        <v>100</v>
      </c>
      <c r="B138" s="5" t="s">
        <v>108</v>
      </c>
      <c r="C138" s="5" t="s">
        <v>47</v>
      </c>
      <c r="D138" s="5" t="str">
        <f aca="false">INDEX('API Data'!$B$2:$B$152,MATCH(B138,'API Data'!$A$2:$A$152,0))</f>
        <v>Anti-infective – staphylococcal skin, bone &amp; heart infections</v>
      </c>
      <c r="E138" s="5" t="n">
        <f aca="false">COUNTIFS('Market Listing'!$A$2:$A$4054,B138,'Market Listing'!$B$2:$B$4054,C138)</f>
        <v>1</v>
      </c>
      <c r="F138" s="5" t="n">
        <f aca="false">COUNTIFS('Market Listing'!$A$2:$A$4054,B138,'Market Listing'!$B$2:$B$4054,C138,'Market Listing'!$D$2:$D$4054,"Tier 1")</f>
        <v>0</v>
      </c>
      <c r="G138" s="5" t="n">
        <f aca="false">COUNTIFS('Market Listing'!$A$2:$A$4054,B138,'Market Listing'!$B$2:$B$4054,C138,'Market Listing'!$D$2:$D$4054,"Tier 2")</f>
        <v>1</v>
      </c>
      <c r="H138" s="5" t="n">
        <f aca="false">COUNTIFS('Market Listing'!$A$2:$A$4054,B138,'Market Listing'!$B$2:$B$4054,C138,'Market Listing'!$D$2:$D$4054,"Tier 3")</f>
        <v>0</v>
      </c>
      <c r="I138" s="5" t="n">
        <f aca="false">SUMIFS('Market Listing'!$E$2:$E$4054,'Market Listing'!$A$2:$A$4054,B138,'Market Listing'!$B$2:$B$4054,C138)</f>
        <v>2</v>
      </c>
      <c r="J138" s="5" t="n">
        <f aca="false">COUNTIFS('Product Rows'!$A$2:$A$696,B138,'Product Rows'!$B$2:$B$696,C138)</f>
        <v>3</v>
      </c>
      <c r="K138" s="5" t="n">
        <f aca="false">COUNTIFS('Product Rows'!$A$2:$A$696,B138,'Product Rows'!$B$2:$B$696,C138,'Product Rows'!$G$2:$G$696,"Vial")</f>
        <v>3</v>
      </c>
      <c r="L138" s="5" t="n">
        <f aca="false">COUNTIFS('Product Rows'!$A$2:$A$696,B138,'Product Rows'!$B$2:$B$696,C138,'Product Rows'!$G$2:$G$696,"Ampoule")</f>
        <v>0</v>
      </c>
      <c r="M138" s="5" t="n">
        <f aca="false">COUNTIFS('Product Rows'!$A$2:$A$696,B138,'Product Rows'!$B$2:$B$696,C138,'Product Rows'!$G$2:$G$696,"Prefilled syringe/pen")</f>
        <v>0</v>
      </c>
      <c r="N138" s="6" t="str">
        <f aca="false">IFERROR(AVERAGEIFS('Product Rows'!$H$2:$H$696,'Product Rows'!$A$2:$A$696,B138,'Product Rows'!$B$2:$B$696,C138),"")</f>
        <v/>
      </c>
      <c r="O138" s="7" t="n">
        <f aca="false">INDEX('API Data'!$E$2:$E$152,MATCH(B138,'API Data'!$A$2:$A$152,0))</f>
        <v>6287.60244019139</v>
      </c>
      <c r="P138" s="5" t="n">
        <f aca="false">COUNTIF($B$5:$B$337,B138)</f>
        <v>2</v>
      </c>
      <c r="Q138" s="8" t="n">
        <f aca="false">IF(ISNUMBER(I138),PERCENTRANK($I$5:$I$337,I138),"")</f>
        <v>0</v>
      </c>
      <c r="R138" s="8" t="str">
        <f aca="false">IF(ISNUMBER(N138),PERCENTRANK($N$5:$N$337,N138),"")</f>
        <v/>
      </c>
      <c r="S138" s="8" t="n">
        <f aca="false">IF(ISNUMBER(O138),PERCENTRANK($O$5:$O$337,O138),"")</f>
        <v>0.587</v>
      </c>
      <c r="T138" s="8" t="n">
        <f aca="false">IF(ISNUMBER(P138),PERCENTRANK($P$5:$P$337,P138),"")</f>
        <v>0.235</v>
      </c>
      <c r="U138" s="9" t="n">
        <f aca="false">IF((IF(ISNUMBER(Q138),Inputs!$B$4,0)+IF(ISNUMBER(R138),Inputs!$B$5,0)+IF(ISNUMBER(S138),Inputs!$B$6,0)+IF(ISNUMBER(T138),Inputs!$B$7,0))=0,"",(IF(ISNUMBER(Q138),Inputs!$B$4*Q138,0)+IF(ISNUMBER(R138),Inputs!$B$5*R138,0)+IF(ISNUMBER(S138),Inputs!$B$6*S138,0)+IF(ISNUMBER(T138),Inputs!$B$7*T138,0))/(IF(ISNUMBER(Q138),Inputs!$B$4,0)+IF(ISNUMBER(R138),Inputs!$B$5,0)+IF(ISNUMBER(S138),Inputs!$B$6,0)+IF(ISNUMBER(T138),Inputs!$B$7,0)))</f>
        <v>0.587</v>
      </c>
      <c r="V138" s="5" t="str">
        <f aca="false">IF(F138&gt;0,"Yes","No")</f>
        <v>No</v>
      </c>
      <c r="W138" s="5" t="str">
        <f aca="false">IF(ISNUMBER(N138),IF(N138&gt;=Inputs!$D$18,"Yes","No"),"No price")</f>
        <v>No price</v>
      </c>
      <c r="X138" s="5" t="str">
        <f aca="false">IF(K138+L138&gt;0,"Yes",IF(M138&gt;0,"No","Unclear"))</f>
        <v>Yes</v>
      </c>
      <c r="Y138" s="5" t="str">
        <f aca="false">INDEX('API Data'!$H$2:$H$152,MATCH(B138,'API Data'!$A$2:$A$152,0))</f>
        <v>No</v>
      </c>
      <c r="Z138" s="5" t="str">
        <f aca="false">IF(COUNTIFS('Product Rows'!$A$2:$A$696,B138,'Product Rows'!$B$2:$B$696,C138,'Product Rows'!$I$2:$I$696,"Yes")&gt;0,"Yes","No")</f>
        <v>Yes</v>
      </c>
      <c r="AA138" s="5" t="str">
        <f aca="false">IF(P138&gt;=Inputs!$D$22,"Yes","No")</f>
        <v>No</v>
      </c>
      <c r="AB138" s="10" t="b">
        <f aca="false">AND(OR(Inputs!$B$17&lt;&gt;"Exclude",V138="Yes"),OR(Inputs!$B$18&lt;&gt;"Exclude",W138&lt;&gt;"No"),OR(Inputs!$B$19&lt;&gt;"Exclude",X138&lt;&gt;"No"),OR(Inputs!$B$20&lt;&gt;"Exclude",Y138="No"),OR(Inputs!$B$21&lt;&gt;"Exclude",Z138="No"),OR(Inputs!$B$22&lt;&gt;"Exclude",AA138="Yes"),ISNUMBER(U138))</f>
        <v>0</v>
      </c>
      <c r="AC138" s="5" t="str">
        <f aca="false">IF(AB138,COUNTIFS($C$5:$C$337,C138,$AB$5:$AB$337,TRUE(),$U$5:$U$337,"&gt;"&amp;U138)+COUNTIFS($C$5:C138,C138,$AB$5:AB138,TRUE(),$U$5:U138,U138),"")</f>
        <v/>
      </c>
      <c r="AD138" s="5" t="str">
        <f aca="false">IF(AC138="","Not eligible",IF(AC138&lt;=Inputs!$B$25,"Lead",IF(AC138&lt;=Inputs!$B$25+Inputs!$B$26,"Next wave","Long list")))</f>
        <v>Not eligible</v>
      </c>
      <c r="AE138" s="5" t="str">
        <f aca="false">IF(AND(K138+L138=0,M138&gt;0),"Safety upgrade of existing prefilled syringe",IF(K138+L138+M138=0,"Confirm presentation (not stated in source)",IF(AA138="Yes","Differentiation in crowded generic market","Safety-device mandate compliance")))</f>
        <v>Safety-device mandate compliance</v>
      </c>
      <c r="AF138" s="5" t="str">
        <f aca="false">IF(AC138="","",C138&amp;"|"&amp;AC138)</f>
        <v/>
      </c>
    </row>
    <row r="139" customFormat="false" ht="15" hidden="false" customHeight="false" outlineLevel="0" collapsed="false">
      <c r="A139" s="5" t="n">
        <f aca="false">IF(ISNUMBER(U139),RANK(U139,$U$5:$U$337),"")</f>
        <v>262</v>
      </c>
      <c r="B139" s="5" t="s">
        <v>108</v>
      </c>
      <c r="C139" s="5" t="s">
        <v>44</v>
      </c>
      <c r="D139" s="5" t="str">
        <f aca="false">INDEX('API Data'!$B$2:$B$152,MATCH(B139,'API Data'!$A$2:$A$152,0))</f>
        <v>Anti-infective – staphylococcal skin, bone &amp; heart infections</v>
      </c>
      <c r="E139" s="5" t="n">
        <f aca="false">COUNTIFS('Market Listing'!$A$2:$A$4054,B139,'Market Listing'!$B$2:$B$4054,C139)</f>
        <v>20</v>
      </c>
      <c r="F139" s="5" t="n">
        <f aca="false">COUNTIFS('Market Listing'!$A$2:$A$4054,B139,'Market Listing'!$B$2:$B$4054,C139,'Market Listing'!$D$2:$D$4054,"Tier 1")</f>
        <v>5</v>
      </c>
      <c r="G139" s="5" t="n">
        <f aca="false">COUNTIFS('Market Listing'!$A$2:$A$4054,B139,'Market Listing'!$B$2:$B$4054,C139,'Market Listing'!$D$2:$D$4054,"Tier 2")</f>
        <v>1</v>
      </c>
      <c r="H139" s="5" t="n">
        <f aca="false">COUNTIFS('Market Listing'!$A$2:$A$4054,B139,'Market Listing'!$B$2:$B$4054,C139,'Market Listing'!$D$2:$D$4054,"Tier 3")</f>
        <v>14</v>
      </c>
      <c r="I139" s="5" t="n">
        <f aca="false">SUMIFS('Market Listing'!$E$2:$E$4054,'Market Listing'!$A$2:$A$4054,B139,'Market Listing'!$B$2:$B$4054,C139)</f>
        <v>31</v>
      </c>
      <c r="J139" s="5" t="n">
        <f aca="false">COUNTIFS('Product Rows'!$A$2:$A$696,B139,'Product Rows'!$B$2:$B$696,C139)</f>
        <v>1</v>
      </c>
      <c r="K139" s="5" t="n">
        <f aca="false">COUNTIFS('Product Rows'!$A$2:$A$696,B139,'Product Rows'!$B$2:$B$696,C139,'Product Rows'!$G$2:$G$696,"Vial")</f>
        <v>1</v>
      </c>
      <c r="L139" s="5" t="n">
        <f aca="false">COUNTIFS('Product Rows'!$A$2:$A$696,B139,'Product Rows'!$B$2:$B$696,C139,'Product Rows'!$G$2:$G$696,"Ampoule")</f>
        <v>0</v>
      </c>
      <c r="M139" s="5" t="n">
        <f aca="false">COUNTIFS('Product Rows'!$A$2:$A$696,B139,'Product Rows'!$B$2:$B$696,C139,'Product Rows'!$G$2:$G$696,"Prefilled syringe/pen")</f>
        <v>0</v>
      </c>
      <c r="N139" s="6" t="n">
        <f aca="false">IFERROR(AVERAGEIFS('Product Rows'!$H$2:$H$696,'Product Rows'!$A$2:$A$696,B139,'Product Rows'!$B$2:$B$696,C139),"")</f>
        <v>6.0681</v>
      </c>
      <c r="O139" s="7" t="n">
        <f aca="false">INDEX('API Data'!$E$2:$E$152,MATCH(B139,'API Data'!$A$2:$A$152,0))</f>
        <v>6287.60244019139</v>
      </c>
      <c r="P139" s="5" t="n">
        <f aca="false">COUNTIF($B$5:$B$337,B139)</f>
        <v>2</v>
      </c>
      <c r="Q139" s="8" t="n">
        <f aca="false">IF(ISNUMBER(I139),PERCENTRANK($I$5:$I$337,I139),"")</f>
        <v>0.617</v>
      </c>
      <c r="R139" s="8" t="n">
        <f aca="false">IF(ISNUMBER(N139),PERCENTRANK($N$5:$N$337,N139),"")</f>
        <v>0.0358</v>
      </c>
      <c r="S139" s="8" t="n">
        <f aca="false">IF(ISNUMBER(O139),PERCENTRANK($O$5:$O$337,O139),"")</f>
        <v>0.587</v>
      </c>
      <c r="T139" s="8" t="n">
        <f aca="false">IF(ISNUMBER(P139),PERCENTRANK($P$5:$P$337,P139),"")</f>
        <v>0.235</v>
      </c>
      <c r="U139" s="9" t="n">
        <f aca="false">IF((IF(ISNUMBER(Q139),Inputs!$B$4,0)+IF(ISNUMBER(R139),Inputs!$B$5,0)+IF(ISNUMBER(S139),Inputs!$B$6,0)+IF(ISNUMBER(T139),Inputs!$B$7,0))=0,"",(IF(ISNUMBER(Q139),Inputs!$B$4*Q139,0)+IF(ISNUMBER(R139),Inputs!$B$5*R139,0)+IF(ISNUMBER(S139),Inputs!$B$6*S139,0)+IF(ISNUMBER(T139),Inputs!$B$7*T139,0))/(IF(ISNUMBER(Q139),Inputs!$B$4,0)+IF(ISNUMBER(R139),Inputs!$B$5,0)+IF(ISNUMBER(S139),Inputs!$B$6,0)+IF(ISNUMBER(T139),Inputs!$B$7,0)))</f>
        <v>0.3114</v>
      </c>
      <c r="V139" s="5" t="str">
        <f aca="false">IF(F139&gt;0,"Yes","No")</f>
        <v>Yes</v>
      </c>
      <c r="W139" s="5" t="str">
        <f aca="false">IF(ISNUMBER(N139),IF(N139&gt;=Inputs!$D$18,"Yes","No"),"No price")</f>
        <v>Yes</v>
      </c>
      <c r="X139" s="5" t="str">
        <f aca="false">IF(K139+L139&gt;0,"Yes",IF(M139&gt;0,"No","Unclear"))</f>
        <v>Yes</v>
      </c>
      <c r="Y139" s="5" t="str">
        <f aca="false">INDEX('API Data'!$H$2:$H$152,MATCH(B139,'API Data'!$A$2:$A$152,0))</f>
        <v>No</v>
      </c>
      <c r="Z139" s="5" t="str">
        <f aca="false">IF(COUNTIFS('Product Rows'!$A$2:$A$696,B139,'Product Rows'!$B$2:$B$696,C139,'Product Rows'!$I$2:$I$696,"Yes")&gt;0,"Yes","No")</f>
        <v>Yes</v>
      </c>
      <c r="AA139" s="5" t="str">
        <f aca="false">IF(P139&gt;=Inputs!$D$22,"Yes","No")</f>
        <v>No</v>
      </c>
      <c r="AB139" s="10" t="b">
        <f aca="false">AND(OR(Inputs!$B$17&lt;&gt;"Exclude",V139="Yes"),OR(Inputs!$B$18&lt;&gt;"Exclude",W139&lt;&gt;"No"),OR(Inputs!$B$19&lt;&gt;"Exclude",X139&lt;&gt;"No"),OR(Inputs!$B$20&lt;&gt;"Exclude",Y139="No"),OR(Inputs!$B$21&lt;&gt;"Exclude",Z139="No"),OR(Inputs!$B$22&lt;&gt;"Exclude",AA139="Yes"),ISNUMBER(U139))</f>
        <v>1</v>
      </c>
      <c r="AC139" s="5" t="n">
        <f aca="false">IF(AB139,COUNTIFS($C$5:$C$337,C139,$AB$5:$AB$337,TRUE(),$U$5:$U$337,"&gt;"&amp;U139)+COUNTIFS($C$5:C139,C139,$AB$5:AB139,TRUE(),$U$5:U139,U139),"")</f>
        <v>46</v>
      </c>
      <c r="AD139" s="5" t="str">
        <f aca="false">IF(AC139="","Not eligible",IF(AC139&lt;=Inputs!$B$25,"Lead",IF(AC139&lt;=Inputs!$B$25+Inputs!$B$26,"Next wave","Long list")))</f>
        <v>Long list</v>
      </c>
      <c r="AE139" s="5" t="str">
        <f aca="false">IF(AND(K139+L139=0,M139&gt;0),"Safety upgrade of existing prefilled syringe",IF(K139+L139+M139=0,"Confirm presentation (not stated in source)",IF(AA139="Yes","Differentiation in crowded generic market","Safety-device mandate compliance")))</f>
        <v>Safety-device mandate compliance</v>
      </c>
      <c r="AF139" s="5" t="str">
        <f aca="false">IF(AC139="","",C139&amp;"|"&amp;AC139)</f>
        <v>Intas Pharmaceuticals|46</v>
      </c>
    </row>
    <row r="140" customFormat="false" ht="15" hidden="false" customHeight="false" outlineLevel="0" collapsed="false">
      <c r="A140" s="5" t="n">
        <f aca="false">IF(ISNUMBER(U140),RANK(U140,$U$5:$U$337),"")</f>
        <v>72</v>
      </c>
      <c r="B140" s="5" t="s">
        <v>109</v>
      </c>
      <c r="C140" s="5" t="s">
        <v>44</v>
      </c>
      <c r="D140" s="5" t="str">
        <f aca="false">INDEX('API Data'!$B$2:$B$152,MATCH(B140,'API Data'!$A$2:$A$152,0))</f>
        <v>Oncology – chronic lymphocytic leukaemia; transplant / CAR-T conditioning</v>
      </c>
      <c r="E140" s="5" t="n">
        <f aca="false">COUNTIFS('Market Listing'!$A$2:$A$4054,B140,'Market Listing'!$B$2:$B$4054,C140)</f>
        <v>31</v>
      </c>
      <c r="F140" s="5" t="n">
        <f aca="false">COUNTIFS('Market Listing'!$A$2:$A$4054,B140,'Market Listing'!$B$2:$B$4054,C140,'Market Listing'!$D$2:$D$4054,"Tier 1")</f>
        <v>6</v>
      </c>
      <c r="G140" s="5" t="n">
        <f aca="false">COUNTIFS('Market Listing'!$A$2:$A$4054,B140,'Market Listing'!$B$2:$B$4054,C140,'Market Listing'!$D$2:$D$4054,"Tier 2")</f>
        <v>3</v>
      </c>
      <c r="H140" s="5" t="n">
        <f aca="false">COUNTIFS('Market Listing'!$A$2:$A$4054,B140,'Market Listing'!$B$2:$B$4054,C140,'Market Listing'!$D$2:$D$4054,"Tier 3")</f>
        <v>22</v>
      </c>
      <c r="I140" s="5" t="n">
        <f aca="false">SUMIFS('Market Listing'!$E$2:$E$4054,'Market Listing'!$A$2:$A$4054,B140,'Market Listing'!$B$2:$B$4054,C140)</f>
        <v>46</v>
      </c>
      <c r="J140" s="5" t="n">
        <f aca="false">COUNTIFS('Product Rows'!$A$2:$A$696,B140,'Product Rows'!$B$2:$B$696,C140)</f>
        <v>2</v>
      </c>
      <c r="K140" s="5" t="n">
        <f aca="false">COUNTIFS('Product Rows'!$A$2:$A$696,B140,'Product Rows'!$B$2:$B$696,C140,'Product Rows'!$G$2:$G$696,"Vial")</f>
        <v>2</v>
      </c>
      <c r="L140" s="5" t="n">
        <f aca="false">COUNTIFS('Product Rows'!$A$2:$A$696,B140,'Product Rows'!$B$2:$B$696,C140,'Product Rows'!$G$2:$G$696,"Ampoule")</f>
        <v>0</v>
      </c>
      <c r="M140" s="5" t="n">
        <f aca="false">COUNTIFS('Product Rows'!$A$2:$A$696,B140,'Product Rows'!$B$2:$B$696,C140,'Product Rows'!$G$2:$G$696,"Prefilled syringe/pen")</f>
        <v>0</v>
      </c>
      <c r="N140" s="6" t="n">
        <f aca="false">IFERROR(AVERAGEIFS('Product Rows'!$H$2:$H$696,'Product Rows'!$A$2:$A$696,B140,'Product Rows'!$B$2:$B$696,C140),"")</f>
        <v>167.0345</v>
      </c>
      <c r="O140" s="7" t="n">
        <f aca="false">INDEX('API Data'!$E$2:$E$152,MATCH(B140,'API Data'!$A$2:$A$152,0))</f>
        <v>4362.05833333333</v>
      </c>
      <c r="P140" s="5" t="n">
        <f aca="false">COUNTIF($B$5:$B$337,B140)</f>
        <v>1</v>
      </c>
      <c r="Q140" s="8" t="n">
        <f aca="false">IF(ISNUMBER(I140),PERCENTRANK($I$5:$I$337,I140),"")</f>
        <v>0.846</v>
      </c>
      <c r="R140" s="8" t="n">
        <f aca="false">IF(ISNUMBER(N140),PERCENTRANK($N$5:$N$337,N140),"")</f>
        <v>0.821</v>
      </c>
      <c r="S140" s="8" t="n">
        <f aca="false">IF(ISNUMBER(O140),PERCENTRANK($O$5:$O$337,O140),"")</f>
        <v>0.521</v>
      </c>
      <c r="T140" s="8" t="n">
        <f aca="false">IF(ISNUMBER(P140),PERCENTRANK($P$5:$P$337,P140),"")</f>
        <v>0</v>
      </c>
      <c r="U140" s="9" t="n">
        <f aca="false">IF((IF(ISNUMBER(Q140),Inputs!$B$4,0)+IF(ISNUMBER(R140),Inputs!$B$5,0)+IF(ISNUMBER(S140),Inputs!$B$6,0)+IF(ISNUMBER(T140),Inputs!$B$7,0))=0,"",(IF(ISNUMBER(Q140),Inputs!$B$4*Q140,0)+IF(ISNUMBER(R140),Inputs!$B$5*R140,0)+IF(ISNUMBER(S140),Inputs!$B$6*S140,0)+IF(ISNUMBER(T140),Inputs!$B$7*T140,0))/(IF(ISNUMBER(Q140),Inputs!$B$4,0)+IF(ISNUMBER(R140),Inputs!$B$5,0)+IF(ISNUMBER(S140),Inputs!$B$6,0)+IF(ISNUMBER(T140),Inputs!$B$7,0)))</f>
        <v>0.671</v>
      </c>
      <c r="V140" s="5" t="str">
        <f aca="false">IF(F140&gt;0,"Yes","No")</f>
        <v>Yes</v>
      </c>
      <c r="W140" s="5" t="str">
        <f aca="false">IF(ISNUMBER(N140),IF(N140&gt;=Inputs!$D$18,"Yes","No"),"No price")</f>
        <v>Yes</v>
      </c>
      <c r="X140" s="5" t="str">
        <f aca="false">IF(K140+L140&gt;0,"Yes",IF(M140&gt;0,"No","Unclear"))</f>
        <v>Yes</v>
      </c>
      <c r="Y140" s="5" t="str">
        <f aca="false">INDEX('API Data'!$H$2:$H$152,MATCH(B140,'API Data'!$A$2:$A$152,0))</f>
        <v>Yes</v>
      </c>
      <c r="Z140" s="5" t="str">
        <f aca="false">IF(COUNTIFS('Product Rows'!$A$2:$A$696,B140,'Product Rows'!$B$2:$B$696,C140,'Product Rows'!$I$2:$I$696,"Yes")&gt;0,"Yes","No")</f>
        <v>No</v>
      </c>
      <c r="AA140" s="5" t="str">
        <f aca="false">IF(P140&gt;=Inputs!$D$22,"Yes","No")</f>
        <v>No</v>
      </c>
      <c r="AB140" s="10" t="b">
        <f aca="false">AND(OR(Inputs!$B$17&lt;&gt;"Exclude",V140="Yes"),OR(Inputs!$B$18&lt;&gt;"Exclude",W140&lt;&gt;"No"),OR(Inputs!$B$19&lt;&gt;"Exclude",X140&lt;&gt;"No"),OR(Inputs!$B$20&lt;&gt;"Exclude",Y140="No"),OR(Inputs!$B$21&lt;&gt;"Exclude",Z140="No"),OR(Inputs!$B$22&lt;&gt;"Exclude",AA140="Yes"),ISNUMBER(U140))</f>
        <v>1</v>
      </c>
      <c r="AC140" s="5" t="n">
        <f aca="false">IF(AB140,COUNTIFS($C$5:$C$337,C140,$AB$5:$AB$337,TRUE(),$U$5:$U$337,"&gt;"&amp;U140)+COUNTIFS($C$5:C140,C140,$AB$5:AB140,TRUE(),$U$5:U140,U140),"")</f>
        <v>13</v>
      </c>
      <c r="AD140" s="5" t="str">
        <f aca="false">IF(AC140="","Not eligible",IF(AC140&lt;=Inputs!$B$25,"Lead",IF(AC140&lt;=Inputs!$B$25+Inputs!$B$26,"Next wave","Long list")))</f>
        <v>Long list</v>
      </c>
      <c r="AE140" s="5" t="str">
        <f aca="false">IF(AND(K140+L140=0,M140&gt;0),"Safety upgrade of existing prefilled syringe",IF(K140+L140+M140=0,"Confirm presentation (not stated in source)",IF(AA140="Yes","Differentiation in crowded generic market","Safety-device mandate compliance")))</f>
        <v>Safety-device mandate compliance</v>
      </c>
      <c r="AF140" s="5" t="str">
        <f aca="false">IF(AC140="","",C140&amp;"|"&amp;AC140)</f>
        <v>Intas Pharmaceuticals|13</v>
      </c>
    </row>
    <row r="141" customFormat="false" ht="15" hidden="false" customHeight="false" outlineLevel="0" collapsed="false">
      <c r="A141" s="5" t="n">
        <f aca="false">IF(ISNUMBER(U141),RANK(U141,$U$5:$U$337),"")</f>
        <v>232</v>
      </c>
      <c r="B141" s="5" t="s">
        <v>110</v>
      </c>
      <c r="C141" s="5" t="s">
        <v>36</v>
      </c>
      <c r="D141" s="5" t="str">
        <f aca="false">INDEX('API Data'!$B$2:$B$152,MATCH(B141,'API Data'!$A$2:$A$152,0))</f>
        <v>Ophthalmic – diagnostic retinal angiography</v>
      </c>
      <c r="E141" s="5" t="n">
        <f aca="false">COUNTIFS('Market Listing'!$A$2:$A$4054,B141,'Market Listing'!$B$2:$B$4054,C141)</f>
        <v>1</v>
      </c>
      <c r="F141" s="5" t="n">
        <f aca="false">COUNTIFS('Market Listing'!$A$2:$A$4054,B141,'Market Listing'!$B$2:$B$4054,C141,'Market Listing'!$D$2:$D$4054,"Tier 1")</f>
        <v>1</v>
      </c>
      <c r="G141" s="5" t="n">
        <f aca="false">COUNTIFS('Market Listing'!$A$2:$A$4054,B141,'Market Listing'!$B$2:$B$4054,C141,'Market Listing'!$D$2:$D$4054,"Tier 2")</f>
        <v>0</v>
      </c>
      <c r="H141" s="5" t="n">
        <f aca="false">COUNTIFS('Market Listing'!$A$2:$A$4054,B141,'Market Listing'!$B$2:$B$4054,C141,'Market Listing'!$D$2:$D$4054,"Tier 3")</f>
        <v>0</v>
      </c>
      <c r="I141" s="5" t="n">
        <f aca="false">SUMIFS('Market Listing'!$E$2:$E$4054,'Market Listing'!$A$2:$A$4054,B141,'Market Listing'!$B$2:$B$4054,C141)</f>
        <v>3</v>
      </c>
      <c r="J141" s="5" t="n">
        <f aca="false">COUNTIFS('Product Rows'!$A$2:$A$696,B141,'Product Rows'!$B$2:$B$696,C141)</f>
        <v>2</v>
      </c>
      <c r="K141" s="5" t="n">
        <f aca="false">COUNTIFS('Product Rows'!$A$2:$A$696,B141,'Product Rows'!$B$2:$B$696,C141,'Product Rows'!$G$2:$G$696,"Vial")</f>
        <v>2</v>
      </c>
      <c r="L141" s="5" t="n">
        <f aca="false">COUNTIFS('Product Rows'!$A$2:$A$696,B141,'Product Rows'!$B$2:$B$696,C141,'Product Rows'!$G$2:$G$696,"Ampoule")</f>
        <v>0</v>
      </c>
      <c r="M141" s="5" t="n">
        <f aca="false">COUNTIFS('Product Rows'!$A$2:$A$696,B141,'Product Rows'!$B$2:$B$696,C141,'Product Rows'!$G$2:$G$696,"Prefilled syringe/pen")</f>
        <v>0</v>
      </c>
      <c r="N141" s="6" t="n">
        <f aca="false">IFERROR(AVERAGEIFS('Product Rows'!$H$2:$H$696,'Product Rows'!$A$2:$A$696,B141,'Product Rows'!$B$2:$B$696,C141),"")</f>
        <v>61.13</v>
      </c>
      <c r="O141" s="7" t="n">
        <f aca="false">INDEX('API Data'!$E$2:$E$152,MATCH(B141,'API Data'!$A$2:$A$152,0))</f>
        <v>451.826553437165</v>
      </c>
      <c r="P141" s="5" t="n">
        <f aca="false">COUNTIF($B$5:$B$337,B141)</f>
        <v>1</v>
      </c>
      <c r="Q141" s="8" t="n">
        <f aca="false">IF(ISNUMBER(I141),PERCENTRANK($I$5:$I$337,I141),"")</f>
        <v>0.157</v>
      </c>
      <c r="R141" s="8" t="n">
        <f aca="false">IF(ISNUMBER(N141),PERCENTRANK($N$5:$N$337,N141),"")</f>
        <v>0.656</v>
      </c>
      <c r="S141" s="8" t="n">
        <f aca="false">IF(ISNUMBER(O141),PERCENTRANK($O$5:$O$337,O141),"")</f>
        <v>0.0964</v>
      </c>
      <c r="T141" s="8" t="n">
        <f aca="false">IF(ISNUMBER(P141),PERCENTRANK($P$5:$P$337,P141),"")</f>
        <v>0</v>
      </c>
      <c r="U141" s="9" t="n">
        <f aca="false">IF((IF(ISNUMBER(Q141),Inputs!$B$4,0)+IF(ISNUMBER(R141),Inputs!$B$5,0)+IF(ISNUMBER(S141),Inputs!$B$6,0)+IF(ISNUMBER(T141),Inputs!$B$7,0))=0,"",(IF(ISNUMBER(Q141),Inputs!$B$4*Q141,0)+IF(ISNUMBER(R141),Inputs!$B$5*R141,0)+IF(ISNUMBER(S141),Inputs!$B$6*S141,0)+IF(ISNUMBER(T141),Inputs!$B$7*T141,0))/(IF(ISNUMBER(Q141),Inputs!$B$4,0)+IF(ISNUMBER(R141),Inputs!$B$5,0)+IF(ISNUMBER(S141),Inputs!$B$6,0)+IF(ISNUMBER(T141),Inputs!$B$7,0)))</f>
        <v>0.3762</v>
      </c>
      <c r="V141" s="5" t="str">
        <f aca="false">IF(F141&gt;0,"Yes","No")</f>
        <v>Yes</v>
      </c>
      <c r="W141" s="5" t="str">
        <f aca="false">IF(ISNUMBER(N141),IF(N141&gt;=Inputs!$D$18,"Yes","No"),"No price")</f>
        <v>Yes</v>
      </c>
      <c r="X141" s="5" t="str">
        <f aca="false">IF(K141+L141&gt;0,"Yes",IF(M141&gt;0,"No","Unclear"))</f>
        <v>Yes</v>
      </c>
      <c r="Y141" s="5" t="str">
        <f aca="false">INDEX('API Data'!$H$2:$H$152,MATCH(B141,'API Data'!$A$2:$A$152,0))</f>
        <v>No</v>
      </c>
      <c r="Z141" s="5" t="str">
        <f aca="false">IF(COUNTIFS('Product Rows'!$A$2:$A$696,B141,'Product Rows'!$B$2:$B$696,C141,'Product Rows'!$I$2:$I$696,"Yes")&gt;0,"Yes","No")</f>
        <v>No</v>
      </c>
      <c r="AA141" s="5" t="str">
        <f aca="false">IF(P141&gt;=Inputs!$D$22,"Yes","No")</f>
        <v>No</v>
      </c>
      <c r="AB141" s="10" t="b">
        <f aca="false">AND(OR(Inputs!$B$17&lt;&gt;"Exclude",V141="Yes"),OR(Inputs!$B$18&lt;&gt;"Exclude",W141&lt;&gt;"No"),OR(Inputs!$B$19&lt;&gt;"Exclude",X141&lt;&gt;"No"),OR(Inputs!$B$20&lt;&gt;"Exclude",Y141="No"),OR(Inputs!$B$21&lt;&gt;"Exclude",Z141="No"),OR(Inputs!$B$22&lt;&gt;"Exclude",AA141="Yes"),ISNUMBER(U141))</f>
        <v>1</v>
      </c>
      <c r="AC141" s="5" t="n">
        <f aca="false">IF(AB141,COUNTIFS($C$5:$C$337,C141,$AB$5:$AB$337,TRUE(),$U$5:$U$337,"&gt;"&amp;U141)+COUNTIFS($C$5:C141,C141,$AB$5:AB141,TRUE(),$U$5:U141,U141),"")</f>
        <v>10</v>
      </c>
      <c r="AD141" s="5" t="str">
        <f aca="false">IF(AC141="","Not eligible",IF(AC141&lt;=Inputs!$B$25,"Lead",IF(AC141&lt;=Inputs!$B$25+Inputs!$B$26,"Next wave","Long list")))</f>
        <v>Next wave</v>
      </c>
      <c r="AE141" s="5" t="str">
        <f aca="false">IF(AND(K141+L141=0,M141&gt;0),"Safety upgrade of existing prefilled syringe",IF(K141+L141+M141=0,"Confirm presentation (not stated in source)",IF(AA141="Yes","Differentiation in crowded generic market","Safety-device mandate compliance")))</f>
        <v>Safety-device mandate compliance</v>
      </c>
      <c r="AF141" s="5" t="str">
        <f aca="false">IF(AC141="","",C141&amp;"|"&amp;AC141)</f>
        <v>Zydus Lifesciences|10</v>
      </c>
    </row>
    <row r="142" customFormat="false" ht="15" hidden="false" customHeight="false" outlineLevel="0" collapsed="false">
      <c r="A142" s="5" t="n">
        <f aca="false">IF(ISNUMBER(U142),RANK(U142,$U$5:$U$337),"")</f>
        <v>270</v>
      </c>
      <c r="B142" s="5" t="s">
        <v>111</v>
      </c>
      <c r="C142" s="5" t="s">
        <v>47</v>
      </c>
      <c r="D142" s="5" t="str">
        <f aca="false">INDEX('API Data'!$B$2:$B$152,MATCH(B142,'API Data'!$A$2:$A$152,0))</f>
        <v>Oncology – colorectal, breast, gastric, pancreatic, head &amp; neck cancers</v>
      </c>
      <c r="E142" s="5" t="n">
        <f aca="false">COUNTIFS('Market Listing'!$A$2:$A$4054,B142,'Market Listing'!$B$2:$B$4054,C142)</f>
        <v>1</v>
      </c>
      <c r="F142" s="5" t="n">
        <f aca="false">COUNTIFS('Market Listing'!$A$2:$A$4054,B142,'Market Listing'!$B$2:$B$4054,C142,'Market Listing'!$D$2:$D$4054,"Tier 1")</f>
        <v>1</v>
      </c>
      <c r="G142" s="5" t="n">
        <f aca="false">COUNTIFS('Market Listing'!$A$2:$A$4054,B142,'Market Listing'!$B$2:$B$4054,C142,'Market Listing'!$D$2:$D$4054,"Tier 2")</f>
        <v>0</v>
      </c>
      <c r="H142" s="5" t="n">
        <f aca="false">COUNTIFS('Market Listing'!$A$2:$A$4054,B142,'Market Listing'!$B$2:$B$4054,C142,'Market Listing'!$D$2:$D$4054,"Tier 3")</f>
        <v>0</v>
      </c>
      <c r="I142" s="5" t="n">
        <f aca="false">SUMIFS('Market Listing'!$E$2:$E$4054,'Market Listing'!$A$2:$A$4054,B142,'Market Listing'!$B$2:$B$4054,C142)</f>
        <v>3</v>
      </c>
      <c r="J142" s="5" t="n">
        <f aca="false">COUNTIFS('Product Rows'!$A$2:$A$696,B142,'Product Rows'!$B$2:$B$696,C142)</f>
        <v>1</v>
      </c>
      <c r="K142" s="5" t="n">
        <f aca="false">COUNTIFS('Product Rows'!$A$2:$A$696,B142,'Product Rows'!$B$2:$B$696,C142,'Product Rows'!$G$2:$G$696,"Vial")</f>
        <v>1</v>
      </c>
      <c r="L142" s="5" t="n">
        <f aca="false">COUNTIFS('Product Rows'!$A$2:$A$696,B142,'Product Rows'!$B$2:$B$696,C142,'Product Rows'!$G$2:$G$696,"Ampoule")</f>
        <v>0</v>
      </c>
      <c r="M142" s="5" t="n">
        <f aca="false">COUNTIFS('Product Rows'!$A$2:$A$696,B142,'Product Rows'!$B$2:$B$696,C142,'Product Rows'!$G$2:$G$696,"Prefilled syringe/pen")</f>
        <v>0</v>
      </c>
      <c r="N142" s="6" t="n">
        <f aca="false">IFERROR(AVERAGEIFS('Product Rows'!$H$2:$H$696,'Product Rows'!$A$2:$A$696,B142,'Product Rows'!$B$2:$B$696,C142),"")</f>
        <v>5.68</v>
      </c>
      <c r="O142" s="7" t="n">
        <f aca="false">INDEX('API Data'!$E$2:$E$152,MATCH(B142,'API Data'!$A$2:$A$152,0))</f>
        <v>4878.03599638457</v>
      </c>
      <c r="P142" s="5" t="n">
        <f aca="false">COUNTIF($B$5:$B$337,B142)</f>
        <v>2</v>
      </c>
      <c r="Q142" s="8" t="n">
        <f aca="false">IF(ISNUMBER(I142),PERCENTRANK($I$5:$I$337,I142),"")</f>
        <v>0.157</v>
      </c>
      <c r="R142" s="8" t="n">
        <f aca="false">IF(ISNUMBER(N142),PERCENTRANK($N$5:$N$337,N142),"")</f>
        <v>0.0323</v>
      </c>
      <c r="S142" s="8" t="n">
        <f aca="false">IF(ISNUMBER(O142),PERCENTRANK($O$5:$O$337,O142),"")</f>
        <v>0.542</v>
      </c>
      <c r="T142" s="8" t="n">
        <f aca="false">IF(ISNUMBER(P142),PERCENTRANK($P$5:$P$337,P142),"")</f>
        <v>0.235</v>
      </c>
      <c r="U142" s="9" t="n">
        <f aca="false">IF((IF(ISNUMBER(Q142),Inputs!$B$4,0)+IF(ISNUMBER(R142),Inputs!$B$5,0)+IF(ISNUMBER(S142),Inputs!$B$6,0)+IF(ISNUMBER(T142),Inputs!$B$7,0))=0,"",(IF(ISNUMBER(Q142),Inputs!$B$4*Q142,0)+IF(ISNUMBER(R142),Inputs!$B$5*R142,0)+IF(ISNUMBER(S142),Inputs!$B$6*S142,0)+IF(ISNUMBER(T142),Inputs!$B$7*T142,0))/(IF(ISNUMBER(Q142),Inputs!$B$4,0)+IF(ISNUMBER(R142),Inputs!$B$5,0)+IF(ISNUMBER(S142),Inputs!$B$6,0)+IF(ISNUMBER(T142),Inputs!$B$7,0)))</f>
        <v>0.28715</v>
      </c>
      <c r="V142" s="5" t="str">
        <f aca="false">IF(F142&gt;0,"Yes","No")</f>
        <v>Yes</v>
      </c>
      <c r="W142" s="5" t="str">
        <f aca="false">IF(ISNUMBER(N142),IF(N142&gt;=Inputs!$D$18,"Yes","No"),"No price")</f>
        <v>Yes</v>
      </c>
      <c r="X142" s="5" t="str">
        <f aca="false">IF(K142+L142&gt;0,"Yes",IF(M142&gt;0,"No","Unclear"))</f>
        <v>Yes</v>
      </c>
      <c r="Y142" s="5" t="str">
        <f aca="false">INDEX('API Data'!$H$2:$H$152,MATCH(B142,'API Data'!$A$2:$A$152,0))</f>
        <v>Yes</v>
      </c>
      <c r="Z142" s="5" t="str">
        <f aca="false">IF(COUNTIFS('Product Rows'!$A$2:$A$696,B142,'Product Rows'!$B$2:$B$696,C142,'Product Rows'!$I$2:$I$696,"Yes")&gt;0,"Yes","No")</f>
        <v>No</v>
      </c>
      <c r="AA142" s="5" t="str">
        <f aca="false">IF(P142&gt;=Inputs!$D$22,"Yes","No")</f>
        <v>No</v>
      </c>
      <c r="AB142" s="10" t="b">
        <f aca="false">AND(OR(Inputs!$B$17&lt;&gt;"Exclude",V142="Yes"),OR(Inputs!$B$18&lt;&gt;"Exclude",W142&lt;&gt;"No"),OR(Inputs!$B$19&lt;&gt;"Exclude",X142&lt;&gt;"No"),OR(Inputs!$B$20&lt;&gt;"Exclude",Y142="No"),OR(Inputs!$B$21&lt;&gt;"Exclude",Z142="No"),OR(Inputs!$B$22&lt;&gt;"Exclude",AA142="Yes"),ISNUMBER(U142))</f>
        <v>1</v>
      </c>
      <c r="AC142" s="5" t="n">
        <f aca="false">IF(AB142,COUNTIFS($C$5:$C$337,C142,$AB$5:$AB$337,TRUE(),$U$5:$U$337,"&gt;"&amp;U142)+COUNTIFS($C$5:C142,C142,$AB$5:AB142,TRUE(),$U$5:U142,U142),"")</f>
        <v>40</v>
      </c>
      <c r="AD142" s="5" t="str">
        <f aca="false">IF(AC142="","Not eligible",IF(AC142&lt;=Inputs!$B$25,"Lead",IF(AC142&lt;=Inputs!$B$25+Inputs!$B$26,"Next wave","Long list")))</f>
        <v>Long list</v>
      </c>
      <c r="AE142" s="5" t="str">
        <f aca="false">IF(AND(K142+L142=0,M142&gt;0),"Safety upgrade of existing prefilled syringe",IF(K142+L142+M142=0,"Confirm presentation (not stated in source)",IF(AA142="Yes","Differentiation in crowded generic market","Safety-device mandate compliance")))</f>
        <v>Safety-device mandate compliance</v>
      </c>
      <c r="AF142" s="5" t="str">
        <f aca="false">IF(AC142="","",C142&amp;"|"&amp;AC142)</f>
        <v>Aurobindo Pharma|40</v>
      </c>
    </row>
    <row r="143" customFormat="false" ht="15" hidden="false" customHeight="false" outlineLevel="0" collapsed="false">
      <c r="A143" s="5" t="n">
        <f aca="false">IF(ISNUMBER(U143),RANK(U143,$U$5:$U$337),"")</f>
        <v>95</v>
      </c>
      <c r="B143" s="5" t="s">
        <v>111</v>
      </c>
      <c r="C143" s="5" t="s">
        <v>44</v>
      </c>
      <c r="D143" s="5" t="str">
        <f aca="false">INDEX('API Data'!$B$2:$B$152,MATCH(B143,'API Data'!$A$2:$A$152,0))</f>
        <v>Oncology – colorectal, breast, gastric, pancreatic, head &amp; neck cancers</v>
      </c>
      <c r="E143" s="5" t="n">
        <f aca="false">COUNTIFS('Market Listing'!$A$2:$A$4054,B143,'Market Listing'!$B$2:$B$4054,C143)</f>
        <v>2</v>
      </c>
      <c r="F143" s="5" t="n">
        <f aca="false">COUNTIFS('Market Listing'!$A$2:$A$4054,B143,'Market Listing'!$B$2:$B$4054,C143,'Market Listing'!$D$2:$D$4054,"Tier 1")</f>
        <v>2</v>
      </c>
      <c r="G143" s="5" t="n">
        <f aca="false">COUNTIFS('Market Listing'!$A$2:$A$4054,B143,'Market Listing'!$B$2:$B$4054,C143,'Market Listing'!$D$2:$D$4054,"Tier 2")</f>
        <v>0</v>
      </c>
      <c r="H143" s="5" t="n">
        <f aca="false">COUNTIFS('Market Listing'!$A$2:$A$4054,B143,'Market Listing'!$B$2:$B$4054,C143,'Market Listing'!$D$2:$D$4054,"Tier 3")</f>
        <v>0</v>
      </c>
      <c r="I143" s="5" t="n">
        <f aca="false">SUMIFS('Market Listing'!$E$2:$E$4054,'Market Listing'!$A$2:$A$4054,B143,'Market Listing'!$B$2:$B$4054,C143)</f>
        <v>6</v>
      </c>
      <c r="J143" s="5" t="n">
        <f aca="false">COUNTIFS('Product Rows'!$A$2:$A$696,B143,'Product Rows'!$B$2:$B$696,C143)</f>
        <v>2</v>
      </c>
      <c r="K143" s="5" t="n">
        <f aca="false">COUNTIFS('Product Rows'!$A$2:$A$696,B143,'Product Rows'!$B$2:$B$696,C143,'Product Rows'!$G$2:$G$696,"Vial")</f>
        <v>2</v>
      </c>
      <c r="L143" s="5" t="n">
        <f aca="false">COUNTIFS('Product Rows'!$A$2:$A$696,B143,'Product Rows'!$B$2:$B$696,C143,'Product Rows'!$G$2:$G$696,"Ampoule")</f>
        <v>0</v>
      </c>
      <c r="M143" s="5" t="n">
        <f aca="false">COUNTIFS('Product Rows'!$A$2:$A$696,B143,'Product Rows'!$B$2:$B$696,C143,'Product Rows'!$G$2:$G$696,"Prefilled syringe/pen")</f>
        <v>0</v>
      </c>
      <c r="N143" s="6" t="n">
        <f aca="false">IFERROR(AVERAGEIFS('Product Rows'!$H$2:$H$696,'Product Rows'!$A$2:$A$696,B143,'Product Rows'!$B$2:$B$696,C143),"")</f>
        <v>60.545</v>
      </c>
      <c r="O143" s="7" t="n">
        <f aca="false">INDEX('API Data'!$E$2:$E$152,MATCH(B143,'API Data'!$A$2:$A$152,0))</f>
        <v>4878.03599638457</v>
      </c>
      <c r="P143" s="5" t="n">
        <f aca="false">COUNTIF($B$5:$B$337,B143)</f>
        <v>2</v>
      </c>
      <c r="Q143" s="8" t="n">
        <f aca="false">IF(ISNUMBER(I143),PERCENTRANK($I$5:$I$337,I143),"")</f>
        <v>0.551</v>
      </c>
      <c r="R143" s="8" t="n">
        <f aca="false">IF(ISNUMBER(N143),PERCENTRANK($N$5:$N$337,N143),"")</f>
        <v>0.649</v>
      </c>
      <c r="S143" s="8" t="n">
        <f aca="false">IF(ISNUMBER(O143),PERCENTRANK($O$5:$O$337,O143),"")</f>
        <v>0.542</v>
      </c>
      <c r="T143" s="8" t="n">
        <f aca="false">IF(ISNUMBER(P143),PERCENTRANK($P$5:$P$337,P143),"")</f>
        <v>0.235</v>
      </c>
      <c r="U143" s="9" t="n">
        <f aca="false">IF((IF(ISNUMBER(Q143),Inputs!$B$4,0)+IF(ISNUMBER(R143),Inputs!$B$5,0)+IF(ISNUMBER(S143),Inputs!$B$6,0)+IF(ISNUMBER(T143),Inputs!$B$7,0))=0,"",(IF(ISNUMBER(Q143),Inputs!$B$4*Q143,0)+IF(ISNUMBER(R143),Inputs!$B$5*R143,0)+IF(ISNUMBER(S143),Inputs!$B$6*S143,0)+IF(ISNUMBER(T143),Inputs!$B$7*T143,0))/(IF(ISNUMBER(Q143),Inputs!$B$4,0)+IF(ISNUMBER(R143),Inputs!$B$5,0)+IF(ISNUMBER(S143),Inputs!$B$6,0)+IF(ISNUMBER(T143),Inputs!$B$7,0)))</f>
        <v>0.5955</v>
      </c>
      <c r="V143" s="5" t="str">
        <f aca="false">IF(F143&gt;0,"Yes","No")</f>
        <v>Yes</v>
      </c>
      <c r="W143" s="5" t="str">
        <f aca="false">IF(ISNUMBER(N143),IF(N143&gt;=Inputs!$D$18,"Yes","No"),"No price")</f>
        <v>Yes</v>
      </c>
      <c r="X143" s="5" t="str">
        <f aca="false">IF(K143+L143&gt;0,"Yes",IF(M143&gt;0,"No","Unclear"))</f>
        <v>Yes</v>
      </c>
      <c r="Y143" s="5" t="str">
        <f aca="false">INDEX('API Data'!$H$2:$H$152,MATCH(B143,'API Data'!$A$2:$A$152,0))</f>
        <v>Yes</v>
      </c>
      <c r="Z143" s="5" t="str">
        <f aca="false">IF(COUNTIFS('Product Rows'!$A$2:$A$696,B143,'Product Rows'!$B$2:$B$696,C143,'Product Rows'!$I$2:$I$696,"Yes")&gt;0,"Yes","No")</f>
        <v>No</v>
      </c>
      <c r="AA143" s="5" t="str">
        <f aca="false">IF(P143&gt;=Inputs!$D$22,"Yes","No")</f>
        <v>No</v>
      </c>
      <c r="AB143" s="10" t="b">
        <f aca="false">AND(OR(Inputs!$B$17&lt;&gt;"Exclude",V143="Yes"),OR(Inputs!$B$18&lt;&gt;"Exclude",W143&lt;&gt;"No"),OR(Inputs!$B$19&lt;&gt;"Exclude",X143&lt;&gt;"No"),OR(Inputs!$B$20&lt;&gt;"Exclude",Y143="No"),OR(Inputs!$B$21&lt;&gt;"Exclude",Z143="No"),OR(Inputs!$B$22&lt;&gt;"Exclude",AA143="Yes"),ISNUMBER(U143))</f>
        <v>1</v>
      </c>
      <c r="AC143" s="5" t="n">
        <f aca="false">IF(AB143,COUNTIFS($C$5:$C$337,C143,$AB$5:$AB$337,TRUE(),$U$5:$U$337,"&gt;"&amp;U143)+COUNTIFS($C$5:C143,C143,$AB$5:AB143,TRUE(),$U$5:U143,U143),"")</f>
        <v>19</v>
      </c>
      <c r="AD143" s="5" t="str">
        <f aca="false">IF(AC143="","Not eligible",IF(AC143&lt;=Inputs!$B$25,"Lead",IF(AC143&lt;=Inputs!$B$25+Inputs!$B$26,"Next wave","Long list")))</f>
        <v>Long list</v>
      </c>
      <c r="AE143" s="5" t="str">
        <f aca="false">IF(AND(K143+L143=0,M143&gt;0),"Safety upgrade of existing prefilled syringe",IF(K143+L143+M143=0,"Confirm presentation (not stated in source)",IF(AA143="Yes","Differentiation in crowded generic market","Safety-device mandate compliance")))</f>
        <v>Safety-device mandate compliance</v>
      </c>
      <c r="AF143" s="5" t="str">
        <f aca="false">IF(AC143="","",C143&amp;"|"&amp;AC143)</f>
        <v>Intas Pharmaceuticals|19</v>
      </c>
    </row>
    <row r="144" customFormat="false" ht="15" hidden="false" customHeight="false" outlineLevel="0" collapsed="false">
      <c r="A144" s="5" t="n">
        <f aca="false">IF(ISNUMBER(U144),RANK(U144,$U$5:$U$337),"")</f>
        <v>136</v>
      </c>
      <c r="B144" s="5" t="s">
        <v>112</v>
      </c>
      <c r="C144" s="5" t="s">
        <v>47</v>
      </c>
      <c r="D144" s="5" t="str">
        <f aca="false">INDEX('API Data'!$B$2:$B$152,MATCH(B144,'API Data'!$A$2:$A$152,0))</f>
        <v>Psychiatry – schizophrenia maintenance (long-acting depot)</v>
      </c>
      <c r="E144" s="5" t="n">
        <f aca="false">COUNTIFS('Market Listing'!$A$2:$A$4054,B144,'Market Listing'!$B$2:$B$4054,C144)</f>
        <v>1</v>
      </c>
      <c r="F144" s="5" t="n">
        <f aca="false">COUNTIFS('Market Listing'!$A$2:$A$4054,B144,'Market Listing'!$B$2:$B$4054,C144,'Market Listing'!$D$2:$D$4054,"Tier 1")</f>
        <v>1</v>
      </c>
      <c r="G144" s="5" t="n">
        <f aca="false">COUNTIFS('Market Listing'!$A$2:$A$4054,B144,'Market Listing'!$B$2:$B$4054,C144,'Market Listing'!$D$2:$D$4054,"Tier 2")</f>
        <v>0</v>
      </c>
      <c r="H144" s="5" t="n">
        <f aca="false">COUNTIFS('Market Listing'!$A$2:$A$4054,B144,'Market Listing'!$B$2:$B$4054,C144,'Market Listing'!$D$2:$D$4054,"Tier 3")</f>
        <v>0</v>
      </c>
      <c r="I144" s="5" t="n">
        <f aca="false">SUMIFS('Market Listing'!$E$2:$E$4054,'Market Listing'!$A$2:$A$4054,B144,'Market Listing'!$B$2:$B$4054,C144)</f>
        <v>3</v>
      </c>
      <c r="J144" s="5" t="n">
        <f aca="false">COUNTIFS('Product Rows'!$A$2:$A$696,B144,'Product Rows'!$B$2:$B$696,C144)</f>
        <v>1</v>
      </c>
      <c r="K144" s="5" t="n">
        <f aca="false">COUNTIFS('Product Rows'!$A$2:$A$696,B144,'Product Rows'!$B$2:$B$696,C144,'Product Rows'!$G$2:$G$696,"Vial")</f>
        <v>1</v>
      </c>
      <c r="L144" s="5" t="n">
        <f aca="false">COUNTIFS('Product Rows'!$A$2:$A$696,B144,'Product Rows'!$B$2:$B$696,C144,'Product Rows'!$G$2:$G$696,"Ampoule")</f>
        <v>0</v>
      </c>
      <c r="M144" s="5" t="n">
        <f aca="false">COUNTIFS('Product Rows'!$A$2:$A$696,B144,'Product Rows'!$B$2:$B$696,C144,'Product Rows'!$G$2:$G$696,"Prefilled syringe/pen")</f>
        <v>0</v>
      </c>
      <c r="N144" s="6" t="n">
        <f aca="false">IFERROR(AVERAGEIFS('Product Rows'!$H$2:$H$696,'Product Rows'!$A$2:$A$696,B144,'Product Rows'!$B$2:$B$696,C144),"")</f>
        <v>54.55</v>
      </c>
      <c r="O144" s="7" t="n">
        <f aca="false">INDEX('API Data'!$E$2:$E$152,MATCH(B144,'API Data'!$A$2:$A$152,0))</f>
        <v>3407.51</v>
      </c>
      <c r="P144" s="5" t="n">
        <f aca="false">COUNTIF($B$5:$B$337,B144)</f>
        <v>2</v>
      </c>
      <c r="Q144" s="8" t="n">
        <f aca="false">IF(ISNUMBER(I144),PERCENTRANK($I$5:$I$337,I144),"")</f>
        <v>0.157</v>
      </c>
      <c r="R144" s="8" t="n">
        <f aca="false">IF(ISNUMBER(N144),PERCENTRANK($N$5:$N$337,N144),"")</f>
        <v>0.624</v>
      </c>
      <c r="S144" s="8" t="n">
        <f aca="false">IF(ISNUMBER(O144),PERCENTRANK($O$5:$O$337,O144),"")</f>
        <v>0.437</v>
      </c>
      <c r="T144" s="8" t="n">
        <f aca="false">IF(ISNUMBER(P144),PERCENTRANK($P$5:$P$337,P144),"")</f>
        <v>0.235</v>
      </c>
      <c r="U144" s="9" t="n">
        <f aca="false">IF((IF(ISNUMBER(Q144),Inputs!$B$4,0)+IF(ISNUMBER(R144),Inputs!$B$5,0)+IF(ISNUMBER(S144),Inputs!$B$6,0)+IF(ISNUMBER(T144),Inputs!$B$7,0))=0,"",(IF(ISNUMBER(Q144),Inputs!$B$4*Q144,0)+IF(ISNUMBER(R144),Inputs!$B$5*R144,0)+IF(ISNUMBER(S144),Inputs!$B$6*S144,0)+IF(ISNUMBER(T144),Inputs!$B$7*T144,0))/(IF(ISNUMBER(Q144),Inputs!$B$4,0)+IF(ISNUMBER(R144),Inputs!$B$5,0)+IF(ISNUMBER(S144),Inputs!$B$6,0)+IF(ISNUMBER(T144),Inputs!$B$7,0)))</f>
        <v>0.5305</v>
      </c>
      <c r="V144" s="5" t="str">
        <f aca="false">IF(F144&gt;0,"Yes","No")</f>
        <v>Yes</v>
      </c>
      <c r="W144" s="5" t="str">
        <f aca="false">IF(ISNUMBER(N144),IF(N144&gt;=Inputs!$D$18,"Yes","No"),"No price")</f>
        <v>Yes</v>
      </c>
      <c r="X144" s="5" t="str">
        <f aca="false">IF(K144+L144&gt;0,"Yes",IF(M144&gt;0,"No","Unclear"))</f>
        <v>Yes</v>
      </c>
      <c r="Y144" s="5" t="str">
        <f aca="false">INDEX('API Data'!$H$2:$H$152,MATCH(B144,'API Data'!$A$2:$A$152,0))</f>
        <v>No</v>
      </c>
      <c r="Z144" s="5" t="str">
        <f aca="false">IF(COUNTIFS('Product Rows'!$A$2:$A$696,B144,'Product Rows'!$B$2:$B$696,C144,'Product Rows'!$I$2:$I$696,"Yes")&gt;0,"Yes","No")</f>
        <v>No</v>
      </c>
      <c r="AA144" s="5" t="str">
        <f aca="false">IF(P144&gt;=Inputs!$D$22,"Yes","No")</f>
        <v>No</v>
      </c>
      <c r="AB144" s="10" t="b">
        <f aca="false">AND(OR(Inputs!$B$17&lt;&gt;"Exclude",V144="Yes"),OR(Inputs!$B$18&lt;&gt;"Exclude",W144&lt;&gt;"No"),OR(Inputs!$B$19&lt;&gt;"Exclude",X144&lt;&gt;"No"),OR(Inputs!$B$20&lt;&gt;"Exclude",Y144="No"),OR(Inputs!$B$21&lt;&gt;"Exclude",Z144="No"),OR(Inputs!$B$22&lt;&gt;"Exclude",AA144="Yes"),ISNUMBER(U144))</f>
        <v>1</v>
      </c>
      <c r="AC144" s="5" t="n">
        <f aca="false">IF(AB144,COUNTIFS($C$5:$C$337,C144,$AB$5:$AB$337,TRUE(),$U$5:$U$337,"&gt;"&amp;U144)+COUNTIFS($C$5:C144,C144,$AB$5:AB144,TRUE(),$U$5:U144,U144),"")</f>
        <v>18</v>
      </c>
      <c r="AD144" s="5" t="str">
        <f aca="false">IF(AC144="","Not eligible",IF(AC144&lt;=Inputs!$B$25,"Lead",IF(AC144&lt;=Inputs!$B$25+Inputs!$B$26,"Next wave","Long list")))</f>
        <v>Long list</v>
      </c>
      <c r="AE144" s="5" t="str">
        <f aca="false">IF(AND(K144+L144=0,M144&gt;0),"Safety upgrade of existing prefilled syringe",IF(K144+L144+M144=0,"Confirm presentation (not stated in source)",IF(AA144="Yes","Differentiation in crowded generic market","Safety-device mandate compliance")))</f>
        <v>Safety-device mandate compliance</v>
      </c>
      <c r="AF144" s="5" t="str">
        <f aca="false">IF(AC144="","",C144&amp;"|"&amp;AC144)</f>
        <v>Aurobindo Pharma|18</v>
      </c>
    </row>
    <row r="145" customFormat="false" ht="15" hidden="false" customHeight="false" outlineLevel="0" collapsed="false">
      <c r="A145" s="5" t="n">
        <f aca="false">IF(ISNUMBER(U145),RANK(U145,$U$5:$U$337),"")</f>
        <v>136</v>
      </c>
      <c r="B145" s="5" t="s">
        <v>112</v>
      </c>
      <c r="C145" s="5" t="s">
        <v>63</v>
      </c>
      <c r="D145" s="5" t="str">
        <f aca="false">INDEX('API Data'!$B$2:$B$152,MATCH(B145,'API Data'!$A$2:$A$152,0))</f>
        <v>Psychiatry – schizophrenia maintenance (long-acting depot)</v>
      </c>
      <c r="E145" s="5" t="n">
        <f aca="false">COUNTIFS('Market Listing'!$A$2:$A$4054,B145,'Market Listing'!$B$2:$B$4054,C145)</f>
        <v>1</v>
      </c>
      <c r="F145" s="5" t="n">
        <f aca="false">COUNTIFS('Market Listing'!$A$2:$A$4054,B145,'Market Listing'!$B$2:$B$4054,C145,'Market Listing'!$D$2:$D$4054,"Tier 1")</f>
        <v>1</v>
      </c>
      <c r="G145" s="5" t="n">
        <f aca="false">COUNTIFS('Market Listing'!$A$2:$A$4054,B145,'Market Listing'!$B$2:$B$4054,C145,'Market Listing'!$D$2:$D$4054,"Tier 2")</f>
        <v>0</v>
      </c>
      <c r="H145" s="5" t="n">
        <f aca="false">COUNTIFS('Market Listing'!$A$2:$A$4054,B145,'Market Listing'!$B$2:$B$4054,C145,'Market Listing'!$D$2:$D$4054,"Tier 3")</f>
        <v>0</v>
      </c>
      <c r="I145" s="5" t="n">
        <f aca="false">SUMIFS('Market Listing'!$E$2:$E$4054,'Market Listing'!$A$2:$A$4054,B145,'Market Listing'!$B$2:$B$4054,C145)</f>
        <v>3</v>
      </c>
      <c r="J145" s="5" t="n">
        <f aca="false">COUNTIFS('Product Rows'!$A$2:$A$696,B145,'Product Rows'!$B$2:$B$696,C145)</f>
        <v>1</v>
      </c>
      <c r="K145" s="5" t="n">
        <f aca="false">COUNTIFS('Product Rows'!$A$2:$A$696,B145,'Product Rows'!$B$2:$B$696,C145,'Product Rows'!$G$2:$G$696,"Vial")</f>
        <v>1</v>
      </c>
      <c r="L145" s="5" t="n">
        <f aca="false">COUNTIFS('Product Rows'!$A$2:$A$696,B145,'Product Rows'!$B$2:$B$696,C145,'Product Rows'!$G$2:$G$696,"Ampoule")</f>
        <v>0</v>
      </c>
      <c r="M145" s="5" t="n">
        <f aca="false">COUNTIFS('Product Rows'!$A$2:$A$696,B145,'Product Rows'!$B$2:$B$696,C145,'Product Rows'!$G$2:$G$696,"Prefilled syringe/pen")</f>
        <v>0</v>
      </c>
      <c r="N145" s="6" t="n">
        <f aca="false">IFERROR(AVERAGEIFS('Product Rows'!$H$2:$H$696,'Product Rows'!$A$2:$A$696,B145,'Product Rows'!$B$2:$B$696,C145),"")</f>
        <v>54.55</v>
      </c>
      <c r="O145" s="7" t="n">
        <f aca="false">INDEX('API Data'!$E$2:$E$152,MATCH(B145,'API Data'!$A$2:$A$152,0))</f>
        <v>3407.51</v>
      </c>
      <c r="P145" s="5" t="n">
        <f aca="false">COUNTIF($B$5:$B$337,B145)</f>
        <v>2</v>
      </c>
      <c r="Q145" s="8" t="n">
        <f aca="false">IF(ISNUMBER(I145),PERCENTRANK($I$5:$I$337,I145),"")</f>
        <v>0.157</v>
      </c>
      <c r="R145" s="8" t="n">
        <f aca="false">IF(ISNUMBER(N145),PERCENTRANK($N$5:$N$337,N145),"")</f>
        <v>0.624</v>
      </c>
      <c r="S145" s="8" t="n">
        <f aca="false">IF(ISNUMBER(O145),PERCENTRANK($O$5:$O$337,O145),"")</f>
        <v>0.437</v>
      </c>
      <c r="T145" s="8" t="n">
        <f aca="false">IF(ISNUMBER(P145),PERCENTRANK($P$5:$P$337,P145),"")</f>
        <v>0.235</v>
      </c>
      <c r="U145" s="9" t="n">
        <f aca="false">IF((IF(ISNUMBER(Q145),Inputs!$B$4,0)+IF(ISNUMBER(R145),Inputs!$B$5,0)+IF(ISNUMBER(S145),Inputs!$B$6,0)+IF(ISNUMBER(T145),Inputs!$B$7,0))=0,"",(IF(ISNUMBER(Q145),Inputs!$B$4*Q145,0)+IF(ISNUMBER(R145),Inputs!$B$5*R145,0)+IF(ISNUMBER(S145),Inputs!$B$6*S145,0)+IF(ISNUMBER(T145),Inputs!$B$7*T145,0))/(IF(ISNUMBER(Q145),Inputs!$B$4,0)+IF(ISNUMBER(R145),Inputs!$B$5,0)+IF(ISNUMBER(S145),Inputs!$B$6,0)+IF(ISNUMBER(T145),Inputs!$B$7,0)))</f>
        <v>0.5305</v>
      </c>
      <c r="V145" s="5" t="str">
        <f aca="false">IF(F145&gt;0,"Yes","No")</f>
        <v>Yes</v>
      </c>
      <c r="W145" s="5" t="str">
        <f aca="false">IF(ISNUMBER(N145),IF(N145&gt;=Inputs!$D$18,"Yes","No"),"No price")</f>
        <v>Yes</v>
      </c>
      <c r="X145" s="5" t="str">
        <f aca="false">IF(K145+L145&gt;0,"Yes",IF(M145&gt;0,"No","Unclear"))</f>
        <v>Yes</v>
      </c>
      <c r="Y145" s="5" t="str">
        <f aca="false">INDEX('API Data'!$H$2:$H$152,MATCH(B145,'API Data'!$A$2:$A$152,0))</f>
        <v>No</v>
      </c>
      <c r="Z145" s="5" t="str">
        <f aca="false">IF(COUNTIFS('Product Rows'!$A$2:$A$696,B145,'Product Rows'!$B$2:$B$696,C145,'Product Rows'!$I$2:$I$696,"Yes")&gt;0,"Yes","No")</f>
        <v>No</v>
      </c>
      <c r="AA145" s="5" t="str">
        <f aca="false">IF(P145&gt;=Inputs!$D$22,"Yes","No")</f>
        <v>No</v>
      </c>
      <c r="AB145" s="10" t="b">
        <f aca="false">AND(OR(Inputs!$B$17&lt;&gt;"Exclude",V145="Yes"),OR(Inputs!$B$18&lt;&gt;"Exclude",W145&lt;&gt;"No"),OR(Inputs!$B$19&lt;&gt;"Exclude",X145&lt;&gt;"No"),OR(Inputs!$B$20&lt;&gt;"Exclude",Y145="No"),OR(Inputs!$B$21&lt;&gt;"Exclude",Z145="No"),OR(Inputs!$B$22&lt;&gt;"Exclude",AA145="Yes"),ISNUMBER(U145))</f>
        <v>1</v>
      </c>
      <c r="AC145" s="5" t="n">
        <f aca="false">IF(AB145,COUNTIFS($C$5:$C$337,C145,$AB$5:$AB$337,TRUE(),$U$5:$U$337,"&gt;"&amp;U145)+COUNTIFS($C$5:C145,C145,$AB$5:AB145,TRUE(),$U$5:U145,U145),"")</f>
        <v>4</v>
      </c>
      <c r="AD145" s="5" t="str">
        <f aca="false">IF(AC145="","Not eligible",IF(AC145&lt;=Inputs!$B$25,"Lead",IF(AC145&lt;=Inputs!$B$25+Inputs!$B$26,"Next wave","Long list")))</f>
        <v>Lead</v>
      </c>
      <c r="AE145" s="5" t="str">
        <f aca="false">IF(AND(K145+L145=0,M145&gt;0),"Safety upgrade of existing prefilled syringe",IF(K145+L145+M145=0,"Confirm presentation (not stated in source)",IF(AA145="Yes","Differentiation in crowded generic market","Safety-device mandate compliance")))</f>
        <v>Safety-device mandate compliance</v>
      </c>
      <c r="AF145" s="5" t="str">
        <f aca="false">IF(AC145="","",C145&amp;"|"&amp;AC145)</f>
        <v>MSN Laboratories|4</v>
      </c>
    </row>
    <row r="146" customFormat="false" ht="15" hidden="false" customHeight="false" outlineLevel="0" collapsed="false">
      <c r="A146" s="5" t="n">
        <f aca="false">IF(ISNUMBER(U146),RANK(U146,$U$5:$U$337),"")</f>
        <v>120</v>
      </c>
      <c r="B146" s="5" t="s">
        <v>113</v>
      </c>
      <c r="C146" s="5" t="s">
        <v>47</v>
      </c>
      <c r="D146" s="5" t="str">
        <f aca="false">INDEX('API Data'!$B$2:$B$152,MATCH(B146,'API Data'!$A$2:$A$152,0))</f>
        <v>Oncology supportive – methotrexate rescue; with 5-FU in colorectal cancer</v>
      </c>
      <c r="E146" s="5" t="n">
        <f aca="false">COUNTIFS('Market Listing'!$A$2:$A$4054,B146,'Market Listing'!$B$2:$B$4054,C146)</f>
        <v>23</v>
      </c>
      <c r="F146" s="5" t="n">
        <f aca="false">COUNTIFS('Market Listing'!$A$2:$A$4054,B146,'Market Listing'!$B$2:$B$4054,C146,'Market Listing'!$D$2:$D$4054,"Tier 1")</f>
        <v>5</v>
      </c>
      <c r="G146" s="5" t="n">
        <f aca="false">COUNTIFS('Market Listing'!$A$2:$A$4054,B146,'Market Listing'!$B$2:$B$4054,C146,'Market Listing'!$D$2:$D$4054,"Tier 2")</f>
        <v>1</v>
      </c>
      <c r="H146" s="5" t="n">
        <f aca="false">COUNTIFS('Market Listing'!$A$2:$A$4054,B146,'Market Listing'!$B$2:$B$4054,C146,'Market Listing'!$D$2:$D$4054,"Tier 3")</f>
        <v>17</v>
      </c>
      <c r="I146" s="5" t="n">
        <f aca="false">SUMIFS('Market Listing'!$E$2:$E$4054,'Market Listing'!$A$2:$A$4054,B146,'Market Listing'!$B$2:$B$4054,C146)</f>
        <v>34</v>
      </c>
      <c r="J146" s="5" t="n">
        <f aca="false">COUNTIFS('Product Rows'!$A$2:$A$696,B146,'Product Rows'!$B$2:$B$696,C146)</f>
        <v>1</v>
      </c>
      <c r="K146" s="5" t="n">
        <f aca="false">COUNTIFS('Product Rows'!$A$2:$A$696,B146,'Product Rows'!$B$2:$B$696,C146,'Product Rows'!$G$2:$G$696,"Vial")</f>
        <v>1</v>
      </c>
      <c r="L146" s="5" t="n">
        <f aca="false">COUNTIFS('Product Rows'!$A$2:$A$696,B146,'Product Rows'!$B$2:$B$696,C146,'Product Rows'!$G$2:$G$696,"Ampoule")</f>
        <v>0</v>
      </c>
      <c r="M146" s="5" t="n">
        <f aca="false">COUNTIFS('Product Rows'!$A$2:$A$696,B146,'Product Rows'!$B$2:$B$696,C146,'Product Rows'!$G$2:$G$696,"Prefilled syringe/pen")</f>
        <v>0</v>
      </c>
      <c r="N146" s="6" t="n">
        <f aca="false">IFERROR(AVERAGEIFS('Product Rows'!$H$2:$H$696,'Product Rows'!$A$2:$A$696,B146,'Product Rows'!$B$2:$B$696,C146),"")</f>
        <v>64.9298</v>
      </c>
      <c r="O146" s="7" t="n">
        <f aca="false">INDEX('API Data'!$E$2:$E$152,MATCH(B146,'API Data'!$A$2:$A$152,0))</f>
        <v>3562.50699051312</v>
      </c>
      <c r="P146" s="5" t="n">
        <f aca="false">COUNTIF($B$5:$B$337,B146)</f>
        <v>1</v>
      </c>
      <c r="Q146" s="8" t="n">
        <f aca="false">IF(ISNUMBER(I146),PERCENTRANK($I$5:$I$337,I146),"")</f>
        <v>0.648</v>
      </c>
      <c r="R146" s="8" t="n">
        <f aca="false">IF(ISNUMBER(N146),PERCENTRANK($N$5:$N$337,N146),"")</f>
        <v>0.67</v>
      </c>
      <c r="S146" s="8" t="n">
        <f aca="false">IF(ISNUMBER(O146),PERCENTRANK($O$5:$O$337,O146),"")</f>
        <v>0.452</v>
      </c>
      <c r="T146" s="8" t="n">
        <f aca="false">IF(ISNUMBER(P146),PERCENTRANK($P$5:$P$337,P146),"")</f>
        <v>0</v>
      </c>
      <c r="U146" s="9" t="n">
        <f aca="false">IF((IF(ISNUMBER(Q146),Inputs!$B$4,0)+IF(ISNUMBER(R146),Inputs!$B$5,0)+IF(ISNUMBER(S146),Inputs!$B$6,0)+IF(ISNUMBER(T146),Inputs!$B$7,0))=0,"",(IF(ISNUMBER(Q146),Inputs!$B$4*Q146,0)+IF(ISNUMBER(R146),Inputs!$B$5*R146,0)+IF(ISNUMBER(S146),Inputs!$B$6*S146,0)+IF(ISNUMBER(T146),Inputs!$B$7*T146,0))/(IF(ISNUMBER(Q146),Inputs!$B$4,0)+IF(ISNUMBER(R146),Inputs!$B$5,0)+IF(ISNUMBER(S146),Inputs!$B$6,0)+IF(ISNUMBER(T146),Inputs!$B$7,0)))</f>
        <v>0.561</v>
      </c>
      <c r="V146" s="5" t="str">
        <f aca="false">IF(F146&gt;0,"Yes","No")</f>
        <v>Yes</v>
      </c>
      <c r="W146" s="5" t="str">
        <f aca="false">IF(ISNUMBER(N146),IF(N146&gt;=Inputs!$D$18,"Yes","No"),"No price")</f>
        <v>Yes</v>
      </c>
      <c r="X146" s="5" t="str">
        <f aca="false">IF(K146+L146&gt;0,"Yes",IF(M146&gt;0,"No","Unclear"))</f>
        <v>Yes</v>
      </c>
      <c r="Y146" s="5" t="str">
        <f aca="false">INDEX('API Data'!$H$2:$H$152,MATCH(B146,'API Data'!$A$2:$A$152,0))</f>
        <v>No</v>
      </c>
      <c r="Z146" s="5" t="str">
        <f aca="false">IF(COUNTIFS('Product Rows'!$A$2:$A$696,B146,'Product Rows'!$B$2:$B$696,C146,'Product Rows'!$I$2:$I$696,"Yes")&gt;0,"Yes","No")</f>
        <v>No</v>
      </c>
      <c r="AA146" s="5" t="str">
        <f aca="false">IF(P146&gt;=Inputs!$D$22,"Yes","No")</f>
        <v>No</v>
      </c>
      <c r="AB146" s="10" t="b">
        <f aca="false">AND(OR(Inputs!$B$17&lt;&gt;"Exclude",V146="Yes"),OR(Inputs!$B$18&lt;&gt;"Exclude",W146&lt;&gt;"No"),OR(Inputs!$B$19&lt;&gt;"Exclude",X146&lt;&gt;"No"),OR(Inputs!$B$20&lt;&gt;"Exclude",Y146="No"),OR(Inputs!$B$21&lt;&gt;"Exclude",Z146="No"),OR(Inputs!$B$22&lt;&gt;"Exclude",AA146="Yes"),ISNUMBER(U146))</f>
        <v>1</v>
      </c>
      <c r="AC146" s="5" t="n">
        <f aca="false">IF(AB146,COUNTIFS($C$5:$C$337,C146,$AB$5:$AB$337,TRUE(),$U$5:$U$337,"&gt;"&amp;U146)+COUNTIFS($C$5:C146,C146,$AB$5:AB146,TRUE(),$U$5:U146,U146),"")</f>
        <v>15</v>
      </c>
      <c r="AD146" s="5" t="str">
        <f aca="false">IF(AC146="","Not eligible",IF(AC146&lt;=Inputs!$B$25,"Lead",IF(AC146&lt;=Inputs!$B$25+Inputs!$B$26,"Next wave","Long list")))</f>
        <v>Long list</v>
      </c>
      <c r="AE146" s="5" t="str">
        <f aca="false">IF(AND(K146+L146=0,M146&gt;0),"Safety upgrade of existing prefilled syringe",IF(K146+L146+M146=0,"Confirm presentation (not stated in source)",IF(AA146="Yes","Differentiation in crowded generic market","Safety-device mandate compliance")))</f>
        <v>Safety-device mandate compliance</v>
      </c>
      <c r="AF146" s="5" t="str">
        <f aca="false">IF(AC146="","",C146&amp;"|"&amp;AC146)</f>
        <v>Aurobindo Pharma|15</v>
      </c>
    </row>
    <row r="147" customFormat="false" ht="15" hidden="false" customHeight="false" outlineLevel="0" collapsed="false">
      <c r="A147" s="5" t="n">
        <f aca="false">IF(ISNUMBER(U147),RANK(U147,$U$5:$U$337),"")</f>
        <v>107</v>
      </c>
      <c r="B147" s="5" t="s">
        <v>114</v>
      </c>
      <c r="C147" s="5" t="s">
        <v>70</v>
      </c>
      <c r="D147" s="5" t="str">
        <f aca="false">INDEX('API Data'!$B$2:$B$152,MATCH(B147,'API Data'!$A$2:$A$152,0))</f>
        <v>Oncology – HR+ advanced breast cancer</v>
      </c>
      <c r="E147" s="5" t="n">
        <f aca="false">COUNTIFS('Market Listing'!$A$2:$A$4054,B147,'Market Listing'!$B$2:$B$4054,C147)</f>
        <v>1</v>
      </c>
      <c r="F147" s="5" t="n">
        <f aca="false">COUNTIFS('Market Listing'!$A$2:$A$4054,B147,'Market Listing'!$B$2:$B$4054,C147,'Market Listing'!$D$2:$D$4054,"Tier 1")</f>
        <v>1</v>
      </c>
      <c r="G147" s="5" t="n">
        <f aca="false">COUNTIFS('Market Listing'!$A$2:$A$4054,B147,'Market Listing'!$B$2:$B$4054,C147,'Market Listing'!$D$2:$D$4054,"Tier 2")</f>
        <v>0</v>
      </c>
      <c r="H147" s="5" t="n">
        <f aca="false">COUNTIFS('Market Listing'!$A$2:$A$4054,B147,'Market Listing'!$B$2:$B$4054,C147,'Market Listing'!$D$2:$D$4054,"Tier 3")</f>
        <v>0</v>
      </c>
      <c r="I147" s="5" t="n">
        <f aca="false">SUMIFS('Market Listing'!$E$2:$E$4054,'Market Listing'!$A$2:$A$4054,B147,'Market Listing'!$B$2:$B$4054,C147)</f>
        <v>3</v>
      </c>
      <c r="J147" s="5" t="n">
        <f aca="false">COUNTIFS('Product Rows'!$A$2:$A$696,B147,'Product Rows'!$B$2:$B$696,C147)</f>
        <v>1</v>
      </c>
      <c r="K147" s="5" t="n">
        <f aca="false">COUNTIFS('Product Rows'!$A$2:$A$696,B147,'Product Rows'!$B$2:$B$696,C147,'Product Rows'!$G$2:$G$696,"Vial")</f>
        <v>0</v>
      </c>
      <c r="L147" s="5" t="n">
        <f aca="false">COUNTIFS('Product Rows'!$A$2:$A$696,B147,'Product Rows'!$B$2:$B$696,C147,'Product Rows'!$G$2:$G$696,"Ampoule")</f>
        <v>0</v>
      </c>
      <c r="M147" s="5" t="n">
        <f aca="false">COUNTIFS('Product Rows'!$A$2:$A$696,B147,'Product Rows'!$B$2:$B$696,C147,'Product Rows'!$G$2:$G$696,"Prefilled syringe/pen")</f>
        <v>1</v>
      </c>
      <c r="N147" s="6" t="n">
        <f aca="false">IFERROR(AVERAGEIFS('Product Rows'!$H$2:$H$696,'Product Rows'!$A$2:$A$696,B147,'Product Rows'!$B$2:$B$696,C147),"")</f>
        <v>29.97</v>
      </c>
      <c r="O147" s="7" t="n">
        <f aca="false">INDEX('API Data'!$E$2:$E$152,MATCH(B147,'API Data'!$A$2:$A$152,0))</f>
        <v>11366.06</v>
      </c>
      <c r="P147" s="5" t="n">
        <f aca="false">COUNTIF($B$5:$B$337,B147)</f>
        <v>9</v>
      </c>
      <c r="Q147" s="8" t="n">
        <f aca="false">IF(ISNUMBER(I147),PERCENTRANK($I$5:$I$337,I147),"")</f>
        <v>0.157</v>
      </c>
      <c r="R147" s="8" t="n">
        <f aca="false">IF(ISNUMBER(N147),PERCENTRANK($N$5:$N$337,N147),"")</f>
        <v>0.473</v>
      </c>
      <c r="S147" s="8" t="n">
        <f aca="false">IF(ISNUMBER(O147),PERCENTRANK($O$5:$O$337,O147),"")</f>
        <v>0.687</v>
      </c>
      <c r="T147" s="8" t="n">
        <f aca="false">IF(ISNUMBER(P147),PERCENTRANK($P$5:$P$337,P147),"")</f>
        <v>0.91</v>
      </c>
      <c r="U147" s="9" t="n">
        <f aca="false">IF((IF(ISNUMBER(Q147),Inputs!$B$4,0)+IF(ISNUMBER(R147),Inputs!$B$5,0)+IF(ISNUMBER(S147),Inputs!$B$6,0)+IF(ISNUMBER(T147),Inputs!$B$7,0))=0,"",(IF(ISNUMBER(Q147),Inputs!$B$4*Q147,0)+IF(ISNUMBER(R147),Inputs!$B$5*R147,0)+IF(ISNUMBER(S147),Inputs!$B$6*S147,0)+IF(ISNUMBER(T147),Inputs!$B$7*T147,0))/(IF(ISNUMBER(Q147),Inputs!$B$4,0)+IF(ISNUMBER(R147),Inputs!$B$5,0)+IF(ISNUMBER(S147),Inputs!$B$6,0)+IF(ISNUMBER(T147),Inputs!$B$7,0)))</f>
        <v>0.58</v>
      </c>
      <c r="V147" s="5" t="str">
        <f aca="false">IF(F147&gt;0,"Yes","No")</f>
        <v>Yes</v>
      </c>
      <c r="W147" s="5" t="str">
        <f aca="false">IF(ISNUMBER(N147),IF(N147&gt;=Inputs!$D$18,"Yes","No"),"No price")</f>
        <v>Yes</v>
      </c>
      <c r="X147" s="5" t="str">
        <f aca="false">IF(K147+L147&gt;0,"Yes",IF(M147&gt;0,"No","Unclear"))</f>
        <v>No</v>
      </c>
      <c r="Y147" s="5" t="str">
        <f aca="false">INDEX('API Data'!$H$2:$H$152,MATCH(B147,'API Data'!$A$2:$A$152,0))</f>
        <v>No</v>
      </c>
      <c r="Z147" s="5" t="str">
        <f aca="false">IF(COUNTIFS('Product Rows'!$A$2:$A$696,B147,'Product Rows'!$B$2:$B$696,C147,'Product Rows'!$I$2:$I$696,"Yes")&gt;0,"Yes","No")</f>
        <v>No</v>
      </c>
      <c r="AA147" s="5" t="str">
        <f aca="false">IF(P147&gt;=Inputs!$D$22,"Yes","No")</f>
        <v>Yes</v>
      </c>
      <c r="AB147" s="10" t="b">
        <f aca="false">AND(OR(Inputs!$B$17&lt;&gt;"Exclude",V147="Yes"),OR(Inputs!$B$18&lt;&gt;"Exclude",W147&lt;&gt;"No"),OR(Inputs!$B$19&lt;&gt;"Exclude",X147&lt;&gt;"No"),OR(Inputs!$B$20&lt;&gt;"Exclude",Y147="No"),OR(Inputs!$B$21&lt;&gt;"Exclude",Z147="No"),OR(Inputs!$B$22&lt;&gt;"Exclude",AA147="Yes"),ISNUMBER(U147))</f>
        <v>1</v>
      </c>
      <c r="AC147" s="5" t="n">
        <f aca="false">IF(AB147,COUNTIFS($C$5:$C$337,C147,$AB$5:$AB$337,TRUE(),$U$5:$U$337,"&gt;"&amp;U147)+COUNTIFS($C$5:C147,C147,$AB$5:AB147,TRUE(),$U$5:U147,U147),"")</f>
        <v>1</v>
      </c>
      <c r="AD147" s="5" t="str">
        <f aca="false">IF(AC147="","Not eligible",IF(AC147&lt;=Inputs!$B$25,"Lead",IF(AC147&lt;=Inputs!$B$25+Inputs!$B$26,"Next wave","Long list")))</f>
        <v>Lead</v>
      </c>
      <c r="AE147" s="5" t="str">
        <f aca="false">IF(AND(K147+L147=0,M147&gt;0),"Safety upgrade of existing prefilled syringe",IF(K147+L147+M147=0,"Confirm presentation (not stated in source)",IF(AA147="Yes","Differentiation in crowded generic market","Safety-device mandate compliance")))</f>
        <v>Safety upgrade of existing prefilled syringe</v>
      </c>
      <c r="AF147" s="5" t="str">
        <f aca="false">IF(AC147="","",C147&amp;"|"&amp;AC147)</f>
        <v>Alembic Pharmaceuticals|1</v>
      </c>
    </row>
    <row r="148" customFormat="false" ht="15" hidden="false" customHeight="false" outlineLevel="0" collapsed="false">
      <c r="A148" s="5" t="n">
        <f aca="false">IF(ISNUMBER(U148),RANK(U148,$U$5:$U$337),"")</f>
        <v>40</v>
      </c>
      <c r="B148" s="5" t="s">
        <v>114</v>
      </c>
      <c r="C148" s="5" t="s">
        <v>47</v>
      </c>
      <c r="D148" s="5" t="str">
        <f aca="false">INDEX('API Data'!$B$2:$B$152,MATCH(B148,'API Data'!$A$2:$A$152,0))</f>
        <v>Oncology – HR+ advanced breast cancer</v>
      </c>
      <c r="E148" s="5" t="n">
        <f aca="false">COUNTIFS('Market Listing'!$A$2:$A$4054,B148,'Market Listing'!$B$2:$B$4054,C148)</f>
        <v>33</v>
      </c>
      <c r="F148" s="5" t="n">
        <f aca="false">COUNTIFS('Market Listing'!$A$2:$A$4054,B148,'Market Listing'!$B$2:$B$4054,C148,'Market Listing'!$D$2:$D$4054,"Tier 1")</f>
        <v>6</v>
      </c>
      <c r="G148" s="5" t="n">
        <f aca="false">COUNTIFS('Market Listing'!$A$2:$A$4054,B148,'Market Listing'!$B$2:$B$4054,C148,'Market Listing'!$D$2:$D$4054,"Tier 2")</f>
        <v>4</v>
      </c>
      <c r="H148" s="5" t="n">
        <f aca="false">COUNTIFS('Market Listing'!$A$2:$A$4054,B148,'Market Listing'!$B$2:$B$4054,C148,'Market Listing'!$D$2:$D$4054,"Tier 3")</f>
        <v>23</v>
      </c>
      <c r="I148" s="5" t="n">
        <f aca="false">SUMIFS('Market Listing'!$E$2:$E$4054,'Market Listing'!$A$2:$A$4054,B148,'Market Listing'!$B$2:$B$4054,C148)</f>
        <v>49</v>
      </c>
      <c r="J148" s="5" t="n">
        <f aca="false">COUNTIFS('Product Rows'!$A$2:$A$696,B148,'Product Rows'!$B$2:$B$696,C148)</f>
        <v>3</v>
      </c>
      <c r="K148" s="5" t="n">
        <f aca="false">COUNTIFS('Product Rows'!$A$2:$A$696,B148,'Product Rows'!$B$2:$B$696,C148,'Product Rows'!$G$2:$G$696,"Vial")</f>
        <v>0</v>
      </c>
      <c r="L148" s="5" t="n">
        <f aca="false">COUNTIFS('Product Rows'!$A$2:$A$696,B148,'Product Rows'!$B$2:$B$696,C148,'Product Rows'!$G$2:$G$696,"Ampoule")</f>
        <v>0</v>
      </c>
      <c r="M148" s="5" t="n">
        <f aca="false">COUNTIFS('Product Rows'!$A$2:$A$696,B148,'Product Rows'!$B$2:$B$696,C148,'Product Rows'!$G$2:$G$696,"Prefilled syringe/pen")</f>
        <v>3</v>
      </c>
      <c r="N148" s="6" t="n">
        <f aca="false">IFERROR(AVERAGEIFS('Product Rows'!$H$2:$H$696,'Product Rows'!$A$2:$A$696,B148,'Product Rows'!$B$2:$B$696,C148),"")</f>
        <v>308.096133333333</v>
      </c>
      <c r="O148" s="7" t="n">
        <f aca="false">INDEX('API Data'!$E$2:$E$152,MATCH(B148,'API Data'!$A$2:$A$152,0))</f>
        <v>11366.06</v>
      </c>
      <c r="P148" s="5" t="n">
        <f aca="false">COUNTIF($B$5:$B$337,B148)</f>
        <v>9</v>
      </c>
      <c r="Q148" s="8" t="n">
        <f aca="false">IF(ISNUMBER(I148),PERCENTRANK($I$5:$I$337,I148),"")</f>
        <v>0.934</v>
      </c>
      <c r="R148" s="8" t="n">
        <f aca="false">IF(ISNUMBER(N148),PERCENTRANK($N$5:$N$337,N148),"")</f>
        <v>0.885</v>
      </c>
      <c r="S148" s="8" t="n">
        <f aca="false">IF(ISNUMBER(O148),PERCENTRANK($O$5:$O$337,O148),"")</f>
        <v>0.687</v>
      </c>
      <c r="T148" s="8" t="n">
        <f aca="false">IF(ISNUMBER(P148),PERCENTRANK($P$5:$P$337,P148),"")</f>
        <v>0.91</v>
      </c>
      <c r="U148" s="9" t="n">
        <f aca="false">IF((IF(ISNUMBER(Q148),Inputs!$B$4,0)+IF(ISNUMBER(R148),Inputs!$B$5,0)+IF(ISNUMBER(S148),Inputs!$B$6,0)+IF(ISNUMBER(T148),Inputs!$B$7,0))=0,"",(IF(ISNUMBER(Q148),Inputs!$B$4*Q148,0)+IF(ISNUMBER(R148),Inputs!$B$5*R148,0)+IF(ISNUMBER(S148),Inputs!$B$6*S148,0)+IF(ISNUMBER(T148),Inputs!$B$7*T148,0))/(IF(ISNUMBER(Q148),Inputs!$B$4,0)+IF(ISNUMBER(R148),Inputs!$B$5,0)+IF(ISNUMBER(S148),Inputs!$B$6,0)+IF(ISNUMBER(T148),Inputs!$B$7,0)))</f>
        <v>0.786</v>
      </c>
      <c r="V148" s="5" t="str">
        <f aca="false">IF(F148&gt;0,"Yes","No")</f>
        <v>Yes</v>
      </c>
      <c r="W148" s="5" t="str">
        <f aca="false">IF(ISNUMBER(N148),IF(N148&gt;=Inputs!$D$18,"Yes","No"),"No price")</f>
        <v>Yes</v>
      </c>
      <c r="X148" s="5" t="str">
        <f aca="false">IF(K148+L148&gt;0,"Yes",IF(M148&gt;0,"No","Unclear"))</f>
        <v>No</v>
      </c>
      <c r="Y148" s="5" t="str">
        <f aca="false">INDEX('API Data'!$H$2:$H$152,MATCH(B148,'API Data'!$A$2:$A$152,0))</f>
        <v>No</v>
      </c>
      <c r="Z148" s="5" t="str">
        <f aca="false">IF(COUNTIFS('Product Rows'!$A$2:$A$696,B148,'Product Rows'!$B$2:$B$696,C148,'Product Rows'!$I$2:$I$696,"Yes")&gt;0,"Yes","No")</f>
        <v>No</v>
      </c>
      <c r="AA148" s="5" t="str">
        <f aca="false">IF(P148&gt;=Inputs!$D$22,"Yes","No")</f>
        <v>Yes</v>
      </c>
      <c r="AB148" s="10" t="b">
        <f aca="false">AND(OR(Inputs!$B$17&lt;&gt;"Exclude",V148="Yes"),OR(Inputs!$B$18&lt;&gt;"Exclude",W148&lt;&gt;"No"),OR(Inputs!$B$19&lt;&gt;"Exclude",X148&lt;&gt;"No"),OR(Inputs!$B$20&lt;&gt;"Exclude",Y148="No"),OR(Inputs!$B$21&lt;&gt;"Exclude",Z148="No"),OR(Inputs!$B$22&lt;&gt;"Exclude",AA148="Yes"),ISNUMBER(U148))</f>
        <v>1</v>
      </c>
      <c r="AC148" s="5" t="n">
        <f aca="false">IF(AB148,COUNTIFS($C$5:$C$337,C148,$AB$5:$AB$337,TRUE(),$U$5:$U$337,"&gt;"&amp;U148)+COUNTIFS($C$5:C148,C148,$AB$5:AB148,TRUE(),$U$5:U148,U148),"")</f>
        <v>5</v>
      </c>
      <c r="AD148" s="5" t="str">
        <f aca="false">IF(AC148="","Not eligible",IF(AC148&lt;=Inputs!$B$25,"Lead",IF(AC148&lt;=Inputs!$B$25+Inputs!$B$26,"Next wave","Long list")))</f>
        <v>Lead</v>
      </c>
      <c r="AE148" s="5" t="str">
        <f aca="false">IF(AND(K148+L148=0,M148&gt;0),"Safety upgrade of existing prefilled syringe",IF(K148+L148+M148=0,"Confirm presentation (not stated in source)",IF(AA148="Yes","Differentiation in crowded generic market","Safety-device mandate compliance")))</f>
        <v>Safety upgrade of existing prefilled syringe</v>
      </c>
      <c r="AF148" s="5" t="str">
        <f aca="false">IF(AC148="","",C148&amp;"|"&amp;AC148)</f>
        <v>Aurobindo Pharma|5</v>
      </c>
    </row>
    <row r="149" customFormat="false" ht="15" hidden="false" customHeight="false" outlineLevel="0" collapsed="false">
      <c r="A149" s="5" t="n">
        <f aca="false">IF(ISNUMBER(U149),RANK(U149,$U$5:$U$337),"")</f>
        <v>34</v>
      </c>
      <c r="B149" s="5" t="s">
        <v>114</v>
      </c>
      <c r="C149" s="5" t="s">
        <v>54</v>
      </c>
      <c r="D149" s="5" t="str">
        <f aca="false">INDEX('API Data'!$B$2:$B$152,MATCH(B149,'API Data'!$A$2:$A$152,0))</f>
        <v>Oncology – HR+ advanced breast cancer</v>
      </c>
      <c r="E149" s="5" t="n">
        <f aca="false">COUNTIFS('Market Listing'!$A$2:$A$4054,B149,'Market Listing'!$B$2:$B$4054,C149)</f>
        <v>31</v>
      </c>
      <c r="F149" s="5" t="n">
        <f aca="false">COUNTIFS('Market Listing'!$A$2:$A$4054,B149,'Market Listing'!$B$2:$B$4054,C149,'Market Listing'!$D$2:$D$4054,"Tier 1")</f>
        <v>5</v>
      </c>
      <c r="G149" s="5" t="n">
        <f aca="false">COUNTIFS('Market Listing'!$A$2:$A$4054,B149,'Market Listing'!$B$2:$B$4054,C149,'Market Listing'!$D$2:$D$4054,"Tier 2")</f>
        <v>3</v>
      </c>
      <c r="H149" s="5" t="n">
        <f aca="false">COUNTIFS('Market Listing'!$A$2:$A$4054,B149,'Market Listing'!$B$2:$B$4054,C149,'Market Listing'!$D$2:$D$4054,"Tier 3")</f>
        <v>23</v>
      </c>
      <c r="I149" s="5" t="n">
        <f aca="false">SUMIFS('Market Listing'!$E$2:$E$4054,'Market Listing'!$A$2:$A$4054,B149,'Market Listing'!$B$2:$B$4054,C149)</f>
        <v>44</v>
      </c>
      <c r="J149" s="5" t="n">
        <f aca="false">COUNTIFS('Product Rows'!$A$2:$A$696,B149,'Product Rows'!$B$2:$B$696,C149)</f>
        <v>1</v>
      </c>
      <c r="K149" s="5" t="n">
        <f aca="false">COUNTIFS('Product Rows'!$A$2:$A$696,B149,'Product Rows'!$B$2:$B$696,C149,'Product Rows'!$G$2:$G$696,"Vial")</f>
        <v>0</v>
      </c>
      <c r="L149" s="5" t="n">
        <f aca="false">COUNTIFS('Product Rows'!$A$2:$A$696,B149,'Product Rows'!$B$2:$B$696,C149,'Product Rows'!$G$2:$G$696,"Ampoule")</f>
        <v>0</v>
      </c>
      <c r="M149" s="5" t="n">
        <f aca="false">COUNTIFS('Product Rows'!$A$2:$A$696,B149,'Product Rows'!$B$2:$B$696,C149,'Product Rows'!$G$2:$G$696,"Prefilled syringe/pen")</f>
        <v>1</v>
      </c>
      <c r="N149" s="6" t="n">
        <f aca="false">IFERROR(AVERAGEIFS('Product Rows'!$H$2:$H$696,'Product Rows'!$A$2:$A$696,B149,'Product Rows'!$B$2:$B$696,C149),"")</f>
        <v>531.8684</v>
      </c>
      <c r="O149" s="7" t="n">
        <f aca="false">INDEX('API Data'!$E$2:$E$152,MATCH(B149,'API Data'!$A$2:$A$152,0))</f>
        <v>11366.06</v>
      </c>
      <c r="P149" s="5" t="n">
        <f aca="false">COUNTIF($B$5:$B$337,B149)</f>
        <v>9</v>
      </c>
      <c r="Q149" s="8" t="n">
        <f aca="false">IF(ISNUMBER(I149),PERCENTRANK($I$5:$I$337,I149),"")</f>
        <v>0.798</v>
      </c>
      <c r="R149" s="8" t="n">
        <f aca="false">IF(ISNUMBER(N149),PERCENTRANK($N$5:$N$337,N149),"")</f>
        <v>0.939</v>
      </c>
      <c r="S149" s="8" t="n">
        <f aca="false">IF(ISNUMBER(O149),PERCENTRANK($O$5:$O$337,O149),"")</f>
        <v>0.687</v>
      </c>
      <c r="T149" s="8" t="n">
        <f aca="false">IF(ISNUMBER(P149),PERCENTRANK($P$5:$P$337,P149),"")</f>
        <v>0.91</v>
      </c>
      <c r="U149" s="9" t="n">
        <f aca="false">IF((IF(ISNUMBER(Q149),Inputs!$B$4,0)+IF(ISNUMBER(R149),Inputs!$B$5,0)+IF(ISNUMBER(S149),Inputs!$B$6,0)+IF(ISNUMBER(T149),Inputs!$B$7,0))=0,"",(IF(ISNUMBER(Q149),Inputs!$B$4*Q149,0)+IF(ISNUMBER(R149),Inputs!$B$5*R149,0)+IF(ISNUMBER(S149),Inputs!$B$6*S149,0)+IF(ISNUMBER(T149),Inputs!$B$7*T149,0))/(IF(ISNUMBER(Q149),Inputs!$B$4,0)+IF(ISNUMBER(R149),Inputs!$B$5,0)+IF(ISNUMBER(S149),Inputs!$B$6,0)+IF(ISNUMBER(T149),Inputs!$B$7,0)))</f>
        <v>0.813</v>
      </c>
      <c r="V149" s="5" t="str">
        <f aca="false">IF(F149&gt;0,"Yes","No")</f>
        <v>Yes</v>
      </c>
      <c r="W149" s="5" t="str">
        <f aca="false">IF(ISNUMBER(N149),IF(N149&gt;=Inputs!$D$18,"Yes","No"),"No price")</f>
        <v>Yes</v>
      </c>
      <c r="X149" s="5" t="str">
        <f aca="false">IF(K149+L149&gt;0,"Yes",IF(M149&gt;0,"No","Unclear"))</f>
        <v>No</v>
      </c>
      <c r="Y149" s="5" t="str">
        <f aca="false">INDEX('API Data'!$H$2:$H$152,MATCH(B149,'API Data'!$A$2:$A$152,0))</f>
        <v>No</v>
      </c>
      <c r="Z149" s="5" t="str">
        <f aca="false">IF(COUNTIFS('Product Rows'!$A$2:$A$696,B149,'Product Rows'!$B$2:$B$696,C149,'Product Rows'!$I$2:$I$696,"Yes")&gt;0,"Yes","No")</f>
        <v>No</v>
      </c>
      <c r="AA149" s="5" t="str">
        <f aca="false">IF(P149&gt;=Inputs!$D$22,"Yes","No")</f>
        <v>Yes</v>
      </c>
      <c r="AB149" s="10" t="b">
        <f aca="false">AND(OR(Inputs!$B$17&lt;&gt;"Exclude",V149="Yes"),OR(Inputs!$B$18&lt;&gt;"Exclude",W149&lt;&gt;"No"),OR(Inputs!$B$19&lt;&gt;"Exclude",X149&lt;&gt;"No"),OR(Inputs!$B$20&lt;&gt;"Exclude",Y149="No"),OR(Inputs!$B$21&lt;&gt;"Exclude",Z149="No"),OR(Inputs!$B$22&lt;&gt;"Exclude",AA149="Yes"),ISNUMBER(U149))</f>
        <v>1</v>
      </c>
      <c r="AC149" s="5" t="n">
        <f aca="false">IF(AB149,COUNTIFS($C$5:$C$337,C149,$AB$5:$AB$337,TRUE(),$U$5:$U$337,"&gt;"&amp;U149)+COUNTIFS($C$5:C149,C149,$AB$5:AB149,TRUE(),$U$5:U149,U149),"")</f>
        <v>2</v>
      </c>
      <c r="AD149" s="5" t="str">
        <f aca="false">IF(AC149="","Not eligible",IF(AC149&lt;=Inputs!$B$25,"Lead",IF(AC149&lt;=Inputs!$B$25+Inputs!$B$26,"Next wave","Long list")))</f>
        <v>Lead</v>
      </c>
      <c r="AE149" s="5" t="str">
        <f aca="false">IF(AND(K149+L149=0,M149&gt;0),"Safety upgrade of existing prefilled syringe",IF(K149+L149+M149=0,"Confirm presentation (not stated in source)",IF(AA149="Yes","Differentiation in crowded generic market","Safety-device mandate compliance")))</f>
        <v>Safety upgrade of existing prefilled syringe</v>
      </c>
      <c r="AF149" s="5" t="str">
        <f aca="false">IF(AC149="","",C149&amp;"|"&amp;AC149)</f>
        <v>Cipla|2</v>
      </c>
    </row>
    <row r="150" customFormat="false" ht="15" hidden="false" customHeight="false" outlineLevel="0" collapsed="false">
      <c r="A150" s="5" t="n">
        <f aca="false">IF(ISNUMBER(U150),RANK(U150,$U$5:$U$337),"")</f>
        <v>42</v>
      </c>
      <c r="B150" s="5" t="s">
        <v>114</v>
      </c>
      <c r="C150" s="5" t="s">
        <v>55</v>
      </c>
      <c r="D150" s="5" t="str">
        <f aca="false">INDEX('API Data'!$B$2:$B$152,MATCH(B150,'API Data'!$A$2:$A$152,0))</f>
        <v>Oncology – HR+ advanced breast cancer</v>
      </c>
      <c r="E150" s="5" t="n">
        <f aca="false">COUNTIFS('Market Listing'!$A$2:$A$4054,B150,'Market Listing'!$B$2:$B$4054,C150)</f>
        <v>34</v>
      </c>
      <c r="F150" s="5" t="n">
        <f aca="false">COUNTIFS('Market Listing'!$A$2:$A$4054,B150,'Market Listing'!$B$2:$B$4054,C150,'Market Listing'!$D$2:$D$4054,"Tier 1")</f>
        <v>7</v>
      </c>
      <c r="G150" s="5" t="n">
        <f aca="false">COUNTIFS('Market Listing'!$A$2:$A$4054,B150,'Market Listing'!$B$2:$B$4054,C150,'Market Listing'!$D$2:$D$4054,"Tier 2")</f>
        <v>4</v>
      </c>
      <c r="H150" s="5" t="n">
        <f aca="false">COUNTIFS('Market Listing'!$A$2:$A$4054,B150,'Market Listing'!$B$2:$B$4054,C150,'Market Listing'!$D$2:$D$4054,"Tier 3")</f>
        <v>23</v>
      </c>
      <c r="I150" s="5" t="n">
        <f aca="false">SUMIFS('Market Listing'!$E$2:$E$4054,'Market Listing'!$A$2:$A$4054,B150,'Market Listing'!$B$2:$B$4054,C150)</f>
        <v>52</v>
      </c>
      <c r="J150" s="5" t="n">
        <f aca="false">COUNTIFS('Product Rows'!$A$2:$A$696,B150,'Product Rows'!$B$2:$B$696,C150)</f>
        <v>4</v>
      </c>
      <c r="K150" s="5" t="n">
        <f aca="false">COUNTIFS('Product Rows'!$A$2:$A$696,B150,'Product Rows'!$B$2:$B$696,C150,'Product Rows'!$G$2:$G$696,"Vial")</f>
        <v>0</v>
      </c>
      <c r="L150" s="5" t="n">
        <f aca="false">COUNTIFS('Product Rows'!$A$2:$A$696,B150,'Product Rows'!$B$2:$B$696,C150,'Product Rows'!$G$2:$G$696,"Ampoule")</f>
        <v>0</v>
      </c>
      <c r="M150" s="5" t="n">
        <f aca="false">COUNTIFS('Product Rows'!$A$2:$A$696,B150,'Product Rows'!$B$2:$B$696,C150,'Product Rows'!$G$2:$G$696,"Prefilled syringe/pen")</f>
        <v>4</v>
      </c>
      <c r="N150" s="6" t="n">
        <f aca="false">IFERROR(AVERAGEIFS('Product Rows'!$H$2:$H$696,'Product Rows'!$A$2:$A$696,B150,'Product Rows'!$B$2:$B$696,C150),"")</f>
        <v>248.6046</v>
      </c>
      <c r="O150" s="7" t="n">
        <f aca="false">INDEX('API Data'!$E$2:$E$152,MATCH(B150,'API Data'!$A$2:$A$152,0))</f>
        <v>11366.06</v>
      </c>
      <c r="P150" s="5" t="n">
        <f aca="false">COUNTIF($B$5:$B$337,B150)</f>
        <v>9</v>
      </c>
      <c r="Q150" s="8" t="n">
        <f aca="false">IF(ISNUMBER(I150),PERCENTRANK($I$5:$I$337,I150),"")</f>
        <v>0.979</v>
      </c>
      <c r="R150" s="8" t="n">
        <f aca="false">IF(ISNUMBER(N150),PERCENTRANK($N$5:$N$337,N150),"")</f>
        <v>0.857</v>
      </c>
      <c r="S150" s="8" t="n">
        <f aca="false">IF(ISNUMBER(O150),PERCENTRANK($O$5:$O$337,O150),"")</f>
        <v>0.687</v>
      </c>
      <c r="T150" s="8" t="n">
        <f aca="false">IF(ISNUMBER(P150),PERCENTRANK($P$5:$P$337,P150),"")</f>
        <v>0.91</v>
      </c>
      <c r="U150" s="9" t="n">
        <f aca="false">IF((IF(ISNUMBER(Q150),Inputs!$B$4,0)+IF(ISNUMBER(R150),Inputs!$B$5,0)+IF(ISNUMBER(S150),Inputs!$B$6,0)+IF(ISNUMBER(T150),Inputs!$B$7,0))=0,"",(IF(ISNUMBER(Q150),Inputs!$B$4*Q150,0)+IF(ISNUMBER(R150),Inputs!$B$5*R150,0)+IF(ISNUMBER(S150),Inputs!$B$6*S150,0)+IF(ISNUMBER(T150),Inputs!$B$7*T150,0))/(IF(ISNUMBER(Q150),Inputs!$B$4,0)+IF(ISNUMBER(R150),Inputs!$B$5,0)+IF(ISNUMBER(S150),Inputs!$B$6,0)+IF(ISNUMBER(T150),Inputs!$B$7,0)))</f>
        <v>0.772</v>
      </c>
      <c r="V150" s="5" t="str">
        <f aca="false">IF(F150&gt;0,"Yes","No")</f>
        <v>Yes</v>
      </c>
      <c r="W150" s="5" t="str">
        <f aca="false">IF(ISNUMBER(N150),IF(N150&gt;=Inputs!$D$18,"Yes","No"),"No price")</f>
        <v>Yes</v>
      </c>
      <c r="X150" s="5" t="str">
        <f aca="false">IF(K150+L150&gt;0,"Yes",IF(M150&gt;0,"No","Unclear"))</f>
        <v>No</v>
      </c>
      <c r="Y150" s="5" t="str">
        <f aca="false">INDEX('API Data'!$H$2:$H$152,MATCH(B150,'API Data'!$A$2:$A$152,0))</f>
        <v>No</v>
      </c>
      <c r="Z150" s="5" t="str">
        <f aca="false">IF(COUNTIFS('Product Rows'!$A$2:$A$696,B150,'Product Rows'!$B$2:$B$696,C150,'Product Rows'!$I$2:$I$696,"Yes")&gt;0,"Yes","No")</f>
        <v>No</v>
      </c>
      <c r="AA150" s="5" t="str">
        <f aca="false">IF(P150&gt;=Inputs!$D$22,"Yes","No")</f>
        <v>Yes</v>
      </c>
      <c r="AB150" s="10" t="b">
        <f aca="false">AND(OR(Inputs!$B$17&lt;&gt;"Exclude",V150="Yes"),OR(Inputs!$B$18&lt;&gt;"Exclude",W150&lt;&gt;"No"),OR(Inputs!$B$19&lt;&gt;"Exclude",X150&lt;&gt;"No"),OR(Inputs!$B$20&lt;&gt;"Exclude",Y150="No"),OR(Inputs!$B$21&lt;&gt;"Exclude",Z150="No"),OR(Inputs!$B$22&lt;&gt;"Exclude",AA150="Yes"),ISNUMBER(U150))</f>
        <v>1</v>
      </c>
      <c r="AC150" s="5" t="n">
        <f aca="false">IF(AB150,COUNTIFS($C$5:$C$337,C150,$AB$5:$AB$337,TRUE(),$U$5:$U$337,"&gt;"&amp;U150)+COUNTIFS($C$5:C150,C150,$AB$5:AB150,TRUE(),$U$5:U150,U150),"")</f>
        <v>4</v>
      </c>
      <c r="AD150" s="5" t="str">
        <f aca="false">IF(AC150="","Not eligible",IF(AC150&lt;=Inputs!$B$25,"Lead",IF(AC150&lt;=Inputs!$B$25+Inputs!$B$26,"Next wave","Long list")))</f>
        <v>Lead</v>
      </c>
      <c r="AE150" s="5" t="str">
        <f aca="false">IF(AND(K150+L150=0,M150&gt;0),"Safety upgrade of existing prefilled syringe",IF(K150+L150+M150=0,"Confirm presentation (not stated in source)",IF(AA150="Yes","Differentiation in crowded generic market","Safety-device mandate compliance")))</f>
        <v>Safety upgrade of existing prefilled syringe</v>
      </c>
      <c r="AF150" s="5" t="str">
        <f aca="false">IF(AC150="","",C150&amp;"|"&amp;AC150)</f>
        <v>Dr. Reddy's Laboratories|4</v>
      </c>
    </row>
    <row r="151" customFormat="false" ht="15" hidden="false" customHeight="false" outlineLevel="0" collapsed="false">
      <c r="A151" s="5" t="n">
        <f aca="false">IF(ISNUMBER(U151),RANK(U151,$U$5:$U$337),"")</f>
        <v>41</v>
      </c>
      <c r="B151" s="5" t="s">
        <v>114</v>
      </c>
      <c r="C151" s="5" t="s">
        <v>56</v>
      </c>
      <c r="D151" s="5" t="str">
        <f aca="false">INDEX('API Data'!$B$2:$B$152,MATCH(B151,'API Data'!$A$2:$A$152,0))</f>
        <v>Oncology – HR+ advanced breast cancer</v>
      </c>
      <c r="E151" s="5" t="n">
        <f aca="false">COUNTIFS('Market Listing'!$A$2:$A$4054,B151,'Market Listing'!$B$2:$B$4054,C151)</f>
        <v>33</v>
      </c>
      <c r="F151" s="5" t="n">
        <f aca="false">COUNTIFS('Market Listing'!$A$2:$A$4054,B151,'Market Listing'!$B$2:$B$4054,C151,'Market Listing'!$D$2:$D$4054,"Tier 1")</f>
        <v>7</v>
      </c>
      <c r="G151" s="5" t="n">
        <f aca="false">COUNTIFS('Market Listing'!$A$2:$A$4054,B151,'Market Listing'!$B$2:$B$4054,C151,'Market Listing'!$D$2:$D$4054,"Tier 2")</f>
        <v>3</v>
      </c>
      <c r="H151" s="5" t="n">
        <f aca="false">COUNTIFS('Market Listing'!$A$2:$A$4054,B151,'Market Listing'!$B$2:$B$4054,C151,'Market Listing'!$D$2:$D$4054,"Tier 3")</f>
        <v>23</v>
      </c>
      <c r="I151" s="5" t="n">
        <f aca="false">SUMIFS('Market Listing'!$E$2:$E$4054,'Market Listing'!$A$2:$A$4054,B151,'Market Listing'!$B$2:$B$4054,C151)</f>
        <v>50</v>
      </c>
      <c r="J151" s="5" t="n">
        <f aca="false">COUNTIFS('Product Rows'!$A$2:$A$696,B151,'Product Rows'!$B$2:$B$696,C151)</f>
        <v>3</v>
      </c>
      <c r="K151" s="5" t="n">
        <f aca="false">COUNTIFS('Product Rows'!$A$2:$A$696,B151,'Product Rows'!$B$2:$B$696,C151,'Product Rows'!$G$2:$G$696,"Vial")</f>
        <v>0</v>
      </c>
      <c r="L151" s="5" t="n">
        <f aca="false">COUNTIFS('Product Rows'!$A$2:$A$696,B151,'Product Rows'!$B$2:$B$696,C151,'Product Rows'!$G$2:$G$696,"Ampoule")</f>
        <v>0</v>
      </c>
      <c r="M151" s="5" t="n">
        <f aca="false">COUNTIFS('Product Rows'!$A$2:$A$696,B151,'Product Rows'!$B$2:$B$696,C151,'Product Rows'!$G$2:$G$696,"Prefilled syringe/pen")</f>
        <v>3</v>
      </c>
      <c r="N151" s="6" t="n">
        <f aca="false">IFERROR(AVERAGEIFS('Product Rows'!$H$2:$H$696,'Product Rows'!$A$2:$A$696,B151,'Product Rows'!$B$2:$B$696,C151),"")</f>
        <v>302.3828</v>
      </c>
      <c r="O151" s="7" t="n">
        <f aca="false">INDEX('API Data'!$E$2:$E$152,MATCH(B151,'API Data'!$A$2:$A$152,0))</f>
        <v>11366.06</v>
      </c>
      <c r="P151" s="5" t="n">
        <f aca="false">COUNTIF($B$5:$B$337,B151)</f>
        <v>9</v>
      </c>
      <c r="Q151" s="8" t="n">
        <f aca="false">IF(ISNUMBER(I151),PERCENTRANK($I$5:$I$337,I151),"")</f>
        <v>0.955</v>
      </c>
      <c r="R151" s="8" t="n">
        <f aca="false">IF(ISNUMBER(N151),PERCENTRANK($N$5:$N$337,N151),"")</f>
        <v>0.882</v>
      </c>
      <c r="S151" s="8" t="n">
        <f aca="false">IF(ISNUMBER(O151),PERCENTRANK($O$5:$O$337,O151),"")</f>
        <v>0.687</v>
      </c>
      <c r="T151" s="8" t="n">
        <f aca="false">IF(ISNUMBER(P151),PERCENTRANK($P$5:$P$337,P151),"")</f>
        <v>0.91</v>
      </c>
      <c r="U151" s="9" t="n">
        <f aca="false">IF((IF(ISNUMBER(Q151),Inputs!$B$4,0)+IF(ISNUMBER(R151),Inputs!$B$5,0)+IF(ISNUMBER(S151),Inputs!$B$6,0)+IF(ISNUMBER(T151),Inputs!$B$7,0))=0,"",(IF(ISNUMBER(Q151),Inputs!$B$4*Q151,0)+IF(ISNUMBER(R151),Inputs!$B$5*R151,0)+IF(ISNUMBER(S151),Inputs!$B$6*S151,0)+IF(ISNUMBER(T151),Inputs!$B$7*T151,0))/(IF(ISNUMBER(Q151),Inputs!$B$4,0)+IF(ISNUMBER(R151),Inputs!$B$5,0)+IF(ISNUMBER(S151),Inputs!$B$6,0)+IF(ISNUMBER(T151),Inputs!$B$7,0)))</f>
        <v>0.7845</v>
      </c>
      <c r="V151" s="5" t="str">
        <f aca="false">IF(F151&gt;0,"Yes","No")</f>
        <v>Yes</v>
      </c>
      <c r="W151" s="5" t="str">
        <f aca="false">IF(ISNUMBER(N151),IF(N151&gt;=Inputs!$D$18,"Yes","No"),"No price")</f>
        <v>Yes</v>
      </c>
      <c r="X151" s="5" t="str">
        <f aca="false">IF(K151+L151&gt;0,"Yes",IF(M151&gt;0,"No","Unclear"))</f>
        <v>No</v>
      </c>
      <c r="Y151" s="5" t="str">
        <f aca="false">INDEX('API Data'!$H$2:$H$152,MATCH(B151,'API Data'!$A$2:$A$152,0))</f>
        <v>No</v>
      </c>
      <c r="Z151" s="5" t="str">
        <f aca="false">IF(COUNTIFS('Product Rows'!$A$2:$A$696,B151,'Product Rows'!$B$2:$B$696,C151,'Product Rows'!$I$2:$I$696,"Yes")&gt;0,"Yes","No")</f>
        <v>No</v>
      </c>
      <c r="AA151" s="5" t="str">
        <f aca="false">IF(P151&gt;=Inputs!$D$22,"Yes","No")</f>
        <v>Yes</v>
      </c>
      <c r="AB151" s="10" t="b">
        <f aca="false">AND(OR(Inputs!$B$17&lt;&gt;"Exclude",V151="Yes"),OR(Inputs!$B$18&lt;&gt;"Exclude",W151&lt;&gt;"No"),OR(Inputs!$B$19&lt;&gt;"Exclude",X151&lt;&gt;"No"),OR(Inputs!$B$20&lt;&gt;"Exclude",Y151="No"),OR(Inputs!$B$21&lt;&gt;"Exclude",Z151="No"),OR(Inputs!$B$22&lt;&gt;"Exclude",AA151="Yes"),ISNUMBER(U151))</f>
        <v>1</v>
      </c>
      <c r="AC151" s="5" t="n">
        <f aca="false">IF(AB151,COUNTIFS($C$5:$C$337,C151,$AB$5:$AB$337,TRUE(),$U$5:$U$337,"&gt;"&amp;U151)+COUNTIFS($C$5:C151,C151,$AB$5:AB151,TRUE(),$U$5:U151,U151),"")</f>
        <v>3</v>
      </c>
      <c r="AD151" s="5" t="str">
        <f aca="false">IF(AC151="","Not eligible",IF(AC151&lt;=Inputs!$B$25,"Lead",IF(AC151&lt;=Inputs!$B$25+Inputs!$B$26,"Next wave","Long list")))</f>
        <v>Lead</v>
      </c>
      <c r="AE151" s="5" t="str">
        <f aca="false">IF(AND(K151+L151=0,M151&gt;0),"Safety upgrade of existing prefilled syringe",IF(K151+L151+M151=0,"Confirm presentation (not stated in source)",IF(AA151="Yes","Differentiation in crowded generic market","Safety-device mandate compliance")))</f>
        <v>Safety upgrade of existing prefilled syringe</v>
      </c>
      <c r="AF151" s="5" t="str">
        <f aca="false">IF(AC151="","",C151&amp;"|"&amp;AC151)</f>
        <v>Glenmark Pharmaceuticals|3</v>
      </c>
    </row>
    <row r="152" customFormat="false" ht="15" hidden="false" customHeight="false" outlineLevel="0" collapsed="false">
      <c r="A152" s="5" t="n">
        <f aca="false">IF(ISNUMBER(U152),RANK(U152,$U$5:$U$337),"")</f>
        <v>45</v>
      </c>
      <c r="B152" s="5" t="s">
        <v>114</v>
      </c>
      <c r="C152" s="5" t="s">
        <v>44</v>
      </c>
      <c r="D152" s="5" t="str">
        <f aca="false">INDEX('API Data'!$B$2:$B$152,MATCH(B152,'API Data'!$A$2:$A$152,0))</f>
        <v>Oncology – HR+ advanced breast cancer</v>
      </c>
      <c r="E152" s="5" t="n">
        <f aca="false">COUNTIFS('Market Listing'!$A$2:$A$4054,B152,'Market Listing'!$B$2:$B$4054,C152)</f>
        <v>35</v>
      </c>
      <c r="F152" s="5" t="n">
        <f aca="false">COUNTIFS('Market Listing'!$A$2:$A$4054,B152,'Market Listing'!$B$2:$B$4054,C152,'Market Listing'!$D$2:$D$4054,"Tier 1")</f>
        <v>7</v>
      </c>
      <c r="G152" s="5" t="n">
        <f aca="false">COUNTIFS('Market Listing'!$A$2:$A$4054,B152,'Market Listing'!$B$2:$B$4054,C152,'Market Listing'!$D$2:$D$4054,"Tier 2")</f>
        <v>5</v>
      </c>
      <c r="H152" s="5" t="n">
        <f aca="false">COUNTIFS('Market Listing'!$A$2:$A$4054,B152,'Market Listing'!$B$2:$B$4054,C152,'Market Listing'!$D$2:$D$4054,"Tier 3")</f>
        <v>23</v>
      </c>
      <c r="I152" s="5" t="n">
        <f aca="false">SUMIFS('Market Listing'!$E$2:$E$4054,'Market Listing'!$A$2:$A$4054,B152,'Market Listing'!$B$2:$B$4054,C152)</f>
        <v>54</v>
      </c>
      <c r="J152" s="5" t="n">
        <f aca="false">COUNTIFS('Product Rows'!$A$2:$A$696,B152,'Product Rows'!$B$2:$B$696,C152)</f>
        <v>5</v>
      </c>
      <c r="K152" s="5" t="n">
        <f aca="false">COUNTIFS('Product Rows'!$A$2:$A$696,B152,'Product Rows'!$B$2:$B$696,C152,'Product Rows'!$G$2:$G$696,"Vial")</f>
        <v>0</v>
      </c>
      <c r="L152" s="5" t="n">
        <f aca="false">COUNTIFS('Product Rows'!$A$2:$A$696,B152,'Product Rows'!$B$2:$B$696,C152,'Product Rows'!$G$2:$G$696,"Ampoule")</f>
        <v>0</v>
      </c>
      <c r="M152" s="5" t="n">
        <f aca="false">COUNTIFS('Product Rows'!$A$2:$A$696,B152,'Product Rows'!$B$2:$B$696,C152,'Product Rows'!$G$2:$G$696,"Prefilled syringe/pen")</f>
        <v>5</v>
      </c>
      <c r="N152" s="6" t="n">
        <f aca="false">IFERROR(AVERAGEIFS('Product Rows'!$H$2:$H$696,'Product Rows'!$A$2:$A$696,B152,'Product Rows'!$B$2:$B$696,C152),"")</f>
        <v>246.4646</v>
      </c>
      <c r="O152" s="7" t="n">
        <f aca="false">INDEX('API Data'!$E$2:$E$152,MATCH(B152,'API Data'!$A$2:$A$152,0))</f>
        <v>11366.06</v>
      </c>
      <c r="P152" s="5" t="n">
        <f aca="false">COUNTIF($B$5:$B$337,B152)</f>
        <v>9</v>
      </c>
      <c r="Q152" s="8" t="n">
        <f aca="false">IF(ISNUMBER(I152),PERCENTRANK($I$5:$I$337,I152),"")</f>
        <v>0.997</v>
      </c>
      <c r="R152" s="8" t="n">
        <f aca="false">IF(ISNUMBER(N152),PERCENTRANK($N$5:$N$337,N152),"")</f>
        <v>0.853</v>
      </c>
      <c r="S152" s="8" t="n">
        <f aca="false">IF(ISNUMBER(O152),PERCENTRANK($O$5:$O$337,O152),"")</f>
        <v>0.687</v>
      </c>
      <c r="T152" s="8" t="n">
        <f aca="false">IF(ISNUMBER(P152),PERCENTRANK($P$5:$P$337,P152),"")</f>
        <v>0.91</v>
      </c>
      <c r="U152" s="9" t="n">
        <f aca="false">IF((IF(ISNUMBER(Q152),Inputs!$B$4,0)+IF(ISNUMBER(R152),Inputs!$B$5,0)+IF(ISNUMBER(S152),Inputs!$B$6,0)+IF(ISNUMBER(T152),Inputs!$B$7,0))=0,"",(IF(ISNUMBER(Q152),Inputs!$B$4*Q152,0)+IF(ISNUMBER(R152),Inputs!$B$5*R152,0)+IF(ISNUMBER(S152),Inputs!$B$6*S152,0)+IF(ISNUMBER(T152),Inputs!$B$7*T152,0))/(IF(ISNUMBER(Q152),Inputs!$B$4,0)+IF(ISNUMBER(R152),Inputs!$B$5,0)+IF(ISNUMBER(S152),Inputs!$B$6,0)+IF(ISNUMBER(T152),Inputs!$B$7,0)))</f>
        <v>0.77</v>
      </c>
      <c r="V152" s="5" t="str">
        <f aca="false">IF(F152&gt;0,"Yes","No")</f>
        <v>Yes</v>
      </c>
      <c r="W152" s="5" t="str">
        <f aca="false">IF(ISNUMBER(N152),IF(N152&gt;=Inputs!$D$18,"Yes","No"),"No price")</f>
        <v>Yes</v>
      </c>
      <c r="X152" s="5" t="str">
        <f aca="false">IF(K152+L152&gt;0,"Yes",IF(M152&gt;0,"No","Unclear"))</f>
        <v>No</v>
      </c>
      <c r="Y152" s="5" t="str">
        <f aca="false">INDEX('API Data'!$H$2:$H$152,MATCH(B152,'API Data'!$A$2:$A$152,0))</f>
        <v>No</v>
      </c>
      <c r="Z152" s="5" t="str">
        <f aca="false">IF(COUNTIFS('Product Rows'!$A$2:$A$696,B152,'Product Rows'!$B$2:$B$696,C152,'Product Rows'!$I$2:$I$696,"Yes")&gt;0,"Yes","No")</f>
        <v>No</v>
      </c>
      <c r="AA152" s="5" t="str">
        <f aca="false">IF(P152&gt;=Inputs!$D$22,"Yes","No")</f>
        <v>Yes</v>
      </c>
      <c r="AB152" s="10" t="b">
        <f aca="false">AND(OR(Inputs!$B$17&lt;&gt;"Exclude",V152="Yes"),OR(Inputs!$B$18&lt;&gt;"Exclude",W152&lt;&gt;"No"),OR(Inputs!$B$19&lt;&gt;"Exclude",X152&lt;&gt;"No"),OR(Inputs!$B$20&lt;&gt;"Exclude",Y152="No"),OR(Inputs!$B$21&lt;&gt;"Exclude",Z152="No"),OR(Inputs!$B$22&lt;&gt;"Exclude",AA152="Yes"),ISNUMBER(U152))</f>
        <v>1</v>
      </c>
      <c r="AC152" s="5" t="n">
        <f aca="false">IF(AB152,COUNTIFS($C$5:$C$337,C152,$AB$5:$AB$337,TRUE(),$U$5:$U$337,"&gt;"&amp;U152)+COUNTIFS($C$5:C152,C152,$AB$5:AB152,TRUE(),$U$5:U152,U152),"")</f>
        <v>9</v>
      </c>
      <c r="AD152" s="5" t="str">
        <f aca="false">IF(AC152="","Not eligible",IF(AC152&lt;=Inputs!$B$25,"Lead",IF(AC152&lt;=Inputs!$B$25+Inputs!$B$26,"Next wave","Long list")))</f>
        <v>Next wave</v>
      </c>
      <c r="AE152" s="5" t="str">
        <f aca="false">IF(AND(K152+L152=0,M152&gt;0),"Safety upgrade of existing prefilled syringe",IF(K152+L152+M152=0,"Confirm presentation (not stated in source)",IF(AA152="Yes","Differentiation in crowded generic market","Safety-device mandate compliance")))</f>
        <v>Safety upgrade of existing prefilled syringe</v>
      </c>
      <c r="AF152" s="5" t="str">
        <f aca="false">IF(AC152="","",C152&amp;"|"&amp;AC152)</f>
        <v>Intas Pharmaceuticals|9</v>
      </c>
    </row>
    <row r="153" customFormat="false" ht="15" hidden="false" customHeight="false" outlineLevel="0" collapsed="false">
      <c r="A153" s="5" t="n">
        <f aca="false">IF(ISNUMBER(U153),RANK(U153,$U$5:$U$337),"")</f>
        <v>36</v>
      </c>
      <c r="B153" s="5" t="s">
        <v>114</v>
      </c>
      <c r="C153" s="5" t="s">
        <v>50</v>
      </c>
      <c r="D153" s="5" t="str">
        <f aca="false">INDEX('API Data'!$B$2:$B$152,MATCH(B153,'API Data'!$A$2:$A$152,0))</f>
        <v>Oncology – HR+ advanced breast cancer</v>
      </c>
      <c r="E153" s="5" t="n">
        <f aca="false">COUNTIFS('Market Listing'!$A$2:$A$4054,B153,'Market Listing'!$B$2:$B$4054,C153)</f>
        <v>32</v>
      </c>
      <c r="F153" s="5" t="n">
        <f aca="false">COUNTIFS('Market Listing'!$A$2:$A$4054,B153,'Market Listing'!$B$2:$B$4054,C153,'Market Listing'!$D$2:$D$4054,"Tier 1")</f>
        <v>6</v>
      </c>
      <c r="G153" s="5" t="n">
        <f aca="false">COUNTIFS('Market Listing'!$A$2:$A$4054,B153,'Market Listing'!$B$2:$B$4054,C153,'Market Listing'!$D$2:$D$4054,"Tier 2")</f>
        <v>3</v>
      </c>
      <c r="H153" s="5" t="n">
        <f aca="false">COUNTIFS('Market Listing'!$A$2:$A$4054,B153,'Market Listing'!$B$2:$B$4054,C153,'Market Listing'!$D$2:$D$4054,"Tier 3")</f>
        <v>23</v>
      </c>
      <c r="I153" s="5" t="n">
        <f aca="false">SUMIFS('Market Listing'!$E$2:$E$4054,'Market Listing'!$A$2:$A$4054,B153,'Market Listing'!$B$2:$B$4054,C153)</f>
        <v>47</v>
      </c>
      <c r="J153" s="5" t="n">
        <f aca="false">COUNTIFS('Product Rows'!$A$2:$A$696,B153,'Product Rows'!$B$2:$B$696,C153)</f>
        <v>2</v>
      </c>
      <c r="K153" s="5" t="n">
        <f aca="false">COUNTIFS('Product Rows'!$A$2:$A$696,B153,'Product Rows'!$B$2:$B$696,C153,'Product Rows'!$G$2:$G$696,"Vial")</f>
        <v>0</v>
      </c>
      <c r="L153" s="5" t="n">
        <f aca="false">COUNTIFS('Product Rows'!$A$2:$A$696,B153,'Product Rows'!$B$2:$B$696,C153,'Product Rows'!$G$2:$G$696,"Ampoule")</f>
        <v>0</v>
      </c>
      <c r="M153" s="5" t="n">
        <f aca="false">COUNTIFS('Product Rows'!$A$2:$A$696,B153,'Product Rows'!$B$2:$B$696,C153,'Product Rows'!$G$2:$G$696,"Prefilled syringe/pen")</f>
        <v>2</v>
      </c>
      <c r="N153" s="6" t="n">
        <f aca="false">IFERROR(AVERAGEIFS('Product Rows'!$H$2:$H$696,'Product Rows'!$A$2:$A$696,B153,'Product Rows'!$B$2:$B$696,C153),"")</f>
        <v>438.5892</v>
      </c>
      <c r="O153" s="7" t="n">
        <f aca="false">INDEX('API Data'!$E$2:$E$152,MATCH(B153,'API Data'!$A$2:$A$152,0))</f>
        <v>11366.06</v>
      </c>
      <c r="P153" s="5" t="n">
        <f aca="false">COUNTIF($B$5:$B$337,B153)</f>
        <v>9</v>
      </c>
      <c r="Q153" s="8" t="n">
        <f aca="false">IF(ISNUMBER(I153),PERCENTRANK($I$5:$I$337,I153),"")</f>
        <v>0.892</v>
      </c>
      <c r="R153" s="8" t="n">
        <f aca="false">IF(ISNUMBER(N153),PERCENTRANK($N$5:$N$337,N153),"")</f>
        <v>0.932</v>
      </c>
      <c r="S153" s="8" t="n">
        <f aca="false">IF(ISNUMBER(O153),PERCENTRANK($O$5:$O$337,O153),"")</f>
        <v>0.687</v>
      </c>
      <c r="T153" s="8" t="n">
        <f aca="false">IF(ISNUMBER(P153),PERCENTRANK($P$5:$P$337,P153),"")</f>
        <v>0.91</v>
      </c>
      <c r="U153" s="9" t="n">
        <f aca="false">IF((IF(ISNUMBER(Q153),Inputs!$B$4,0)+IF(ISNUMBER(R153),Inputs!$B$5,0)+IF(ISNUMBER(S153),Inputs!$B$6,0)+IF(ISNUMBER(T153),Inputs!$B$7,0))=0,"",(IF(ISNUMBER(Q153),Inputs!$B$4*Q153,0)+IF(ISNUMBER(R153),Inputs!$B$5*R153,0)+IF(ISNUMBER(S153),Inputs!$B$6*S153,0)+IF(ISNUMBER(T153),Inputs!$B$7*T153,0))/(IF(ISNUMBER(Q153),Inputs!$B$4,0)+IF(ISNUMBER(R153),Inputs!$B$5,0)+IF(ISNUMBER(S153),Inputs!$B$6,0)+IF(ISNUMBER(T153),Inputs!$B$7,0)))</f>
        <v>0.8095</v>
      </c>
      <c r="V153" s="5" t="str">
        <f aca="false">IF(F153&gt;0,"Yes","No")</f>
        <v>Yes</v>
      </c>
      <c r="W153" s="5" t="str">
        <f aca="false">IF(ISNUMBER(N153),IF(N153&gt;=Inputs!$D$18,"Yes","No"),"No price")</f>
        <v>Yes</v>
      </c>
      <c r="X153" s="5" t="str">
        <f aca="false">IF(K153+L153&gt;0,"Yes",IF(M153&gt;0,"No","Unclear"))</f>
        <v>No</v>
      </c>
      <c r="Y153" s="5" t="str">
        <f aca="false">INDEX('API Data'!$H$2:$H$152,MATCH(B153,'API Data'!$A$2:$A$152,0))</f>
        <v>No</v>
      </c>
      <c r="Z153" s="5" t="str">
        <f aca="false">IF(COUNTIFS('Product Rows'!$A$2:$A$696,B153,'Product Rows'!$B$2:$B$696,C153,'Product Rows'!$I$2:$I$696,"Yes")&gt;0,"Yes","No")</f>
        <v>No</v>
      </c>
      <c r="AA153" s="5" t="str">
        <f aca="false">IF(P153&gt;=Inputs!$D$22,"Yes","No")</f>
        <v>Yes</v>
      </c>
      <c r="AB153" s="10" t="b">
        <f aca="false">AND(OR(Inputs!$B$17&lt;&gt;"Exclude",V153="Yes"),OR(Inputs!$B$18&lt;&gt;"Exclude",W153&lt;&gt;"No"),OR(Inputs!$B$19&lt;&gt;"Exclude",X153&lt;&gt;"No"),OR(Inputs!$B$20&lt;&gt;"Exclude",Y153="No"),OR(Inputs!$B$21&lt;&gt;"Exclude",Z153="No"),OR(Inputs!$B$22&lt;&gt;"Exclude",AA153="Yes"),ISNUMBER(U153))</f>
        <v>1</v>
      </c>
      <c r="AC153" s="5" t="n">
        <f aca="false">IF(AB153,COUNTIFS($C$5:$C$337,C153,$AB$5:$AB$337,TRUE(),$U$5:$U$337,"&gt;"&amp;U153)+COUNTIFS($C$5:C153,C153,$AB$5:AB153,TRUE(),$U$5:U153,U153),"")</f>
        <v>2</v>
      </c>
      <c r="AD153" s="5" t="str">
        <f aca="false">IF(AC153="","Not eligible",IF(AC153&lt;=Inputs!$B$25,"Lead",IF(AC153&lt;=Inputs!$B$25+Inputs!$B$26,"Next wave","Long list")))</f>
        <v>Lead</v>
      </c>
      <c r="AE153" s="5" t="str">
        <f aca="false">IF(AND(K153+L153=0,M153&gt;0),"Safety upgrade of existing prefilled syringe",IF(K153+L153+M153=0,"Confirm presentation (not stated in source)",IF(AA153="Yes","Differentiation in crowded generic market","Safety-device mandate compliance")))</f>
        <v>Safety upgrade of existing prefilled syringe</v>
      </c>
      <c r="AF153" s="5" t="str">
        <f aca="false">IF(AC153="","",C153&amp;"|"&amp;AC153)</f>
        <v>Sun Pharma|2</v>
      </c>
    </row>
    <row r="154" customFormat="false" ht="15" hidden="false" customHeight="false" outlineLevel="0" collapsed="false">
      <c r="A154" s="5" t="n">
        <f aca="false">IF(ISNUMBER(U154),RANK(U154,$U$5:$U$337),"")</f>
        <v>34</v>
      </c>
      <c r="B154" s="5" t="s">
        <v>114</v>
      </c>
      <c r="C154" s="5" t="s">
        <v>115</v>
      </c>
      <c r="D154" s="5" t="str">
        <f aca="false">INDEX('API Data'!$B$2:$B$152,MATCH(B154,'API Data'!$A$2:$A$152,0))</f>
        <v>Oncology – HR+ advanced breast cancer</v>
      </c>
      <c r="E154" s="5" t="n">
        <f aca="false">COUNTIFS('Market Listing'!$A$2:$A$4054,B154,'Market Listing'!$B$2:$B$4054,C154)</f>
        <v>31</v>
      </c>
      <c r="F154" s="5" t="n">
        <f aca="false">COUNTIFS('Market Listing'!$A$2:$A$4054,B154,'Market Listing'!$B$2:$B$4054,C154,'Market Listing'!$D$2:$D$4054,"Tier 1")</f>
        <v>5</v>
      </c>
      <c r="G154" s="5" t="n">
        <f aca="false">COUNTIFS('Market Listing'!$A$2:$A$4054,B154,'Market Listing'!$B$2:$B$4054,C154,'Market Listing'!$D$2:$D$4054,"Tier 2")</f>
        <v>3</v>
      </c>
      <c r="H154" s="5" t="n">
        <f aca="false">COUNTIFS('Market Listing'!$A$2:$A$4054,B154,'Market Listing'!$B$2:$B$4054,C154,'Market Listing'!$D$2:$D$4054,"Tier 3")</f>
        <v>23</v>
      </c>
      <c r="I154" s="5" t="n">
        <f aca="false">SUMIFS('Market Listing'!$E$2:$E$4054,'Market Listing'!$A$2:$A$4054,B154,'Market Listing'!$B$2:$B$4054,C154)</f>
        <v>44</v>
      </c>
      <c r="J154" s="5" t="n">
        <f aca="false">COUNTIFS('Product Rows'!$A$2:$A$696,B154,'Product Rows'!$B$2:$B$696,C154)</f>
        <v>1</v>
      </c>
      <c r="K154" s="5" t="n">
        <f aca="false">COUNTIFS('Product Rows'!$A$2:$A$696,B154,'Product Rows'!$B$2:$B$696,C154,'Product Rows'!$G$2:$G$696,"Vial")</f>
        <v>0</v>
      </c>
      <c r="L154" s="5" t="n">
        <f aca="false">COUNTIFS('Product Rows'!$A$2:$A$696,B154,'Product Rows'!$B$2:$B$696,C154,'Product Rows'!$G$2:$G$696,"Ampoule")</f>
        <v>0</v>
      </c>
      <c r="M154" s="5" t="n">
        <f aca="false">COUNTIFS('Product Rows'!$A$2:$A$696,B154,'Product Rows'!$B$2:$B$696,C154,'Product Rows'!$G$2:$G$696,"Prefilled syringe/pen")</f>
        <v>1</v>
      </c>
      <c r="N154" s="6" t="n">
        <f aca="false">IFERROR(AVERAGEIFS('Product Rows'!$H$2:$H$696,'Product Rows'!$A$2:$A$696,B154,'Product Rows'!$B$2:$B$696,C154),"")</f>
        <v>531.8684</v>
      </c>
      <c r="O154" s="7" t="n">
        <f aca="false">INDEX('API Data'!$E$2:$E$152,MATCH(B154,'API Data'!$A$2:$A$152,0))</f>
        <v>11366.06</v>
      </c>
      <c r="P154" s="5" t="n">
        <f aca="false">COUNTIF($B$5:$B$337,B154)</f>
        <v>9</v>
      </c>
      <c r="Q154" s="8" t="n">
        <f aca="false">IF(ISNUMBER(I154),PERCENTRANK($I$5:$I$337,I154),"")</f>
        <v>0.798</v>
      </c>
      <c r="R154" s="8" t="n">
        <f aca="false">IF(ISNUMBER(N154),PERCENTRANK($N$5:$N$337,N154),"")</f>
        <v>0.939</v>
      </c>
      <c r="S154" s="8" t="n">
        <f aca="false">IF(ISNUMBER(O154),PERCENTRANK($O$5:$O$337,O154),"")</f>
        <v>0.687</v>
      </c>
      <c r="T154" s="8" t="n">
        <f aca="false">IF(ISNUMBER(P154),PERCENTRANK($P$5:$P$337,P154),"")</f>
        <v>0.91</v>
      </c>
      <c r="U154" s="9" t="n">
        <f aca="false">IF((IF(ISNUMBER(Q154),Inputs!$B$4,0)+IF(ISNUMBER(R154),Inputs!$B$5,0)+IF(ISNUMBER(S154),Inputs!$B$6,0)+IF(ISNUMBER(T154),Inputs!$B$7,0))=0,"",(IF(ISNUMBER(Q154),Inputs!$B$4*Q154,0)+IF(ISNUMBER(R154),Inputs!$B$5*R154,0)+IF(ISNUMBER(S154),Inputs!$B$6*S154,0)+IF(ISNUMBER(T154),Inputs!$B$7*T154,0))/(IF(ISNUMBER(Q154),Inputs!$B$4,0)+IF(ISNUMBER(R154),Inputs!$B$5,0)+IF(ISNUMBER(S154),Inputs!$B$6,0)+IF(ISNUMBER(T154),Inputs!$B$7,0)))</f>
        <v>0.813</v>
      </c>
      <c r="V154" s="5" t="str">
        <f aca="false">IF(F154&gt;0,"Yes","No")</f>
        <v>Yes</v>
      </c>
      <c r="W154" s="5" t="str">
        <f aca="false">IF(ISNUMBER(N154),IF(N154&gt;=Inputs!$D$18,"Yes","No"),"No price")</f>
        <v>Yes</v>
      </c>
      <c r="X154" s="5" t="str">
        <f aca="false">IF(K154+L154&gt;0,"Yes",IF(M154&gt;0,"No","Unclear"))</f>
        <v>No</v>
      </c>
      <c r="Y154" s="5" t="str">
        <f aca="false">INDEX('API Data'!$H$2:$H$152,MATCH(B154,'API Data'!$A$2:$A$152,0))</f>
        <v>No</v>
      </c>
      <c r="Z154" s="5" t="str">
        <f aca="false">IF(COUNTIFS('Product Rows'!$A$2:$A$696,B154,'Product Rows'!$B$2:$B$696,C154,'Product Rows'!$I$2:$I$696,"Yes")&gt;0,"Yes","No")</f>
        <v>No</v>
      </c>
      <c r="AA154" s="5" t="str">
        <f aca="false">IF(P154&gt;=Inputs!$D$22,"Yes","No")</f>
        <v>Yes</v>
      </c>
      <c r="AB154" s="10" t="b">
        <f aca="false">AND(OR(Inputs!$B$17&lt;&gt;"Exclude",V154="Yes"),OR(Inputs!$B$18&lt;&gt;"Exclude",W154&lt;&gt;"No"),OR(Inputs!$B$19&lt;&gt;"Exclude",X154&lt;&gt;"No"),OR(Inputs!$B$20&lt;&gt;"Exclude",Y154="No"),OR(Inputs!$B$21&lt;&gt;"Exclude",Z154="No"),OR(Inputs!$B$22&lt;&gt;"Exclude",AA154="Yes"),ISNUMBER(U154))</f>
        <v>1</v>
      </c>
      <c r="AC154" s="5" t="n">
        <f aca="false">IF(AB154,COUNTIFS($C$5:$C$337,C154,$AB$5:$AB$337,TRUE(),$U$5:$U$337,"&gt;"&amp;U154)+COUNTIFS($C$5:C154,C154,$AB$5:AB154,TRUE(),$U$5:U154,U154),"")</f>
        <v>1</v>
      </c>
      <c r="AD154" s="5" t="str">
        <f aca="false">IF(AC154="","Not eligible",IF(AC154&lt;=Inputs!$B$25,"Lead",IF(AC154&lt;=Inputs!$B$25+Inputs!$B$26,"Next wave","Long list")))</f>
        <v>Lead</v>
      </c>
      <c r="AE154" s="5" t="str">
        <f aca="false">IF(AND(K154+L154=0,M154&gt;0),"Safety upgrade of existing prefilled syringe",IF(K154+L154+M154=0,"Confirm presentation (not stated in source)",IF(AA154="Yes","Differentiation in crowded generic market","Safety-device mandate compliance")))</f>
        <v>Safety upgrade of existing prefilled syringe</v>
      </c>
      <c r="AF154" s="5" t="str">
        <f aca="false">IF(AC154="","",C154&amp;"|"&amp;AC154)</f>
        <v>Torrent Pharmaceuticals|1</v>
      </c>
    </row>
    <row r="155" customFormat="false" ht="15" hidden="false" customHeight="false" outlineLevel="0" collapsed="false">
      <c r="A155" s="5" t="n">
        <f aca="false">IF(ISNUMBER(U155),RANK(U155,$U$5:$U$337),"")</f>
        <v>107</v>
      </c>
      <c r="B155" s="5" t="s">
        <v>114</v>
      </c>
      <c r="C155" s="5" t="s">
        <v>36</v>
      </c>
      <c r="D155" s="5" t="str">
        <f aca="false">INDEX('API Data'!$B$2:$B$152,MATCH(B155,'API Data'!$A$2:$A$152,0))</f>
        <v>Oncology – HR+ advanced breast cancer</v>
      </c>
      <c r="E155" s="5" t="n">
        <f aca="false">COUNTIFS('Market Listing'!$A$2:$A$4054,B155,'Market Listing'!$B$2:$B$4054,C155)</f>
        <v>1</v>
      </c>
      <c r="F155" s="5" t="n">
        <f aca="false">COUNTIFS('Market Listing'!$A$2:$A$4054,B155,'Market Listing'!$B$2:$B$4054,C155,'Market Listing'!$D$2:$D$4054,"Tier 1")</f>
        <v>1</v>
      </c>
      <c r="G155" s="5" t="n">
        <f aca="false">COUNTIFS('Market Listing'!$A$2:$A$4054,B155,'Market Listing'!$B$2:$B$4054,C155,'Market Listing'!$D$2:$D$4054,"Tier 2")</f>
        <v>0</v>
      </c>
      <c r="H155" s="5" t="n">
        <f aca="false">COUNTIFS('Market Listing'!$A$2:$A$4054,B155,'Market Listing'!$B$2:$B$4054,C155,'Market Listing'!$D$2:$D$4054,"Tier 3")</f>
        <v>0</v>
      </c>
      <c r="I155" s="5" t="n">
        <f aca="false">SUMIFS('Market Listing'!$E$2:$E$4054,'Market Listing'!$A$2:$A$4054,B155,'Market Listing'!$B$2:$B$4054,C155)</f>
        <v>3</v>
      </c>
      <c r="J155" s="5" t="n">
        <f aca="false">COUNTIFS('Product Rows'!$A$2:$A$696,B155,'Product Rows'!$B$2:$B$696,C155)</f>
        <v>1</v>
      </c>
      <c r="K155" s="5" t="n">
        <f aca="false">COUNTIFS('Product Rows'!$A$2:$A$696,B155,'Product Rows'!$B$2:$B$696,C155,'Product Rows'!$G$2:$G$696,"Vial")</f>
        <v>0</v>
      </c>
      <c r="L155" s="5" t="n">
        <f aca="false">COUNTIFS('Product Rows'!$A$2:$A$696,B155,'Product Rows'!$B$2:$B$696,C155,'Product Rows'!$G$2:$G$696,"Ampoule")</f>
        <v>0</v>
      </c>
      <c r="M155" s="5" t="n">
        <f aca="false">COUNTIFS('Product Rows'!$A$2:$A$696,B155,'Product Rows'!$B$2:$B$696,C155,'Product Rows'!$G$2:$G$696,"Prefilled syringe/pen")</f>
        <v>1</v>
      </c>
      <c r="N155" s="6" t="n">
        <f aca="false">IFERROR(AVERAGEIFS('Product Rows'!$H$2:$H$696,'Product Rows'!$A$2:$A$696,B155,'Product Rows'!$B$2:$B$696,C155),"")</f>
        <v>29.97</v>
      </c>
      <c r="O155" s="7" t="n">
        <f aca="false">INDEX('API Data'!$E$2:$E$152,MATCH(B155,'API Data'!$A$2:$A$152,0))</f>
        <v>11366.06</v>
      </c>
      <c r="P155" s="5" t="n">
        <f aca="false">COUNTIF($B$5:$B$337,B155)</f>
        <v>9</v>
      </c>
      <c r="Q155" s="8" t="n">
        <f aca="false">IF(ISNUMBER(I155),PERCENTRANK($I$5:$I$337,I155),"")</f>
        <v>0.157</v>
      </c>
      <c r="R155" s="8" t="n">
        <f aca="false">IF(ISNUMBER(N155),PERCENTRANK($N$5:$N$337,N155),"")</f>
        <v>0.473</v>
      </c>
      <c r="S155" s="8" t="n">
        <f aca="false">IF(ISNUMBER(O155),PERCENTRANK($O$5:$O$337,O155),"")</f>
        <v>0.687</v>
      </c>
      <c r="T155" s="8" t="n">
        <f aca="false">IF(ISNUMBER(P155),PERCENTRANK($P$5:$P$337,P155),"")</f>
        <v>0.91</v>
      </c>
      <c r="U155" s="9" t="n">
        <f aca="false">IF((IF(ISNUMBER(Q155),Inputs!$B$4,0)+IF(ISNUMBER(R155),Inputs!$B$5,0)+IF(ISNUMBER(S155),Inputs!$B$6,0)+IF(ISNUMBER(T155),Inputs!$B$7,0))=0,"",(IF(ISNUMBER(Q155),Inputs!$B$4*Q155,0)+IF(ISNUMBER(R155),Inputs!$B$5*R155,0)+IF(ISNUMBER(S155),Inputs!$B$6*S155,0)+IF(ISNUMBER(T155),Inputs!$B$7*T155,0))/(IF(ISNUMBER(Q155),Inputs!$B$4,0)+IF(ISNUMBER(R155),Inputs!$B$5,0)+IF(ISNUMBER(S155),Inputs!$B$6,0)+IF(ISNUMBER(T155),Inputs!$B$7,0)))</f>
        <v>0.58</v>
      </c>
      <c r="V155" s="5" t="str">
        <f aca="false">IF(F155&gt;0,"Yes","No")</f>
        <v>Yes</v>
      </c>
      <c r="W155" s="5" t="str">
        <f aca="false">IF(ISNUMBER(N155),IF(N155&gt;=Inputs!$D$18,"Yes","No"),"No price")</f>
        <v>Yes</v>
      </c>
      <c r="X155" s="5" t="str">
        <f aca="false">IF(K155+L155&gt;0,"Yes",IF(M155&gt;0,"No","Unclear"))</f>
        <v>No</v>
      </c>
      <c r="Y155" s="5" t="str">
        <f aca="false">INDEX('API Data'!$H$2:$H$152,MATCH(B155,'API Data'!$A$2:$A$152,0))</f>
        <v>No</v>
      </c>
      <c r="Z155" s="5" t="str">
        <f aca="false">IF(COUNTIFS('Product Rows'!$A$2:$A$696,B155,'Product Rows'!$B$2:$B$696,C155,'Product Rows'!$I$2:$I$696,"Yes")&gt;0,"Yes","No")</f>
        <v>No</v>
      </c>
      <c r="AA155" s="5" t="str">
        <f aca="false">IF(P155&gt;=Inputs!$D$22,"Yes","No")</f>
        <v>Yes</v>
      </c>
      <c r="AB155" s="10" t="b">
        <f aca="false">AND(OR(Inputs!$B$17&lt;&gt;"Exclude",V155="Yes"),OR(Inputs!$B$18&lt;&gt;"Exclude",W155&lt;&gt;"No"),OR(Inputs!$B$19&lt;&gt;"Exclude",X155&lt;&gt;"No"),OR(Inputs!$B$20&lt;&gt;"Exclude",Y155="No"),OR(Inputs!$B$21&lt;&gt;"Exclude",Z155="No"),OR(Inputs!$B$22&lt;&gt;"Exclude",AA155="Yes"),ISNUMBER(U155))</f>
        <v>1</v>
      </c>
      <c r="AC155" s="5" t="n">
        <f aca="false">IF(AB155,COUNTIFS($C$5:$C$337,C155,$AB$5:$AB$337,TRUE(),$U$5:$U$337,"&gt;"&amp;U155)+COUNTIFS($C$5:C155,C155,$AB$5:AB155,TRUE(),$U$5:U155,U155),"")</f>
        <v>3</v>
      </c>
      <c r="AD155" s="5" t="str">
        <f aca="false">IF(AC155="","Not eligible",IF(AC155&lt;=Inputs!$B$25,"Lead",IF(AC155&lt;=Inputs!$B$25+Inputs!$B$26,"Next wave","Long list")))</f>
        <v>Lead</v>
      </c>
      <c r="AE155" s="5" t="str">
        <f aca="false">IF(AND(K155+L155=0,M155&gt;0),"Safety upgrade of existing prefilled syringe",IF(K155+L155+M155=0,"Confirm presentation (not stated in source)",IF(AA155="Yes","Differentiation in crowded generic market","Safety-device mandate compliance")))</f>
        <v>Safety upgrade of existing prefilled syringe</v>
      </c>
      <c r="AF155" s="5" t="str">
        <f aca="false">IF(AC155="","",C155&amp;"|"&amp;AC155)</f>
        <v>Zydus Lifesciences|3</v>
      </c>
    </row>
    <row r="156" customFormat="false" ht="15" hidden="false" customHeight="false" outlineLevel="0" collapsed="false">
      <c r="A156" s="5" t="n">
        <f aca="false">IF(ISNUMBER(U156),RANK(U156,$U$5:$U$337),"")</f>
        <v>240</v>
      </c>
      <c r="B156" s="5" t="s">
        <v>116</v>
      </c>
      <c r="C156" s="5" t="s">
        <v>63</v>
      </c>
      <c r="D156" s="5" t="str">
        <f aca="false">INDEX('API Data'!$B$2:$B$152,MATCH(B156,'API Data'!$A$2:$A$152,0))</f>
        <v>Diagnostics – MRI contrast agent</v>
      </c>
      <c r="E156" s="5" t="n">
        <f aca="false">COUNTIFS('Market Listing'!$A$2:$A$4054,B156,'Market Listing'!$B$2:$B$4054,C156)</f>
        <v>31</v>
      </c>
      <c r="F156" s="5" t="n">
        <f aca="false">COUNTIFS('Market Listing'!$A$2:$A$4054,B156,'Market Listing'!$B$2:$B$4054,C156,'Market Listing'!$D$2:$D$4054,"Tier 1")</f>
        <v>6</v>
      </c>
      <c r="G156" s="5" t="n">
        <f aca="false">COUNTIFS('Market Listing'!$A$2:$A$4054,B156,'Market Listing'!$B$2:$B$4054,C156,'Market Listing'!$D$2:$D$4054,"Tier 2")</f>
        <v>3</v>
      </c>
      <c r="H156" s="5" t="n">
        <f aca="false">COUNTIFS('Market Listing'!$A$2:$A$4054,B156,'Market Listing'!$B$2:$B$4054,C156,'Market Listing'!$D$2:$D$4054,"Tier 3")</f>
        <v>22</v>
      </c>
      <c r="I156" s="5" t="n">
        <f aca="false">SUMIFS('Market Listing'!$E$2:$E$4054,'Market Listing'!$A$2:$A$4054,B156,'Market Listing'!$B$2:$B$4054,C156)</f>
        <v>46</v>
      </c>
      <c r="J156" s="5" t="n">
        <f aca="false">COUNTIFS('Product Rows'!$A$2:$A$696,B156,'Product Rows'!$B$2:$B$696,C156)</f>
        <v>2</v>
      </c>
      <c r="K156" s="5" t="n">
        <f aca="false">COUNTIFS('Product Rows'!$A$2:$A$696,B156,'Product Rows'!$B$2:$B$696,C156,'Product Rows'!$G$2:$G$696,"Vial")</f>
        <v>1</v>
      </c>
      <c r="L156" s="5" t="n">
        <f aca="false">COUNTIFS('Product Rows'!$A$2:$A$696,B156,'Product Rows'!$B$2:$B$696,C156,'Product Rows'!$G$2:$G$696,"Ampoule")</f>
        <v>0</v>
      </c>
      <c r="M156" s="5" t="n">
        <f aca="false">COUNTIFS('Product Rows'!$A$2:$A$696,B156,'Product Rows'!$B$2:$B$696,C156,'Product Rows'!$G$2:$G$696,"Prefilled syringe/pen")</f>
        <v>0</v>
      </c>
      <c r="N156" s="6" t="n">
        <f aca="false">IFERROR(AVERAGEIFS('Product Rows'!$H$2:$H$696,'Product Rows'!$A$2:$A$696,B156,'Product Rows'!$B$2:$B$696,C156),"")</f>
        <v>66.93</v>
      </c>
      <c r="O156" s="7" t="n">
        <f aca="false">INDEX('API Data'!$E$2:$E$152,MATCH(B156,'API Data'!$A$2:$A$152,0))</f>
        <v>135.07</v>
      </c>
      <c r="P156" s="5" t="n">
        <f aca="false">COUNTIF($B$5:$B$337,B156)</f>
        <v>1</v>
      </c>
      <c r="Q156" s="8" t="n">
        <f aca="false">IF(ISNUMBER(I156),PERCENTRANK($I$5:$I$337,I156),"")</f>
        <v>0.846</v>
      </c>
      <c r="R156" s="8" t="n">
        <f aca="false">IF(ISNUMBER(N156),PERCENTRANK($N$5:$N$337,N156),"")</f>
        <v>0.677</v>
      </c>
      <c r="S156" s="8" t="n">
        <f aca="false">IF(ISNUMBER(O156),PERCENTRANK($O$5:$O$337,O156),"")</f>
        <v>0.0392</v>
      </c>
      <c r="T156" s="8" t="n">
        <f aca="false">IF(ISNUMBER(P156),PERCENTRANK($P$5:$P$337,P156),"")</f>
        <v>0</v>
      </c>
      <c r="U156" s="9" t="n">
        <f aca="false">IF((IF(ISNUMBER(Q156),Inputs!$B$4,0)+IF(ISNUMBER(R156),Inputs!$B$5,0)+IF(ISNUMBER(S156),Inputs!$B$6,0)+IF(ISNUMBER(T156),Inputs!$B$7,0))=0,"",(IF(ISNUMBER(Q156),Inputs!$B$4*Q156,0)+IF(ISNUMBER(R156),Inputs!$B$5*R156,0)+IF(ISNUMBER(S156),Inputs!$B$6*S156,0)+IF(ISNUMBER(T156),Inputs!$B$7*T156,0))/(IF(ISNUMBER(Q156),Inputs!$B$4,0)+IF(ISNUMBER(R156),Inputs!$B$5,0)+IF(ISNUMBER(S156),Inputs!$B$6,0)+IF(ISNUMBER(T156),Inputs!$B$7,0)))</f>
        <v>0.3581</v>
      </c>
      <c r="V156" s="5" t="str">
        <f aca="false">IF(F156&gt;0,"Yes","No")</f>
        <v>Yes</v>
      </c>
      <c r="W156" s="5" t="str">
        <f aca="false">IF(ISNUMBER(N156),IF(N156&gt;=Inputs!$D$18,"Yes","No"),"No price")</f>
        <v>Yes</v>
      </c>
      <c r="X156" s="5" t="str">
        <f aca="false">IF(K156+L156&gt;0,"Yes",IF(M156&gt;0,"No","Unclear"))</f>
        <v>Yes</v>
      </c>
      <c r="Y156" s="5" t="str">
        <f aca="false">INDEX('API Data'!$H$2:$H$152,MATCH(B156,'API Data'!$A$2:$A$152,0))</f>
        <v>No</v>
      </c>
      <c r="Z156" s="5" t="str">
        <f aca="false">IF(COUNTIFS('Product Rows'!$A$2:$A$696,B156,'Product Rows'!$B$2:$B$696,C156,'Product Rows'!$I$2:$I$696,"Yes")&gt;0,"Yes","No")</f>
        <v>No</v>
      </c>
      <c r="AA156" s="5" t="str">
        <f aca="false">IF(P156&gt;=Inputs!$D$22,"Yes","No")</f>
        <v>No</v>
      </c>
      <c r="AB156" s="10" t="b">
        <f aca="false">AND(OR(Inputs!$B$17&lt;&gt;"Exclude",V156="Yes"),OR(Inputs!$B$18&lt;&gt;"Exclude",W156&lt;&gt;"No"),OR(Inputs!$B$19&lt;&gt;"Exclude",X156&lt;&gt;"No"),OR(Inputs!$B$20&lt;&gt;"Exclude",Y156="No"),OR(Inputs!$B$21&lt;&gt;"Exclude",Z156="No"),OR(Inputs!$B$22&lt;&gt;"Exclude",AA156="Yes"),ISNUMBER(U156))</f>
        <v>1</v>
      </c>
      <c r="AC156" s="5" t="n">
        <f aca="false">IF(AB156,COUNTIFS($C$5:$C$337,C156,$AB$5:$AB$337,TRUE(),$U$5:$U$337,"&gt;"&amp;U156)+COUNTIFS($C$5:C156,C156,$AB$5:AB156,TRUE(),$U$5:U156,U156),"")</f>
        <v>5</v>
      </c>
      <c r="AD156" s="5" t="str">
        <f aca="false">IF(AC156="","Not eligible",IF(AC156&lt;=Inputs!$B$25,"Lead",IF(AC156&lt;=Inputs!$B$25+Inputs!$B$26,"Next wave","Long list")))</f>
        <v>Lead</v>
      </c>
      <c r="AE156" s="5" t="str">
        <f aca="false">IF(AND(K156+L156=0,M156&gt;0),"Safety upgrade of existing prefilled syringe",IF(K156+L156+M156=0,"Confirm presentation (not stated in source)",IF(AA156="Yes","Differentiation in crowded generic market","Safety-device mandate compliance")))</f>
        <v>Safety-device mandate compliance</v>
      </c>
      <c r="AF156" s="5" t="str">
        <f aca="false">IF(AC156="","",C156&amp;"|"&amp;AC156)</f>
        <v>MSN Laboratories|5</v>
      </c>
    </row>
    <row r="157" customFormat="false" ht="15" hidden="false" customHeight="false" outlineLevel="0" collapsed="false">
      <c r="A157" s="5" t="n">
        <f aca="false">IF(ISNUMBER(U157),RANK(U157,$U$5:$U$337),"")</f>
        <v>251</v>
      </c>
      <c r="B157" s="5" t="s">
        <v>117</v>
      </c>
      <c r="C157" s="5" t="s">
        <v>57</v>
      </c>
      <c r="D157" s="5" t="str">
        <f aca="false">INDEX('API Data'!$B$2:$B$152,MATCH(B157,'API Data'!$A$2:$A$152,0))</f>
        <v>Anaesthesia – reduce secretions; reversal of muscle relaxants (with neostigmine)</v>
      </c>
      <c r="E157" s="5" t="n">
        <f aca="false">COUNTIFS('Market Listing'!$A$2:$A$4054,B157,'Market Listing'!$B$2:$B$4054,C157)</f>
        <v>1</v>
      </c>
      <c r="F157" s="5" t="n">
        <f aca="false">COUNTIFS('Market Listing'!$A$2:$A$4054,B157,'Market Listing'!$B$2:$B$4054,C157,'Market Listing'!$D$2:$D$4054,"Tier 1")</f>
        <v>0</v>
      </c>
      <c r="G157" s="5" t="n">
        <f aca="false">COUNTIFS('Market Listing'!$A$2:$A$4054,B157,'Market Listing'!$B$2:$B$4054,C157,'Market Listing'!$D$2:$D$4054,"Tier 2")</f>
        <v>1</v>
      </c>
      <c r="H157" s="5" t="n">
        <f aca="false">COUNTIFS('Market Listing'!$A$2:$A$4054,B157,'Market Listing'!$B$2:$B$4054,C157,'Market Listing'!$D$2:$D$4054,"Tier 3")</f>
        <v>0</v>
      </c>
      <c r="I157" s="5" t="n">
        <f aca="false">SUMIFS('Market Listing'!$E$2:$E$4054,'Market Listing'!$A$2:$A$4054,B157,'Market Listing'!$B$2:$B$4054,C157)</f>
        <v>2</v>
      </c>
      <c r="J157" s="5" t="n">
        <f aca="false">COUNTIFS('Product Rows'!$A$2:$A$696,B157,'Product Rows'!$B$2:$B$696,C157)</f>
        <v>1</v>
      </c>
      <c r="K157" s="5" t="n">
        <f aca="false">COUNTIFS('Product Rows'!$A$2:$A$696,B157,'Product Rows'!$B$2:$B$696,C157,'Product Rows'!$G$2:$G$696,"Vial")</f>
        <v>0</v>
      </c>
      <c r="L157" s="5" t="n">
        <f aca="false">COUNTIFS('Product Rows'!$A$2:$A$696,B157,'Product Rows'!$B$2:$B$696,C157,'Product Rows'!$G$2:$G$696,"Ampoule")</f>
        <v>1</v>
      </c>
      <c r="M157" s="5" t="n">
        <f aca="false">COUNTIFS('Product Rows'!$A$2:$A$696,B157,'Product Rows'!$B$2:$B$696,C157,'Product Rows'!$G$2:$G$696,"Prefilled syringe/pen")</f>
        <v>0</v>
      </c>
      <c r="N157" s="6" t="n">
        <f aca="false">IFERROR(AVERAGEIFS('Product Rows'!$H$2:$H$696,'Product Rows'!$A$2:$A$696,B157,'Product Rows'!$B$2:$B$696,C157),"")</f>
        <v>30.23</v>
      </c>
      <c r="O157" s="7" t="n">
        <f aca="false">INDEX('API Data'!$E$2:$E$152,MATCH(B157,'API Data'!$A$2:$A$152,0))</f>
        <v>1332.35616811714</v>
      </c>
      <c r="P157" s="5" t="n">
        <f aca="false">COUNTIF($B$5:$B$337,B157)</f>
        <v>2</v>
      </c>
      <c r="Q157" s="8" t="n">
        <f aca="false">IF(ISNUMBER(I157),PERCENTRANK($I$5:$I$337,I157),"")</f>
        <v>0</v>
      </c>
      <c r="R157" s="8" t="n">
        <f aca="false">IF(ISNUMBER(N157),PERCENTRANK($N$5:$N$337,N157),"")</f>
        <v>0.491</v>
      </c>
      <c r="S157" s="8" t="n">
        <f aca="false">IF(ISNUMBER(O157),PERCENTRANK($O$5:$O$337,O157),"")</f>
        <v>0.184</v>
      </c>
      <c r="T157" s="8" t="n">
        <f aca="false">IF(ISNUMBER(P157),PERCENTRANK($P$5:$P$337,P157),"")</f>
        <v>0.235</v>
      </c>
      <c r="U157" s="9" t="n">
        <f aca="false">IF((IF(ISNUMBER(Q157),Inputs!$B$4,0)+IF(ISNUMBER(R157),Inputs!$B$5,0)+IF(ISNUMBER(S157),Inputs!$B$6,0)+IF(ISNUMBER(T157),Inputs!$B$7,0))=0,"",(IF(ISNUMBER(Q157),Inputs!$B$4*Q157,0)+IF(ISNUMBER(R157),Inputs!$B$5*R157,0)+IF(ISNUMBER(S157),Inputs!$B$6*S157,0)+IF(ISNUMBER(T157),Inputs!$B$7*T157,0))/(IF(ISNUMBER(Q157),Inputs!$B$4,0)+IF(ISNUMBER(R157),Inputs!$B$5,0)+IF(ISNUMBER(S157),Inputs!$B$6,0)+IF(ISNUMBER(T157),Inputs!$B$7,0)))</f>
        <v>0.3375</v>
      </c>
      <c r="V157" s="5" t="str">
        <f aca="false">IF(F157&gt;0,"Yes","No")</f>
        <v>No</v>
      </c>
      <c r="W157" s="5" t="str">
        <f aca="false">IF(ISNUMBER(N157),IF(N157&gt;=Inputs!$D$18,"Yes","No"),"No price")</f>
        <v>Yes</v>
      </c>
      <c r="X157" s="5" t="str">
        <f aca="false">IF(K157+L157&gt;0,"Yes",IF(M157&gt;0,"No","Unclear"))</f>
        <v>Yes</v>
      </c>
      <c r="Y157" s="5" t="str">
        <f aca="false">INDEX('API Data'!$H$2:$H$152,MATCH(B157,'API Data'!$A$2:$A$152,0))</f>
        <v>No</v>
      </c>
      <c r="Z157" s="5" t="str">
        <f aca="false">IF(COUNTIFS('Product Rows'!$A$2:$A$696,B157,'Product Rows'!$B$2:$B$696,C157,'Product Rows'!$I$2:$I$696,"Yes")&gt;0,"Yes","No")</f>
        <v>No</v>
      </c>
      <c r="AA157" s="5" t="str">
        <f aca="false">IF(P157&gt;=Inputs!$D$22,"Yes","No")</f>
        <v>No</v>
      </c>
      <c r="AB157" s="10" t="b">
        <f aca="false">AND(OR(Inputs!$B$17&lt;&gt;"Exclude",V157="Yes"),OR(Inputs!$B$18&lt;&gt;"Exclude",W157&lt;&gt;"No"),OR(Inputs!$B$19&lt;&gt;"Exclude",X157&lt;&gt;"No"),OR(Inputs!$B$20&lt;&gt;"Exclude",Y157="No"),OR(Inputs!$B$21&lt;&gt;"Exclude",Z157="No"),OR(Inputs!$B$22&lt;&gt;"Exclude",AA157="Yes"),ISNUMBER(U157))</f>
        <v>0</v>
      </c>
      <c r="AC157" s="5" t="str">
        <f aca="false">IF(AB157,COUNTIFS($C$5:$C$337,C157,$AB$5:$AB$337,TRUE(),$U$5:$U$337,"&gt;"&amp;U157)+COUNTIFS($C$5:C157,C157,$AB$5:AB157,TRUE(),$U$5:U157,U157),"")</f>
        <v/>
      </c>
      <c r="AD157" s="5" t="str">
        <f aca="false">IF(AC157="","Not eligible",IF(AC157&lt;=Inputs!$B$25,"Lead",IF(AC157&lt;=Inputs!$B$25+Inputs!$B$26,"Next wave","Long list")))</f>
        <v>Not eligible</v>
      </c>
      <c r="AE157" s="5" t="str">
        <f aca="false">IF(AND(K157+L157=0,M157&gt;0),"Safety upgrade of existing prefilled syringe",IF(K157+L157+M157=0,"Confirm presentation (not stated in source)",IF(AA157="Yes","Differentiation in crowded generic market","Safety-device mandate compliance")))</f>
        <v>Safety-device mandate compliance</v>
      </c>
      <c r="AF157" s="5" t="str">
        <f aca="false">IF(AC157="","",C157&amp;"|"&amp;AC157)</f>
        <v/>
      </c>
    </row>
    <row r="158" customFormat="false" ht="15" hidden="false" customHeight="false" outlineLevel="0" collapsed="false">
      <c r="A158" s="5" t="n">
        <f aca="false">IF(ISNUMBER(U158),RANK(U158,$U$5:$U$337),"")</f>
        <v>313</v>
      </c>
      <c r="B158" s="5" t="s">
        <v>117</v>
      </c>
      <c r="C158" s="5" t="s">
        <v>44</v>
      </c>
      <c r="D158" s="5" t="str">
        <f aca="false">INDEX('API Data'!$B$2:$B$152,MATCH(B158,'API Data'!$A$2:$A$152,0))</f>
        <v>Anaesthesia – reduce secretions; reversal of muscle relaxants (with neostigmine)</v>
      </c>
      <c r="E158" s="5" t="n">
        <f aca="false">COUNTIFS('Market Listing'!$A$2:$A$4054,B158,'Market Listing'!$B$2:$B$4054,C158)</f>
        <v>1</v>
      </c>
      <c r="F158" s="5" t="n">
        <f aca="false">COUNTIFS('Market Listing'!$A$2:$A$4054,B158,'Market Listing'!$B$2:$B$4054,C158,'Market Listing'!$D$2:$D$4054,"Tier 1")</f>
        <v>0</v>
      </c>
      <c r="G158" s="5" t="n">
        <f aca="false">COUNTIFS('Market Listing'!$A$2:$A$4054,B158,'Market Listing'!$B$2:$B$4054,C158,'Market Listing'!$D$2:$D$4054,"Tier 2")</f>
        <v>1</v>
      </c>
      <c r="H158" s="5" t="n">
        <f aca="false">COUNTIFS('Market Listing'!$A$2:$A$4054,B158,'Market Listing'!$B$2:$B$4054,C158,'Market Listing'!$D$2:$D$4054,"Tier 3")</f>
        <v>0</v>
      </c>
      <c r="I158" s="5" t="n">
        <f aca="false">SUMIFS('Market Listing'!$E$2:$E$4054,'Market Listing'!$A$2:$A$4054,B158,'Market Listing'!$B$2:$B$4054,C158)</f>
        <v>2</v>
      </c>
      <c r="J158" s="5" t="n">
        <f aca="false">COUNTIFS('Product Rows'!$A$2:$A$696,B158,'Product Rows'!$B$2:$B$696,C158)</f>
        <v>1</v>
      </c>
      <c r="K158" s="5" t="n">
        <f aca="false">COUNTIFS('Product Rows'!$A$2:$A$696,B158,'Product Rows'!$B$2:$B$696,C158,'Product Rows'!$G$2:$G$696,"Vial")</f>
        <v>0</v>
      </c>
      <c r="L158" s="5" t="n">
        <f aca="false">COUNTIFS('Product Rows'!$A$2:$A$696,B158,'Product Rows'!$B$2:$B$696,C158,'Product Rows'!$G$2:$G$696,"Ampoule")</f>
        <v>1</v>
      </c>
      <c r="M158" s="5" t="n">
        <f aca="false">COUNTIFS('Product Rows'!$A$2:$A$696,B158,'Product Rows'!$B$2:$B$696,C158,'Product Rows'!$G$2:$G$696,"Prefilled syringe/pen")</f>
        <v>0</v>
      </c>
      <c r="N158" s="6" t="str">
        <f aca="false">IFERROR(AVERAGEIFS('Product Rows'!$H$2:$H$696,'Product Rows'!$A$2:$A$696,B158,'Product Rows'!$B$2:$B$696,C158),"")</f>
        <v/>
      </c>
      <c r="O158" s="7" t="n">
        <f aca="false">INDEX('API Data'!$E$2:$E$152,MATCH(B158,'API Data'!$A$2:$A$152,0))</f>
        <v>1332.35616811714</v>
      </c>
      <c r="P158" s="5" t="n">
        <f aca="false">COUNTIF($B$5:$B$337,B158)</f>
        <v>2</v>
      </c>
      <c r="Q158" s="8" t="n">
        <f aca="false">IF(ISNUMBER(I158),PERCENTRANK($I$5:$I$337,I158),"")</f>
        <v>0</v>
      </c>
      <c r="R158" s="8" t="str">
        <f aca="false">IF(ISNUMBER(N158),PERCENTRANK($N$5:$N$337,N158),"")</f>
        <v/>
      </c>
      <c r="S158" s="8" t="n">
        <f aca="false">IF(ISNUMBER(O158),PERCENTRANK($O$5:$O$337,O158),"")</f>
        <v>0.184</v>
      </c>
      <c r="T158" s="8" t="n">
        <f aca="false">IF(ISNUMBER(P158),PERCENTRANK($P$5:$P$337,P158),"")</f>
        <v>0.235</v>
      </c>
      <c r="U158" s="9" t="n">
        <f aca="false">IF((IF(ISNUMBER(Q158),Inputs!$B$4,0)+IF(ISNUMBER(R158),Inputs!$B$5,0)+IF(ISNUMBER(S158),Inputs!$B$6,0)+IF(ISNUMBER(T158),Inputs!$B$7,0))=0,"",(IF(ISNUMBER(Q158),Inputs!$B$4*Q158,0)+IF(ISNUMBER(R158),Inputs!$B$5*R158,0)+IF(ISNUMBER(S158),Inputs!$B$6*S158,0)+IF(ISNUMBER(T158),Inputs!$B$7*T158,0))/(IF(ISNUMBER(Q158),Inputs!$B$4,0)+IF(ISNUMBER(R158),Inputs!$B$5,0)+IF(ISNUMBER(S158),Inputs!$B$6,0)+IF(ISNUMBER(T158),Inputs!$B$7,0)))</f>
        <v>0.184</v>
      </c>
      <c r="V158" s="5" t="str">
        <f aca="false">IF(F158&gt;0,"Yes","No")</f>
        <v>No</v>
      </c>
      <c r="W158" s="5" t="str">
        <f aca="false">IF(ISNUMBER(N158),IF(N158&gt;=Inputs!$D$18,"Yes","No"),"No price")</f>
        <v>No price</v>
      </c>
      <c r="X158" s="5" t="str">
        <f aca="false">IF(K158+L158&gt;0,"Yes",IF(M158&gt;0,"No","Unclear"))</f>
        <v>Yes</v>
      </c>
      <c r="Y158" s="5" t="str">
        <f aca="false">INDEX('API Data'!$H$2:$H$152,MATCH(B158,'API Data'!$A$2:$A$152,0))</f>
        <v>No</v>
      </c>
      <c r="Z158" s="5" t="str">
        <f aca="false">IF(COUNTIFS('Product Rows'!$A$2:$A$696,B158,'Product Rows'!$B$2:$B$696,C158,'Product Rows'!$I$2:$I$696,"Yes")&gt;0,"Yes","No")</f>
        <v>No</v>
      </c>
      <c r="AA158" s="5" t="str">
        <f aca="false">IF(P158&gt;=Inputs!$D$22,"Yes","No")</f>
        <v>No</v>
      </c>
      <c r="AB158" s="10" t="b">
        <f aca="false">AND(OR(Inputs!$B$17&lt;&gt;"Exclude",V158="Yes"),OR(Inputs!$B$18&lt;&gt;"Exclude",W158&lt;&gt;"No"),OR(Inputs!$B$19&lt;&gt;"Exclude",X158&lt;&gt;"No"),OR(Inputs!$B$20&lt;&gt;"Exclude",Y158="No"),OR(Inputs!$B$21&lt;&gt;"Exclude",Z158="No"),OR(Inputs!$B$22&lt;&gt;"Exclude",AA158="Yes"),ISNUMBER(U158))</f>
        <v>0</v>
      </c>
      <c r="AC158" s="5" t="str">
        <f aca="false">IF(AB158,COUNTIFS($C$5:$C$337,C158,$AB$5:$AB$337,TRUE(),$U$5:$U$337,"&gt;"&amp;U158)+COUNTIFS($C$5:C158,C158,$AB$5:AB158,TRUE(),$U$5:U158,U158),"")</f>
        <v/>
      </c>
      <c r="AD158" s="5" t="str">
        <f aca="false">IF(AC158="","Not eligible",IF(AC158&lt;=Inputs!$B$25,"Lead",IF(AC158&lt;=Inputs!$B$25+Inputs!$B$26,"Next wave","Long list")))</f>
        <v>Not eligible</v>
      </c>
      <c r="AE158" s="5" t="str">
        <f aca="false">IF(AND(K158+L158=0,M158&gt;0),"Safety upgrade of existing prefilled syringe",IF(K158+L158+M158=0,"Confirm presentation (not stated in source)",IF(AA158="Yes","Differentiation in crowded generic market","Safety-device mandate compliance")))</f>
        <v>Safety-device mandate compliance</v>
      </c>
      <c r="AF158" s="5" t="str">
        <f aca="false">IF(AC158="","",C158&amp;"|"&amp;AC158)</f>
        <v/>
      </c>
    </row>
    <row r="159" customFormat="false" ht="15" hidden="false" customHeight="false" outlineLevel="0" collapsed="false">
      <c r="A159" s="5" t="n">
        <f aca="false">IF(ISNUMBER(U159),RANK(U159,$U$5:$U$337),"")</f>
        <v>312</v>
      </c>
      <c r="B159" s="5" t="s">
        <v>118</v>
      </c>
      <c r="C159" s="5" t="s">
        <v>115</v>
      </c>
      <c r="D159" s="5" t="str">
        <f aca="false">INDEX('API Data'!$B$2:$B$152,MATCH(B159,'API Data'!$A$2:$A$152,0))</f>
        <v>Oncology supportive – chemotherapy &amp; post-op nausea/vomiting</v>
      </c>
      <c r="E159" s="5" t="n">
        <f aca="false">COUNTIFS('Market Listing'!$A$2:$A$4054,B159,'Market Listing'!$B$2:$B$4054,C159)</f>
        <v>26</v>
      </c>
      <c r="F159" s="5" t="n">
        <f aca="false">COUNTIFS('Market Listing'!$A$2:$A$4054,B159,'Market Listing'!$B$2:$B$4054,C159,'Market Listing'!$D$2:$D$4054,"Tier 1")</f>
        <v>6</v>
      </c>
      <c r="G159" s="5" t="n">
        <f aca="false">COUNTIFS('Market Listing'!$A$2:$A$4054,B159,'Market Listing'!$B$2:$B$4054,C159,'Market Listing'!$D$2:$D$4054,"Tier 2")</f>
        <v>3</v>
      </c>
      <c r="H159" s="5" t="n">
        <f aca="false">COUNTIFS('Market Listing'!$A$2:$A$4054,B159,'Market Listing'!$B$2:$B$4054,C159,'Market Listing'!$D$2:$D$4054,"Tier 3")</f>
        <v>17</v>
      </c>
      <c r="I159" s="5" t="n">
        <f aca="false">SUMIFS('Market Listing'!$E$2:$E$4054,'Market Listing'!$A$2:$A$4054,B159,'Market Listing'!$B$2:$B$4054,C159)</f>
        <v>41</v>
      </c>
      <c r="J159" s="5" t="n">
        <f aca="false">COUNTIFS('Product Rows'!$A$2:$A$696,B159,'Product Rows'!$B$2:$B$696,C159)</f>
        <v>2</v>
      </c>
      <c r="K159" s="5" t="n">
        <f aca="false">COUNTIFS('Product Rows'!$A$2:$A$696,B159,'Product Rows'!$B$2:$B$696,C159,'Product Rows'!$G$2:$G$696,"Vial")</f>
        <v>0</v>
      </c>
      <c r="L159" s="5" t="n">
        <f aca="false">COUNTIFS('Product Rows'!$A$2:$A$696,B159,'Product Rows'!$B$2:$B$696,C159,'Product Rows'!$G$2:$G$696,"Ampoule")</f>
        <v>2</v>
      </c>
      <c r="M159" s="5" t="n">
        <f aca="false">COUNTIFS('Product Rows'!$A$2:$A$696,B159,'Product Rows'!$B$2:$B$696,C159,'Product Rows'!$G$2:$G$696,"Prefilled syringe/pen")</f>
        <v>0</v>
      </c>
      <c r="N159" s="6" t="n">
        <f aca="false">IFERROR(AVERAGEIFS('Product Rows'!$H$2:$H$696,'Product Rows'!$A$2:$A$696,B159,'Product Rows'!$B$2:$B$696,C159),"")</f>
        <v>12.2067</v>
      </c>
      <c r="O159" s="7" t="n">
        <f aca="false">INDEX('API Data'!$E$2:$E$152,MATCH(B159,'API Data'!$A$2:$A$152,0))</f>
        <v>701.300498773432</v>
      </c>
      <c r="P159" s="5" t="n">
        <f aca="false">COUNTIF($B$5:$B$337,B159)</f>
        <v>1</v>
      </c>
      <c r="Q159" s="8" t="n">
        <f aca="false">IF(ISNUMBER(I159),PERCENTRANK($I$5:$I$337,I159),"")</f>
        <v>0.711</v>
      </c>
      <c r="R159" s="8" t="n">
        <f aca="false">IF(ISNUMBER(N159),PERCENTRANK($N$5:$N$337,N159),"")</f>
        <v>0.251</v>
      </c>
      <c r="S159" s="8" t="n">
        <f aca="false">IF(ISNUMBER(O159),PERCENTRANK($O$5:$O$337,O159),"")</f>
        <v>0.133</v>
      </c>
      <c r="T159" s="8" t="n">
        <f aca="false">IF(ISNUMBER(P159),PERCENTRANK($P$5:$P$337,P159),"")</f>
        <v>0</v>
      </c>
      <c r="U159" s="9" t="n">
        <f aca="false">IF((IF(ISNUMBER(Q159),Inputs!$B$4,0)+IF(ISNUMBER(R159),Inputs!$B$5,0)+IF(ISNUMBER(S159),Inputs!$B$6,0)+IF(ISNUMBER(T159),Inputs!$B$7,0))=0,"",(IF(ISNUMBER(Q159),Inputs!$B$4*Q159,0)+IF(ISNUMBER(R159),Inputs!$B$5*R159,0)+IF(ISNUMBER(S159),Inputs!$B$6*S159,0)+IF(ISNUMBER(T159),Inputs!$B$7*T159,0))/(IF(ISNUMBER(Q159),Inputs!$B$4,0)+IF(ISNUMBER(R159),Inputs!$B$5,0)+IF(ISNUMBER(S159),Inputs!$B$6,0)+IF(ISNUMBER(T159),Inputs!$B$7,0)))</f>
        <v>0.192</v>
      </c>
      <c r="V159" s="5" t="str">
        <f aca="false">IF(F159&gt;0,"Yes","No")</f>
        <v>Yes</v>
      </c>
      <c r="W159" s="5" t="str">
        <f aca="false">IF(ISNUMBER(N159),IF(N159&gt;=Inputs!$D$18,"Yes","No"),"No price")</f>
        <v>Yes</v>
      </c>
      <c r="X159" s="5" t="str">
        <f aca="false">IF(K159+L159&gt;0,"Yes",IF(M159&gt;0,"No","Unclear"))</f>
        <v>Yes</v>
      </c>
      <c r="Y159" s="5" t="str">
        <f aca="false">INDEX('API Data'!$H$2:$H$152,MATCH(B159,'API Data'!$A$2:$A$152,0))</f>
        <v>No</v>
      </c>
      <c r="Z159" s="5" t="str">
        <f aca="false">IF(COUNTIFS('Product Rows'!$A$2:$A$696,B159,'Product Rows'!$B$2:$B$696,C159,'Product Rows'!$I$2:$I$696,"Yes")&gt;0,"Yes","No")</f>
        <v>No</v>
      </c>
      <c r="AA159" s="5" t="str">
        <f aca="false">IF(P159&gt;=Inputs!$D$22,"Yes","No")</f>
        <v>No</v>
      </c>
      <c r="AB159" s="10" t="b">
        <f aca="false">AND(OR(Inputs!$B$17&lt;&gt;"Exclude",V159="Yes"),OR(Inputs!$B$18&lt;&gt;"Exclude",W159&lt;&gt;"No"),OR(Inputs!$B$19&lt;&gt;"Exclude",X159&lt;&gt;"No"),OR(Inputs!$B$20&lt;&gt;"Exclude",Y159="No"),OR(Inputs!$B$21&lt;&gt;"Exclude",Z159="No"),OR(Inputs!$B$22&lt;&gt;"Exclude",AA159="Yes"),ISNUMBER(U159))</f>
        <v>1</v>
      </c>
      <c r="AC159" s="5" t="n">
        <f aca="false">IF(AB159,COUNTIFS($C$5:$C$337,C159,$AB$5:$AB$337,TRUE(),$U$5:$U$337,"&gt;"&amp;U159)+COUNTIFS($C$5:C159,C159,$AB$5:AB159,TRUE(),$U$5:U159,U159),"")</f>
        <v>6</v>
      </c>
      <c r="AD159" s="5" t="str">
        <f aca="false">IF(AC159="","Not eligible",IF(AC159&lt;=Inputs!$B$25,"Lead",IF(AC159&lt;=Inputs!$B$25+Inputs!$B$26,"Next wave","Long list")))</f>
        <v>Next wave</v>
      </c>
      <c r="AE159" s="5" t="str">
        <f aca="false">IF(AND(K159+L159=0,M159&gt;0),"Safety upgrade of existing prefilled syringe",IF(K159+L159+M159=0,"Confirm presentation (not stated in source)",IF(AA159="Yes","Differentiation in crowded generic market","Safety-device mandate compliance")))</f>
        <v>Safety-device mandate compliance</v>
      </c>
      <c r="AF159" s="5" t="str">
        <f aca="false">IF(AC159="","",C159&amp;"|"&amp;AC159)</f>
        <v>Torrent Pharmaceuticals|6</v>
      </c>
    </row>
    <row r="160" customFormat="false" ht="15" hidden="false" customHeight="false" outlineLevel="0" collapsed="false">
      <c r="A160" s="5" t="n">
        <f aca="false">IF(ISNUMBER(U160),RANK(U160,$U$5:$U$337),"")</f>
        <v>246</v>
      </c>
      <c r="B160" s="5" t="s">
        <v>119</v>
      </c>
      <c r="C160" s="5" t="s">
        <v>38</v>
      </c>
      <c r="D160" s="5" t="str">
        <f aca="false">INDEX('API Data'!$B$2:$B$152,MATCH(B160,'API Data'!$A$2:$A$152,0))</f>
        <v>Psychiatry – acute agitation, psychosis, delirium</v>
      </c>
      <c r="E160" s="5" t="n">
        <f aca="false">COUNTIFS('Market Listing'!$A$2:$A$4054,B160,'Market Listing'!$B$2:$B$4054,C160)</f>
        <v>1</v>
      </c>
      <c r="F160" s="5" t="n">
        <f aca="false">COUNTIFS('Market Listing'!$A$2:$A$4054,B160,'Market Listing'!$B$2:$B$4054,C160,'Market Listing'!$D$2:$D$4054,"Tier 1")</f>
        <v>1</v>
      </c>
      <c r="G160" s="5" t="n">
        <f aca="false">COUNTIFS('Market Listing'!$A$2:$A$4054,B160,'Market Listing'!$B$2:$B$4054,C160,'Market Listing'!$D$2:$D$4054,"Tier 2")</f>
        <v>0</v>
      </c>
      <c r="H160" s="5" t="n">
        <f aca="false">COUNTIFS('Market Listing'!$A$2:$A$4054,B160,'Market Listing'!$B$2:$B$4054,C160,'Market Listing'!$D$2:$D$4054,"Tier 3")</f>
        <v>0</v>
      </c>
      <c r="I160" s="5" t="n">
        <f aca="false">SUMIFS('Market Listing'!$E$2:$E$4054,'Market Listing'!$A$2:$A$4054,B160,'Market Listing'!$B$2:$B$4054,C160)</f>
        <v>3</v>
      </c>
      <c r="J160" s="5" t="n">
        <f aca="false">COUNTIFS('Product Rows'!$A$2:$A$696,B160,'Product Rows'!$B$2:$B$696,C160)</f>
        <v>1</v>
      </c>
      <c r="K160" s="5" t="n">
        <f aca="false">COUNTIFS('Product Rows'!$A$2:$A$696,B160,'Product Rows'!$B$2:$B$696,C160,'Product Rows'!$G$2:$G$696,"Vial")</f>
        <v>0</v>
      </c>
      <c r="L160" s="5" t="n">
        <f aca="false">COUNTIFS('Product Rows'!$A$2:$A$696,B160,'Product Rows'!$B$2:$B$696,C160,'Product Rows'!$G$2:$G$696,"Ampoule")</f>
        <v>1</v>
      </c>
      <c r="M160" s="5" t="n">
        <f aca="false">COUNTIFS('Product Rows'!$A$2:$A$696,B160,'Product Rows'!$B$2:$B$696,C160,'Product Rows'!$G$2:$G$696,"Prefilled syringe/pen")</f>
        <v>0</v>
      </c>
      <c r="N160" s="6" t="n">
        <f aca="false">IFERROR(AVERAGEIFS('Product Rows'!$H$2:$H$696,'Product Rows'!$A$2:$A$696,B160,'Product Rows'!$B$2:$B$696,C160),"")</f>
        <v>8.98</v>
      </c>
      <c r="O160" s="7" t="n">
        <f aca="false">INDEX('API Data'!$E$2:$E$152,MATCH(B160,'API Data'!$A$2:$A$152,0))</f>
        <v>4492.81772954824</v>
      </c>
      <c r="P160" s="5" t="n">
        <f aca="false">COUNTIF($B$5:$B$337,B160)</f>
        <v>1</v>
      </c>
      <c r="Q160" s="8" t="n">
        <f aca="false">IF(ISNUMBER(I160),PERCENTRANK($I$5:$I$337,I160),"")</f>
        <v>0.157</v>
      </c>
      <c r="R160" s="8" t="n">
        <f aca="false">IF(ISNUMBER(N160),PERCENTRANK($N$5:$N$337,N160),"")</f>
        <v>0.168</v>
      </c>
      <c r="S160" s="8" t="n">
        <f aca="false">IF(ISNUMBER(O160),PERCENTRANK($O$5:$O$337,O160),"")</f>
        <v>0.524</v>
      </c>
      <c r="T160" s="8" t="n">
        <f aca="false">IF(ISNUMBER(P160),PERCENTRANK($P$5:$P$337,P160),"")</f>
        <v>0</v>
      </c>
      <c r="U160" s="9" t="n">
        <f aca="false">IF((IF(ISNUMBER(Q160),Inputs!$B$4,0)+IF(ISNUMBER(R160),Inputs!$B$5,0)+IF(ISNUMBER(S160),Inputs!$B$6,0)+IF(ISNUMBER(T160),Inputs!$B$7,0))=0,"",(IF(ISNUMBER(Q160),Inputs!$B$4*Q160,0)+IF(ISNUMBER(R160),Inputs!$B$5*R160,0)+IF(ISNUMBER(S160),Inputs!$B$6*S160,0)+IF(ISNUMBER(T160),Inputs!$B$7*T160,0))/(IF(ISNUMBER(Q160),Inputs!$B$4,0)+IF(ISNUMBER(R160),Inputs!$B$5,0)+IF(ISNUMBER(S160),Inputs!$B$6,0)+IF(ISNUMBER(T160),Inputs!$B$7,0)))</f>
        <v>0.346</v>
      </c>
      <c r="V160" s="5" t="str">
        <f aca="false">IF(F160&gt;0,"Yes","No")</f>
        <v>Yes</v>
      </c>
      <c r="W160" s="5" t="str">
        <f aca="false">IF(ISNUMBER(N160),IF(N160&gt;=Inputs!$D$18,"Yes","No"),"No price")</f>
        <v>Yes</v>
      </c>
      <c r="X160" s="5" t="str">
        <f aca="false">IF(K160+L160&gt;0,"Yes",IF(M160&gt;0,"No","Unclear"))</f>
        <v>Yes</v>
      </c>
      <c r="Y160" s="5" t="str">
        <f aca="false">INDEX('API Data'!$H$2:$H$152,MATCH(B160,'API Data'!$A$2:$A$152,0))</f>
        <v>No</v>
      </c>
      <c r="Z160" s="5" t="str">
        <f aca="false">IF(COUNTIFS('Product Rows'!$A$2:$A$696,B160,'Product Rows'!$B$2:$B$696,C160,'Product Rows'!$I$2:$I$696,"Yes")&gt;0,"Yes","No")</f>
        <v>No</v>
      </c>
      <c r="AA160" s="5" t="str">
        <f aca="false">IF(P160&gt;=Inputs!$D$22,"Yes","No")</f>
        <v>No</v>
      </c>
      <c r="AB160" s="10" t="b">
        <f aca="false">AND(OR(Inputs!$B$17&lt;&gt;"Exclude",V160="Yes"),OR(Inputs!$B$18&lt;&gt;"Exclude",W160&lt;&gt;"No"),OR(Inputs!$B$19&lt;&gt;"Exclude",X160&lt;&gt;"No"),OR(Inputs!$B$20&lt;&gt;"Exclude",Y160="No"),OR(Inputs!$B$21&lt;&gt;"Exclude",Z160="No"),OR(Inputs!$B$22&lt;&gt;"Exclude",AA160="Yes"),ISNUMBER(U160))</f>
        <v>1</v>
      </c>
      <c r="AC160" s="5" t="n">
        <f aca="false">IF(AB160,COUNTIFS($C$5:$C$337,C160,$AB$5:$AB$337,TRUE(),$U$5:$U$337,"&gt;"&amp;U160)+COUNTIFS($C$5:C160,C160,$AB$5:AB160,TRUE(),$U$5:U160,U160),"")</f>
        <v>10</v>
      </c>
      <c r="AD160" s="5" t="str">
        <f aca="false">IF(AC160="","Not eligible",IF(AC160&lt;=Inputs!$B$25,"Lead",IF(AC160&lt;=Inputs!$B$25+Inputs!$B$26,"Next wave","Long list")))</f>
        <v>Next wave</v>
      </c>
      <c r="AE160" s="5" t="str">
        <f aca="false">IF(AND(K160+L160=0,M160&gt;0),"Safety upgrade of existing prefilled syringe",IF(K160+L160+M160=0,"Confirm presentation (not stated in source)",IF(AA160="Yes","Differentiation in crowded generic market","Safety-device mandate compliance")))</f>
        <v>Safety-device mandate compliance</v>
      </c>
      <c r="AF160" s="5" t="str">
        <f aca="false">IF(AC160="","",C160&amp;"|"&amp;AC160)</f>
        <v>Wockhardt|10</v>
      </c>
    </row>
    <row r="161" customFormat="false" ht="15" hidden="false" customHeight="false" outlineLevel="0" collapsed="false">
      <c r="A161" s="5" t="n">
        <f aca="false">IF(ISNUMBER(U161),RANK(U161,$U$5:$U$337),"")</f>
        <v>282</v>
      </c>
      <c r="B161" s="5" t="s">
        <v>120</v>
      </c>
      <c r="C161" s="5" t="s">
        <v>36</v>
      </c>
      <c r="D161" s="5" t="str">
        <f aca="false">INDEX('API Data'!$B$2:$B$152,MATCH(B161,'API Data'!$A$2:$A$152,0))</f>
        <v>Psychiatry – schizophrenia maintenance (long-acting depot)</v>
      </c>
      <c r="E161" s="5" t="n">
        <f aca="false">COUNTIFS('Market Listing'!$A$2:$A$4054,B161,'Market Listing'!$B$2:$B$4054,C161)</f>
        <v>1</v>
      </c>
      <c r="F161" s="5" t="n">
        <f aca="false">COUNTIFS('Market Listing'!$A$2:$A$4054,B161,'Market Listing'!$B$2:$B$4054,C161,'Market Listing'!$D$2:$D$4054,"Tier 1")</f>
        <v>1</v>
      </c>
      <c r="G161" s="5" t="n">
        <f aca="false">COUNTIFS('Market Listing'!$A$2:$A$4054,B161,'Market Listing'!$B$2:$B$4054,C161,'Market Listing'!$D$2:$D$4054,"Tier 2")</f>
        <v>0</v>
      </c>
      <c r="H161" s="5" t="n">
        <f aca="false">COUNTIFS('Market Listing'!$A$2:$A$4054,B161,'Market Listing'!$B$2:$B$4054,C161,'Market Listing'!$D$2:$D$4054,"Tier 3")</f>
        <v>0</v>
      </c>
      <c r="I161" s="5" t="n">
        <f aca="false">SUMIFS('Market Listing'!$E$2:$E$4054,'Market Listing'!$A$2:$A$4054,B161,'Market Listing'!$B$2:$B$4054,C161)</f>
        <v>3</v>
      </c>
      <c r="J161" s="5" t="n">
        <f aca="false">COUNTIFS('Product Rows'!$A$2:$A$696,B161,'Product Rows'!$B$2:$B$696,C161)</f>
        <v>2</v>
      </c>
      <c r="K161" s="5" t="n">
        <f aca="false">COUNTIFS('Product Rows'!$A$2:$A$696,B161,'Product Rows'!$B$2:$B$696,C161,'Product Rows'!$G$2:$G$696,"Vial")</f>
        <v>2</v>
      </c>
      <c r="L161" s="5" t="n">
        <f aca="false">COUNTIFS('Product Rows'!$A$2:$A$696,B161,'Product Rows'!$B$2:$B$696,C161,'Product Rows'!$G$2:$G$696,"Ampoule")</f>
        <v>0</v>
      </c>
      <c r="M161" s="5" t="n">
        <f aca="false">COUNTIFS('Product Rows'!$A$2:$A$696,B161,'Product Rows'!$B$2:$B$696,C161,'Product Rows'!$G$2:$G$696,"Prefilled syringe/pen")</f>
        <v>0</v>
      </c>
      <c r="N161" s="6" t="n">
        <f aca="false">IFERROR(AVERAGEIFS('Product Rows'!$H$2:$H$696,'Product Rows'!$A$2:$A$696,B161,'Product Rows'!$B$2:$B$696,C161),"")</f>
        <v>14.99</v>
      </c>
      <c r="O161" s="7" t="n">
        <f aca="false">INDEX('API Data'!$E$2:$E$152,MATCH(B161,'API Data'!$A$2:$A$152,0))</f>
        <v>1618.59166666667</v>
      </c>
      <c r="P161" s="5" t="n">
        <f aca="false">COUNTIF($B$5:$B$337,B161)</f>
        <v>1</v>
      </c>
      <c r="Q161" s="8" t="n">
        <f aca="false">IF(ISNUMBER(I161),PERCENTRANK($I$5:$I$337,I161),"")</f>
        <v>0.157</v>
      </c>
      <c r="R161" s="8" t="n">
        <f aca="false">IF(ISNUMBER(N161),PERCENTRANK($N$5:$N$337,N161),"")</f>
        <v>0.308</v>
      </c>
      <c r="S161" s="8" t="n">
        <f aca="false">IF(ISNUMBER(O161),PERCENTRANK($O$5:$O$337,O161),"")</f>
        <v>0.22</v>
      </c>
      <c r="T161" s="8" t="n">
        <f aca="false">IF(ISNUMBER(P161),PERCENTRANK($P$5:$P$337,P161),"")</f>
        <v>0</v>
      </c>
      <c r="U161" s="9" t="n">
        <f aca="false">IF((IF(ISNUMBER(Q161),Inputs!$B$4,0)+IF(ISNUMBER(R161),Inputs!$B$5,0)+IF(ISNUMBER(S161),Inputs!$B$6,0)+IF(ISNUMBER(T161),Inputs!$B$7,0))=0,"",(IF(ISNUMBER(Q161),Inputs!$B$4*Q161,0)+IF(ISNUMBER(R161),Inputs!$B$5*R161,0)+IF(ISNUMBER(S161),Inputs!$B$6*S161,0)+IF(ISNUMBER(T161),Inputs!$B$7*T161,0))/(IF(ISNUMBER(Q161),Inputs!$B$4,0)+IF(ISNUMBER(R161),Inputs!$B$5,0)+IF(ISNUMBER(S161),Inputs!$B$6,0)+IF(ISNUMBER(T161),Inputs!$B$7,0)))</f>
        <v>0.264</v>
      </c>
      <c r="V161" s="5" t="str">
        <f aca="false">IF(F161&gt;0,"Yes","No")</f>
        <v>Yes</v>
      </c>
      <c r="W161" s="5" t="str">
        <f aca="false">IF(ISNUMBER(N161),IF(N161&gt;=Inputs!$D$18,"Yes","No"),"No price")</f>
        <v>Yes</v>
      </c>
      <c r="X161" s="5" t="str">
        <f aca="false">IF(K161+L161&gt;0,"Yes",IF(M161&gt;0,"No","Unclear"))</f>
        <v>Yes</v>
      </c>
      <c r="Y161" s="5" t="str">
        <f aca="false">INDEX('API Data'!$H$2:$H$152,MATCH(B161,'API Data'!$A$2:$A$152,0))</f>
        <v>No</v>
      </c>
      <c r="Z161" s="5" t="str">
        <f aca="false">IF(COUNTIFS('Product Rows'!$A$2:$A$696,B161,'Product Rows'!$B$2:$B$696,C161,'Product Rows'!$I$2:$I$696,"Yes")&gt;0,"Yes","No")</f>
        <v>No</v>
      </c>
      <c r="AA161" s="5" t="str">
        <f aca="false">IF(P161&gt;=Inputs!$D$22,"Yes","No")</f>
        <v>No</v>
      </c>
      <c r="AB161" s="10" t="b">
        <f aca="false">AND(OR(Inputs!$B$17&lt;&gt;"Exclude",V161="Yes"),OR(Inputs!$B$18&lt;&gt;"Exclude",W161&lt;&gt;"No"),OR(Inputs!$B$19&lt;&gt;"Exclude",X161&lt;&gt;"No"),OR(Inputs!$B$20&lt;&gt;"Exclude",Y161="No"),OR(Inputs!$B$21&lt;&gt;"Exclude",Z161="No"),OR(Inputs!$B$22&lt;&gt;"Exclude",AA161="Yes"),ISNUMBER(U161))</f>
        <v>1</v>
      </c>
      <c r="AC161" s="5" t="n">
        <f aca="false">IF(AB161,COUNTIFS($C$5:$C$337,C161,$AB$5:$AB$337,TRUE(),$U$5:$U$337,"&gt;"&amp;U161)+COUNTIFS($C$5:C161,C161,$AB$5:AB161,TRUE(),$U$5:U161,U161),"")</f>
        <v>14</v>
      </c>
      <c r="AD161" s="5" t="str">
        <f aca="false">IF(AC161="","Not eligible",IF(AC161&lt;=Inputs!$B$25,"Lead",IF(AC161&lt;=Inputs!$B$25+Inputs!$B$26,"Next wave","Long list")))</f>
        <v>Long list</v>
      </c>
      <c r="AE161" s="5" t="str">
        <f aca="false">IF(AND(K161+L161=0,M161&gt;0),"Safety upgrade of existing prefilled syringe",IF(K161+L161+M161=0,"Confirm presentation (not stated in source)",IF(AA161="Yes","Differentiation in crowded generic market","Safety-device mandate compliance")))</f>
        <v>Safety-device mandate compliance</v>
      </c>
      <c r="AF161" s="5" t="str">
        <f aca="false">IF(AC161="","",C161&amp;"|"&amp;AC161)</f>
        <v>Zydus Lifesciences|14</v>
      </c>
    </row>
    <row r="162" customFormat="false" ht="15" hidden="false" customHeight="false" outlineLevel="0" collapsed="false">
      <c r="A162" s="5" t="n">
        <f aca="false">IF(ISNUMBER(U162),RANK(U162,$U$5:$U$337),"")</f>
        <v>245</v>
      </c>
      <c r="B162" s="5" t="s">
        <v>121</v>
      </c>
      <c r="C162" s="5" t="s">
        <v>38</v>
      </c>
      <c r="D162" s="5" t="str">
        <f aca="false">INDEX('API Data'!$B$2:$B$152,MATCH(B162,'API Data'!$A$2:$A$152,0))</f>
        <v>Anaesthesia / Other – enhances dispersion of injected drugs &amp; fluids</v>
      </c>
      <c r="E162" s="5" t="n">
        <f aca="false">COUNTIFS('Market Listing'!$A$2:$A$4054,B162,'Market Listing'!$B$2:$B$4054,C162)</f>
        <v>6</v>
      </c>
      <c r="F162" s="5" t="n">
        <f aca="false">COUNTIFS('Market Listing'!$A$2:$A$4054,B162,'Market Listing'!$B$2:$B$4054,C162,'Market Listing'!$D$2:$D$4054,"Tier 1")</f>
        <v>3</v>
      </c>
      <c r="G162" s="5" t="n">
        <f aca="false">COUNTIFS('Market Listing'!$A$2:$A$4054,B162,'Market Listing'!$B$2:$B$4054,C162,'Market Listing'!$D$2:$D$4054,"Tier 2")</f>
        <v>1</v>
      </c>
      <c r="H162" s="5" t="n">
        <f aca="false">COUNTIFS('Market Listing'!$A$2:$A$4054,B162,'Market Listing'!$B$2:$B$4054,C162,'Market Listing'!$D$2:$D$4054,"Tier 3")</f>
        <v>2</v>
      </c>
      <c r="I162" s="5" t="n">
        <f aca="false">SUMIFS('Market Listing'!$E$2:$E$4054,'Market Listing'!$A$2:$A$4054,B162,'Market Listing'!$B$2:$B$4054,C162)</f>
        <v>13</v>
      </c>
      <c r="J162" s="5" t="n">
        <f aca="false">COUNTIFS('Product Rows'!$A$2:$A$696,B162,'Product Rows'!$B$2:$B$696,C162)</f>
        <v>1</v>
      </c>
      <c r="K162" s="5" t="n">
        <f aca="false">COUNTIFS('Product Rows'!$A$2:$A$696,B162,'Product Rows'!$B$2:$B$696,C162,'Product Rows'!$G$2:$G$696,"Vial")</f>
        <v>0</v>
      </c>
      <c r="L162" s="5" t="n">
        <f aca="false">COUNTIFS('Product Rows'!$A$2:$A$696,B162,'Product Rows'!$B$2:$B$696,C162,'Product Rows'!$G$2:$G$696,"Ampoule")</f>
        <v>1</v>
      </c>
      <c r="M162" s="5" t="n">
        <f aca="false">COUNTIFS('Product Rows'!$A$2:$A$696,B162,'Product Rows'!$B$2:$B$696,C162,'Product Rows'!$G$2:$G$696,"Prefilled syringe/pen")</f>
        <v>0</v>
      </c>
      <c r="N162" s="6" t="n">
        <f aca="false">IFERROR(AVERAGEIFS('Product Rows'!$H$2:$H$696,'Product Rows'!$A$2:$A$696,B162,'Product Rows'!$B$2:$B$696,C162),"")</f>
        <v>59.1216</v>
      </c>
      <c r="O162" s="7" t="n">
        <f aca="false">INDEX('API Data'!$E$2:$E$152,MATCH(B162,'API Data'!$A$2:$A$152,0))</f>
        <v>163.643043478261</v>
      </c>
      <c r="P162" s="5" t="n">
        <f aca="false">COUNTIF($B$5:$B$337,B162)</f>
        <v>1</v>
      </c>
      <c r="Q162" s="8" t="n">
        <f aca="false">IF(ISNUMBER(I162),PERCENTRANK($I$5:$I$337,I162),"")</f>
        <v>0.59</v>
      </c>
      <c r="R162" s="8" t="n">
        <f aca="false">IF(ISNUMBER(N162),PERCENTRANK($N$5:$N$337,N162),"")</f>
        <v>0.642</v>
      </c>
      <c r="S162" s="8" t="n">
        <f aca="false">IF(ISNUMBER(O162),PERCENTRANK($O$5:$O$337,O162),"")</f>
        <v>0.0512</v>
      </c>
      <c r="T162" s="8" t="n">
        <f aca="false">IF(ISNUMBER(P162),PERCENTRANK($P$5:$P$337,P162),"")</f>
        <v>0</v>
      </c>
      <c r="U162" s="9" t="n">
        <f aca="false">IF((IF(ISNUMBER(Q162),Inputs!$B$4,0)+IF(ISNUMBER(R162),Inputs!$B$5,0)+IF(ISNUMBER(S162),Inputs!$B$6,0)+IF(ISNUMBER(T162),Inputs!$B$7,0))=0,"",(IF(ISNUMBER(Q162),Inputs!$B$4*Q162,0)+IF(ISNUMBER(R162),Inputs!$B$5*R162,0)+IF(ISNUMBER(S162),Inputs!$B$6*S162,0)+IF(ISNUMBER(T162),Inputs!$B$7*T162,0))/(IF(ISNUMBER(Q162),Inputs!$B$4,0)+IF(ISNUMBER(R162),Inputs!$B$5,0)+IF(ISNUMBER(S162),Inputs!$B$6,0)+IF(ISNUMBER(T162),Inputs!$B$7,0)))</f>
        <v>0.3466</v>
      </c>
      <c r="V162" s="5" t="str">
        <f aca="false">IF(F162&gt;0,"Yes","No")</f>
        <v>Yes</v>
      </c>
      <c r="W162" s="5" t="str">
        <f aca="false">IF(ISNUMBER(N162),IF(N162&gt;=Inputs!$D$18,"Yes","No"),"No price")</f>
        <v>Yes</v>
      </c>
      <c r="X162" s="5" t="str">
        <f aca="false">IF(K162+L162&gt;0,"Yes",IF(M162&gt;0,"No","Unclear"))</f>
        <v>Yes</v>
      </c>
      <c r="Y162" s="5" t="str">
        <f aca="false">INDEX('API Data'!$H$2:$H$152,MATCH(B162,'API Data'!$A$2:$A$152,0))</f>
        <v>No</v>
      </c>
      <c r="Z162" s="5" t="str">
        <f aca="false">IF(COUNTIFS('Product Rows'!$A$2:$A$696,B162,'Product Rows'!$B$2:$B$696,C162,'Product Rows'!$I$2:$I$696,"Yes")&gt;0,"Yes","No")</f>
        <v>Yes</v>
      </c>
      <c r="AA162" s="5" t="str">
        <f aca="false">IF(P162&gt;=Inputs!$D$22,"Yes","No")</f>
        <v>No</v>
      </c>
      <c r="AB162" s="10" t="b">
        <f aca="false">AND(OR(Inputs!$B$17&lt;&gt;"Exclude",V162="Yes"),OR(Inputs!$B$18&lt;&gt;"Exclude",W162&lt;&gt;"No"),OR(Inputs!$B$19&lt;&gt;"Exclude",X162&lt;&gt;"No"),OR(Inputs!$B$20&lt;&gt;"Exclude",Y162="No"),OR(Inputs!$B$21&lt;&gt;"Exclude",Z162="No"),OR(Inputs!$B$22&lt;&gt;"Exclude",AA162="Yes"),ISNUMBER(U162))</f>
        <v>1</v>
      </c>
      <c r="AC162" s="5" t="n">
        <f aca="false">IF(AB162,COUNTIFS($C$5:$C$337,C162,$AB$5:$AB$337,TRUE(),$U$5:$U$337,"&gt;"&amp;U162)+COUNTIFS($C$5:C162,C162,$AB$5:AB162,TRUE(),$U$5:U162,U162),"")</f>
        <v>9</v>
      </c>
      <c r="AD162" s="5" t="str">
        <f aca="false">IF(AC162="","Not eligible",IF(AC162&lt;=Inputs!$B$25,"Lead",IF(AC162&lt;=Inputs!$B$25+Inputs!$B$26,"Next wave","Long list")))</f>
        <v>Next wave</v>
      </c>
      <c r="AE162" s="5" t="str">
        <f aca="false">IF(AND(K162+L162=0,M162&gt;0),"Safety upgrade of existing prefilled syringe",IF(K162+L162+M162=0,"Confirm presentation (not stated in source)",IF(AA162="Yes","Differentiation in crowded generic market","Safety-device mandate compliance")))</f>
        <v>Safety-device mandate compliance</v>
      </c>
      <c r="AF162" s="5" t="str">
        <f aca="false">IF(AC162="","",C162&amp;"|"&amp;AC162)</f>
        <v>Wockhardt|9</v>
      </c>
    </row>
    <row r="163" customFormat="false" ht="15" hidden="false" customHeight="false" outlineLevel="0" collapsed="false">
      <c r="A163" s="5" t="n">
        <f aca="false">IF(ISNUMBER(U163),RANK(U163,$U$5:$U$337),"")</f>
        <v>273</v>
      </c>
      <c r="B163" s="5" t="s">
        <v>122</v>
      </c>
      <c r="C163" s="5" t="s">
        <v>47</v>
      </c>
      <c r="D163" s="5" t="str">
        <f aca="false">INDEX('API Data'!$B$2:$B$152,MATCH(B163,'API Data'!$A$2:$A$152,0))</f>
        <v>Cardiovascular – severe hypertension in pregnancy, hypertensive emergency</v>
      </c>
      <c r="E163" s="5" t="n">
        <f aca="false">COUNTIFS('Market Listing'!$A$2:$A$4054,B163,'Market Listing'!$B$2:$B$4054,C163)</f>
        <v>1</v>
      </c>
      <c r="F163" s="5" t="n">
        <f aca="false">COUNTIFS('Market Listing'!$A$2:$A$4054,B163,'Market Listing'!$B$2:$B$4054,C163,'Market Listing'!$D$2:$D$4054,"Tier 1")</f>
        <v>1</v>
      </c>
      <c r="G163" s="5" t="n">
        <f aca="false">COUNTIFS('Market Listing'!$A$2:$A$4054,B163,'Market Listing'!$B$2:$B$4054,C163,'Market Listing'!$D$2:$D$4054,"Tier 2")</f>
        <v>0</v>
      </c>
      <c r="H163" s="5" t="n">
        <f aca="false">COUNTIFS('Market Listing'!$A$2:$A$4054,B163,'Market Listing'!$B$2:$B$4054,C163,'Market Listing'!$D$2:$D$4054,"Tier 3")</f>
        <v>0</v>
      </c>
      <c r="I163" s="5" t="n">
        <f aca="false">SUMIFS('Market Listing'!$E$2:$E$4054,'Market Listing'!$A$2:$A$4054,B163,'Market Listing'!$B$2:$B$4054,C163)</f>
        <v>3</v>
      </c>
      <c r="J163" s="5" t="n">
        <f aca="false">COUNTIFS('Product Rows'!$A$2:$A$696,B163,'Product Rows'!$B$2:$B$696,C163)</f>
        <v>2</v>
      </c>
      <c r="K163" s="5" t="n">
        <f aca="false">COUNTIFS('Product Rows'!$A$2:$A$696,B163,'Product Rows'!$B$2:$B$696,C163,'Product Rows'!$G$2:$G$696,"Vial")</f>
        <v>2</v>
      </c>
      <c r="L163" s="5" t="n">
        <f aca="false">COUNTIFS('Product Rows'!$A$2:$A$696,B163,'Product Rows'!$B$2:$B$696,C163,'Product Rows'!$G$2:$G$696,"Ampoule")</f>
        <v>0</v>
      </c>
      <c r="M163" s="5" t="n">
        <f aca="false">COUNTIFS('Product Rows'!$A$2:$A$696,B163,'Product Rows'!$B$2:$B$696,C163,'Product Rows'!$G$2:$G$696,"Prefilled syringe/pen")</f>
        <v>0</v>
      </c>
      <c r="N163" s="6" t="n">
        <f aca="false">IFERROR(AVERAGEIFS('Product Rows'!$H$2:$H$696,'Product Rows'!$A$2:$A$696,B163,'Product Rows'!$B$2:$B$696,C163),"")</f>
        <v>7.359975</v>
      </c>
      <c r="O163" s="7" t="n">
        <f aca="false">INDEX('API Data'!$E$2:$E$152,MATCH(B163,'API Data'!$A$2:$A$152,0))</f>
        <v>3519.27376146384</v>
      </c>
      <c r="P163" s="5" t="n">
        <f aca="false">COUNTIF($B$5:$B$337,B163)</f>
        <v>1</v>
      </c>
      <c r="Q163" s="8" t="n">
        <f aca="false">IF(ISNUMBER(I163),PERCENTRANK($I$5:$I$337,I163),"")</f>
        <v>0.157</v>
      </c>
      <c r="R163" s="8" t="n">
        <f aca="false">IF(ISNUMBER(N163),PERCENTRANK($N$5:$N$337,N163),"")</f>
        <v>0.118</v>
      </c>
      <c r="S163" s="8" t="n">
        <f aca="false">IF(ISNUMBER(O163),PERCENTRANK($O$5:$O$337,O163),"")</f>
        <v>0.446</v>
      </c>
      <c r="T163" s="8" t="n">
        <f aca="false">IF(ISNUMBER(P163),PERCENTRANK($P$5:$P$337,P163),"")</f>
        <v>0</v>
      </c>
      <c r="U163" s="9" t="n">
        <f aca="false">IF((IF(ISNUMBER(Q163),Inputs!$B$4,0)+IF(ISNUMBER(R163),Inputs!$B$5,0)+IF(ISNUMBER(S163),Inputs!$B$6,0)+IF(ISNUMBER(T163),Inputs!$B$7,0))=0,"",(IF(ISNUMBER(Q163),Inputs!$B$4*Q163,0)+IF(ISNUMBER(R163),Inputs!$B$5*R163,0)+IF(ISNUMBER(S163),Inputs!$B$6*S163,0)+IF(ISNUMBER(T163),Inputs!$B$7*T163,0))/(IF(ISNUMBER(Q163),Inputs!$B$4,0)+IF(ISNUMBER(R163),Inputs!$B$5,0)+IF(ISNUMBER(S163),Inputs!$B$6,0)+IF(ISNUMBER(T163),Inputs!$B$7,0)))</f>
        <v>0.282</v>
      </c>
      <c r="V163" s="5" t="str">
        <f aca="false">IF(F163&gt;0,"Yes","No")</f>
        <v>Yes</v>
      </c>
      <c r="W163" s="5" t="str">
        <f aca="false">IF(ISNUMBER(N163),IF(N163&gt;=Inputs!$D$18,"Yes","No"),"No price")</f>
        <v>Yes</v>
      </c>
      <c r="X163" s="5" t="str">
        <f aca="false">IF(K163+L163&gt;0,"Yes",IF(M163&gt;0,"No","Unclear"))</f>
        <v>Yes</v>
      </c>
      <c r="Y163" s="5" t="str">
        <f aca="false">INDEX('API Data'!$H$2:$H$152,MATCH(B163,'API Data'!$A$2:$A$152,0))</f>
        <v>No</v>
      </c>
      <c r="Z163" s="5" t="str">
        <f aca="false">IF(COUNTIFS('Product Rows'!$A$2:$A$696,B163,'Product Rows'!$B$2:$B$696,C163,'Product Rows'!$I$2:$I$696,"Yes")&gt;0,"Yes","No")</f>
        <v>No</v>
      </c>
      <c r="AA163" s="5" t="str">
        <f aca="false">IF(P163&gt;=Inputs!$D$22,"Yes","No")</f>
        <v>No</v>
      </c>
      <c r="AB163" s="10" t="b">
        <f aca="false">AND(OR(Inputs!$B$17&lt;&gt;"Exclude",V163="Yes"),OR(Inputs!$B$18&lt;&gt;"Exclude",W163&lt;&gt;"No"),OR(Inputs!$B$19&lt;&gt;"Exclude",X163&lt;&gt;"No"),OR(Inputs!$B$20&lt;&gt;"Exclude",Y163="No"),OR(Inputs!$B$21&lt;&gt;"Exclude",Z163="No"),OR(Inputs!$B$22&lt;&gt;"Exclude",AA163="Yes"),ISNUMBER(U163))</f>
        <v>1</v>
      </c>
      <c r="AC163" s="5" t="n">
        <f aca="false">IF(AB163,COUNTIFS($C$5:$C$337,C163,$AB$5:$AB$337,TRUE(),$U$5:$U$337,"&gt;"&amp;U163)+COUNTIFS($C$5:C163,C163,$AB$5:AB163,TRUE(),$U$5:U163,U163),"")</f>
        <v>41</v>
      </c>
      <c r="AD163" s="5" t="str">
        <f aca="false">IF(AC163="","Not eligible",IF(AC163&lt;=Inputs!$B$25,"Lead",IF(AC163&lt;=Inputs!$B$25+Inputs!$B$26,"Next wave","Long list")))</f>
        <v>Long list</v>
      </c>
      <c r="AE163" s="5" t="str">
        <f aca="false">IF(AND(K163+L163=0,M163&gt;0),"Safety upgrade of existing prefilled syringe",IF(K163+L163+M163=0,"Confirm presentation (not stated in source)",IF(AA163="Yes","Differentiation in crowded generic market","Safety-device mandate compliance")))</f>
        <v>Safety-device mandate compliance</v>
      </c>
      <c r="AF163" s="5" t="str">
        <f aca="false">IF(AC163="","",C163&amp;"|"&amp;AC163)</f>
        <v>Aurobindo Pharma|41</v>
      </c>
    </row>
    <row r="164" customFormat="false" ht="15" hidden="false" customHeight="false" outlineLevel="0" collapsed="false">
      <c r="A164" s="5" t="n">
        <f aca="false">IF(ISNUMBER(U164),RANK(U164,$U$5:$U$337),"")</f>
        <v>133</v>
      </c>
      <c r="B164" s="5" t="s">
        <v>123</v>
      </c>
      <c r="C164" s="5" t="s">
        <v>54</v>
      </c>
      <c r="D164" s="5" t="str">
        <f aca="false">INDEX('API Data'!$B$2:$B$152,MATCH(B164,'API Data'!$A$2:$A$152,0))</f>
        <v>Endocrinology / Critical care – adrenal crisis, anaphylaxis, severe asthma, shock</v>
      </c>
      <c r="E164" s="5" t="n">
        <f aca="false">COUNTIFS('Market Listing'!$A$2:$A$4054,B164,'Market Listing'!$B$2:$B$4054,C164)</f>
        <v>2</v>
      </c>
      <c r="F164" s="5" t="n">
        <f aca="false">COUNTIFS('Market Listing'!$A$2:$A$4054,B164,'Market Listing'!$B$2:$B$4054,C164,'Market Listing'!$D$2:$D$4054,"Tier 1")</f>
        <v>1</v>
      </c>
      <c r="G164" s="5" t="n">
        <f aca="false">COUNTIFS('Market Listing'!$A$2:$A$4054,B164,'Market Listing'!$B$2:$B$4054,C164,'Market Listing'!$D$2:$D$4054,"Tier 2")</f>
        <v>1</v>
      </c>
      <c r="H164" s="5" t="n">
        <f aca="false">COUNTIFS('Market Listing'!$A$2:$A$4054,B164,'Market Listing'!$B$2:$B$4054,C164,'Market Listing'!$D$2:$D$4054,"Tier 3")</f>
        <v>0</v>
      </c>
      <c r="I164" s="5" t="n">
        <f aca="false">SUMIFS('Market Listing'!$E$2:$E$4054,'Market Listing'!$A$2:$A$4054,B164,'Market Listing'!$B$2:$B$4054,C164)</f>
        <v>5</v>
      </c>
      <c r="J164" s="5" t="n">
        <f aca="false">COUNTIFS('Product Rows'!$A$2:$A$696,B164,'Product Rows'!$B$2:$B$696,C164)</f>
        <v>2</v>
      </c>
      <c r="K164" s="5" t="n">
        <f aca="false">COUNTIFS('Product Rows'!$A$2:$A$696,B164,'Product Rows'!$B$2:$B$696,C164,'Product Rows'!$G$2:$G$696,"Vial")</f>
        <v>2</v>
      </c>
      <c r="L164" s="5" t="n">
        <f aca="false">COUNTIFS('Product Rows'!$A$2:$A$696,B164,'Product Rows'!$B$2:$B$696,C164,'Product Rows'!$G$2:$G$696,"Ampoule")</f>
        <v>0</v>
      </c>
      <c r="M164" s="5" t="n">
        <f aca="false">COUNTIFS('Product Rows'!$A$2:$A$696,B164,'Product Rows'!$B$2:$B$696,C164,'Product Rows'!$G$2:$G$696,"Prefilled syringe/pen")</f>
        <v>0</v>
      </c>
      <c r="N164" s="6" t="str">
        <f aca="false">IFERROR(AVERAGEIFS('Product Rows'!$H$2:$H$696,'Product Rows'!$A$2:$A$696,B164,'Product Rows'!$B$2:$B$696,C164),"")</f>
        <v/>
      </c>
      <c r="O164" s="7" t="n">
        <f aca="false">INDEX('API Data'!$E$2:$E$152,MATCH(B164,'API Data'!$A$2:$A$152,0))</f>
        <v>4790.48642526433</v>
      </c>
      <c r="P164" s="5" t="n">
        <f aca="false">COUNTIF($B$5:$B$337,B164)</f>
        <v>3</v>
      </c>
      <c r="Q164" s="8" t="n">
        <f aca="false">IF(ISNUMBER(I164),PERCENTRANK($I$5:$I$337,I164),"")</f>
        <v>0.521</v>
      </c>
      <c r="R164" s="8" t="str">
        <f aca="false">IF(ISNUMBER(N164),PERCENTRANK($N$5:$N$337,N164),"")</f>
        <v/>
      </c>
      <c r="S164" s="8" t="n">
        <f aca="false">IF(ISNUMBER(O164),PERCENTRANK($O$5:$O$337,O164),"")</f>
        <v>0.533</v>
      </c>
      <c r="T164" s="8" t="n">
        <f aca="false">IF(ISNUMBER(P164),PERCENTRANK($P$5:$P$337,P164),"")</f>
        <v>0.416</v>
      </c>
      <c r="U164" s="9" t="n">
        <f aca="false">IF((IF(ISNUMBER(Q164),Inputs!$B$4,0)+IF(ISNUMBER(R164),Inputs!$B$5,0)+IF(ISNUMBER(S164),Inputs!$B$6,0)+IF(ISNUMBER(T164),Inputs!$B$7,0))=0,"",(IF(ISNUMBER(Q164),Inputs!$B$4*Q164,0)+IF(ISNUMBER(R164),Inputs!$B$5*R164,0)+IF(ISNUMBER(S164),Inputs!$B$6*S164,0)+IF(ISNUMBER(T164),Inputs!$B$7*T164,0))/(IF(ISNUMBER(Q164),Inputs!$B$4,0)+IF(ISNUMBER(R164),Inputs!$B$5,0)+IF(ISNUMBER(S164),Inputs!$B$6,0)+IF(ISNUMBER(T164),Inputs!$B$7,0)))</f>
        <v>0.533</v>
      </c>
      <c r="V164" s="5" t="str">
        <f aca="false">IF(F164&gt;0,"Yes","No")</f>
        <v>Yes</v>
      </c>
      <c r="W164" s="5" t="str">
        <f aca="false">IF(ISNUMBER(N164),IF(N164&gt;=Inputs!$D$18,"Yes","No"),"No price")</f>
        <v>No price</v>
      </c>
      <c r="X164" s="5" t="str">
        <f aca="false">IF(K164+L164&gt;0,"Yes",IF(M164&gt;0,"No","Unclear"))</f>
        <v>Yes</v>
      </c>
      <c r="Y164" s="5" t="str">
        <f aca="false">INDEX('API Data'!$H$2:$H$152,MATCH(B164,'API Data'!$A$2:$A$152,0))</f>
        <v>No</v>
      </c>
      <c r="Z164" s="5" t="str">
        <f aca="false">IF(COUNTIFS('Product Rows'!$A$2:$A$696,B164,'Product Rows'!$B$2:$B$696,C164,'Product Rows'!$I$2:$I$696,"Yes")&gt;0,"Yes","No")</f>
        <v>Yes</v>
      </c>
      <c r="AA164" s="5" t="str">
        <f aca="false">IF(P164&gt;=Inputs!$D$22,"Yes","No")</f>
        <v>Yes</v>
      </c>
      <c r="AB164" s="10" t="b">
        <f aca="false">AND(OR(Inputs!$B$17&lt;&gt;"Exclude",V164="Yes"),OR(Inputs!$B$18&lt;&gt;"Exclude",W164&lt;&gt;"No"),OR(Inputs!$B$19&lt;&gt;"Exclude",X164&lt;&gt;"No"),OR(Inputs!$B$20&lt;&gt;"Exclude",Y164="No"),OR(Inputs!$B$21&lt;&gt;"Exclude",Z164="No"),OR(Inputs!$B$22&lt;&gt;"Exclude",AA164="Yes"),ISNUMBER(U164))</f>
        <v>1</v>
      </c>
      <c r="AC164" s="5" t="n">
        <f aca="false">IF(AB164,COUNTIFS($C$5:$C$337,C164,$AB$5:$AB$337,TRUE(),$U$5:$U$337,"&gt;"&amp;U164)+COUNTIFS($C$5:C164,C164,$AB$5:AB164,TRUE(),$U$5:U164,U164),"")</f>
        <v>4</v>
      </c>
      <c r="AD164" s="5" t="str">
        <f aca="false">IF(AC164="","Not eligible",IF(AC164&lt;=Inputs!$B$25,"Lead",IF(AC164&lt;=Inputs!$B$25+Inputs!$B$26,"Next wave","Long list")))</f>
        <v>Lead</v>
      </c>
      <c r="AE164" s="5" t="str">
        <f aca="false">IF(AND(K164+L164=0,M164&gt;0),"Safety upgrade of existing prefilled syringe",IF(K164+L164+M164=0,"Confirm presentation (not stated in source)",IF(AA164="Yes","Differentiation in crowded generic market","Safety-device mandate compliance")))</f>
        <v>Differentiation in crowded generic market</v>
      </c>
      <c r="AF164" s="5" t="str">
        <f aca="false">IF(AC164="","",C164&amp;"|"&amp;AC164)</f>
        <v>Cipla|4</v>
      </c>
    </row>
    <row r="165" customFormat="false" ht="15" hidden="false" customHeight="false" outlineLevel="0" collapsed="false">
      <c r="A165" s="5" t="n">
        <f aca="false">IF(ISNUMBER(U165),RANK(U165,$U$5:$U$337),"")</f>
        <v>260</v>
      </c>
      <c r="B165" s="5" t="s">
        <v>123</v>
      </c>
      <c r="C165" s="5" t="s">
        <v>73</v>
      </c>
      <c r="D165" s="5" t="str">
        <f aca="false">INDEX('API Data'!$B$2:$B$152,MATCH(B165,'API Data'!$A$2:$A$152,0))</f>
        <v>Endocrinology / Critical care – adrenal crisis, anaphylaxis, severe asthma, shock</v>
      </c>
      <c r="E165" s="5" t="n">
        <f aca="false">COUNTIFS('Market Listing'!$A$2:$A$4054,B165,'Market Listing'!$B$2:$B$4054,C165)</f>
        <v>1</v>
      </c>
      <c r="F165" s="5" t="n">
        <f aca="false">COUNTIFS('Market Listing'!$A$2:$A$4054,B165,'Market Listing'!$B$2:$B$4054,C165,'Market Listing'!$D$2:$D$4054,"Tier 1")</f>
        <v>0</v>
      </c>
      <c r="G165" s="5" t="n">
        <f aca="false">COUNTIFS('Market Listing'!$A$2:$A$4054,B165,'Market Listing'!$B$2:$B$4054,C165,'Market Listing'!$D$2:$D$4054,"Tier 2")</f>
        <v>1</v>
      </c>
      <c r="H165" s="5" t="n">
        <f aca="false">COUNTIFS('Market Listing'!$A$2:$A$4054,B165,'Market Listing'!$B$2:$B$4054,C165,'Market Listing'!$D$2:$D$4054,"Tier 3")</f>
        <v>0</v>
      </c>
      <c r="I165" s="5" t="n">
        <f aca="false">SUMIFS('Market Listing'!$E$2:$E$4054,'Market Listing'!$A$2:$A$4054,B165,'Market Listing'!$B$2:$B$4054,C165)</f>
        <v>2</v>
      </c>
      <c r="J165" s="5" t="n">
        <f aca="false">COUNTIFS('Product Rows'!$A$2:$A$696,B165,'Product Rows'!$B$2:$B$696,C165)</f>
        <v>1</v>
      </c>
      <c r="K165" s="5" t="n">
        <f aca="false">COUNTIFS('Product Rows'!$A$2:$A$696,B165,'Product Rows'!$B$2:$B$696,C165,'Product Rows'!$G$2:$G$696,"Vial")</f>
        <v>1</v>
      </c>
      <c r="L165" s="5" t="n">
        <f aca="false">COUNTIFS('Product Rows'!$A$2:$A$696,B165,'Product Rows'!$B$2:$B$696,C165,'Product Rows'!$G$2:$G$696,"Ampoule")</f>
        <v>0</v>
      </c>
      <c r="M165" s="5" t="n">
        <f aca="false">COUNTIFS('Product Rows'!$A$2:$A$696,B165,'Product Rows'!$B$2:$B$696,C165,'Product Rows'!$G$2:$G$696,"Prefilled syringe/pen")</f>
        <v>0</v>
      </c>
      <c r="N165" s="6" t="n">
        <f aca="false">IFERROR(AVERAGEIFS('Product Rows'!$H$2:$H$696,'Product Rows'!$A$2:$A$696,B165,'Product Rows'!$B$2:$B$696,C165),"")</f>
        <v>6.9411728505</v>
      </c>
      <c r="O165" s="7" t="n">
        <f aca="false">INDEX('API Data'!$E$2:$E$152,MATCH(B165,'API Data'!$A$2:$A$152,0))</f>
        <v>4790.48642526433</v>
      </c>
      <c r="P165" s="5" t="n">
        <f aca="false">COUNTIF($B$5:$B$337,B165)</f>
        <v>3</v>
      </c>
      <c r="Q165" s="8" t="n">
        <f aca="false">IF(ISNUMBER(I165),PERCENTRANK($I$5:$I$337,I165),"")</f>
        <v>0</v>
      </c>
      <c r="R165" s="8" t="n">
        <f aca="false">IF(ISNUMBER(N165),PERCENTRANK($N$5:$N$337,N165),"")</f>
        <v>0.1</v>
      </c>
      <c r="S165" s="8" t="n">
        <f aca="false">IF(ISNUMBER(O165),PERCENTRANK($O$5:$O$337,O165),"")</f>
        <v>0.533</v>
      </c>
      <c r="T165" s="8" t="n">
        <f aca="false">IF(ISNUMBER(P165),PERCENTRANK($P$5:$P$337,P165),"")</f>
        <v>0.416</v>
      </c>
      <c r="U165" s="9" t="n">
        <f aca="false">IF((IF(ISNUMBER(Q165),Inputs!$B$4,0)+IF(ISNUMBER(R165),Inputs!$B$5,0)+IF(ISNUMBER(S165),Inputs!$B$6,0)+IF(ISNUMBER(T165),Inputs!$B$7,0))=0,"",(IF(ISNUMBER(Q165),Inputs!$B$4*Q165,0)+IF(ISNUMBER(R165),Inputs!$B$5*R165,0)+IF(ISNUMBER(S165),Inputs!$B$6*S165,0)+IF(ISNUMBER(T165),Inputs!$B$7*T165,0))/(IF(ISNUMBER(Q165),Inputs!$B$4,0)+IF(ISNUMBER(R165),Inputs!$B$5,0)+IF(ISNUMBER(S165),Inputs!$B$6,0)+IF(ISNUMBER(T165),Inputs!$B$7,0)))</f>
        <v>0.3165</v>
      </c>
      <c r="V165" s="5" t="str">
        <f aca="false">IF(F165&gt;0,"Yes","No")</f>
        <v>No</v>
      </c>
      <c r="W165" s="5" t="str">
        <f aca="false">IF(ISNUMBER(N165),IF(N165&gt;=Inputs!$D$18,"Yes","No"),"No price")</f>
        <v>Yes</v>
      </c>
      <c r="X165" s="5" t="str">
        <f aca="false">IF(K165+L165&gt;0,"Yes",IF(M165&gt;0,"No","Unclear"))</f>
        <v>Yes</v>
      </c>
      <c r="Y165" s="5" t="str">
        <f aca="false">INDEX('API Data'!$H$2:$H$152,MATCH(B165,'API Data'!$A$2:$A$152,0))</f>
        <v>No</v>
      </c>
      <c r="Z165" s="5" t="str">
        <f aca="false">IF(COUNTIFS('Product Rows'!$A$2:$A$696,B165,'Product Rows'!$B$2:$B$696,C165,'Product Rows'!$I$2:$I$696,"Yes")&gt;0,"Yes","No")</f>
        <v>No</v>
      </c>
      <c r="AA165" s="5" t="str">
        <f aca="false">IF(P165&gt;=Inputs!$D$22,"Yes","No")</f>
        <v>Yes</v>
      </c>
      <c r="AB165" s="10" t="b">
        <f aca="false">AND(OR(Inputs!$B$17&lt;&gt;"Exclude",V165="Yes"),OR(Inputs!$B$18&lt;&gt;"Exclude",W165&lt;&gt;"No"),OR(Inputs!$B$19&lt;&gt;"Exclude",X165&lt;&gt;"No"),OR(Inputs!$B$20&lt;&gt;"Exclude",Y165="No"),OR(Inputs!$B$21&lt;&gt;"Exclude",Z165="No"),OR(Inputs!$B$22&lt;&gt;"Exclude",AA165="Yes"),ISNUMBER(U165))</f>
        <v>0</v>
      </c>
      <c r="AC165" s="5" t="str">
        <f aca="false">IF(AB165,COUNTIFS($C$5:$C$337,C165,$AB$5:$AB$337,TRUE(),$U$5:$U$337,"&gt;"&amp;U165)+COUNTIFS($C$5:C165,C165,$AB$5:AB165,TRUE(),$U$5:U165,U165),"")</f>
        <v/>
      </c>
      <c r="AD165" s="5" t="str">
        <f aca="false">IF(AC165="","Not eligible",IF(AC165&lt;=Inputs!$B$25,"Lead",IF(AC165&lt;=Inputs!$B$25+Inputs!$B$26,"Next wave","Long list")))</f>
        <v>Not eligible</v>
      </c>
      <c r="AE165" s="5" t="str">
        <f aca="false">IF(AND(K165+L165=0,M165&gt;0),"Safety upgrade of existing prefilled syringe",IF(K165+L165+M165=0,"Confirm presentation (not stated in source)",IF(AA165="Yes","Differentiation in crowded generic market","Safety-device mandate compliance")))</f>
        <v>Differentiation in crowded generic market</v>
      </c>
      <c r="AF165" s="5" t="str">
        <f aca="false">IF(AC165="","",C165&amp;"|"&amp;AC165)</f>
        <v/>
      </c>
    </row>
    <row r="166" customFormat="false" ht="15" hidden="false" customHeight="false" outlineLevel="0" collapsed="false">
      <c r="A166" s="5" t="n">
        <f aca="false">IF(ISNUMBER(U166),RANK(U166,$U$5:$U$337),"")</f>
        <v>133</v>
      </c>
      <c r="B166" s="5" t="s">
        <v>123</v>
      </c>
      <c r="C166" s="5" t="s">
        <v>36</v>
      </c>
      <c r="D166" s="5" t="str">
        <f aca="false">INDEX('API Data'!$B$2:$B$152,MATCH(B166,'API Data'!$A$2:$A$152,0))</f>
        <v>Endocrinology / Critical care – adrenal crisis, anaphylaxis, severe asthma, shock</v>
      </c>
      <c r="E166" s="5" t="n">
        <f aca="false">COUNTIFS('Market Listing'!$A$2:$A$4054,B166,'Market Listing'!$B$2:$B$4054,C166)</f>
        <v>1</v>
      </c>
      <c r="F166" s="5" t="n">
        <f aca="false">COUNTIFS('Market Listing'!$A$2:$A$4054,B166,'Market Listing'!$B$2:$B$4054,C166,'Market Listing'!$D$2:$D$4054,"Tier 1")</f>
        <v>1</v>
      </c>
      <c r="G166" s="5" t="n">
        <f aca="false">COUNTIFS('Market Listing'!$A$2:$A$4054,B166,'Market Listing'!$B$2:$B$4054,C166,'Market Listing'!$D$2:$D$4054,"Tier 2")</f>
        <v>0</v>
      </c>
      <c r="H166" s="5" t="n">
        <f aca="false">COUNTIFS('Market Listing'!$A$2:$A$4054,B166,'Market Listing'!$B$2:$B$4054,C166,'Market Listing'!$D$2:$D$4054,"Tier 3")</f>
        <v>0</v>
      </c>
      <c r="I166" s="5" t="n">
        <f aca="false">SUMIFS('Market Listing'!$E$2:$E$4054,'Market Listing'!$A$2:$A$4054,B166,'Market Listing'!$B$2:$B$4054,C166)</f>
        <v>3</v>
      </c>
      <c r="J166" s="5" t="n">
        <f aca="false">COUNTIFS('Product Rows'!$A$2:$A$696,B166,'Product Rows'!$B$2:$B$696,C166)</f>
        <v>1</v>
      </c>
      <c r="K166" s="5" t="n">
        <f aca="false">COUNTIFS('Product Rows'!$A$2:$A$696,B166,'Product Rows'!$B$2:$B$696,C166,'Product Rows'!$G$2:$G$696,"Vial")</f>
        <v>1</v>
      </c>
      <c r="L166" s="5" t="n">
        <f aca="false">COUNTIFS('Product Rows'!$A$2:$A$696,B166,'Product Rows'!$B$2:$B$696,C166,'Product Rows'!$G$2:$G$696,"Ampoule")</f>
        <v>0</v>
      </c>
      <c r="M166" s="5" t="n">
        <f aca="false">COUNTIFS('Product Rows'!$A$2:$A$696,B166,'Product Rows'!$B$2:$B$696,C166,'Product Rows'!$G$2:$G$696,"Prefilled syringe/pen")</f>
        <v>0</v>
      </c>
      <c r="N166" s="6" t="str">
        <f aca="false">IFERROR(AVERAGEIFS('Product Rows'!$H$2:$H$696,'Product Rows'!$A$2:$A$696,B166,'Product Rows'!$B$2:$B$696,C166),"")</f>
        <v/>
      </c>
      <c r="O166" s="7" t="n">
        <f aca="false">INDEX('API Data'!$E$2:$E$152,MATCH(B166,'API Data'!$A$2:$A$152,0))</f>
        <v>4790.48642526433</v>
      </c>
      <c r="P166" s="5" t="n">
        <f aca="false">COUNTIF($B$5:$B$337,B166)</f>
        <v>3</v>
      </c>
      <c r="Q166" s="8" t="n">
        <f aca="false">IF(ISNUMBER(I166),PERCENTRANK($I$5:$I$337,I166),"")</f>
        <v>0.157</v>
      </c>
      <c r="R166" s="8" t="str">
        <f aca="false">IF(ISNUMBER(N166),PERCENTRANK($N$5:$N$337,N166),"")</f>
        <v/>
      </c>
      <c r="S166" s="8" t="n">
        <f aca="false">IF(ISNUMBER(O166),PERCENTRANK($O$5:$O$337,O166),"")</f>
        <v>0.533</v>
      </c>
      <c r="T166" s="8" t="n">
        <f aca="false">IF(ISNUMBER(P166),PERCENTRANK($P$5:$P$337,P166),"")</f>
        <v>0.416</v>
      </c>
      <c r="U166" s="9" t="n">
        <f aca="false">IF((IF(ISNUMBER(Q166),Inputs!$B$4,0)+IF(ISNUMBER(R166),Inputs!$B$5,0)+IF(ISNUMBER(S166),Inputs!$B$6,0)+IF(ISNUMBER(T166),Inputs!$B$7,0))=0,"",(IF(ISNUMBER(Q166),Inputs!$B$4*Q166,0)+IF(ISNUMBER(R166),Inputs!$B$5*R166,0)+IF(ISNUMBER(S166),Inputs!$B$6*S166,0)+IF(ISNUMBER(T166),Inputs!$B$7*T166,0))/(IF(ISNUMBER(Q166),Inputs!$B$4,0)+IF(ISNUMBER(R166),Inputs!$B$5,0)+IF(ISNUMBER(S166),Inputs!$B$6,0)+IF(ISNUMBER(T166),Inputs!$B$7,0)))</f>
        <v>0.533</v>
      </c>
      <c r="V166" s="5" t="str">
        <f aca="false">IF(F166&gt;0,"Yes","No")</f>
        <v>Yes</v>
      </c>
      <c r="W166" s="5" t="str">
        <f aca="false">IF(ISNUMBER(N166),IF(N166&gt;=Inputs!$D$18,"Yes","No"),"No price")</f>
        <v>No price</v>
      </c>
      <c r="X166" s="5" t="str">
        <f aca="false">IF(K166+L166&gt;0,"Yes",IF(M166&gt;0,"No","Unclear"))</f>
        <v>Yes</v>
      </c>
      <c r="Y166" s="5" t="str">
        <f aca="false">INDEX('API Data'!$H$2:$H$152,MATCH(B166,'API Data'!$A$2:$A$152,0))</f>
        <v>No</v>
      </c>
      <c r="Z166" s="5" t="str">
        <f aca="false">IF(COUNTIFS('Product Rows'!$A$2:$A$696,B166,'Product Rows'!$B$2:$B$696,C166,'Product Rows'!$I$2:$I$696,"Yes")&gt;0,"Yes","No")</f>
        <v>No</v>
      </c>
      <c r="AA166" s="5" t="str">
        <f aca="false">IF(P166&gt;=Inputs!$D$22,"Yes","No")</f>
        <v>Yes</v>
      </c>
      <c r="AB166" s="10" t="b">
        <f aca="false">AND(OR(Inputs!$B$17&lt;&gt;"Exclude",V166="Yes"),OR(Inputs!$B$18&lt;&gt;"Exclude",W166&lt;&gt;"No"),OR(Inputs!$B$19&lt;&gt;"Exclude",X166&lt;&gt;"No"),OR(Inputs!$B$20&lt;&gt;"Exclude",Y166="No"),OR(Inputs!$B$21&lt;&gt;"Exclude",Z166="No"),OR(Inputs!$B$22&lt;&gt;"Exclude",AA166="Yes"),ISNUMBER(U166))</f>
        <v>1</v>
      </c>
      <c r="AC166" s="5" t="n">
        <f aca="false">IF(AB166,COUNTIFS($C$5:$C$337,C166,$AB$5:$AB$337,TRUE(),$U$5:$U$337,"&gt;"&amp;U166)+COUNTIFS($C$5:C166,C166,$AB$5:AB166,TRUE(),$U$5:U166,U166),"")</f>
        <v>5</v>
      </c>
      <c r="AD166" s="5" t="str">
        <f aca="false">IF(AC166="","Not eligible",IF(AC166&lt;=Inputs!$B$25,"Lead",IF(AC166&lt;=Inputs!$B$25+Inputs!$B$26,"Next wave","Long list")))</f>
        <v>Lead</v>
      </c>
      <c r="AE166" s="5" t="str">
        <f aca="false">IF(AND(K166+L166=0,M166&gt;0),"Safety upgrade of existing prefilled syringe",IF(K166+L166+M166=0,"Confirm presentation (not stated in source)",IF(AA166="Yes","Differentiation in crowded generic market","Safety-device mandate compliance")))</f>
        <v>Differentiation in crowded generic market</v>
      </c>
      <c r="AF166" s="5" t="str">
        <f aca="false">IF(AC166="","",C166&amp;"|"&amp;AC166)</f>
        <v>Zydus Lifesciences|5</v>
      </c>
    </row>
    <row r="167" customFormat="false" ht="15" hidden="false" customHeight="false" outlineLevel="0" collapsed="false">
      <c r="A167" s="5" t="n">
        <f aca="false">IF(ISNUMBER(U167),RANK(U167,$U$5:$U$337),"")</f>
        <v>321</v>
      </c>
      <c r="B167" s="5" t="s">
        <v>124</v>
      </c>
      <c r="C167" s="5" t="s">
        <v>44</v>
      </c>
      <c r="D167" s="5" t="str">
        <f aca="false">INDEX('API Data'!$B$2:$B$152,MATCH(B167,'API Data'!$A$2:$A$152,0))</f>
        <v>Nutrition / Haematology – vitamin B12 deficiency (also cyanide poisoning)</v>
      </c>
      <c r="E167" s="5" t="n">
        <f aca="false">COUNTIFS('Market Listing'!$A$2:$A$4054,B167,'Market Listing'!$B$2:$B$4054,C167)</f>
        <v>17</v>
      </c>
      <c r="F167" s="5" t="n">
        <f aca="false">COUNTIFS('Market Listing'!$A$2:$A$4054,B167,'Market Listing'!$B$2:$B$4054,C167,'Market Listing'!$D$2:$D$4054,"Tier 1")</f>
        <v>3</v>
      </c>
      <c r="G167" s="5" t="n">
        <f aca="false">COUNTIFS('Market Listing'!$A$2:$A$4054,B167,'Market Listing'!$B$2:$B$4054,C167,'Market Listing'!$D$2:$D$4054,"Tier 2")</f>
        <v>3</v>
      </c>
      <c r="H167" s="5" t="n">
        <f aca="false">COUNTIFS('Market Listing'!$A$2:$A$4054,B167,'Market Listing'!$B$2:$B$4054,C167,'Market Listing'!$D$2:$D$4054,"Tier 3")</f>
        <v>11</v>
      </c>
      <c r="I167" s="5" t="n">
        <f aca="false">SUMIFS('Market Listing'!$E$2:$E$4054,'Market Listing'!$A$2:$A$4054,B167,'Market Listing'!$B$2:$B$4054,C167)</f>
        <v>26</v>
      </c>
      <c r="J167" s="5" t="n">
        <f aca="false">COUNTIFS('Product Rows'!$A$2:$A$696,B167,'Product Rows'!$B$2:$B$696,C167)</f>
        <v>1</v>
      </c>
      <c r="K167" s="5" t="n">
        <f aca="false">COUNTIFS('Product Rows'!$A$2:$A$696,B167,'Product Rows'!$B$2:$B$696,C167,'Product Rows'!$G$2:$G$696,"Vial")</f>
        <v>0</v>
      </c>
      <c r="L167" s="5" t="n">
        <f aca="false">COUNTIFS('Product Rows'!$A$2:$A$696,B167,'Product Rows'!$B$2:$B$696,C167,'Product Rows'!$G$2:$G$696,"Ampoule")</f>
        <v>0</v>
      </c>
      <c r="M167" s="5" t="n">
        <f aca="false">COUNTIFS('Product Rows'!$A$2:$A$696,B167,'Product Rows'!$B$2:$B$696,C167,'Product Rows'!$G$2:$G$696,"Prefilled syringe/pen")</f>
        <v>0</v>
      </c>
      <c r="N167" s="6" t="n">
        <f aca="false">IFERROR(AVERAGEIFS('Product Rows'!$H$2:$H$696,'Product Rows'!$A$2:$A$696,B167,'Product Rows'!$B$2:$B$696,C167),"")</f>
        <v>9.831</v>
      </c>
      <c r="O167" s="7" t="n">
        <f aca="false">INDEX('API Data'!$E$2:$E$152,MATCH(B167,'API Data'!$A$2:$A$152,0))</f>
        <v>315.65317037037</v>
      </c>
      <c r="P167" s="5" t="n">
        <f aca="false">COUNTIF($B$5:$B$337,B167)</f>
        <v>1</v>
      </c>
      <c r="Q167" s="8" t="n">
        <f aca="false">IF(ISNUMBER(I167),PERCENTRANK($I$5:$I$337,I167),"")</f>
        <v>0.608</v>
      </c>
      <c r="R167" s="8" t="n">
        <f aca="false">IF(ISNUMBER(N167),PERCENTRANK($N$5:$N$337,N167),"")</f>
        <v>0.204</v>
      </c>
      <c r="S167" s="8" t="n">
        <f aca="false">IF(ISNUMBER(O167),PERCENTRANK($O$5:$O$337,O167),"")</f>
        <v>0.0904</v>
      </c>
      <c r="T167" s="8" t="n">
        <f aca="false">IF(ISNUMBER(P167),PERCENTRANK($P$5:$P$337,P167),"")</f>
        <v>0</v>
      </c>
      <c r="U167" s="9" t="n">
        <f aca="false">IF((IF(ISNUMBER(Q167),Inputs!$B$4,0)+IF(ISNUMBER(R167),Inputs!$B$5,0)+IF(ISNUMBER(S167),Inputs!$B$6,0)+IF(ISNUMBER(T167),Inputs!$B$7,0))=0,"",(IF(ISNUMBER(Q167),Inputs!$B$4*Q167,0)+IF(ISNUMBER(R167),Inputs!$B$5*R167,0)+IF(ISNUMBER(S167),Inputs!$B$6*S167,0)+IF(ISNUMBER(T167),Inputs!$B$7*T167,0))/(IF(ISNUMBER(Q167),Inputs!$B$4,0)+IF(ISNUMBER(R167),Inputs!$B$5,0)+IF(ISNUMBER(S167),Inputs!$B$6,0)+IF(ISNUMBER(T167),Inputs!$B$7,0)))</f>
        <v>0.1472</v>
      </c>
      <c r="V167" s="5" t="str">
        <f aca="false">IF(F167&gt;0,"Yes","No")</f>
        <v>Yes</v>
      </c>
      <c r="W167" s="5" t="str">
        <f aca="false">IF(ISNUMBER(N167),IF(N167&gt;=Inputs!$D$18,"Yes","No"),"No price")</f>
        <v>Yes</v>
      </c>
      <c r="X167" s="5" t="str">
        <f aca="false">IF(K167+L167&gt;0,"Yes",IF(M167&gt;0,"No","Unclear"))</f>
        <v>Unclear</v>
      </c>
      <c r="Y167" s="5" t="str">
        <f aca="false">INDEX('API Data'!$H$2:$H$152,MATCH(B167,'API Data'!$A$2:$A$152,0))</f>
        <v>No</v>
      </c>
      <c r="Z167" s="5" t="str">
        <f aca="false">IF(COUNTIFS('Product Rows'!$A$2:$A$696,B167,'Product Rows'!$B$2:$B$696,C167,'Product Rows'!$I$2:$I$696,"Yes")&gt;0,"Yes","No")</f>
        <v>No</v>
      </c>
      <c r="AA167" s="5" t="str">
        <f aca="false">IF(P167&gt;=Inputs!$D$22,"Yes","No")</f>
        <v>No</v>
      </c>
      <c r="AB167" s="10" t="b">
        <f aca="false">AND(OR(Inputs!$B$17&lt;&gt;"Exclude",V167="Yes"),OR(Inputs!$B$18&lt;&gt;"Exclude",W167&lt;&gt;"No"),OR(Inputs!$B$19&lt;&gt;"Exclude",X167&lt;&gt;"No"),OR(Inputs!$B$20&lt;&gt;"Exclude",Y167="No"),OR(Inputs!$B$21&lt;&gt;"Exclude",Z167="No"),OR(Inputs!$B$22&lt;&gt;"Exclude",AA167="Yes"),ISNUMBER(U167))</f>
        <v>1</v>
      </c>
      <c r="AC167" s="5" t="n">
        <f aca="false">IF(AB167,COUNTIFS($C$5:$C$337,C167,$AB$5:$AB$337,TRUE(),$U$5:$U$337,"&gt;"&amp;U167)+COUNTIFS($C$5:C167,C167,$AB$5:AB167,TRUE(),$U$5:U167,U167),"")</f>
        <v>52</v>
      </c>
      <c r="AD167" s="5" t="str">
        <f aca="false">IF(AC167="","Not eligible",IF(AC167&lt;=Inputs!$B$25,"Lead",IF(AC167&lt;=Inputs!$B$25+Inputs!$B$26,"Next wave","Long list")))</f>
        <v>Long list</v>
      </c>
      <c r="AE167" s="5" t="str">
        <f aca="false">IF(AND(K167+L167=0,M167&gt;0),"Safety upgrade of existing prefilled syringe",IF(K167+L167+M167=0,"Confirm presentation (not stated in source)",IF(AA167="Yes","Differentiation in crowded generic market","Safety-device mandate compliance")))</f>
        <v>Confirm presentation (not stated in source)</v>
      </c>
      <c r="AF167" s="5" t="str">
        <f aca="false">IF(AC167="","",C167&amp;"|"&amp;AC167)</f>
        <v>Intas Pharmaceuticals|52</v>
      </c>
    </row>
    <row r="168" customFormat="false" ht="15" hidden="false" customHeight="false" outlineLevel="0" collapsed="false">
      <c r="A168" s="5" t="n">
        <f aca="false">IF(ISNUMBER(U168),RANK(U168,$U$5:$U$337),"")</f>
        <v>294</v>
      </c>
      <c r="B168" s="5" t="s">
        <v>125</v>
      </c>
      <c r="C168" s="5" t="s">
        <v>38</v>
      </c>
      <c r="D168" s="5" t="str">
        <f aca="false">INDEX('API Data'!$B$2:$B$152,MATCH(B168,'API Data'!$A$2:$A$152,0))</f>
        <v>Palliative care / Anaesthesia – reduce secretions; nausea</v>
      </c>
      <c r="E168" s="5" t="n">
        <f aca="false">COUNTIFS('Market Listing'!$A$2:$A$4054,B168,'Market Listing'!$B$2:$B$4054,C168)</f>
        <v>1</v>
      </c>
      <c r="F168" s="5" t="n">
        <f aca="false">COUNTIFS('Market Listing'!$A$2:$A$4054,B168,'Market Listing'!$B$2:$B$4054,C168,'Market Listing'!$D$2:$D$4054,"Tier 1")</f>
        <v>1</v>
      </c>
      <c r="G168" s="5" t="n">
        <f aca="false">COUNTIFS('Market Listing'!$A$2:$A$4054,B168,'Market Listing'!$B$2:$B$4054,C168,'Market Listing'!$D$2:$D$4054,"Tier 2")</f>
        <v>0</v>
      </c>
      <c r="H168" s="5" t="n">
        <f aca="false">COUNTIFS('Market Listing'!$A$2:$A$4054,B168,'Market Listing'!$B$2:$B$4054,C168,'Market Listing'!$D$2:$D$4054,"Tier 3")</f>
        <v>0</v>
      </c>
      <c r="I168" s="5" t="n">
        <f aca="false">SUMIFS('Market Listing'!$E$2:$E$4054,'Market Listing'!$A$2:$A$4054,B168,'Market Listing'!$B$2:$B$4054,C168)</f>
        <v>3</v>
      </c>
      <c r="J168" s="5" t="n">
        <f aca="false">COUNTIFS('Product Rows'!$A$2:$A$696,B168,'Product Rows'!$B$2:$B$696,C168)</f>
        <v>1</v>
      </c>
      <c r="K168" s="5" t="n">
        <f aca="false">COUNTIFS('Product Rows'!$A$2:$A$696,B168,'Product Rows'!$B$2:$B$696,C168,'Product Rows'!$G$2:$G$696,"Vial")</f>
        <v>0</v>
      </c>
      <c r="L168" s="5" t="n">
        <f aca="false">COUNTIFS('Product Rows'!$A$2:$A$696,B168,'Product Rows'!$B$2:$B$696,C168,'Product Rows'!$G$2:$G$696,"Ampoule")</f>
        <v>1</v>
      </c>
      <c r="M168" s="5" t="n">
        <f aca="false">COUNTIFS('Product Rows'!$A$2:$A$696,B168,'Product Rows'!$B$2:$B$696,C168,'Product Rows'!$G$2:$G$696,"Prefilled syringe/pen")</f>
        <v>0</v>
      </c>
      <c r="N168" s="6" t="n">
        <f aca="false">IFERROR(AVERAGEIFS('Product Rows'!$H$2:$H$696,'Product Rows'!$A$2:$A$696,B168,'Product Rows'!$B$2:$B$696,C168),"")</f>
        <v>29.63</v>
      </c>
      <c r="O168" s="7" t="n">
        <f aca="false">INDEX('API Data'!$E$2:$E$152,MATCH(B168,'API Data'!$A$2:$A$152,0))</f>
        <v>18.9721581196581</v>
      </c>
      <c r="P168" s="5" t="n">
        <f aca="false">COUNTIF($B$5:$B$337,B168)</f>
        <v>1</v>
      </c>
      <c r="Q168" s="8" t="n">
        <f aca="false">IF(ISNUMBER(I168),PERCENTRANK($I$5:$I$337,I168),"")</f>
        <v>0.157</v>
      </c>
      <c r="R168" s="8" t="n">
        <f aca="false">IF(ISNUMBER(N168),PERCENTRANK($N$5:$N$337,N168),"")</f>
        <v>0.47</v>
      </c>
      <c r="S168" s="8" t="n">
        <f aca="false">IF(ISNUMBER(O168),PERCENTRANK($O$5:$O$337,O168),"")</f>
        <v>0.00904</v>
      </c>
      <c r="T168" s="8" t="n">
        <f aca="false">IF(ISNUMBER(P168),PERCENTRANK($P$5:$P$337,P168),"")</f>
        <v>0</v>
      </c>
      <c r="U168" s="9" t="n">
        <f aca="false">IF((IF(ISNUMBER(Q168),Inputs!$B$4,0)+IF(ISNUMBER(R168),Inputs!$B$5,0)+IF(ISNUMBER(S168),Inputs!$B$6,0)+IF(ISNUMBER(T168),Inputs!$B$7,0))=0,"",(IF(ISNUMBER(Q168),Inputs!$B$4*Q168,0)+IF(ISNUMBER(R168),Inputs!$B$5*R168,0)+IF(ISNUMBER(S168),Inputs!$B$6*S168,0)+IF(ISNUMBER(T168),Inputs!$B$7*T168,0))/(IF(ISNUMBER(Q168),Inputs!$B$4,0)+IF(ISNUMBER(R168),Inputs!$B$5,0)+IF(ISNUMBER(S168),Inputs!$B$6,0)+IF(ISNUMBER(T168),Inputs!$B$7,0)))</f>
        <v>0.23952</v>
      </c>
      <c r="V168" s="5" t="str">
        <f aca="false">IF(F168&gt;0,"Yes","No")</f>
        <v>Yes</v>
      </c>
      <c r="W168" s="5" t="str">
        <f aca="false">IF(ISNUMBER(N168),IF(N168&gt;=Inputs!$D$18,"Yes","No"),"No price")</f>
        <v>Yes</v>
      </c>
      <c r="X168" s="5" t="str">
        <f aca="false">IF(K168+L168&gt;0,"Yes",IF(M168&gt;0,"No","Unclear"))</f>
        <v>Yes</v>
      </c>
      <c r="Y168" s="5" t="str">
        <f aca="false">INDEX('API Data'!$H$2:$H$152,MATCH(B168,'API Data'!$A$2:$A$152,0))</f>
        <v>No</v>
      </c>
      <c r="Z168" s="5" t="str">
        <f aca="false">IF(COUNTIFS('Product Rows'!$A$2:$A$696,B168,'Product Rows'!$B$2:$B$696,C168,'Product Rows'!$I$2:$I$696,"Yes")&gt;0,"Yes","No")</f>
        <v>No</v>
      </c>
      <c r="AA168" s="5" t="str">
        <f aca="false">IF(P168&gt;=Inputs!$D$22,"Yes","No")</f>
        <v>No</v>
      </c>
      <c r="AB168" s="10" t="b">
        <f aca="false">AND(OR(Inputs!$B$17&lt;&gt;"Exclude",V168="Yes"),OR(Inputs!$B$18&lt;&gt;"Exclude",W168&lt;&gt;"No"),OR(Inputs!$B$19&lt;&gt;"Exclude",X168&lt;&gt;"No"),OR(Inputs!$B$20&lt;&gt;"Exclude",Y168="No"),OR(Inputs!$B$21&lt;&gt;"Exclude",Z168="No"),OR(Inputs!$B$22&lt;&gt;"Exclude",AA168="Yes"),ISNUMBER(U168))</f>
        <v>1</v>
      </c>
      <c r="AC168" s="5" t="n">
        <f aca="false">IF(AB168,COUNTIFS($C$5:$C$337,C168,$AB$5:$AB$337,TRUE(),$U$5:$U$337,"&gt;"&amp;U168)+COUNTIFS($C$5:C168,C168,$AB$5:AB168,TRUE(),$U$5:U168,U168),"")</f>
        <v>13</v>
      </c>
      <c r="AD168" s="5" t="str">
        <f aca="false">IF(AC168="","Not eligible",IF(AC168&lt;=Inputs!$B$25,"Lead",IF(AC168&lt;=Inputs!$B$25+Inputs!$B$26,"Next wave","Long list")))</f>
        <v>Long list</v>
      </c>
      <c r="AE168" s="5" t="str">
        <f aca="false">IF(AND(K168+L168=0,M168&gt;0),"Safety upgrade of existing prefilled syringe",IF(K168+L168+M168=0,"Confirm presentation (not stated in source)",IF(AA168="Yes","Differentiation in crowded generic market","Safety-device mandate compliance")))</f>
        <v>Safety-device mandate compliance</v>
      </c>
      <c r="AF168" s="5" t="str">
        <f aca="false">IF(AC168="","",C168&amp;"|"&amp;AC168)</f>
        <v>Wockhardt|13</v>
      </c>
    </row>
    <row r="169" customFormat="false" ht="15" hidden="false" customHeight="false" outlineLevel="0" collapsed="false">
      <c r="A169" s="5" t="n">
        <f aca="false">IF(ISNUMBER(U169),RANK(U169,$U$5:$U$337),"")</f>
        <v>192</v>
      </c>
      <c r="B169" s="5" t="s">
        <v>126</v>
      </c>
      <c r="C169" s="5" t="s">
        <v>47</v>
      </c>
      <c r="D169" s="5" t="str">
        <f aca="false">INDEX('API Data'!$B$2:$B$152,MATCH(B169,'API Data'!$A$2:$A$152,0))</f>
        <v>Ortho – postmenopausal osteoporosis (3-monthly IV)</v>
      </c>
      <c r="E169" s="5" t="n">
        <f aca="false">COUNTIFS('Market Listing'!$A$2:$A$4054,B169,'Market Listing'!$B$2:$B$4054,C169)</f>
        <v>1</v>
      </c>
      <c r="F169" s="5" t="n">
        <f aca="false">COUNTIFS('Market Listing'!$A$2:$A$4054,B169,'Market Listing'!$B$2:$B$4054,C169,'Market Listing'!$D$2:$D$4054,"Tier 1")</f>
        <v>1</v>
      </c>
      <c r="G169" s="5" t="n">
        <f aca="false">COUNTIFS('Market Listing'!$A$2:$A$4054,B169,'Market Listing'!$B$2:$B$4054,C169,'Market Listing'!$D$2:$D$4054,"Tier 2")</f>
        <v>0</v>
      </c>
      <c r="H169" s="5" t="n">
        <f aca="false">COUNTIFS('Market Listing'!$A$2:$A$4054,B169,'Market Listing'!$B$2:$B$4054,C169,'Market Listing'!$D$2:$D$4054,"Tier 3")</f>
        <v>0</v>
      </c>
      <c r="I169" s="5" t="n">
        <f aca="false">SUMIFS('Market Listing'!$E$2:$E$4054,'Market Listing'!$A$2:$A$4054,B169,'Market Listing'!$B$2:$B$4054,C169)</f>
        <v>3</v>
      </c>
      <c r="J169" s="5" t="n">
        <f aca="false">COUNTIFS('Product Rows'!$A$2:$A$696,B169,'Product Rows'!$B$2:$B$696,C169)</f>
        <v>1</v>
      </c>
      <c r="K169" s="5" t="n">
        <f aca="false">COUNTIFS('Product Rows'!$A$2:$A$696,B169,'Product Rows'!$B$2:$B$696,C169,'Product Rows'!$G$2:$G$696,"Vial")</f>
        <v>0</v>
      </c>
      <c r="L169" s="5" t="n">
        <f aca="false">COUNTIFS('Product Rows'!$A$2:$A$696,B169,'Product Rows'!$B$2:$B$696,C169,'Product Rows'!$G$2:$G$696,"Ampoule")</f>
        <v>0</v>
      </c>
      <c r="M169" s="5" t="n">
        <f aca="false">COUNTIFS('Product Rows'!$A$2:$A$696,B169,'Product Rows'!$B$2:$B$696,C169,'Product Rows'!$G$2:$G$696,"Prefilled syringe/pen")</f>
        <v>1</v>
      </c>
      <c r="N169" s="6" t="n">
        <f aca="false">IFERROR(AVERAGEIFS('Product Rows'!$H$2:$H$696,'Product Rows'!$A$2:$A$696,B169,'Product Rows'!$B$2:$B$696,C169),"")</f>
        <v>125</v>
      </c>
      <c r="O169" s="7" t="n">
        <f aca="false">INDEX('API Data'!$E$2:$E$152,MATCH(B169,'API Data'!$A$2:$A$152,0))</f>
        <v>517.113307438795</v>
      </c>
      <c r="P169" s="5" t="n">
        <f aca="false">COUNTIF($B$5:$B$337,B169)</f>
        <v>3</v>
      </c>
      <c r="Q169" s="8" t="n">
        <f aca="false">IF(ISNUMBER(I169),PERCENTRANK($I$5:$I$337,I169),"")</f>
        <v>0.157</v>
      </c>
      <c r="R169" s="8" t="n">
        <f aca="false">IF(ISNUMBER(N169),PERCENTRANK($N$5:$N$337,N169),"")</f>
        <v>0.774</v>
      </c>
      <c r="S169" s="8" t="n">
        <f aca="false">IF(ISNUMBER(O169),PERCENTRANK($O$5:$O$337,O169),"")</f>
        <v>0.108</v>
      </c>
      <c r="T169" s="8" t="n">
        <f aca="false">IF(ISNUMBER(P169),PERCENTRANK($P$5:$P$337,P169),"")</f>
        <v>0.416</v>
      </c>
      <c r="U169" s="9" t="n">
        <f aca="false">IF((IF(ISNUMBER(Q169),Inputs!$B$4,0)+IF(ISNUMBER(R169),Inputs!$B$5,0)+IF(ISNUMBER(S169),Inputs!$B$6,0)+IF(ISNUMBER(T169),Inputs!$B$7,0))=0,"",(IF(ISNUMBER(Q169),Inputs!$B$4*Q169,0)+IF(ISNUMBER(R169),Inputs!$B$5*R169,0)+IF(ISNUMBER(S169),Inputs!$B$6*S169,0)+IF(ISNUMBER(T169),Inputs!$B$7*T169,0))/(IF(ISNUMBER(Q169),Inputs!$B$4,0)+IF(ISNUMBER(R169),Inputs!$B$5,0)+IF(ISNUMBER(S169),Inputs!$B$6,0)+IF(ISNUMBER(T169),Inputs!$B$7,0)))</f>
        <v>0.441</v>
      </c>
      <c r="V169" s="5" t="str">
        <f aca="false">IF(F169&gt;0,"Yes","No")</f>
        <v>Yes</v>
      </c>
      <c r="W169" s="5" t="str">
        <f aca="false">IF(ISNUMBER(N169),IF(N169&gt;=Inputs!$D$18,"Yes","No"),"No price")</f>
        <v>Yes</v>
      </c>
      <c r="X169" s="5" t="str">
        <f aca="false">IF(K169+L169&gt;0,"Yes",IF(M169&gt;0,"No","Unclear"))</f>
        <v>No</v>
      </c>
      <c r="Y169" s="5" t="str">
        <f aca="false">INDEX('API Data'!$H$2:$H$152,MATCH(B169,'API Data'!$A$2:$A$152,0))</f>
        <v>No</v>
      </c>
      <c r="Z169" s="5" t="str">
        <f aca="false">IF(COUNTIFS('Product Rows'!$A$2:$A$696,B169,'Product Rows'!$B$2:$B$696,C169,'Product Rows'!$I$2:$I$696,"Yes")&gt;0,"Yes","No")</f>
        <v>No</v>
      </c>
      <c r="AA169" s="5" t="str">
        <f aca="false">IF(P169&gt;=Inputs!$D$22,"Yes","No")</f>
        <v>Yes</v>
      </c>
      <c r="AB169" s="10" t="b">
        <f aca="false">AND(OR(Inputs!$B$17&lt;&gt;"Exclude",V169="Yes"),OR(Inputs!$B$18&lt;&gt;"Exclude",W169&lt;&gt;"No"),OR(Inputs!$B$19&lt;&gt;"Exclude",X169&lt;&gt;"No"),OR(Inputs!$B$20&lt;&gt;"Exclude",Y169="No"),OR(Inputs!$B$21&lt;&gt;"Exclude",Z169="No"),OR(Inputs!$B$22&lt;&gt;"Exclude",AA169="Yes"),ISNUMBER(U169))</f>
        <v>1</v>
      </c>
      <c r="AC169" s="5" t="n">
        <f aca="false">IF(AB169,COUNTIFS($C$5:$C$337,C169,$AB$5:$AB$337,TRUE(),$U$5:$U$337,"&gt;"&amp;U169)+COUNTIFS($C$5:C169,C169,$AB$5:AB169,TRUE(),$U$5:U169,U169),"")</f>
        <v>32</v>
      </c>
      <c r="AD169" s="5" t="str">
        <f aca="false">IF(AC169="","Not eligible",IF(AC169&lt;=Inputs!$B$25,"Lead",IF(AC169&lt;=Inputs!$B$25+Inputs!$B$26,"Next wave","Long list")))</f>
        <v>Long list</v>
      </c>
      <c r="AE169" s="5" t="str">
        <f aca="false">IF(AND(K169+L169=0,M169&gt;0),"Safety upgrade of existing prefilled syringe",IF(K169+L169+M169=0,"Confirm presentation (not stated in source)",IF(AA169="Yes","Differentiation in crowded generic market","Safety-device mandate compliance")))</f>
        <v>Safety upgrade of existing prefilled syringe</v>
      </c>
      <c r="AF169" s="5" t="str">
        <f aca="false">IF(AC169="","",C169&amp;"|"&amp;AC169)</f>
        <v>Aurobindo Pharma|32</v>
      </c>
    </row>
    <row r="170" customFormat="false" ht="15" hidden="false" customHeight="false" outlineLevel="0" collapsed="false">
      <c r="A170" s="5" t="n">
        <f aca="false">IF(ISNUMBER(U170),RANK(U170,$U$5:$U$337),"")</f>
        <v>243</v>
      </c>
      <c r="B170" s="5" t="s">
        <v>126</v>
      </c>
      <c r="C170" s="5" t="s">
        <v>55</v>
      </c>
      <c r="D170" s="5" t="str">
        <f aca="false">INDEX('API Data'!$B$2:$B$152,MATCH(B170,'API Data'!$A$2:$A$152,0))</f>
        <v>Ortho – postmenopausal osteoporosis (3-monthly IV)</v>
      </c>
      <c r="E170" s="5" t="n">
        <f aca="false">COUNTIFS('Market Listing'!$A$2:$A$4054,B170,'Market Listing'!$B$2:$B$4054,C170)</f>
        <v>29</v>
      </c>
      <c r="F170" s="5" t="n">
        <f aca="false">COUNTIFS('Market Listing'!$A$2:$A$4054,B170,'Market Listing'!$B$2:$B$4054,C170,'Market Listing'!$D$2:$D$4054,"Tier 1")</f>
        <v>4</v>
      </c>
      <c r="G170" s="5" t="n">
        <f aca="false">COUNTIFS('Market Listing'!$A$2:$A$4054,B170,'Market Listing'!$B$2:$B$4054,C170,'Market Listing'!$D$2:$D$4054,"Tier 2")</f>
        <v>3</v>
      </c>
      <c r="H170" s="5" t="n">
        <f aca="false">COUNTIFS('Market Listing'!$A$2:$A$4054,B170,'Market Listing'!$B$2:$B$4054,C170,'Market Listing'!$D$2:$D$4054,"Tier 3")</f>
        <v>22</v>
      </c>
      <c r="I170" s="5" t="n">
        <f aca="false">SUMIFS('Market Listing'!$E$2:$E$4054,'Market Listing'!$A$2:$A$4054,B170,'Market Listing'!$B$2:$B$4054,C170)</f>
        <v>40</v>
      </c>
      <c r="J170" s="5" t="n">
        <f aca="false">COUNTIFS('Product Rows'!$A$2:$A$696,B170,'Product Rows'!$B$2:$B$696,C170)</f>
        <v>1</v>
      </c>
      <c r="K170" s="5" t="n">
        <f aca="false">COUNTIFS('Product Rows'!$A$2:$A$696,B170,'Product Rows'!$B$2:$B$696,C170,'Product Rows'!$G$2:$G$696,"Vial")</f>
        <v>0</v>
      </c>
      <c r="L170" s="5" t="n">
        <f aca="false">COUNTIFS('Product Rows'!$A$2:$A$696,B170,'Product Rows'!$B$2:$B$696,C170,'Product Rows'!$G$2:$G$696,"Ampoule")</f>
        <v>0</v>
      </c>
      <c r="M170" s="5" t="n">
        <f aca="false">COUNTIFS('Product Rows'!$A$2:$A$696,B170,'Product Rows'!$B$2:$B$696,C170,'Product Rows'!$G$2:$G$696,"Prefilled syringe/pen")</f>
        <v>1</v>
      </c>
      <c r="N170" s="6" t="n">
        <f aca="false">IFERROR(AVERAGEIFS('Product Rows'!$H$2:$H$696,'Product Rows'!$A$2:$A$696,B170,'Product Rows'!$B$2:$B$696,C170),"")</f>
        <v>46.3526</v>
      </c>
      <c r="O170" s="7" t="n">
        <f aca="false">INDEX('API Data'!$E$2:$E$152,MATCH(B170,'API Data'!$A$2:$A$152,0))</f>
        <v>517.113307438795</v>
      </c>
      <c r="P170" s="5" t="n">
        <f aca="false">COUNTIF($B$5:$B$337,B170)</f>
        <v>3</v>
      </c>
      <c r="Q170" s="8" t="n">
        <f aca="false">IF(ISNUMBER(I170),PERCENTRANK($I$5:$I$337,I170),"")</f>
        <v>0.699</v>
      </c>
      <c r="R170" s="8" t="n">
        <f aca="false">IF(ISNUMBER(N170),PERCENTRANK($N$5:$N$337,N170),"")</f>
        <v>0.591</v>
      </c>
      <c r="S170" s="8" t="n">
        <f aca="false">IF(ISNUMBER(O170),PERCENTRANK($O$5:$O$337,O170),"")</f>
        <v>0.108</v>
      </c>
      <c r="T170" s="8" t="n">
        <f aca="false">IF(ISNUMBER(P170),PERCENTRANK($P$5:$P$337,P170),"")</f>
        <v>0.416</v>
      </c>
      <c r="U170" s="9" t="n">
        <f aca="false">IF((IF(ISNUMBER(Q170),Inputs!$B$4,0)+IF(ISNUMBER(R170),Inputs!$B$5,0)+IF(ISNUMBER(S170),Inputs!$B$6,0)+IF(ISNUMBER(T170),Inputs!$B$7,0))=0,"",(IF(ISNUMBER(Q170),Inputs!$B$4*Q170,0)+IF(ISNUMBER(R170),Inputs!$B$5*R170,0)+IF(ISNUMBER(S170),Inputs!$B$6*S170,0)+IF(ISNUMBER(T170),Inputs!$B$7*T170,0))/(IF(ISNUMBER(Q170),Inputs!$B$4,0)+IF(ISNUMBER(R170),Inputs!$B$5,0)+IF(ISNUMBER(S170),Inputs!$B$6,0)+IF(ISNUMBER(T170),Inputs!$B$7,0)))</f>
        <v>0.3495</v>
      </c>
      <c r="V170" s="5" t="str">
        <f aca="false">IF(F170&gt;0,"Yes","No")</f>
        <v>Yes</v>
      </c>
      <c r="W170" s="5" t="str">
        <f aca="false">IF(ISNUMBER(N170),IF(N170&gt;=Inputs!$D$18,"Yes","No"),"No price")</f>
        <v>Yes</v>
      </c>
      <c r="X170" s="5" t="str">
        <f aca="false">IF(K170+L170&gt;0,"Yes",IF(M170&gt;0,"No","Unclear"))</f>
        <v>No</v>
      </c>
      <c r="Y170" s="5" t="str">
        <f aca="false">INDEX('API Data'!$H$2:$H$152,MATCH(B170,'API Data'!$A$2:$A$152,0))</f>
        <v>No</v>
      </c>
      <c r="Z170" s="5" t="str">
        <f aca="false">IF(COUNTIFS('Product Rows'!$A$2:$A$696,B170,'Product Rows'!$B$2:$B$696,C170,'Product Rows'!$I$2:$I$696,"Yes")&gt;0,"Yes","No")</f>
        <v>No</v>
      </c>
      <c r="AA170" s="5" t="str">
        <f aca="false">IF(P170&gt;=Inputs!$D$22,"Yes","No")</f>
        <v>Yes</v>
      </c>
      <c r="AB170" s="10" t="b">
        <f aca="false">AND(OR(Inputs!$B$17&lt;&gt;"Exclude",V170="Yes"),OR(Inputs!$B$18&lt;&gt;"Exclude",W170&lt;&gt;"No"),OR(Inputs!$B$19&lt;&gt;"Exclude",X170&lt;&gt;"No"),OR(Inputs!$B$20&lt;&gt;"Exclude",Y170="No"),OR(Inputs!$B$21&lt;&gt;"Exclude",Z170="No"),OR(Inputs!$B$22&lt;&gt;"Exclude",AA170="Yes"),ISNUMBER(U170))</f>
        <v>1</v>
      </c>
      <c r="AC170" s="5" t="n">
        <f aca="false">IF(AB170,COUNTIFS($C$5:$C$337,C170,$AB$5:$AB$337,TRUE(),$U$5:$U$337,"&gt;"&amp;U170)+COUNTIFS($C$5:C170,C170,$AB$5:AB170,TRUE(),$U$5:U170,U170),"")</f>
        <v>16</v>
      </c>
      <c r="AD170" s="5" t="str">
        <f aca="false">IF(AC170="","Not eligible",IF(AC170&lt;=Inputs!$B$25,"Lead",IF(AC170&lt;=Inputs!$B$25+Inputs!$B$26,"Next wave","Long list")))</f>
        <v>Long list</v>
      </c>
      <c r="AE170" s="5" t="str">
        <f aca="false">IF(AND(K170+L170=0,M170&gt;0),"Safety upgrade of existing prefilled syringe",IF(K170+L170+M170=0,"Confirm presentation (not stated in source)",IF(AA170="Yes","Differentiation in crowded generic market","Safety-device mandate compliance")))</f>
        <v>Safety upgrade of existing prefilled syringe</v>
      </c>
      <c r="AF170" s="5" t="str">
        <f aca="false">IF(AC170="","",C170&amp;"|"&amp;AC170)</f>
        <v>Dr. Reddy's Laboratories|16</v>
      </c>
    </row>
    <row r="171" customFormat="false" ht="15" hidden="false" customHeight="false" outlineLevel="0" collapsed="false">
      <c r="A171" s="5" t="n">
        <f aca="false">IF(ISNUMBER(U171),RANK(U171,$U$5:$U$337),"")</f>
        <v>196</v>
      </c>
      <c r="B171" s="5" t="s">
        <v>126</v>
      </c>
      <c r="C171" s="5" t="s">
        <v>44</v>
      </c>
      <c r="D171" s="5" t="str">
        <f aca="false">INDEX('API Data'!$B$2:$B$152,MATCH(B171,'API Data'!$A$2:$A$152,0))</f>
        <v>Ortho – postmenopausal osteoporosis (3-monthly IV)</v>
      </c>
      <c r="E171" s="5" t="n">
        <f aca="false">COUNTIFS('Market Listing'!$A$2:$A$4054,B171,'Market Listing'!$B$2:$B$4054,C171)</f>
        <v>31</v>
      </c>
      <c r="F171" s="5" t="n">
        <f aca="false">COUNTIFS('Market Listing'!$A$2:$A$4054,B171,'Market Listing'!$B$2:$B$4054,C171,'Market Listing'!$D$2:$D$4054,"Tier 1")</f>
        <v>6</v>
      </c>
      <c r="G171" s="5" t="n">
        <f aca="false">COUNTIFS('Market Listing'!$A$2:$A$4054,B171,'Market Listing'!$B$2:$B$4054,C171,'Market Listing'!$D$2:$D$4054,"Tier 2")</f>
        <v>3</v>
      </c>
      <c r="H171" s="5" t="n">
        <f aca="false">COUNTIFS('Market Listing'!$A$2:$A$4054,B171,'Market Listing'!$B$2:$B$4054,C171,'Market Listing'!$D$2:$D$4054,"Tier 3")</f>
        <v>22</v>
      </c>
      <c r="I171" s="5" t="n">
        <f aca="false">SUMIFS('Market Listing'!$E$2:$E$4054,'Market Listing'!$A$2:$A$4054,B171,'Market Listing'!$B$2:$B$4054,C171)</f>
        <v>46</v>
      </c>
      <c r="J171" s="5" t="n">
        <f aca="false">COUNTIFS('Product Rows'!$A$2:$A$696,B171,'Product Rows'!$B$2:$B$696,C171)</f>
        <v>3</v>
      </c>
      <c r="K171" s="5" t="n">
        <f aca="false">COUNTIFS('Product Rows'!$A$2:$A$696,B171,'Product Rows'!$B$2:$B$696,C171,'Product Rows'!$G$2:$G$696,"Vial")</f>
        <v>0</v>
      </c>
      <c r="L171" s="5" t="n">
        <f aca="false">COUNTIFS('Product Rows'!$A$2:$A$696,B171,'Product Rows'!$B$2:$B$696,C171,'Product Rows'!$G$2:$G$696,"Ampoule")</f>
        <v>0</v>
      </c>
      <c r="M171" s="5" t="n">
        <f aca="false">COUNTIFS('Product Rows'!$A$2:$A$696,B171,'Product Rows'!$B$2:$B$696,C171,'Product Rows'!$G$2:$G$696,"Prefilled syringe/pen")</f>
        <v>3</v>
      </c>
      <c r="N171" s="6" t="n">
        <f aca="false">IFERROR(AVERAGEIFS('Product Rows'!$H$2:$H$696,'Product Rows'!$A$2:$A$696,B171,'Product Rows'!$B$2:$B$696,C171),"")</f>
        <v>101.757533333333</v>
      </c>
      <c r="O171" s="7" t="n">
        <f aca="false">INDEX('API Data'!$E$2:$E$152,MATCH(B171,'API Data'!$A$2:$A$152,0))</f>
        <v>517.113307438795</v>
      </c>
      <c r="P171" s="5" t="n">
        <f aca="false">COUNTIF($B$5:$B$337,B171)</f>
        <v>3</v>
      </c>
      <c r="Q171" s="8" t="n">
        <f aca="false">IF(ISNUMBER(I171),PERCENTRANK($I$5:$I$337,I171),"")</f>
        <v>0.846</v>
      </c>
      <c r="R171" s="8" t="n">
        <f aca="false">IF(ISNUMBER(N171),PERCENTRANK($N$5:$N$337,N171),"")</f>
        <v>0.756</v>
      </c>
      <c r="S171" s="8" t="n">
        <f aca="false">IF(ISNUMBER(O171),PERCENTRANK($O$5:$O$337,O171),"")</f>
        <v>0.108</v>
      </c>
      <c r="T171" s="8" t="n">
        <f aca="false">IF(ISNUMBER(P171),PERCENTRANK($P$5:$P$337,P171),"")</f>
        <v>0.416</v>
      </c>
      <c r="U171" s="9" t="n">
        <f aca="false">IF((IF(ISNUMBER(Q171),Inputs!$B$4,0)+IF(ISNUMBER(R171),Inputs!$B$5,0)+IF(ISNUMBER(S171),Inputs!$B$6,0)+IF(ISNUMBER(T171),Inputs!$B$7,0))=0,"",(IF(ISNUMBER(Q171),Inputs!$B$4*Q171,0)+IF(ISNUMBER(R171),Inputs!$B$5*R171,0)+IF(ISNUMBER(S171),Inputs!$B$6*S171,0)+IF(ISNUMBER(T171),Inputs!$B$7*T171,0))/(IF(ISNUMBER(Q171),Inputs!$B$4,0)+IF(ISNUMBER(R171),Inputs!$B$5,0)+IF(ISNUMBER(S171),Inputs!$B$6,0)+IF(ISNUMBER(T171),Inputs!$B$7,0)))</f>
        <v>0.432</v>
      </c>
      <c r="V171" s="5" t="str">
        <f aca="false">IF(F171&gt;0,"Yes","No")</f>
        <v>Yes</v>
      </c>
      <c r="W171" s="5" t="str">
        <f aca="false">IF(ISNUMBER(N171),IF(N171&gt;=Inputs!$D$18,"Yes","No"),"No price")</f>
        <v>Yes</v>
      </c>
      <c r="X171" s="5" t="str">
        <f aca="false">IF(K171+L171&gt;0,"Yes",IF(M171&gt;0,"No","Unclear"))</f>
        <v>No</v>
      </c>
      <c r="Y171" s="5" t="str">
        <f aca="false">INDEX('API Data'!$H$2:$H$152,MATCH(B171,'API Data'!$A$2:$A$152,0))</f>
        <v>No</v>
      </c>
      <c r="Z171" s="5" t="str">
        <f aca="false">IF(COUNTIFS('Product Rows'!$A$2:$A$696,B171,'Product Rows'!$B$2:$B$696,C171,'Product Rows'!$I$2:$I$696,"Yes")&gt;0,"Yes","No")</f>
        <v>No</v>
      </c>
      <c r="AA171" s="5" t="str">
        <f aca="false">IF(P171&gt;=Inputs!$D$22,"Yes","No")</f>
        <v>Yes</v>
      </c>
      <c r="AB171" s="10" t="b">
        <f aca="false">AND(OR(Inputs!$B$17&lt;&gt;"Exclude",V171="Yes"),OR(Inputs!$B$18&lt;&gt;"Exclude",W171&lt;&gt;"No"),OR(Inputs!$B$19&lt;&gt;"Exclude",X171&lt;&gt;"No"),OR(Inputs!$B$20&lt;&gt;"Exclude",Y171="No"),OR(Inputs!$B$21&lt;&gt;"Exclude",Z171="No"),OR(Inputs!$B$22&lt;&gt;"Exclude",AA171="Yes"),ISNUMBER(U171))</f>
        <v>1</v>
      </c>
      <c r="AC171" s="5" t="n">
        <f aca="false">IF(AB171,COUNTIFS($C$5:$C$337,C171,$AB$5:$AB$337,TRUE(),$U$5:$U$337,"&gt;"&amp;U171)+COUNTIFS($C$5:C171,C171,$AB$5:AB171,TRUE(),$U$5:U171,U171),"")</f>
        <v>36</v>
      </c>
      <c r="AD171" s="5" t="str">
        <f aca="false">IF(AC171="","Not eligible",IF(AC171&lt;=Inputs!$B$25,"Lead",IF(AC171&lt;=Inputs!$B$25+Inputs!$B$26,"Next wave","Long list")))</f>
        <v>Long list</v>
      </c>
      <c r="AE171" s="5" t="str">
        <f aca="false">IF(AND(K171+L171=0,M171&gt;0),"Safety upgrade of existing prefilled syringe",IF(K171+L171+M171=0,"Confirm presentation (not stated in source)",IF(AA171="Yes","Differentiation in crowded generic market","Safety-device mandate compliance")))</f>
        <v>Safety upgrade of existing prefilled syringe</v>
      </c>
      <c r="AF171" s="5" t="str">
        <f aca="false">IF(AC171="","",C171&amp;"|"&amp;AC171)</f>
        <v>Intas Pharmaceuticals|36</v>
      </c>
    </row>
    <row r="172" customFormat="false" ht="15" hidden="false" customHeight="false" outlineLevel="0" collapsed="false">
      <c r="A172" s="5" t="n">
        <f aca="false">IF(ISNUMBER(U172),RANK(U172,$U$5:$U$337),"")</f>
        <v>141</v>
      </c>
      <c r="B172" s="5" t="s">
        <v>127</v>
      </c>
      <c r="C172" s="5" t="s">
        <v>44</v>
      </c>
      <c r="D172" s="5" t="str">
        <f aca="false">INDEX('API Data'!$B$2:$B$152,MATCH(B172,'API Data'!$A$2:$A$152,0))</f>
        <v>Oncology – acute myeloid leukaemia (AML)</v>
      </c>
      <c r="E172" s="5" t="n">
        <f aca="false">COUNTIFS('Market Listing'!$A$2:$A$4054,B172,'Market Listing'!$B$2:$B$4054,C172)</f>
        <v>27</v>
      </c>
      <c r="F172" s="5" t="n">
        <f aca="false">COUNTIFS('Market Listing'!$A$2:$A$4054,B172,'Market Listing'!$B$2:$B$4054,C172,'Market Listing'!$D$2:$D$4054,"Tier 1")</f>
        <v>5</v>
      </c>
      <c r="G172" s="5" t="n">
        <f aca="false">COUNTIFS('Market Listing'!$A$2:$A$4054,B172,'Market Listing'!$B$2:$B$4054,C172,'Market Listing'!$D$2:$D$4054,"Tier 2")</f>
        <v>2</v>
      </c>
      <c r="H172" s="5" t="n">
        <f aca="false">COUNTIFS('Market Listing'!$A$2:$A$4054,B172,'Market Listing'!$B$2:$B$4054,C172,'Market Listing'!$D$2:$D$4054,"Tier 3")</f>
        <v>20</v>
      </c>
      <c r="I172" s="5" t="n">
        <f aca="false">SUMIFS('Market Listing'!$E$2:$E$4054,'Market Listing'!$A$2:$A$4054,B172,'Market Listing'!$B$2:$B$4054,C172)</f>
        <v>39</v>
      </c>
      <c r="J172" s="5" t="n">
        <f aca="false">COUNTIFS('Product Rows'!$A$2:$A$696,B172,'Product Rows'!$B$2:$B$696,C172)</f>
        <v>1</v>
      </c>
      <c r="K172" s="5" t="n">
        <f aca="false">COUNTIFS('Product Rows'!$A$2:$A$696,B172,'Product Rows'!$B$2:$B$696,C172,'Product Rows'!$G$2:$G$696,"Vial")</f>
        <v>1</v>
      </c>
      <c r="L172" s="5" t="n">
        <f aca="false">COUNTIFS('Product Rows'!$A$2:$A$696,B172,'Product Rows'!$B$2:$B$696,C172,'Product Rows'!$G$2:$G$696,"Ampoule")</f>
        <v>0</v>
      </c>
      <c r="M172" s="5" t="n">
        <f aca="false">COUNTIFS('Product Rows'!$A$2:$A$696,B172,'Product Rows'!$B$2:$B$696,C172,'Product Rows'!$G$2:$G$696,"Prefilled syringe/pen")</f>
        <v>0</v>
      </c>
      <c r="N172" s="6" t="n">
        <f aca="false">IFERROR(AVERAGEIFS('Product Rows'!$H$2:$H$696,'Product Rows'!$A$2:$A$696,B172,'Product Rows'!$B$2:$B$696,C172),"")</f>
        <v>149.0357</v>
      </c>
      <c r="O172" s="7" t="n">
        <f aca="false">INDEX('API Data'!$E$2:$E$152,MATCH(B172,'API Data'!$A$2:$A$152,0))</f>
        <v>1860.07606312292</v>
      </c>
      <c r="P172" s="5" t="n">
        <f aca="false">COUNTIF($B$5:$B$337,B172)</f>
        <v>1</v>
      </c>
      <c r="Q172" s="8" t="n">
        <f aca="false">IF(ISNUMBER(I172),PERCENTRANK($I$5:$I$337,I172),"")</f>
        <v>0.681</v>
      </c>
      <c r="R172" s="8" t="n">
        <f aca="false">IF(ISNUMBER(N172),PERCENTRANK($N$5:$N$337,N172),"")</f>
        <v>0.799</v>
      </c>
      <c r="S172" s="8" t="n">
        <f aca="false">IF(ISNUMBER(O172),PERCENTRANK($O$5:$O$337,O172),"")</f>
        <v>0.241</v>
      </c>
      <c r="T172" s="8" t="n">
        <f aca="false">IF(ISNUMBER(P172),PERCENTRANK($P$5:$P$337,P172),"")</f>
        <v>0</v>
      </c>
      <c r="U172" s="9" t="n">
        <f aca="false">IF((IF(ISNUMBER(Q172),Inputs!$B$4,0)+IF(ISNUMBER(R172),Inputs!$B$5,0)+IF(ISNUMBER(S172),Inputs!$B$6,0)+IF(ISNUMBER(T172),Inputs!$B$7,0))=0,"",(IF(ISNUMBER(Q172),Inputs!$B$4*Q172,0)+IF(ISNUMBER(R172),Inputs!$B$5*R172,0)+IF(ISNUMBER(S172),Inputs!$B$6*S172,0)+IF(ISNUMBER(T172),Inputs!$B$7*T172,0))/(IF(ISNUMBER(Q172),Inputs!$B$4,0)+IF(ISNUMBER(R172),Inputs!$B$5,0)+IF(ISNUMBER(S172),Inputs!$B$6,0)+IF(ISNUMBER(T172),Inputs!$B$7,0)))</f>
        <v>0.52</v>
      </c>
      <c r="V172" s="5" t="str">
        <f aca="false">IF(F172&gt;0,"Yes","No")</f>
        <v>Yes</v>
      </c>
      <c r="W172" s="5" t="str">
        <f aca="false">IF(ISNUMBER(N172),IF(N172&gt;=Inputs!$D$18,"Yes","No"),"No price")</f>
        <v>Yes</v>
      </c>
      <c r="X172" s="5" t="str">
        <f aca="false">IF(K172+L172&gt;0,"Yes",IF(M172&gt;0,"No","Unclear"))</f>
        <v>Yes</v>
      </c>
      <c r="Y172" s="5" t="str">
        <f aca="false">INDEX('API Data'!$H$2:$H$152,MATCH(B172,'API Data'!$A$2:$A$152,0))</f>
        <v>Yes</v>
      </c>
      <c r="Z172" s="5" t="str">
        <f aca="false">IF(COUNTIFS('Product Rows'!$A$2:$A$696,B172,'Product Rows'!$B$2:$B$696,C172,'Product Rows'!$I$2:$I$696,"Yes")&gt;0,"Yes","No")</f>
        <v>No</v>
      </c>
      <c r="AA172" s="5" t="str">
        <f aca="false">IF(P172&gt;=Inputs!$D$22,"Yes","No")</f>
        <v>No</v>
      </c>
      <c r="AB172" s="10" t="b">
        <f aca="false">AND(OR(Inputs!$B$17&lt;&gt;"Exclude",V172="Yes"),OR(Inputs!$B$18&lt;&gt;"Exclude",W172&lt;&gt;"No"),OR(Inputs!$B$19&lt;&gt;"Exclude",X172&lt;&gt;"No"),OR(Inputs!$B$20&lt;&gt;"Exclude",Y172="No"),OR(Inputs!$B$21&lt;&gt;"Exclude",Z172="No"),OR(Inputs!$B$22&lt;&gt;"Exclude",AA172="Yes"),ISNUMBER(U172))</f>
        <v>1</v>
      </c>
      <c r="AC172" s="5" t="n">
        <f aca="false">IF(AB172,COUNTIFS($C$5:$C$337,C172,$AB$5:$AB$337,TRUE(),$U$5:$U$337,"&gt;"&amp;U172)+COUNTIFS($C$5:C172,C172,$AB$5:AB172,TRUE(),$U$5:U172,U172),"")</f>
        <v>27</v>
      </c>
      <c r="AD172" s="5" t="str">
        <f aca="false">IF(AC172="","Not eligible",IF(AC172&lt;=Inputs!$B$25,"Lead",IF(AC172&lt;=Inputs!$B$25+Inputs!$B$26,"Next wave","Long list")))</f>
        <v>Long list</v>
      </c>
      <c r="AE172" s="5" t="str">
        <f aca="false">IF(AND(K172+L172=0,M172&gt;0),"Safety upgrade of existing prefilled syringe",IF(K172+L172+M172=0,"Confirm presentation (not stated in source)",IF(AA172="Yes","Differentiation in crowded generic market","Safety-device mandate compliance")))</f>
        <v>Safety-device mandate compliance</v>
      </c>
      <c r="AF172" s="5" t="str">
        <f aca="false">IF(AC172="","",C172&amp;"|"&amp;AC172)</f>
        <v>Intas Pharmaceuticals|27</v>
      </c>
    </row>
    <row r="173" customFormat="false" ht="15" hidden="false" customHeight="false" outlineLevel="0" collapsed="false">
      <c r="A173" s="5" t="n">
        <f aca="false">IF(ISNUMBER(U173),RANK(U173,$U$5:$U$337),"")</f>
        <v>188</v>
      </c>
      <c r="B173" s="5" t="s">
        <v>128</v>
      </c>
      <c r="C173" s="5" t="s">
        <v>36</v>
      </c>
      <c r="D173" s="5" t="str">
        <f aca="false">INDEX('API Data'!$B$2:$B$152,MATCH(B173,'API Data'!$A$2:$A$152,0))</f>
        <v>Diagnostics – cardiac output, liver function, ophthalmic &amp; surgical imaging</v>
      </c>
      <c r="E173" s="5" t="n">
        <f aca="false">COUNTIFS('Market Listing'!$A$2:$A$4054,B173,'Market Listing'!$B$2:$B$4054,C173)</f>
        <v>1</v>
      </c>
      <c r="F173" s="5" t="n">
        <f aca="false">COUNTIFS('Market Listing'!$A$2:$A$4054,B173,'Market Listing'!$B$2:$B$4054,C173,'Market Listing'!$D$2:$D$4054,"Tier 1")</f>
        <v>1</v>
      </c>
      <c r="G173" s="5" t="n">
        <f aca="false">COUNTIFS('Market Listing'!$A$2:$A$4054,B173,'Market Listing'!$B$2:$B$4054,C173,'Market Listing'!$D$2:$D$4054,"Tier 2")</f>
        <v>0</v>
      </c>
      <c r="H173" s="5" t="n">
        <f aca="false">COUNTIFS('Market Listing'!$A$2:$A$4054,B173,'Market Listing'!$B$2:$B$4054,C173,'Market Listing'!$D$2:$D$4054,"Tier 3")</f>
        <v>0</v>
      </c>
      <c r="I173" s="5" t="n">
        <f aca="false">SUMIFS('Market Listing'!$E$2:$E$4054,'Market Listing'!$A$2:$A$4054,B173,'Market Listing'!$B$2:$B$4054,C173)</f>
        <v>3</v>
      </c>
      <c r="J173" s="5" t="n">
        <f aca="false">COUNTIFS('Product Rows'!$A$2:$A$696,B173,'Product Rows'!$B$2:$B$696,C173)</f>
        <v>1</v>
      </c>
      <c r="K173" s="5" t="n">
        <f aca="false">COUNTIFS('Product Rows'!$A$2:$A$696,B173,'Product Rows'!$B$2:$B$696,C173,'Product Rows'!$G$2:$G$696,"Vial")</f>
        <v>0</v>
      </c>
      <c r="L173" s="5" t="n">
        <f aca="false">COUNTIFS('Product Rows'!$A$2:$A$696,B173,'Product Rows'!$B$2:$B$696,C173,'Product Rows'!$G$2:$G$696,"Ampoule")</f>
        <v>0</v>
      </c>
      <c r="M173" s="5" t="n">
        <f aca="false">COUNTIFS('Product Rows'!$A$2:$A$696,B173,'Product Rows'!$B$2:$B$696,C173,'Product Rows'!$G$2:$G$696,"Prefilled syringe/pen")</f>
        <v>0</v>
      </c>
      <c r="N173" s="6" t="n">
        <f aca="false">IFERROR(AVERAGEIFS('Product Rows'!$H$2:$H$696,'Product Rows'!$A$2:$A$696,B173,'Product Rows'!$B$2:$B$696,C173),"")</f>
        <v>179.58</v>
      </c>
      <c r="O173" s="7" t="n">
        <f aca="false">INDEX('API Data'!$E$2:$E$152,MATCH(B173,'API Data'!$A$2:$A$152,0))</f>
        <v>214.134880952381</v>
      </c>
      <c r="P173" s="5" t="n">
        <f aca="false">COUNTIF($B$5:$B$337,B173)</f>
        <v>1</v>
      </c>
      <c r="Q173" s="8" t="n">
        <f aca="false">IF(ISNUMBER(I173),PERCENTRANK($I$5:$I$337,I173),"")</f>
        <v>0.157</v>
      </c>
      <c r="R173" s="8" t="n">
        <f aca="false">IF(ISNUMBER(N173),PERCENTRANK($N$5:$N$337,N173),"")</f>
        <v>0.828</v>
      </c>
      <c r="S173" s="8" t="n">
        <f aca="false">IF(ISNUMBER(O173),PERCENTRANK($O$5:$O$337,O173),"")</f>
        <v>0.0663</v>
      </c>
      <c r="T173" s="8" t="n">
        <f aca="false">IF(ISNUMBER(P173),PERCENTRANK($P$5:$P$337,P173),"")</f>
        <v>0</v>
      </c>
      <c r="U173" s="9" t="n">
        <f aca="false">IF((IF(ISNUMBER(Q173),Inputs!$B$4,0)+IF(ISNUMBER(R173),Inputs!$B$5,0)+IF(ISNUMBER(S173),Inputs!$B$6,0)+IF(ISNUMBER(T173),Inputs!$B$7,0))=0,"",(IF(ISNUMBER(Q173),Inputs!$B$4*Q173,0)+IF(ISNUMBER(R173),Inputs!$B$5*R173,0)+IF(ISNUMBER(S173),Inputs!$B$6*S173,0)+IF(ISNUMBER(T173),Inputs!$B$7*T173,0))/(IF(ISNUMBER(Q173),Inputs!$B$4,0)+IF(ISNUMBER(R173),Inputs!$B$5,0)+IF(ISNUMBER(S173),Inputs!$B$6,0)+IF(ISNUMBER(T173),Inputs!$B$7,0)))</f>
        <v>0.44715</v>
      </c>
      <c r="V173" s="5" t="str">
        <f aca="false">IF(F173&gt;0,"Yes","No")</f>
        <v>Yes</v>
      </c>
      <c r="W173" s="5" t="str">
        <f aca="false">IF(ISNUMBER(N173),IF(N173&gt;=Inputs!$D$18,"Yes","No"),"No price")</f>
        <v>Yes</v>
      </c>
      <c r="X173" s="5" t="str">
        <f aca="false">IF(K173+L173&gt;0,"Yes",IF(M173&gt;0,"No","Unclear"))</f>
        <v>Unclear</v>
      </c>
      <c r="Y173" s="5" t="str">
        <f aca="false">INDEX('API Data'!$H$2:$H$152,MATCH(B173,'API Data'!$A$2:$A$152,0))</f>
        <v>No</v>
      </c>
      <c r="Z173" s="5" t="str">
        <f aca="false">IF(COUNTIFS('Product Rows'!$A$2:$A$696,B173,'Product Rows'!$B$2:$B$696,C173,'Product Rows'!$I$2:$I$696,"Yes")&gt;0,"Yes","No")</f>
        <v>No</v>
      </c>
      <c r="AA173" s="5" t="str">
        <f aca="false">IF(P173&gt;=Inputs!$D$22,"Yes","No")</f>
        <v>No</v>
      </c>
      <c r="AB173" s="10" t="b">
        <f aca="false">AND(OR(Inputs!$B$17&lt;&gt;"Exclude",V173="Yes"),OR(Inputs!$B$18&lt;&gt;"Exclude",W173&lt;&gt;"No"),OR(Inputs!$B$19&lt;&gt;"Exclude",X173&lt;&gt;"No"),OR(Inputs!$B$20&lt;&gt;"Exclude",Y173="No"),OR(Inputs!$B$21&lt;&gt;"Exclude",Z173="No"),OR(Inputs!$B$22&lt;&gt;"Exclude",AA173="Yes"),ISNUMBER(U173))</f>
        <v>1</v>
      </c>
      <c r="AC173" s="5" t="n">
        <f aca="false">IF(AB173,COUNTIFS($C$5:$C$337,C173,$AB$5:$AB$337,TRUE(),$U$5:$U$337,"&gt;"&amp;U173)+COUNTIFS($C$5:C173,C173,$AB$5:AB173,TRUE(),$U$5:U173,U173),"")</f>
        <v>7</v>
      </c>
      <c r="AD173" s="5" t="str">
        <f aca="false">IF(AC173="","Not eligible",IF(AC173&lt;=Inputs!$B$25,"Lead",IF(AC173&lt;=Inputs!$B$25+Inputs!$B$26,"Next wave","Long list")))</f>
        <v>Next wave</v>
      </c>
      <c r="AE173" s="5" t="str">
        <f aca="false">IF(AND(K173+L173=0,M173&gt;0),"Safety upgrade of existing prefilled syringe",IF(K173+L173+M173=0,"Confirm presentation (not stated in source)",IF(AA173="Yes","Differentiation in crowded generic market","Safety-device mandate compliance")))</f>
        <v>Confirm presentation (not stated in source)</v>
      </c>
      <c r="AF173" s="5" t="str">
        <f aca="false">IF(AC173="","",C173&amp;"|"&amp;AC173)</f>
        <v>Zydus Lifesciences|7</v>
      </c>
    </row>
    <row r="174" customFormat="false" ht="15" hidden="false" customHeight="false" outlineLevel="0" collapsed="false">
      <c r="A174" s="5" t="n">
        <f aca="false">IF(ISNUMBER(U174),RANK(U174,$U$5:$U$337),"")</f>
        <v>199</v>
      </c>
      <c r="B174" s="5" t="s">
        <v>129</v>
      </c>
      <c r="C174" s="5" t="s">
        <v>36</v>
      </c>
      <c r="D174" s="5" t="str">
        <f aca="false">INDEX('API Data'!$B$2:$B$152,MATCH(B174,'API Data'!$A$2:$A$152,0))</f>
        <v>Haematology / Nephrology – IV iron for iron-deficiency anaemia in CKD</v>
      </c>
      <c r="E174" s="5" t="n">
        <f aca="false">COUNTIFS('Market Listing'!$A$2:$A$4054,B174,'Market Listing'!$B$2:$B$4054,C174)</f>
        <v>1</v>
      </c>
      <c r="F174" s="5" t="n">
        <f aca="false">COUNTIFS('Market Listing'!$A$2:$A$4054,B174,'Market Listing'!$B$2:$B$4054,C174,'Market Listing'!$D$2:$D$4054,"Tier 1")</f>
        <v>0</v>
      </c>
      <c r="G174" s="5" t="n">
        <f aca="false">COUNTIFS('Market Listing'!$A$2:$A$4054,B174,'Market Listing'!$B$2:$B$4054,C174,'Market Listing'!$D$2:$D$4054,"Tier 2")</f>
        <v>1</v>
      </c>
      <c r="H174" s="5" t="n">
        <f aca="false">COUNTIFS('Market Listing'!$A$2:$A$4054,B174,'Market Listing'!$B$2:$B$4054,C174,'Market Listing'!$D$2:$D$4054,"Tier 3")</f>
        <v>0</v>
      </c>
      <c r="I174" s="5" t="n">
        <f aca="false">SUMIFS('Market Listing'!$E$2:$E$4054,'Market Listing'!$A$2:$A$4054,B174,'Market Listing'!$B$2:$B$4054,C174)</f>
        <v>2</v>
      </c>
      <c r="J174" s="5" t="n">
        <f aca="false">COUNTIFS('Product Rows'!$A$2:$A$696,B174,'Product Rows'!$B$2:$B$696,C174)</f>
        <v>1</v>
      </c>
      <c r="K174" s="5" t="n">
        <f aca="false">COUNTIFS('Product Rows'!$A$2:$A$696,B174,'Product Rows'!$B$2:$B$696,C174,'Product Rows'!$G$2:$G$696,"Vial")</f>
        <v>0</v>
      </c>
      <c r="L174" s="5" t="n">
        <f aca="false">COUNTIFS('Product Rows'!$A$2:$A$696,B174,'Product Rows'!$B$2:$B$696,C174,'Product Rows'!$G$2:$G$696,"Ampoule")</f>
        <v>1</v>
      </c>
      <c r="M174" s="5" t="n">
        <f aca="false">COUNTIFS('Product Rows'!$A$2:$A$696,B174,'Product Rows'!$B$2:$B$696,C174,'Product Rows'!$G$2:$G$696,"Prefilled syringe/pen")</f>
        <v>0</v>
      </c>
      <c r="N174" s="6" t="n">
        <f aca="false">IFERROR(AVERAGEIFS('Product Rows'!$H$2:$H$696,'Product Rows'!$A$2:$A$696,B174,'Product Rows'!$B$2:$B$696,C174),"")</f>
        <v>7.58</v>
      </c>
      <c r="O174" s="7" t="n">
        <f aca="false">INDEX('API Data'!$E$2:$E$152,MATCH(B174,'API Data'!$A$2:$A$152,0))</f>
        <v>11957.935</v>
      </c>
      <c r="P174" s="5" t="n">
        <f aca="false">COUNTIF($B$5:$B$337,B174)</f>
        <v>1</v>
      </c>
      <c r="Q174" s="8" t="n">
        <f aca="false">IF(ISNUMBER(I174),PERCENTRANK($I$5:$I$337,I174),"")</f>
        <v>0</v>
      </c>
      <c r="R174" s="8" t="n">
        <f aca="false">IF(ISNUMBER(N174),PERCENTRANK($N$5:$N$337,N174),"")</f>
        <v>0.133</v>
      </c>
      <c r="S174" s="8" t="n">
        <f aca="false">IF(ISNUMBER(O174),PERCENTRANK($O$5:$O$337,O174),"")</f>
        <v>0.717</v>
      </c>
      <c r="T174" s="8" t="n">
        <f aca="false">IF(ISNUMBER(P174),PERCENTRANK($P$5:$P$337,P174),"")</f>
        <v>0</v>
      </c>
      <c r="U174" s="9" t="n">
        <f aca="false">IF((IF(ISNUMBER(Q174),Inputs!$B$4,0)+IF(ISNUMBER(R174),Inputs!$B$5,0)+IF(ISNUMBER(S174),Inputs!$B$6,0)+IF(ISNUMBER(T174),Inputs!$B$7,0))=0,"",(IF(ISNUMBER(Q174),Inputs!$B$4*Q174,0)+IF(ISNUMBER(R174),Inputs!$B$5*R174,0)+IF(ISNUMBER(S174),Inputs!$B$6*S174,0)+IF(ISNUMBER(T174),Inputs!$B$7*T174,0))/(IF(ISNUMBER(Q174),Inputs!$B$4,0)+IF(ISNUMBER(R174),Inputs!$B$5,0)+IF(ISNUMBER(S174),Inputs!$B$6,0)+IF(ISNUMBER(T174),Inputs!$B$7,0)))</f>
        <v>0.425</v>
      </c>
      <c r="V174" s="5" t="str">
        <f aca="false">IF(F174&gt;0,"Yes","No")</f>
        <v>No</v>
      </c>
      <c r="W174" s="5" t="str">
        <f aca="false">IF(ISNUMBER(N174),IF(N174&gt;=Inputs!$D$18,"Yes","No"),"No price")</f>
        <v>Yes</v>
      </c>
      <c r="X174" s="5" t="str">
        <f aca="false">IF(K174+L174&gt;0,"Yes",IF(M174&gt;0,"No","Unclear"))</f>
        <v>Yes</v>
      </c>
      <c r="Y174" s="5" t="str">
        <f aca="false">INDEX('API Data'!$H$2:$H$152,MATCH(B174,'API Data'!$A$2:$A$152,0))</f>
        <v>No</v>
      </c>
      <c r="Z174" s="5" t="str">
        <f aca="false">IF(COUNTIFS('Product Rows'!$A$2:$A$696,B174,'Product Rows'!$B$2:$B$696,C174,'Product Rows'!$I$2:$I$696,"Yes")&gt;0,"Yes","No")</f>
        <v>No</v>
      </c>
      <c r="AA174" s="5" t="str">
        <f aca="false">IF(P174&gt;=Inputs!$D$22,"Yes","No")</f>
        <v>No</v>
      </c>
      <c r="AB174" s="10" t="b">
        <f aca="false">AND(OR(Inputs!$B$17&lt;&gt;"Exclude",V174="Yes"),OR(Inputs!$B$18&lt;&gt;"Exclude",W174&lt;&gt;"No"),OR(Inputs!$B$19&lt;&gt;"Exclude",X174&lt;&gt;"No"),OR(Inputs!$B$20&lt;&gt;"Exclude",Y174="No"),OR(Inputs!$B$21&lt;&gt;"Exclude",Z174="No"),OR(Inputs!$B$22&lt;&gt;"Exclude",AA174="Yes"),ISNUMBER(U174))</f>
        <v>0</v>
      </c>
      <c r="AC174" s="5" t="str">
        <f aca="false">IF(AB174,COUNTIFS($C$5:$C$337,C174,$AB$5:$AB$337,TRUE(),$U$5:$U$337,"&gt;"&amp;U174)+COUNTIFS($C$5:C174,C174,$AB$5:AB174,TRUE(),$U$5:U174,U174),"")</f>
        <v/>
      </c>
      <c r="AD174" s="5" t="str">
        <f aca="false">IF(AC174="","Not eligible",IF(AC174&lt;=Inputs!$B$25,"Lead",IF(AC174&lt;=Inputs!$B$25+Inputs!$B$26,"Next wave","Long list")))</f>
        <v>Not eligible</v>
      </c>
      <c r="AE174" s="5" t="str">
        <f aca="false">IF(AND(K174+L174=0,M174&gt;0),"Safety upgrade of existing prefilled syringe",IF(K174+L174+M174=0,"Confirm presentation (not stated in source)",IF(AA174="Yes","Differentiation in crowded generic market","Safety-device mandate compliance")))</f>
        <v>Safety-device mandate compliance</v>
      </c>
      <c r="AF174" s="5" t="str">
        <f aca="false">IF(AC174="","",C174&amp;"|"&amp;AC174)</f>
        <v/>
      </c>
    </row>
    <row r="175" customFormat="false" ht="15" hidden="false" customHeight="false" outlineLevel="0" collapsed="false">
      <c r="A175" s="5" t="n">
        <f aca="false">IF(ISNUMBER(U175),RANK(U175,$U$5:$U$337),"")</f>
        <v>222</v>
      </c>
      <c r="B175" s="5" t="s">
        <v>130</v>
      </c>
      <c r="C175" s="5" t="s">
        <v>54</v>
      </c>
      <c r="D175" s="5" t="str">
        <f aca="false">INDEX('API Data'!$B$2:$B$152,MATCH(B175,'API Data'!$A$2:$A$152,0))</f>
        <v>Cardiovascular – heart block, severe bradycardia</v>
      </c>
      <c r="E175" s="5" t="n">
        <f aca="false">COUNTIFS('Market Listing'!$A$2:$A$4054,B175,'Market Listing'!$B$2:$B$4054,C175)</f>
        <v>1</v>
      </c>
      <c r="F175" s="5" t="n">
        <f aca="false">COUNTIFS('Market Listing'!$A$2:$A$4054,B175,'Market Listing'!$B$2:$B$4054,C175,'Market Listing'!$D$2:$D$4054,"Tier 1")</f>
        <v>0</v>
      </c>
      <c r="G175" s="5" t="n">
        <f aca="false">COUNTIFS('Market Listing'!$A$2:$A$4054,B175,'Market Listing'!$B$2:$B$4054,C175,'Market Listing'!$D$2:$D$4054,"Tier 2")</f>
        <v>1</v>
      </c>
      <c r="H175" s="5" t="n">
        <f aca="false">COUNTIFS('Market Listing'!$A$2:$A$4054,B175,'Market Listing'!$B$2:$B$4054,C175,'Market Listing'!$D$2:$D$4054,"Tier 3")</f>
        <v>0</v>
      </c>
      <c r="I175" s="5" t="n">
        <f aca="false">SUMIFS('Market Listing'!$E$2:$E$4054,'Market Listing'!$A$2:$A$4054,B175,'Market Listing'!$B$2:$B$4054,C175)</f>
        <v>2</v>
      </c>
      <c r="J175" s="5" t="n">
        <f aca="false">COUNTIFS('Product Rows'!$A$2:$A$696,B175,'Product Rows'!$B$2:$B$696,C175)</f>
        <v>3</v>
      </c>
      <c r="K175" s="5" t="n">
        <f aca="false">COUNTIFS('Product Rows'!$A$2:$A$696,B175,'Product Rows'!$B$2:$B$696,C175,'Product Rows'!$G$2:$G$696,"Vial")</f>
        <v>0</v>
      </c>
      <c r="L175" s="5" t="n">
        <f aca="false">COUNTIFS('Product Rows'!$A$2:$A$696,B175,'Product Rows'!$B$2:$B$696,C175,'Product Rows'!$G$2:$G$696,"Ampoule")</f>
        <v>2</v>
      </c>
      <c r="M175" s="5" t="n">
        <f aca="false">COUNTIFS('Product Rows'!$A$2:$A$696,B175,'Product Rows'!$B$2:$B$696,C175,'Product Rows'!$G$2:$G$696,"Prefilled syringe/pen")</f>
        <v>0</v>
      </c>
      <c r="N175" s="6" t="str">
        <f aca="false">IFERROR(AVERAGEIFS('Product Rows'!$H$2:$H$696,'Product Rows'!$A$2:$A$696,B175,'Product Rows'!$B$2:$B$696,C175),"")</f>
        <v/>
      </c>
      <c r="O175" s="7" t="n">
        <f aca="false">INDEX('API Data'!$E$2:$E$152,MATCH(B175,'API Data'!$A$2:$A$152,0))</f>
        <v>2931.42</v>
      </c>
      <c r="P175" s="5" t="n">
        <f aca="false">COUNTIF($B$5:$B$337,B175)</f>
        <v>4</v>
      </c>
      <c r="Q175" s="8" t="n">
        <f aca="false">IF(ISNUMBER(I175),PERCENTRANK($I$5:$I$337,I175),"")</f>
        <v>0</v>
      </c>
      <c r="R175" s="8" t="str">
        <f aca="false">IF(ISNUMBER(N175),PERCENTRANK($N$5:$N$337,N175),"")</f>
        <v/>
      </c>
      <c r="S175" s="8" t="n">
        <f aca="false">IF(ISNUMBER(O175),PERCENTRANK($O$5:$O$337,O175),"")</f>
        <v>0.395</v>
      </c>
      <c r="T175" s="8" t="n">
        <f aca="false">IF(ISNUMBER(P175),PERCENTRANK($P$5:$P$337,P175),"")</f>
        <v>0.569</v>
      </c>
      <c r="U175" s="9" t="n">
        <f aca="false">IF((IF(ISNUMBER(Q175),Inputs!$B$4,0)+IF(ISNUMBER(R175),Inputs!$B$5,0)+IF(ISNUMBER(S175),Inputs!$B$6,0)+IF(ISNUMBER(T175),Inputs!$B$7,0))=0,"",(IF(ISNUMBER(Q175),Inputs!$B$4*Q175,0)+IF(ISNUMBER(R175),Inputs!$B$5*R175,0)+IF(ISNUMBER(S175),Inputs!$B$6*S175,0)+IF(ISNUMBER(T175),Inputs!$B$7*T175,0))/(IF(ISNUMBER(Q175),Inputs!$B$4,0)+IF(ISNUMBER(R175),Inputs!$B$5,0)+IF(ISNUMBER(S175),Inputs!$B$6,0)+IF(ISNUMBER(T175),Inputs!$B$7,0)))</f>
        <v>0.395</v>
      </c>
      <c r="V175" s="5" t="str">
        <f aca="false">IF(F175&gt;0,"Yes","No")</f>
        <v>No</v>
      </c>
      <c r="W175" s="5" t="str">
        <f aca="false">IF(ISNUMBER(N175),IF(N175&gt;=Inputs!$D$18,"Yes","No"),"No price")</f>
        <v>No price</v>
      </c>
      <c r="X175" s="5" t="str">
        <f aca="false">IF(K175+L175&gt;0,"Yes",IF(M175&gt;0,"No","Unclear"))</f>
        <v>Yes</v>
      </c>
      <c r="Y175" s="5" t="str">
        <f aca="false">INDEX('API Data'!$H$2:$H$152,MATCH(B175,'API Data'!$A$2:$A$152,0))</f>
        <v>No</v>
      </c>
      <c r="Z175" s="5" t="str">
        <f aca="false">IF(COUNTIFS('Product Rows'!$A$2:$A$696,B175,'Product Rows'!$B$2:$B$696,C175,'Product Rows'!$I$2:$I$696,"Yes")&gt;0,"Yes","No")</f>
        <v>No</v>
      </c>
      <c r="AA175" s="5" t="str">
        <f aca="false">IF(P175&gt;=Inputs!$D$22,"Yes","No")</f>
        <v>Yes</v>
      </c>
      <c r="AB175" s="10" t="b">
        <f aca="false">AND(OR(Inputs!$B$17&lt;&gt;"Exclude",V175="Yes"),OR(Inputs!$B$18&lt;&gt;"Exclude",W175&lt;&gt;"No"),OR(Inputs!$B$19&lt;&gt;"Exclude",X175&lt;&gt;"No"),OR(Inputs!$B$20&lt;&gt;"Exclude",Y175="No"),OR(Inputs!$B$21&lt;&gt;"Exclude",Z175="No"),OR(Inputs!$B$22&lt;&gt;"Exclude",AA175="Yes"),ISNUMBER(U175))</f>
        <v>0</v>
      </c>
      <c r="AC175" s="5" t="str">
        <f aca="false">IF(AB175,COUNTIFS($C$5:$C$337,C175,$AB$5:$AB$337,TRUE(),$U$5:$U$337,"&gt;"&amp;U175)+COUNTIFS($C$5:C175,C175,$AB$5:AB175,TRUE(),$U$5:U175,U175),"")</f>
        <v/>
      </c>
      <c r="AD175" s="5" t="str">
        <f aca="false">IF(AC175="","Not eligible",IF(AC175&lt;=Inputs!$B$25,"Lead",IF(AC175&lt;=Inputs!$B$25+Inputs!$B$26,"Next wave","Long list")))</f>
        <v>Not eligible</v>
      </c>
      <c r="AE175" s="5" t="str">
        <f aca="false">IF(AND(K175+L175=0,M175&gt;0),"Safety upgrade of existing prefilled syringe",IF(K175+L175+M175=0,"Confirm presentation (not stated in source)",IF(AA175="Yes","Differentiation in crowded generic market","Safety-device mandate compliance")))</f>
        <v>Differentiation in crowded generic market</v>
      </c>
      <c r="AF175" s="5" t="str">
        <f aca="false">IF(AC175="","",C175&amp;"|"&amp;AC175)</f>
        <v/>
      </c>
    </row>
    <row r="176" customFormat="false" ht="15" hidden="false" customHeight="false" outlineLevel="0" collapsed="false">
      <c r="A176" s="5" t="n">
        <f aca="false">IF(ISNUMBER(U176),RANK(U176,$U$5:$U$337),"")</f>
        <v>201</v>
      </c>
      <c r="B176" s="5" t="s">
        <v>130</v>
      </c>
      <c r="C176" s="5" t="s">
        <v>35</v>
      </c>
      <c r="D176" s="5" t="str">
        <f aca="false">INDEX('API Data'!$B$2:$B$152,MATCH(B176,'API Data'!$A$2:$A$152,0))</f>
        <v>Cardiovascular – heart block, severe bradycardia</v>
      </c>
      <c r="E176" s="5" t="n">
        <f aca="false">COUNTIFS('Market Listing'!$A$2:$A$4054,B176,'Market Listing'!$B$2:$B$4054,C176)</f>
        <v>1</v>
      </c>
      <c r="F176" s="5" t="n">
        <f aca="false">COUNTIFS('Market Listing'!$A$2:$A$4054,B176,'Market Listing'!$B$2:$B$4054,C176,'Market Listing'!$D$2:$D$4054,"Tier 1")</f>
        <v>1</v>
      </c>
      <c r="G176" s="5" t="n">
        <f aca="false">COUNTIFS('Market Listing'!$A$2:$A$4054,B176,'Market Listing'!$B$2:$B$4054,C176,'Market Listing'!$D$2:$D$4054,"Tier 2")</f>
        <v>0</v>
      </c>
      <c r="H176" s="5" t="n">
        <f aca="false">COUNTIFS('Market Listing'!$A$2:$A$4054,B176,'Market Listing'!$B$2:$B$4054,C176,'Market Listing'!$D$2:$D$4054,"Tier 3")</f>
        <v>0</v>
      </c>
      <c r="I176" s="5" t="n">
        <f aca="false">SUMIFS('Market Listing'!$E$2:$E$4054,'Market Listing'!$A$2:$A$4054,B176,'Market Listing'!$B$2:$B$4054,C176)</f>
        <v>3</v>
      </c>
      <c r="J176" s="5" t="n">
        <f aca="false">COUNTIFS('Product Rows'!$A$2:$A$696,B176,'Product Rows'!$B$2:$B$696,C176)</f>
        <v>2</v>
      </c>
      <c r="K176" s="5" t="n">
        <f aca="false">COUNTIFS('Product Rows'!$A$2:$A$696,B176,'Product Rows'!$B$2:$B$696,C176,'Product Rows'!$G$2:$G$696,"Vial")</f>
        <v>2</v>
      </c>
      <c r="L176" s="5" t="n">
        <f aca="false">COUNTIFS('Product Rows'!$A$2:$A$696,B176,'Product Rows'!$B$2:$B$696,C176,'Product Rows'!$G$2:$G$696,"Ampoule")</f>
        <v>0</v>
      </c>
      <c r="M176" s="5" t="n">
        <f aca="false">COUNTIFS('Product Rows'!$A$2:$A$696,B176,'Product Rows'!$B$2:$B$696,C176,'Product Rows'!$G$2:$G$696,"Prefilled syringe/pen")</f>
        <v>0</v>
      </c>
      <c r="N176" s="6" t="n">
        <f aca="false">IFERROR(AVERAGEIFS('Product Rows'!$H$2:$H$696,'Product Rows'!$A$2:$A$696,B176,'Product Rows'!$B$2:$B$696,C176),"")</f>
        <v>25.2399</v>
      </c>
      <c r="O176" s="7" t="n">
        <f aca="false">INDEX('API Data'!$E$2:$E$152,MATCH(B176,'API Data'!$A$2:$A$152,0))</f>
        <v>2931.42</v>
      </c>
      <c r="P176" s="5" t="n">
        <f aca="false">COUNTIF($B$5:$B$337,B176)</f>
        <v>4</v>
      </c>
      <c r="Q176" s="8" t="n">
        <f aca="false">IF(ISNUMBER(I176),PERCENTRANK($I$5:$I$337,I176),"")</f>
        <v>0.157</v>
      </c>
      <c r="R176" s="8" t="n">
        <f aca="false">IF(ISNUMBER(N176),PERCENTRANK($N$5:$N$337,N176),"")</f>
        <v>0.448</v>
      </c>
      <c r="S176" s="8" t="n">
        <f aca="false">IF(ISNUMBER(O176),PERCENTRANK($O$5:$O$337,O176),"")</f>
        <v>0.395</v>
      </c>
      <c r="T176" s="8" t="n">
        <f aca="false">IF(ISNUMBER(P176),PERCENTRANK($P$5:$P$337,P176),"")</f>
        <v>0.569</v>
      </c>
      <c r="U176" s="9" t="n">
        <f aca="false">IF((IF(ISNUMBER(Q176),Inputs!$B$4,0)+IF(ISNUMBER(R176),Inputs!$B$5,0)+IF(ISNUMBER(S176),Inputs!$B$6,0)+IF(ISNUMBER(T176),Inputs!$B$7,0))=0,"",(IF(ISNUMBER(Q176),Inputs!$B$4*Q176,0)+IF(ISNUMBER(R176),Inputs!$B$5*R176,0)+IF(ISNUMBER(S176),Inputs!$B$6*S176,0)+IF(ISNUMBER(T176),Inputs!$B$7*T176,0))/(IF(ISNUMBER(Q176),Inputs!$B$4,0)+IF(ISNUMBER(R176),Inputs!$B$5,0)+IF(ISNUMBER(S176),Inputs!$B$6,0)+IF(ISNUMBER(T176),Inputs!$B$7,0)))</f>
        <v>0.4215</v>
      </c>
      <c r="V176" s="5" t="str">
        <f aca="false">IF(F176&gt;0,"Yes","No")</f>
        <v>Yes</v>
      </c>
      <c r="W176" s="5" t="str">
        <f aca="false">IF(ISNUMBER(N176),IF(N176&gt;=Inputs!$D$18,"Yes","No"),"No price")</f>
        <v>Yes</v>
      </c>
      <c r="X176" s="5" t="str">
        <f aca="false">IF(K176+L176&gt;0,"Yes",IF(M176&gt;0,"No","Unclear"))</f>
        <v>Yes</v>
      </c>
      <c r="Y176" s="5" t="str">
        <f aca="false">INDEX('API Data'!$H$2:$H$152,MATCH(B176,'API Data'!$A$2:$A$152,0))</f>
        <v>No</v>
      </c>
      <c r="Z176" s="5" t="str">
        <f aca="false">IF(COUNTIFS('Product Rows'!$A$2:$A$696,B176,'Product Rows'!$B$2:$B$696,C176,'Product Rows'!$I$2:$I$696,"Yes")&gt;0,"Yes","No")</f>
        <v>No</v>
      </c>
      <c r="AA176" s="5" t="str">
        <f aca="false">IF(P176&gt;=Inputs!$D$22,"Yes","No")</f>
        <v>Yes</v>
      </c>
      <c r="AB176" s="10" t="b">
        <f aca="false">AND(OR(Inputs!$B$17&lt;&gt;"Exclude",V176="Yes"),OR(Inputs!$B$18&lt;&gt;"Exclude",W176&lt;&gt;"No"),OR(Inputs!$B$19&lt;&gt;"Exclude",X176&lt;&gt;"No"),OR(Inputs!$B$20&lt;&gt;"Exclude",Y176="No"),OR(Inputs!$B$21&lt;&gt;"Exclude",Z176="No"),OR(Inputs!$B$22&lt;&gt;"Exclude",AA176="Yes"),ISNUMBER(U176))</f>
        <v>1</v>
      </c>
      <c r="AC176" s="5" t="n">
        <f aca="false">IF(AB176,COUNTIFS($C$5:$C$337,C176,$AB$5:$AB$337,TRUE(),$U$5:$U$337,"&gt;"&amp;U176)+COUNTIFS($C$5:C176,C176,$AB$5:AB176,TRUE(),$U$5:U176,U176),"")</f>
        <v>16</v>
      </c>
      <c r="AD176" s="5" t="str">
        <f aca="false">IF(AC176="","Not eligible",IF(AC176&lt;=Inputs!$B$25,"Lead",IF(AC176&lt;=Inputs!$B$25+Inputs!$B$26,"Next wave","Long list")))</f>
        <v>Long list</v>
      </c>
      <c r="AE176" s="5" t="str">
        <f aca="false">IF(AND(K176+L176=0,M176&gt;0),"Safety upgrade of existing prefilled syringe",IF(K176+L176+M176=0,"Confirm presentation (not stated in source)",IF(AA176="Yes","Differentiation in crowded generic market","Safety-device mandate compliance")))</f>
        <v>Differentiation in crowded generic market</v>
      </c>
      <c r="AF176" s="5" t="str">
        <f aca="false">IF(AC176="","",C176&amp;"|"&amp;AC176)</f>
        <v>Emcure Pharmaceuticals|16</v>
      </c>
    </row>
    <row r="177" customFormat="false" ht="15" hidden="false" customHeight="false" outlineLevel="0" collapsed="false">
      <c r="A177" s="5" t="n">
        <f aca="false">IF(ISNUMBER(U177),RANK(U177,$U$5:$U$337),"")</f>
        <v>222</v>
      </c>
      <c r="B177" s="5" t="s">
        <v>130</v>
      </c>
      <c r="C177" s="5" t="s">
        <v>57</v>
      </c>
      <c r="D177" s="5" t="str">
        <f aca="false">INDEX('API Data'!$B$2:$B$152,MATCH(B177,'API Data'!$A$2:$A$152,0))</f>
        <v>Cardiovascular – heart block, severe bradycardia</v>
      </c>
      <c r="E177" s="5" t="n">
        <f aca="false">COUNTIFS('Market Listing'!$A$2:$A$4054,B177,'Market Listing'!$B$2:$B$4054,C177)</f>
        <v>1</v>
      </c>
      <c r="F177" s="5" t="n">
        <f aca="false">COUNTIFS('Market Listing'!$A$2:$A$4054,B177,'Market Listing'!$B$2:$B$4054,C177,'Market Listing'!$D$2:$D$4054,"Tier 1")</f>
        <v>1</v>
      </c>
      <c r="G177" s="5" t="n">
        <f aca="false">COUNTIFS('Market Listing'!$A$2:$A$4054,B177,'Market Listing'!$B$2:$B$4054,C177,'Market Listing'!$D$2:$D$4054,"Tier 2")</f>
        <v>0</v>
      </c>
      <c r="H177" s="5" t="n">
        <f aca="false">COUNTIFS('Market Listing'!$A$2:$A$4054,B177,'Market Listing'!$B$2:$B$4054,C177,'Market Listing'!$D$2:$D$4054,"Tier 3")</f>
        <v>0</v>
      </c>
      <c r="I177" s="5" t="n">
        <f aca="false">SUMIFS('Market Listing'!$E$2:$E$4054,'Market Listing'!$A$2:$A$4054,B177,'Market Listing'!$B$2:$B$4054,C177)</f>
        <v>3</v>
      </c>
      <c r="J177" s="5" t="n">
        <f aca="false">COUNTIFS('Product Rows'!$A$2:$A$696,B177,'Product Rows'!$B$2:$B$696,C177)</f>
        <v>1</v>
      </c>
      <c r="K177" s="5" t="n">
        <f aca="false">COUNTIFS('Product Rows'!$A$2:$A$696,B177,'Product Rows'!$B$2:$B$696,C177,'Product Rows'!$G$2:$G$696,"Vial")</f>
        <v>0</v>
      </c>
      <c r="L177" s="5" t="n">
        <f aca="false">COUNTIFS('Product Rows'!$A$2:$A$696,B177,'Product Rows'!$B$2:$B$696,C177,'Product Rows'!$G$2:$G$696,"Ampoule")</f>
        <v>0</v>
      </c>
      <c r="M177" s="5" t="n">
        <f aca="false">COUNTIFS('Product Rows'!$A$2:$A$696,B177,'Product Rows'!$B$2:$B$696,C177,'Product Rows'!$G$2:$G$696,"Prefilled syringe/pen")</f>
        <v>0</v>
      </c>
      <c r="N177" s="6" t="str">
        <f aca="false">IFERROR(AVERAGEIFS('Product Rows'!$H$2:$H$696,'Product Rows'!$A$2:$A$696,B177,'Product Rows'!$B$2:$B$696,C177),"")</f>
        <v/>
      </c>
      <c r="O177" s="7" t="n">
        <f aca="false">INDEX('API Data'!$E$2:$E$152,MATCH(B177,'API Data'!$A$2:$A$152,0))</f>
        <v>2931.42</v>
      </c>
      <c r="P177" s="5" t="n">
        <f aca="false">COUNTIF($B$5:$B$337,B177)</f>
        <v>4</v>
      </c>
      <c r="Q177" s="8" t="n">
        <f aca="false">IF(ISNUMBER(I177),PERCENTRANK($I$5:$I$337,I177),"")</f>
        <v>0.157</v>
      </c>
      <c r="R177" s="8" t="str">
        <f aca="false">IF(ISNUMBER(N177),PERCENTRANK($N$5:$N$337,N177),"")</f>
        <v/>
      </c>
      <c r="S177" s="8" t="n">
        <f aca="false">IF(ISNUMBER(O177),PERCENTRANK($O$5:$O$337,O177),"")</f>
        <v>0.395</v>
      </c>
      <c r="T177" s="8" t="n">
        <f aca="false">IF(ISNUMBER(P177),PERCENTRANK($P$5:$P$337,P177),"")</f>
        <v>0.569</v>
      </c>
      <c r="U177" s="9" t="n">
        <f aca="false">IF((IF(ISNUMBER(Q177),Inputs!$B$4,0)+IF(ISNUMBER(R177),Inputs!$B$5,0)+IF(ISNUMBER(S177),Inputs!$B$6,0)+IF(ISNUMBER(T177),Inputs!$B$7,0))=0,"",(IF(ISNUMBER(Q177),Inputs!$B$4*Q177,0)+IF(ISNUMBER(R177),Inputs!$B$5*R177,0)+IF(ISNUMBER(S177),Inputs!$B$6*S177,0)+IF(ISNUMBER(T177),Inputs!$B$7*T177,0))/(IF(ISNUMBER(Q177),Inputs!$B$4,0)+IF(ISNUMBER(R177),Inputs!$B$5,0)+IF(ISNUMBER(S177),Inputs!$B$6,0)+IF(ISNUMBER(T177),Inputs!$B$7,0)))</f>
        <v>0.395</v>
      </c>
      <c r="V177" s="5" t="str">
        <f aca="false">IF(F177&gt;0,"Yes","No")</f>
        <v>Yes</v>
      </c>
      <c r="W177" s="5" t="str">
        <f aca="false">IF(ISNUMBER(N177),IF(N177&gt;=Inputs!$D$18,"Yes","No"),"No price")</f>
        <v>No price</v>
      </c>
      <c r="X177" s="5" t="str">
        <f aca="false">IF(K177+L177&gt;0,"Yes",IF(M177&gt;0,"No","Unclear"))</f>
        <v>Unclear</v>
      </c>
      <c r="Y177" s="5" t="str">
        <f aca="false">INDEX('API Data'!$H$2:$H$152,MATCH(B177,'API Data'!$A$2:$A$152,0))</f>
        <v>No</v>
      </c>
      <c r="Z177" s="5" t="str">
        <f aca="false">IF(COUNTIFS('Product Rows'!$A$2:$A$696,B177,'Product Rows'!$B$2:$B$696,C177,'Product Rows'!$I$2:$I$696,"Yes")&gt;0,"Yes","No")</f>
        <v>No</v>
      </c>
      <c r="AA177" s="5" t="str">
        <f aca="false">IF(P177&gt;=Inputs!$D$22,"Yes","No")</f>
        <v>Yes</v>
      </c>
      <c r="AB177" s="10" t="b">
        <f aca="false">AND(OR(Inputs!$B$17&lt;&gt;"Exclude",V177="Yes"),OR(Inputs!$B$18&lt;&gt;"Exclude",W177&lt;&gt;"No"),OR(Inputs!$B$19&lt;&gt;"Exclude",X177&lt;&gt;"No"),OR(Inputs!$B$20&lt;&gt;"Exclude",Y177="No"),OR(Inputs!$B$21&lt;&gt;"Exclude",Z177="No"),OR(Inputs!$B$22&lt;&gt;"Exclude",AA177="Yes"),ISNUMBER(U177))</f>
        <v>1</v>
      </c>
      <c r="AC177" s="5" t="n">
        <f aca="false">IF(AB177,COUNTIFS($C$5:$C$337,C177,$AB$5:$AB$337,TRUE(),$U$5:$U$337,"&gt;"&amp;U177)+COUNTIFS($C$5:C177,C177,$AB$5:AB177,TRUE(),$U$5:U177,U177),"")</f>
        <v>15</v>
      </c>
      <c r="AD177" s="5" t="str">
        <f aca="false">IF(AC177="","Not eligible",IF(AC177&lt;=Inputs!$B$25,"Lead",IF(AC177&lt;=Inputs!$B$25+Inputs!$B$26,"Next wave","Long list")))</f>
        <v>Long list</v>
      </c>
      <c r="AE177" s="5" t="str">
        <f aca="false">IF(AND(K177+L177=0,M177&gt;0),"Safety upgrade of existing prefilled syringe",IF(K177+L177+M177=0,"Confirm presentation (not stated in source)",IF(AA177="Yes","Differentiation in crowded generic market","Safety-device mandate compliance")))</f>
        <v>Confirm presentation (not stated in source)</v>
      </c>
      <c r="AF177" s="5" t="str">
        <f aca="false">IF(AC177="","",C177&amp;"|"&amp;AC177)</f>
        <v>Hetero Labs|15</v>
      </c>
    </row>
    <row r="178" customFormat="false" ht="15" hidden="false" customHeight="false" outlineLevel="0" collapsed="false">
      <c r="A178" s="5" t="n">
        <f aca="false">IF(ISNUMBER(U178),RANK(U178,$U$5:$U$337),"")</f>
        <v>160</v>
      </c>
      <c r="B178" s="5" t="s">
        <v>130</v>
      </c>
      <c r="C178" s="5" t="s">
        <v>65</v>
      </c>
      <c r="D178" s="5" t="str">
        <f aca="false">INDEX('API Data'!$B$2:$B$152,MATCH(B178,'API Data'!$A$2:$A$152,0))</f>
        <v>Cardiovascular – heart block, severe bradycardia</v>
      </c>
      <c r="E178" s="5" t="n">
        <f aca="false">COUNTIFS('Market Listing'!$A$2:$A$4054,B178,'Market Listing'!$B$2:$B$4054,C178)</f>
        <v>2</v>
      </c>
      <c r="F178" s="5" t="n">
        <f aca="false">COUNTIFS('Market Listing'!$A$2:$A$4054,B178,'Market Listing'!$B$2:$B$4054,C178,'Market Listing'!$D$2:$D$4054,"Tier 1")</f>
        <v>1</v>
      </c>
      <c r="G178" s="5" t="n">
        <f aca="false">COUNTIFS('Market Listing'!$A$2:$A$4054,B178,'Market Listing'!$B$2:$B$4054,C178,'Market Listing'!$D$2:$D$4054,"Tier 2")</f>
        <v>1</v>
      </c>
      <c r="H178" s="5" t="n">
        <f aca="false">COUNTIFS('Market Listing'!$A$2:$A$4054,B178,'Market Listing'!$B$2:$B$4054,C178,'Market Listing'!$D$2:$D$4054,"Tier 3")</f>
        <v>0</v>
      </c>
      <c r="I178" s="5" t="n">
        <f aca="false">SUMIFS('Market Listing'!$E$2:$E$4054,'Market Listing'!$A$2:$A$4054,B178,'Market Listing'!$B$2:$B$4054,C178)</f>
        <v>5</v>
      </c>
      <c r="J178" s="5" t="n">
        <f aca="false">COUNTIFS('Product Rows'!$A$2:$A$696,B178,'Product Rows'!$B$2:$B$696,C178)</f>
        <v>3</v>
      </c>
      <c r="K178" s="5" t="n">
        <f aca="false">COUNTIFS('Product Rows'!$A$2:$A$696,B178,'Product Rows'!$B$2:$B$696,C178,'Product Rows'!$G$2:$G$696,"Vial")</f>
        <v>0</v>
      </c>
      <c r="L178" s="5" t="n">
        <f aca="false">COUNTIFS('Product Rows'!$A$2:$A$696,B178,'Product Rows'!$B$2:$B$696,C178,'Product Rows'!$G$2:$G$696,"Ampoule")</f>
        <v>2</v>
      </c>
      <c r="M178" s="5" t="n">
        <f aca="false">COUNTIFS('Product Rows'!$A$2:$A$696,B178,'Product Rows'!$B$2:$B$696,C178,'Product Rows'!$G$2:$G$696,"Prefilled syringe/pen")</f>
        <v>0</v>
      </c>
      <c r="N178" s="6" t="n">
        <f aca="false">IFERROR(AVERAGEIFS('Product Rows'!$H$2:$H$696,'Product Rows'!$A$2:$A$696,B178,'Product Rows'!$B$2:$B$696,C178),"")</f>
        <v>51.18</v>
      </c>
      <c r="O178" s="7" t="n">
        <f aca="false">INDEX('API Data'!$E$2:$E$152,MATCH(B178,'API Data'!$A$2:$A$152,0))</f>
        <v>2931.42</v>
      </c>
      <c r="P178" s="5" t="n">
        <f aca="false">COUNTIF($B$5:$B$337,B178)</f>
        <v>4</v>
      </c>
      <c r="Q178" s="8" t="n">
        <f aca="false">IF(ISNUMBER(I178),PERCENTRANK($I$5:$I$337,I178),"")</f>
        <v>0.521</v>
      </c>
      <c r="R178" s="8" t="n">
        <f aca="false">IF(ISNUMBER(N178),PERCENTRANK($N$5:$N$337,N178),"")</f>
        <v>0.602</v>
      </c>
      <c r="S178" s="8" t="n">
        <f aca="false">IF(ISNUMBER(O178),PERCENTRANK($O$5:$O$337,O178),"")</f>
        <v>0.395</v>
      </c>
      <c r="T178" s="8" t="n">
        <f aca="false">IF(ISNUMBER(P178),PERCENTRANK($P$5:$P$337,P178),"")</f>
        <v>0.569</v>
      </c>
      <c r="U178" s="9" t="n">
        <f aca="false">IF((IF(ISNUMBER(Q178),Inputs!$B$4,0)+IF(ISNUMBER(R178),Inputs!$B$5,0)+IF(ISNUMBER(S178),Inputs!$B$6,0)+IF(ISNUMBER(T178),Inputs!$B$7,0))=0,"",(IF(ISNUMBER(Q178),Inputs!$B$4*Q178,0)+IF(ISNUMBER(R178),Inputs!$B$5*R178,0)+IF(ISNUMBER(S178),Inputs!$B$6*S178,0)+IF(ISNUMBER(T178),Inputs!$B$7*T178,0))/(IF(ISNUMBER(Q178),Inputs!$B$4,0)+IF(ISNUMBER(R178),Inputs!$B$5,0)+IF(ISNUMBER(S178),Inputs!$B$6,0)+IF(ISNUMBER(T178),Inputs!$B$7,0)))</f>
        <v>0.4985</v>
      </c>
      <c r="V178" s="5" t="str">
        <f aca="false">IF(F178&gt;0,"Yes","No")</f>
        <v>Yes</v>
      </c>
      <c r="W178" s="5" t="str">
        <f aca="false">IF(ISNUMBER(N178),IF(N178&gt;=Inputs!$D$18,"Yes","No"),"No price")</f>
        <v>Yes</v>
      </c>
      <c r="X178" s="5" t="str">
        <f aca="false">IF(K178+L178&gt;0,"Yes",IF(M178&gt;0,"No","Unclear"))</f>
        <v>Yes</v>
      </c>
      <c r="Y178" s="5" t="str">
        <f aca="false">INDEX('API Data'!$H$2:$H$152,MATCH(B178,'API Data'!$A$2:$A$152,0))</f>
        <v>No</v>
      </c>
      <c r="Z178" s="5" t="str">
        <f aca="false">IF(COUNTIFS('Product Rows'!$A$2:$A$696,B178,'Product Rows'!$B$2:$B$696,C178,'Product Rows'!$I$2:$I$696,"Yes")&gt;0,"Yes","No")</f>
        <v>No</v>
      </c>
      <c r="AA178" s="5" t="str">
        <f aca="false">IF(P178&gt;=Inputs!$D$22,"Yes","No")</f>
        <v>Yes</v>
      </c>
      <c r="AB178" s="10" t="b">
        <f aca="false">AND(OR(Inputs!$B$17&lt;&gt;"Exclude",V178="Yes"),OR(Inputs!$B$18&lt;&gt;"Exclude",W178&lt;&gt;"No"),OR(Inputs!$B$19&lt;&gt;"Exclude",X178&lt;&gt;"No"),OR(Inputs!$B$20&lt;&gt;"Exclude",Y178="No"),OR(Inputs!$B$21&lt;&gt;"Exclude",Z178="No"),OR(Inputs!$B$22&lt;&gt;"Exclude",AA178="Yes"),ISNUMBER(U178))</f>
        <v>1</v>
      </c>
      <c r="AC178" s="5" t="n">
        <f aca="false">IF(AB178,COUNTIFS($C$5:$C$337,C178,$AB$5:$AB$337,TRUE(),$U$5:$U$337,"&gt;"&amp;U178)+COUNTIFS($C$5:C178,C178,$AB$5:AB178,TRUE(),$U$5:U178,U178),"")</f>
        <v>2</v>
      </c>
      <c r="AD178" s="5" t="str">
        <f aca="false">IF(AC178="","Not eligible",IF(AC178&lt;=Inputs!$B$25,"Lead",IF(AC178&lt;=Inputs!$B$25+Inputs!$B$26,"Next wave","Long list")))</f>
        <v>Lead</v>
      </c>
      <c r="AE178" s="5" t="str">
        <f aca="false">IF(AND(K178+L178=0,M178&gt;0),"Safety upgrade of existing prefilled syringe",IF(K178+L178+M178=0,"Confirm presentation (not stated in source)",IF(AA178="Yes","Differentiation in crowded generic market","Safety-device mandate compliance")))</f>
        <v>Differentiation in crowded generic market</v>
      </c>
      <c r="AF178" s="5" t="str">
        <f aca="false">IF(AC178="","",C178&amp;"|"&amp;AC178)</f>
        <v>Micro Labs|2</v>
      </c>
    </row>
    <row r="179" customFormat="false" ht="15" hidden="false" customHeight="false" outlineLevel="0" collapsed="false">
      <c r="A179" s="5" t="n">
        <f aca="false">IF(ISNUMBER(U179),RANK(U179,$U$5:$U$337),"")</f>
        <v>162</v>
      </c>
      <c r="B179" s="5" t="s">
        <v>131</v>
      </c>
      <c r="C179" s="5" t="s">
        <v>54</v>
      </c>
      <c r="D179" s="5" t="str">
        <f aca="false">INDEX('API Data'!$B$2:$B$152,MATCH(B179,'API Data'!$A$2:$A$152,0))</f>
        <v>Endocrinology / Oncology – acromegaly; neuroendocrine tumours</v>
      </c>
      <c r="E179" s="5" t="n">
        <f aca="false">COUNTIFS('Market Listing'!$A$2:$A$4054,B179,'Market Listing'!$B$2:$B$4054,C179)</f>
        <v>1</v>
      </c>
      <c r="F179" s="5" t="n">
        <f aca="false">COUNTIFS('Market Listing'!$A$2:$A$4054,B179,'Market Listing'!$B$2:$B$4054,C179,'Market Listing'!$D$2:$D$4054,"Tier 1")</f>
        <v>1</v>
      </c>
      <c r="G179" s="5" t="n">
        <f aca="false">COUNTIFS('Market Listing'!$A$2:$A$4054,B179,'Market Listing'!$B$2:$B$4054,C179,'Market Listing'!$D$2:$D$4054,"Tier 2")</f>
        <v>0</v>
      </c>
      <c r="H179" s="5" t="n">
        <f aca="false">COUNTIFS('Market Listing'!$A$2:$A$4054,B179,'Market Listing'!$B$2:$B$4054,C179,'Market Listing'!$D$2:$D$4054,"Tier 3")</f>
        <v>0</v>
      </c>
      <c r="I179" s="5" t="n">
        <f aca="false">SUMIFS('Market Listing'!$E$2:$E$4054,'Market Listing'!$A$2:$A$4054,B179,'Market Listing'!$B$2:$B$4054,C179)</f>
        <v>3</v>
      </c>
      <c r="J179" s="5" t="n">
        <f aca="false">COUNTIFS('Product Rows'!$A$2:$A$696,B179,'Product Rows'!$B$2:$B$696,C179)</f>
        <v>3</v>
      </c>
      <c r="K179" s="5" t="n">
        <f aca="false">COUNTIFS('Product Rows'!$A$2:$A$696,B179,'Product Rows'!$B$2:$B$696,C179,'Product Rows'!$G$2:$G$696,"Vial")</f>
        <v>0</v>
      </c>
      <c r="L179" s="5" t="n">
        <f aca="false">COUNTIFS('Product Rows'!$A$2:$A$696,B179,'Product Rows'!$B$2:$B$696,C179,'Product Rows'!$G$2:$G$696,"Ampoule")</f>
        <v>0</v>
      </c>
      <c r="M179" s="5" t="n">
        <f aca="false">COUNTIFS('Product Rows'!$A$2:$A$696,B179,'Product Rows'!$B$2:$B$696,C179,'Product Rows'!$G$2:$G$696,"Prefilled syringe/pen")</f>
        <v>3</v>
      </c>
      <c r="N179" s="6" t="n">
        <f aca="false">IFERROR(AVERAGEIFS('Product Rows'!$H$2:$H$696,'Product Rows'!$A$2:$A$696,B179,'Product Rows'!$B$2:$B$696,C179),"")</f>
        <v>5970.58666666667</v>
      </c>
      <c r="O179" s="7" t="n">
        <f aca="false">INDEX('API Data'!$E$2:$E$152,MATCH(B179,'API Data'!$A$2:$A$152,0))</f>
        <v>0.23</v>
      </c>
      <c r="P179" s="5" t="n">
        <f aca="false">COUNTIF($B$5:$B$337,B179)</f>
        <v>1</v>
      </c>
      <c r="Q179" s="8" t="n">
        <f aca="false">IF(ISNUMBER(I179),PERCENTRANK($I$5:$I$337,I179),"")</f>
        <v>0.157</v>
      </c>
      <c r="R179" s="8" t="n">
        <f aca="false">IF(ISNUMBER(N179),PERCENTRANK($N$5:$N$337,N179),"")</f>
        <v>0.993</v>
      </c>
      <c r="S179" s="8" t="n">
        <f aca="false">IF(ISNUMBER(O179),PERCENTRANK($O$5:$O$337,O179),"")</f>
        <v>0</v>
      </c>
      <c r="T179" s="8" t="n">
        <f aca="false">IF(ISNUMBER(P179),PERCENTRANK($P$5:$P$337,P179),"")</f>
        <v>0</v>
      </c>
      <c r="U179" s="9" t="n">
        <f aca="false">IF((IF(ISNUMBER(Q179),Inputs!$B$4,0)+IF(ISNUMBER(R179),Inputs!$B$5,0)+IF(ISNUMBER(S179),Inputs!$B$6,0)+IF(ISNUMBER(T179),Inputs!$B$7,0))=0,"",(IF(ISNUMBER(Q179),Inputs!$B$4*Q179,0)+IF(ISNUMBER(R179),Inputs!$B$5*R179,0)+IF(ISNUMBER(S179),Inputs!$B$6*S179,0)+IF(ISNUMBER(T179),Inputs!$B$7*T179,0))/(IF(ISNUMBER(Q179),Inputs!$B$4,0)+IF(ISNUMBER(R179),Inputs!$B$5,0)+IF(ISNUMBER(S179),Inputs!$B$6,0)+IF(ISNUMBER(T179),Inputs!$B$7,0)))</f>
        <v>0.4965</v>
      </c>
      <c r="V179" s="5" t="str">
        <f aca="false">IF(F179&gt;0,"Yes","No")</f>
        <v>Yes</v>
      </c>
      <c r="W179" s="5" t="str">
        <f aca="false">IF(ISNUMBER(N179),IF(N179&gt;=Inputs!$D$18,"Yes","No"),"No price")</f>
        <v>Yes</v>
      </c>
      <c r="X179" s="5" t="str">
        <f aca="false">IF(K179+L179&gt;0,"Yes",IF(M179&gt;0,"No","Unclear"))</f>
        <v>No</v>
      </c>
      <c r="Y179" s="5" t="str">
        <f aca="false">INDEX('API Data'!$H$2:$H$152,MATCH(B179,'API Data'!$A$2:$A$152,0))</f>
        <v>No</v>
      </c>
      <c r="Z179" s="5" t="str">
        <f aca="false">IF(COUNTIFS('Product Rows'!$A$2:$A$696,B179,'Product Rows'!$B$2:$B$696,C179,'Product Rows'!$I$2:$I$696,"Yes")&gt;0,"Yes","No")</f>
        <v>No</v>
      </c>
      <c r="AA179" s="5" t="str">
        <f aca="false">IF(P179&gt;=Inputs!$D$22,"Yes","No")</f>
        <v>No</v>
      </c>
      <c r="AB179" s="10" t="b">
        <f aca="false">AND(OR(Inputs!$B$17&lt;&gt;"Exclude",V179="Yes"),OR(Inputs!$B$18&lt;&gt;"Exclude",W179&lt;&gt;"No"),OR(Inputs!$B$19&lt;&gt;"Exclude",X179&lt;&gt;"No"),OR(Inputs!$B$20&lt;&gt;"Exclude",Y179="No"),OR(Inputs!$B$21&lt;&gt;"Exclude",Z179="No"),OR(Inputs!$B$22&lt;&gt;"Exclude",AA179="Yes"),ISNUMBER(U179))</f>
        <v>1</v>
      </c>
      <c r="AC179" s="5" t="n">
        <f aca="false">IF(AB179,COUNTIFS($C$5:$C$337,C179,$AB$5:$AB$337,TRUE(),$U$5:$U$337,"&gt;"&amp;U179)+COUNTIFS($C$5:C179,C179,$AB$5:AB179,TRUE(),$U$5:U179,U179),"")</f>
        <v>6</v>
      </c>
      <c r="AD179" s="5" t="str">
        <f aca="false">IF(AC179="","Not eligible",IF(AC179&lt;=Inputs!$B$25,"Lead",IF(AC179&lt;=Inputs!$B$25+Inputs!$B$26,"Next wave","Long list")))</f>
        <v>Next wave</v>
      </c>
      <c r="AE179" s="5" t="str">
        <f aca="false">IF(AND(K179+L179=0,M179&gt;0),"Safety upgrade of existing prefilled syringe",IF(K179+L179+M179=0,"Confirm presentation (not stated in source)",IF(AA179="Yes","Differentiation in crowded generic market","Safety-device mandate compliance")))</f>
        <v>Safety upgrade of existing prefilled syringe</v>
      </c>
      <c r="AF179" s="5" t="str">
        <f aca="false">IF(AC179="","",C179&amp;"|"&amp;AC179)</f>
        <v>Cipla|6</v>
      </c>
    </row>
    <row r="180" customFormat="false" ht="15" hidden="false" customHeight="false" outlineLevel="0" collapsed="false">
      <c r="A180" s="5" t="n">
        <f aca="false">IF(ISNUMBER(U180),RANK(U180,$U$5:$U$337),"")</f>
        <v>82</v>
      </c>
      <c r="B180" s="5" t="s">
        <v>132</v>
      </c>
      <c r="C180" s="5" t="s">
        <v>44</v>
      </c>
      <c r="D180" s="5" t="str">
        <f aca="false">INDEX('API Data'!$B$2:$B$152,MATCH(B180,'API Data'!$A$2:$A$152,0))</f>
        <v>Oncology – advanced prostate cancer (hormone therapy)</v>
      </c>
      <c r="E180" s="5" t="n">
        <f aca="false">COUNTIFS('Market Listing'!$A$2:$A$4054,B180,'Market Listing'!$B$2:$B$4054,C180)</f>
        <v>24</v>
      </c>
      <c r="F180" s="5" t="n">
        <f aca="false">COUNTIFS('Market Listing'!$A$2:$A$4054,B180,'Market Listing'!$B$2:$B$4054,C180,'Market Listing'!$D$2:$D$4054,"Tier 1")</f>
        <v>4</v>
      </c>
      <c r="G180" s="5" t="n">
        <f aca="false">COUNTIFS('Market Listing'!$A$2:$A$4054,B180,'Market Listing'!$B$2:$B$4054,C180,'Market Listing'!$D$2:$D$4054,"Tier 2")</f>
        <v>3</v>
      </c>
      <c r="H180" s="5" t="n">
        <f aca="false">COUNTIFS('Market Listing'!$A$2:$A$4054,B180,'Market Listing'!$B$2:$B$4054,C180,'Market Listing'!$D$2:$D$4054,"Tier 3")</f>
        <v>17</v>
      </c>
      <c r="I180" s="5" t="n">
        <f aca="false">SUMIFS('Market Listing'!$E$2:$E$4054,'Market Listing'!$A$2:$A$4054,B180,'Market Listing'!$B$2:$B$4054,C180)</f>
        <v>35</v>
      </c>
      <c r="J180" s="5" t="n">
        <f aca="false">COUNTIFS('Product Rows'!$A$2:$A$696,B180,'Product Rows'!$B$2:$B$696,C180)</f>
        <v>2</v>
      </c>
      <c r="K180" s="5" t="n">
        <f aca="false">COUNTIFS('Product Rows'!$A$2:$A$696,B180,'Product Rows'!$B$2:$B$696,C180,'Product Rows'!$G$2:$G$696,"Vial")</f>
        <v>0</v>
      </c>
      <c r="L180" s="5" t="n">
        <f aca="false">COUNTIFS('Product Rows'!$A$2:$A$696,B180,'Product Rows'!$B$2:$B$696,C180,'Product Rows'!$G$2:$G$696,"Ampoule")</f>
        <v>0</v>
      </c>
      <c r="M180" s="5" t="n">
        <f aca="false">COUNTIFS('Product Rows'!$A$2:$A$696,B180,'Product Rows'!$B$2:$B$696,C180,'Product Rows'!$G$2:$G$696,"Prefilled syringe/pen")</f>
        <v>2</v>
      </c>
      <c r="N180" s="6" t="n">
        <f aca="false">IFERROR(AVERAGEIFS('Product Rows'!$H$2:$H$696,'Product Rows'!$A$2:$A$696,B180,'Product Rows'!$B$2:$B$696,C180),"")</f>
        <v>433.9426</v>
      </c>
      <c r="O180" s="7" t="n">
        <f aca="false">INDEX('API Data'!$E$2:$E$152,MATCH(B180,'API Data'!$A$2:$A$152,0))</f>
        <v>2489.36522047035</v>
      </c>
      <c r="P180" s="5" t="n">
        <f aca="false">COUNTIF($B$5:$B$337,B180)</f>
        <v>1</v>
      </c>
      <c r="Q180" s="8" t="n">
        <f aca="false">IF(ISNUMBER(I180),PERCENTRANK($I$5:$I$337,I180),"")</f>
        <v>0.654</v>
      </c>
      <c r="R180" s="8" t="n">
        <f aca="false">IF(ISNUMBER(N180),PERCENTRANK($N$5:$N$337,N180),"")</f>
        <v>0.928</v>
      </c>
      <c r="S180" s="8" t="n">
        <f aca="false">IF(ISNUMBER(O180),PERCENTRANK($O$5:$O$337,O180),"")</f>
        <v>0.31</v>
      </c>
      <c r="T180" s="8" t="n">
        <f aca="false">IF(ISNUMBER(P180),PERCENTRANK($P$5:$P$337,P180),"")</f>
        <v>0</v>
      </c>
      <c r="U180" s="9" t="n">
        <f aca="false">IF((IF(ISNUMBER(Q180),Inputs!$B$4,0)+IF(ISNUMBER(R180),Inputs!$B$5,0)+IF(ISNUMBER(S180),Inputs!$B$6,0)+IF(ISNUMBER(T180),Inputs!$B$7,0))=0,"",(IF(ISNUMBER(Q180),Inputs!$B$4*Q180,0)+IF(ISNUMBER(R180),Inputs!$B$5*R180,0)+IF(ISNUMBER(S180),Inputs!$B$6*S180,0)+IF(ISNUMBER(T180),Inputs!$B$7*T180,0))/(IF(ISNUMBER(Q180),Inputs!$B$4,0)+IF(ISNUMBER(R180),Inputs!$B$5,0)+IF(ISNUMBER(S180),Inputs!$B$6,0)+IF(ISNUMBER(T180),Inputs!$B$7,0)))</f>
        <v>0.619</v>
      </c>
      <c r="V180" s="5" t="str">
        <f aca="false">IF(F180&gt;0,"Yes","No")</f>
        <v>Yes</v>
      </c>
      <c r="W180" s="5" t="str">
        <f aca="false">IF(ISNUMBER(N180),IF(N180&gt;=Inputs!$D$18,"Yes","No"),"No price")</f>
        <v>Yes</v>
      </c>
      <c r="X180" s="5" t="str">
        <f aca="false">IF(K180+L180&gt;0,"Yes",IF(M180&gt;0,"No","Unclear"))</f>
        <v>No</v>
      </c>
      <c r="Y180" s="5" t="str">
        <f aca="false">INDEX('API Data'!$H$2:$H$152,MATCH(B180,'API Data'!$A$2:$A$152,0))</f>
        <v>No</v>
      </c>
      <c r="Z180" s="5" t="str">
        <f aca="false">IF(COUNTIFS('Product Rows'!$A$2:$A$696,B180,'Product Rows'!$B$2:$B$696,C180,'Product Rows'!$I$2:$I$696,"Yes")&gt;0,"Yes","No")</f>
        <v>No</v>
      </c>
      <c r="AA180" s="5" t="str">
        <f aca="false">IF(P180&gt;=Inputs!$D$22,"Yes","No")</f>
        <v>No</v>
      </c>
      <c r="AB180" s="10" t="b">
        <f aca="false">AND(OR(Inputs!$B$17&lt;&gt;"Exclude",V180="Yes"),OR(Inputs!$B$18&lt;&gt;"Exclude",W180&lt;&gt;"No"),OR(Inputs!$B$19&lt;&gt;"Exclude",X180&lt;&gt;"No"),OR(Inputs!$B$20&lt;&gt;"Exclude",Y180="No"),OR(Inputs!$B$21&lt;&gt;"Exclude",Z180="No"),OR(Inputs!$B$22&lt;&gt;"Exclude",AA180="Yes"),ISNUMBER(U180))</f>
        <v>1</v>
      </c>
      <c r="AC180" s="5" t="n">
        <f aca="false">IF(AB180,COUNTIFS($C$5:$C$337,C180,$AB$5:$AB$337,TRUE(),$U$5:$U$337,"&gt;"&amp;U180)+COUNTIFS($C$5:C180,C180,$AB$5:AB180,TRUE(),$U$5:U180,U180),"")</f>
        <v>17</v>
      </c>
      <c r="AD180" s="5" t="str">
        <f aca="false">IF(AC180="","Not eligible",IF(AC180&lt;=Inputs!$B$25,"Lead",IF(AC180&lt;=Inputs!$B$25+Inputs!$B$26,"Next wave","Long list")))</f>
        <v>Long list</v>
      </c>
      <c r="AE180" s="5" t="str">
        <f aca="false">IF(AND(K180+L180=0,M180&gt;0),"Safety upgrade of existing prefilled syringe",IF(K180+L180+M180=0,"Confirm presentation (not stated in source)",IF(AA180="Yes","Differentiation in crowded generic market","Safety-device mandate compliance")))</f>
        <v>Safety upgrade of existing prefilled syringe</v>
      </c>
      <c r="AF180" s="5" t="str">
        <f aca="false">IF(AC180="","",C180&amp;"|"&amp;AC180)</f>
        <v>Intas Pharmaceuticals|17</v>
      </c>
    </row>
    <row r="181" customFormat="false" ht="15" hidden="false" customHeight="false" outlineLevel="0" collapsed="false">
      <c r="A181" s="5" t="n">
        <f aca="false">IF(ISNUMBER(U181),RANK(U181,$U$5:$U$337),"")</f>
        <v>54</v>
      </c>
      <c r="B181" s="5" t="s">
        <v>133</v>
      </c>
      <c r="C181" s="5" t="s">
        <v>65</v>
      </c>
      <c r="D181" s="5" t="str">
        <f aca="false">INDEX('API Data'!$B$2:$B$152,MATCH(B181,'API Data'!$A$2:$A$152,0))</f>
        <v>Neurology – epilepsy &amp; status epilepticus (when oral not possible)</v>
      </c>
      <c r="E181" s="5" t="n">
        <f aca="false">COUNTIFS('Market Listing'!$A$2:$A$4054,B181,'Market Listing'!$B$2:$B$4054,C181)</f>
        <v>1</v>
      </c>
      <c r="F181" s="5" t="n">
        <f aca="false">COUNTIFS('Market Listing'!$A$2:$A$4054,B181,'Market Listing'!$B$2:$B$4054,C181,'Market Listing'!$D$2:$D$4054,"Tier 1")</f>
        <v>0</v>
      </c>
      <c r="G181" s="5" t="n">
        <f aca="false">COUNTIFS('Market Listing'!$A$2:$A$4054,B181,'Market Listing'!$B$2:$B$4054,C181,'Market Listing'!$D$2:$D$4054,"Tier 2")</f>
        <v>1</v>
      </c>
      <c r="H181" s="5" t="n">
        <f aca="false">COUNTIFS('Market Listing'!$A$2:$A$4054,B181,'Market Listing'!$B$2:$B$4054,C181,'Market Listing'!$D$2:$D$4054,"Tier 3")</f>
        <v>0</v>
      </c>
      <c r="I181" s="5" t="n">
        <f aca="false">SUMIFS('Market Listing'!$E$2:$E$4054,'Market Listing'!$A$2:$A$4054,B181,'Market Listing'!$B$2:$B$4054,C181)</f>
        <v>2</v>
      </c>
      <c r="J181" s="5" t="n">
        <f aca="false">COUNTIFS('Product Rows'!$A$2:$A$696,B181,'Product Rows'!$B$2:$B$696,C181)</f>
        <v>1</v>
      </c>
      <c r="K181" s="5" t="n">
        <f aca="false">COUNTIFS('Product Rows'!$A$2:$A$696,B181,'Product Rows'!$B$2:$B$696,C181,'Product Rows'!$G$2:$G$696,"Vial")</f>
        <v>1</v>
      </c>
      <c r="L181" s="5" t="n">
        <f aca="false">COUNTIFS('Product Rows'!$A$2:$A$696,B181,'Product Rows'!$B$2:$B$696,C181,'Product Rows'!$G$2:$G$696,"Ampoule")</f>
        <v>0</v>
      </c>
      <c r="M181" s="5" t="n">
        <f aca="false">COUNTIFS('Product Rows'!$A$2:$A$696,B181,'Product Rows'!$B$2:$B$696,C181,'Product Rows'!$G$2:$G$696,"Prefilled syringe/pen")</f>
        <v>0</v>
      </c>
      <c r="N181" s="6" t="n">
        <f aca="false">IFERROR(AVERAGEIFS('Product Rows'!$H$2:$H$696,'Product Rows'!$A$2:$A$696,B181,'Product Rows'!$B$2:$B$696,C181),"")</f>
        <v>90.209</v>
      </c>
      <c r="O181" s="7" t="n">
        <f aca="false">INDEX('API Data'!$E$2:$E$152,MATCH(B181,'API Data'!$A$2:$A$152,0))</f>
        <v>18568.7513411278</v>
      </c>
      <c r="P181" s="5" t="n">
        <f aca="false">COUNTIF($B$5:$B$337,B181)</f>
        <v>2</v>
      </c>
      <c r="Q181" s="8" t="n">
        <f aca="false">IF(ISNUMBER(I181),PERCENTRANK($I$5:$I$337,I181),"")</f>
        <v>0</v>
      </c>
      <c r="R181" s="8" t="n">
        <f aca="false">IF(ISNUMBER(N181),PERCENTRANK($N$5:$N$337,N181),"")</f>
        <v>0.72</v>
      </c>
      <c r="S181" s="8" t="n">
        <f aca="false">IF(ISNUMBER(O181),PERCENTRANK($O$5:$O$337,O181),"")</f>
        <v>0.762</v>
      </c>
      <c r="T181" s="8" t="n">
        <f aca="false">IF(ISNUMBER(P181),PERCENTRANK($P$5:$P$337,P181),"")</f>
        <v>0.235</v>
      </c>
      <c r="U181" s="9" t="n">
        <f aca="false">IF((IF(ISNUMBER(Q181),Inputs!$B$4,0)+IF(ISNUMBER(R181),Inputs!$B$5,0)+IF(ISNUMBER(S181),Inputs!$B$6,0)+IF(ISNUMBER(T181),Inputs!$B$7,0))=0,"",(IF(ISNUMBER(Q181),Inputs!$B$4*Q181,0)+IF(ISNUMBER(R181),Inputs!$B$5*R181,0)+IF(ISNUMBER(S181),Inputs!$B$6*S181,0)+IF(ISNUMBER(T181),Inputs!$B$7*T181,0))/(IF(ISNUMBER(Q181),Inputs!$B$4,0)+IF(ISNUMBER(R181),Inputs!$B$5,0)+IF(ISNUMBER(S181),Inputs!$B$6,0)+IF(ISNUMBER(T181),Inputs!$B$7,0)))</f>
        <v>0.741</v>
      </c>
      <c r="V181" s="5" t="str">
        <f aca="false">IF(F181&gt;0,"Yes","No")</f>
        <v>No</v>
      </c>
      <c r="W181" s="5" t="str">
        <f aca="false">IF(ISNUMBER(N181),IF(N181&gt;=Inputs!$D$18,"Yes","No"),"No price")</f>
        <v>Yes</v>
      </c>
      <c r="X181" s="5" t="str">
        <f aca="false">IF(K181+L181&gt;0,"Yes",IF(M181&gt;0,"No","Unclear"))</f>
        <v>Yes</v>
      </c>
      <c r="Y181" s="5" t="str">
        <f aca="false">INDEX('API Data'!$H$2:$H$152,MATCH(B181,'API Data'!$A$2:$A$152,0))</f>
        <v>No</v>
      </c>
      <c r="Z181" s="5" t="str">
        <f aca="false">IF(COUNTIFS('Product Rows'!$A$2:$A$696,B181,'Product Rows'!$B$2:$B$696,C181,'Product Rows'!$I$2:$I$696,"Yes")&gt;0,"Yes","No")</f>
        <v>No</v>
      </c>
      <c r="AA181" s="5" t="str">
        <f aca="false">IF(P181&gt;=Inputs!$D$22,"Yes","No")</f>
        <v>No</v>
      </c>
      <c r="AB181" s="10" t="b">
        <f aca="false">AND(OR(Inputs!$B$17&lt;&gt;"Exclude",V181="Yes"),OR(Inputs!$B$18&lt;&gt;"Exclude",W181&lt;&gt;"No"),OR(Inputs!$B$19&lt;&gt;"Exclude",X181&lt;&gt;"No"),OR(Inputs!$B$20&lt;&gt;"Exclude",Y181="No"),OR(Inputs!$B$21&lt;&gt;"Exclude",Z181="No"),OR(Inputs!$B$22&lt;&gt;"Exclude",AA181="Yes"),ISNUMBER(U181))</f>
        <v>0</v>
      </c>
      <c r="AC181" s="5" t="str">
        <f aca="false">IF(AB181,COUNTIFS($C$5:$C$337,C181,$AB$5:$AB$337,TRUE(),$U$5:$U$337,"&gt;"&amp;U181)+COUNTIFS($C$5:C181,C181,$AB$5:AB181,TRUE(),$U$5:U181,U181),"")</f>
        <v/>
      </c>
      <c r="AD181" s="5" t="str">
        <f aca="false">IF(AC181="","Not eligible",IF(AC181&lt;=Inputs!$B$25,"Lead",IF(AC181&lt;=Inputs!$B$25+Inputs!$B$26,"Next wave","Long list")))</f>
        <v>Not eligible</v>
      </c>
      <c r="AE181" s="5" t="str">
        <f aca="false">IF(AND(K181+L181=0,M181&gt;0),"Safety upgrade of existing prefilled syringe",IF(K181+L181+M181=0,"Confirm presentation (not stated in source)",IF(AA181="Yes","Differentiation in crowded generic market","Safety-device mandate compliance")))</f>
        <v>Safety-device mandate compliance</v>
      </c>
      <c r="AF181" s="5" t="str">
        <f aca="false">IF(AC181="","",C181&amp;"|"&amp;AC181)</f>
        <v/>
      </c>
    </row>
    <row r="182" customFormat="false" ht="15" hidden="false" customHeight="false" outlineLevel="0" collapsed="false">
      <c r="A182" s="5" t="n">
        <f aca="false">IF(ISNUMBER(U182),RANK(U182,$U$5:$U$337),"")</f>
        <v>48</v>
      </c>
      <c r="B182" s="5" t="s">
        <v>133</v>
      </c>
      <c r="C182" s="5" t="s">
        <v>115</v>
      </c>
      <c r="D182" s="5" t="str">
        <f aca="false">INDEX('API Data'!$B$2:$B$152,MATCH(B182,'API Data'!$A$2:$A$152,0))</f>
        <v>Neurology – epilepsy &amp; status epilepticus (when oral not possible)</v>
      </c>
      <c r="E182" s="5" t="n">
        <f aca="false">COUNTIFS('Market Listing'!$A$2:$A$4054,B182,'Market Listing'!$B$2:$B$4054,C182)</f>
        <v>31</v>
      </c>
      <c r="F182" s="5" t="n">
        <f aca="false">COUNTIFS('Market Listing'!$A$2:$A$4054,B182,'Market Listing'!$B$2:$B$4054,C182,'Market Listing'!$D$2:$D$4054,"Tier 1")</f>
        <v>5</v>
      </c>
      <c r="G182" s="5" t="n">
        <f aca="false">COUNTIFS('Market Listing'!$A$2:$A$4054,B182,'Market Listing'!$B$2:$B$4054,C182,'Market Listing'!$D$2:$D$4054,"Tier 2")</f>
        <v>3</v>
      </c>
      <c r="H182" s="5" t="n">
        <f aca="false">COUNTIFS('Market Listing'!$A$2:$A$4054,B182,'Market Listing'!$B$2:$B$4054,C182,'Market Listing'!$D$2:$D$4054,"Tier 3")</f>
        <v>23</v>
      </c>
      <c r="I182" s="5" t="n">
        <f aca="false">SUMIFS('Market Listing'!$E$2:$E$4054,'Market Listing'!$A$2:$A$4054,B182,'Market Listing'!$B$2:$B$4054,C182)</f>
        <v>44</v>
      </c>
      <c r="J182" s="5" t="n">
        <f aca="false">COUNTIFS('Product Rows'!$A$2:$A$696,B182,'Product Rows'!$B$2:$B$696,C182)</f>
        <v>1</v>
      </c>
      <c r="K182" s="5" t="n">
        <f aca="false">COUNTIFS('Product Rows'!$A$2:$A$696,B182,'Product Rows'!$B$2:$B$696,C182,'Product Rows'!$G$2:$G$696,"Vial")</f>
        <v>0</v>
      </c>
      <c r="L182" s="5" t="n">
        <f aca="false">COUNTIFS('Product Rows'!$A$2:$A$696,B182,'Product Rows'!$B$2:$B$696,C182,'Product Rows'!$G$2:$G$696,"Ampoule")</f>
        <v>0</v>
      </c>
      <c r="M182" s="5" t="n">
        <f aca="false">COUNTIFS('Product Rows'!$A$2:$A$696,B182,'Product Rows'!$B$2:$B$696,C182,'Product Rows'!$G$2:$G$696,"Prefilled syringe/pen")</f>
        <v>0</v>
      </c>
      <c r="N182" s="6" t="str">
        <f aca="false">IFERROR(AVERAGEIFS('Product Rows'!$H$2:$H$696,'Product Rows'!$A$2:$A$696,B182,'Product Rows'!$B$2:$B$696,C182),"")</f>
        <v/>
      </c>
      <c r="O182" s="7" t="n">
        <f aca="false">INDEX('API Data'!$E$2:$E$152,MATCH(B182,'API Data'!$A$2:$A$152,0))</f>
        <v>18568.7513411278</v>
      </c>
      <c r="P182" s="5" t="n">
        <f aca="false">COUNTIF($B$5:$B$337,B182)</f>
        <v>2</v>
      </c>
      <c r="Q182" s="8" t="n">
        <f aca="false">IF(ISNUMBER(I182),PERCENTRANK($I$5:$I$337,I182),"")</f>
        <v>0.798</v>
      </c>
      <c r="R182" s="8" t="str">
        <f aca="false">IF(ISNUMBER(N182),PERCENTRANK($N$5:$N$337,N182),"")</f>
        <v/>
      </c>
      <c r="S182" s="8" t="n">
        <f aca="false">IF(ISNUMBER(O182),PERCENTRANK($O$5:$O$337,O182),"")</f>
        <v>0.762</v>
      </c>
      <c r="T182" s="8" t="n">
        <f aca="false">IF(ISNUMBER(P182),PERCENTRANK($P$5:$P$337,P182),"")</f>
        <v>0.235</v>
      </c>
      <c r="U182" s="9" t="n">
        <f aca="false">IF((IF(ISNUMBER(Q182),Inputs!$B$4,0)+IF(ISNUMBER(R182),Inputs!$B$5,0)+IF(ISNUMBER(S182),Inputs!$B$6,0)+IF(ISNUMBER(T182),Inputs!$B$7,0))=0,"",(IF(ISNUMBER(Q182),Inputs!$B$4*Q182,0)+IF(ISNUMBER(R182),Inputs!$B$5*R182,0)+IF(ISNUMBER(S182),Inputs!$B$6*S182,0)+IF(ISNUMBER(T182),Inputs!$B$7*T182,0))/(IF(ISNUMBER(Q182),Inputs!$B$4,0)+IF(ISNUMBER(R182),Inputs!$B$5,0)+IF(ISNUMBER(S182),Inputs!$B$6,0)+IF(ISNUMBER(T182),Inputs!$B$7,0)))</f>
        <v>0.762</v>
      </c>
      <c r="V182" s="5" t="str">
        <f aca="false">IF(F182&gt;0,"Yes","No")</f>
        <v>Yes</v>
      </c>
      <c r="W182" s="5" t="str">
        <f aca="false">IF(ISNUMBER(N182),IF(N182&gt;=Inputs!$D$18,"Yes","No"),"No price")</f>
        <v>No price</v>
      </c>
      <c r="X182" s="5" t="str">
        <f aca="false">IF(K182+L182&gt;0,"Yes",IF(M182&gt;0,"No","Unclear"))</f>
        <v>Unclear</v>
      </c>
      <c r="Y182" s="5" t="str">
        <f aca="false">INDEX('API Data'!$H$2:$H$152,MATCH(B182,'API Data'!$A$2:$A$152,0))</f>
        <v>No</v>
      </c>
      <c r="Z182" s="5" t="str">
        <f aca="false">IF(COUNTIFS('Product Rows'!$A$2:$A$696,B182,'Product Rows'!$B$2:$B$696,C182,'Product Rows'!$I$2:$I$696,"Yes")&gt;0,"Yes","No")</f>
        <v>No</v>
      </c>
      <c r="AA182" s="5" t="str">
        <f aca="false">IF(P182&gt;=Inputs!$D$22,"Yes","No")</f>
        <v>No</v>
      </c>
      <c r="AB182" s="10" t="b">
        <f aca="false">AND(OR(Inputs!$B$17&lt;&gt;"Exclude",V182="Yes"),OR(Inputs!$B$18&lt;&gt;"Exclude",W182&lt;&gt;"No"),OR(Inputs!$B$19&lt;&gt;"Exclude",X182&lt;&gt;"No"),OR(Inputs!$B$20&lt;&gt;"Exclude",Y182="No"),OR(Inputs!$B$21&lt;&gt;"Exclude",Z182="No"),OR(Inputs!$B$22&lt;&gt;"Exclude",AA182="Yes"),ISNUMBER(U182))</f>
        <v>1</v>
      </c>
      <c r="AC182" s="5" t="n">
        <f aca="false">IF(AB182,COUNTIFS($C$5:$C$337,C182,$AB$5:$AB$337,TRUE(),$U$5:$U$337,"&gt;"&amp;U182)+COUNTIFS($C$5:C182,C182,$AB$5:AB182,TRUE(),$U$5:U182,U182),"")</f>
        <v>2</v>
      </c>
      <c r="AD182" s="5" t="str">
        <f aca="false">IF(AC182="","Not eligible",IF(AC182&lt;=Inputs!$B$25,"Lead",IF(AC182&lt;=Inputs!$B$25+Inputs!$B$26,"Next wave","Long list")))</f>
        <v>Lead</v>
      </c>
      <c r="AE182" s="5" t="str">
        <f aca="false">IF(AND(K182+L182=0,M182&gt;0),"Safety upgrade of existing prefilled syringe",IF(K182+L182+M182=0,"Confirm presentation (not stated in source)",IF(AA182="Yes","Differentiation in crowded generic market","Safety-device mandate compliance")))</f>
        <v>Confirm presentation (not stated in source)</v>
      </c>
      <c r="AF182" s="5" t="str">
        <f aca="false">IF(AC182="","",C182&amp;"|"&amp;AC182)</f>
        <v>Torrent Pharmaceuticals|2</v>
      </c>
    </row>
    <row r="183" customFormat="false" ht="15" hidden="false" customHeight="false" outlineLevel="0" collapsed="false">
      <c r="A183" s="5" t="n">
        <f aca="false">IF(ISNUMBER(U183),RANK(U183,$U$5:$U$337),"")</f>
        <v>46</v>
      </c>
      <c r="B183" s="5" t="s">
        <v>134</v>
      </c>
      <c r="C183" s="5" t="s">
        <v>57</v>
      </c>
      <c r="D183" s="5" t="str">
        <f aca="false">INDEX('API Data'!$B$2:$B$152,MATCH(B183,'API Data'!$A$2:$A$152,0))</f>
        <v>Anaesthesia – local anaesthetic (also ventricular arrhythmias)</v>
      </c>
      <c r="E183" s="5" t="n">
        <f aca="false">COUNTIFS('Market Listing'!$A$2:$A$4054,B183,'Market Listing'!$B$2:$B$4054,C183)</f>
        <v>1</v>
      </c>
      <c r="F183" s="5" t="n">
        <f aca="false">COUNTIFS('Market Listing'!$A$2:$A$4054,B183,'Market Listing'!$B$2:$B$4054,C183,'Market Listing'!$D$2:$D$4054,"Tier 1")</f>
        <v>1</v>
      </c>
      <c r="G183" s="5" t="n">
        <f aca="false">COUNTIFS('Market Listing'!$A$2:$A$4054,B183,'Market Listing'!$B$2:$B$4054,C183,'Market Listing'!$D$2:$D$4054,"Tier 2")</f>
        <v>0</v>
      </c>
      <c r="H183" s="5" t="n">
        <f aca="false">COUNTIFS('Market Listing'!$A$2:$A$4054,B183,'Market Listing'!$B$2:$B$4054,C183,'Market Listing'!$D$2:$D$4054,"Tier 3")</f>
        <v>0</v>
      </c>
      <c r="I183" s="5" t="n">
        <f aca="false">SUMIFS('Market Listing'!$E$2:$E$4054,'Market Listing'!$A$2:$A$4054,B183,'Market Listing'!$B$2:$B$4054,C183)</f>
        <v>3</v>
      </c>
      <c r="J183" s="5" t="n">
        <f aca="false">COUNTIFS('Product Rows'!$A$2:$A$696,B183,'Product Rows'!$B$2:$B$696,C183)</f>
        <v>1</v>
      </c>
      <c r="K183" s="5" t="n">
        <f aca="false">COUNTIFS('Product Rows'!$A$2:$A$696,B183,'Product Rows'!$B$2:$B$696,C183,'Product Rows'!$G$2:$G$696,"Vial")</f>
        <v>1</v>
      </c>
      <c r="L183" s="5" t="n">
        <f aca="false">COUNTIFS('Product Rows'!$A$2:$A$696,B183,'Product Rows'!$B$2:$B$696,C183,'Product Rows'!$G$2:$G$696,"Ampoule")</f>
        <v>0</v>
      </c>
      <c r="M183" s="5" t="n">
        <f aca="false">COUNTIFS('Product Rows'!$A$2:$A$696,B183,'Product Rows'!$B$2:$B$696,C183,'Product Rows'!$G$2:$G$696,"Prefilled syringe/pen")</f>
        <v>0</v>
      </c>
      <c r="N183" s="6" t="str">
        <f aca="false">IFERROR(AVERAGEIFS('Product Rows'!$H$2:$H$696,'Product Rows'!$A$2:$A$696,B183,'Product Rows'!$B$2:$B$696,C183),"")</f>
        <v/>
      </c>
      <c r="O183" s="7" t="n">
        <f aca="false">INDEX('API Data'!$E$2:$E$152,MATCH(B183,'API Data'!$A$2:$A$152,0))</f>
        <v>18596.2137796046</v>
      </c>
      <c r="P183" s="5" t="n">
        <f aca="false">COUNTIF($B$5:$B$337,B183)</f>
        <v>2</v>
      </c>
      <c r="Q183" s="8" t="n">
        <f aca="false">IF(ISNUMBER(I183),PERCENTRANK($I$5:$I$337,I183),"")</f>
        <v>0.157</v>
      </c>
      <c r="R183" s="8" t="str">
        <f aca="false">IF(ISNUMBER(N183),PERCENTRANK($N$5:$N$337,N183),"")</f>
        <v/>
      </c>
      <c r="S183" s="8" t="n">
        <f aca="false">IF(ISNUMBER(O183),PERCENTRANK($O$5:$O$337,O183),"")</f>
        <v>0.768</v>
      </c>
      <c r="T183" s="8" t="n">
        <f aca="false">IF(ISNUMBER(P183),PERCENTRANK($P$5:$P$337,P183),"")</f>
        <v>0.235</v>
      </c>
      <c r="U183" s="9" t="n">
        <f aca="false">IF((IF(ISNUMBER(Q183),Inputs!$B$4,0)+IF(ISNUMBER(R183),Inputs!$B$5,0)+IF(ISNUMBER(S183),Inputs!$B$6,0)+IF(ISNUMBER(T183),Inputs!$B$7,0))=0,"",(IF(ISNUMBER(Q183),Inputs!$B$4*Q183,0)+IF(ISNUMBER(R183),Inputs!$B$5*R183,0)+IF(ISNUMBER(S183),Inputs!$B$6*S183,0)+IF(ISNUMBER(T183),Inputs!$B$7*T183,0))/(IF(ISNUMBER(Q183),Inputs!$B$4,0)+IF(ISNUMBER(R183),Inputs!$B$5,0)+IF(ISNUMBER(S183),Inputs!$B$6,0)+IF(ISNUMBER(T183),Inputs!$B$7,0)))</f>
        <v>0.768</v>
      </c>
      <c r="V183" s="5" t="str">
        <f aca="false">IF(F183&gt;0,"Yes","No")</f>
        <v>Yes</v>
      </c>
      <c r="W183" s="5" t="str">
        <f aca="false">IF(ISNUMBER(N183),IF(N183&gt;=Inputs!$D$18,"Yes","No"),"No price")</f>
        <v>No price</v>
      </c>
      <c r="X183" s="5" t="str">
        <f aca="false">IF(K183+L183&gt;0,"Yes",IF(M183&gt;0,"No","Unclear"))</f>
        <v>Yes</v>
      </c>
      <c r="Y183" s="5" t="str">
        <f aca="false">INDEX('API Data'!$H$2:$H$152,MATCH(B183,'API Data'!$A$2:$A$152,0))</f>
        <v>No</v>
      </c>
      <c r="Z183" s="5" t="str">
        <f aca="false">IF(COUNTIFS('Product Rows'!$A$2:$A$696,B183,'Product Rows'!$B$2:$B$696,C183,'Product Rows'!$I$2:$I$696,"Yes")&gt;0,"Yes","No")</f>
        <v>No</v>
      </c>
      <c r="AA183" s="5" t="str">
        <f aca="false">IF(P183&gt;=Inputs!$D$22,"Yes","No")</f>
        <v>No</v>
      </c>
      <c r="AB183" s="10" t="b">
        <f aca="false">AND(OR(Inputs!$B$17&lt;&gt;"Exclude",V183="Yes"),OR(Inputs!$B$18&lt;&gt;"Exclude",W183&lt;&gt;"No"),OR(Inputs!$B$19&lt;&gt;"Exclude",X183&lt;&gt;"No"),OR(Inputs!$B$20&lt;&gt;"Exclude",Y183="No"),OR(Inputs!$B$21&lt;&gt;"Exclude",Z183="No"),OR(Inputs!$B$22&lt;&gt;"Exclude",AA183="Yes"),ISNUMBER(U183))</f>
        <v>1</v>
      </c>
      <c r="AC183" s="5" t="n">
        <f aca="false">IF(AB183,COUNTIFS($C$5:$C$337,C183,$AB$5:$AB$337,TRUE(),$U$5:$U$337,"&gt;"&amp;U183)+COUNTIFS($C$5:C183,C183,$AB$5:AB183,TRUE(),$U$5:U183,U183),"")</f>
        <v>6</v>
      </c>
      <c r="AD183" s="5" t="str">
        <f aca="false">IF(AC183="","Not eligible",IF(AC183&lt;=Inputs!$B$25,"Lead",IF(AC183&lt;=Inputs!$B$25+Inputs!$B$26,"Next wave","Long list")))</f>
        <v>Next wave</v>
      </c>
      <c r="AE183" s="5" t="str">
        <f aca="false">IF(AND(K183+L183=0,M183&gt;0),"Safety upgrade of existing prefilled syringe",IF(K183+L183+M183=0,"Confirm presentation (not stated in source)",IF(AA183="Yes","Differentiation in crowded generic market","Safety-device mandate compliance")))</f>
        <v>Safety-device mandate compliance</v>
      </c>
      <c r="AF183" s="5" t="str">
        <f aca="false">IF(AC183="","",C183&amp;"|"&amp;AC183)</f>
        <v>Hetero Labs|6</v>
      </c>
    </row>
    <row r="184" customFormat="false" ht="15" hidden="false" customHeight="false" outlineLevel="0" collapsed="false">
      <c r="A184" s="5" t="n">
        <f aca="false">IF(ISNUMBER(U184),RANK(U184,$U$5:$U$337),"")</f>
        <v>46</v>
      </c>
      <c r="B184" s="5" t="s">
        <v>134</v>
      </c>
      <c r="C184" s="5" t="s">
        <v>44</v>
      </c>
      <c r="D184" s="5" t="str">
        <f aca="false">INDEX('API Data'!$B$2:$B$152,MATCH(B184,'API Data'!$A$2:$A$152,0))</f>
        <v>Anaesthesia – local anaesthetic (also ventricular arrhythmias)</v>
      </c>
      <c r="E184" s="5" t="n">
        <f aca="false">COUNTIFS('Market Listing'!$A$2:$A$4054,B184,'Market Listing'!$B$2:$B$4054,C184)</f>
        <v>1</v>
      </c>
      <c r="F184" s="5" t="n">
        <f aca="false">COUNTIFS('Market Listing'!$A$2:$A$4054,B184,'Market Listing'!$B$2:$B$4054,C184,'Market Listing'!$D$2:$D$4054,"Tier 1")</f>
        <v>0</v>
      </c>
      <c r="G184" s="5" t="n">
        <f aca="false">COUNTIFS('Market Listing'!$A$2:$A$4054,B184,'Market Listing'!$B$2:$B$4054,C184,'Market Listing'!$D$2:$D$4054,"Tier 2")</f>
        <v>1</v>
      </c>
      <c r="H184" s="5" t="n">
        <f aca="false">COUNTIFS('Market Listing'!$A$2:$A$4054,B184,'Market Listing'!$B$2:$B$4054,C184,'Market Listing'!$D$2:$D$4054,"Tier 3")</f>
        <v>0</v>
      </c>
      <c r="I184" s="5" t="n">
        <f aca="false">SUMIFS('Market Listing'!$E$2:$E$4054,'Market Listing'!$A$2:$A$4054,B184,'Market Listing'!$B$2:$B$4054,C184)</f>
        <v>2</v>
      </c>
      <c r="J184" s="5" t="n">
        <f aca="false">COUNTIFS('Product Rows'!$A$2:$A$696,B184,'Product Rows'!$B$2:$B$696,C184)</f>
        <v>4</v>
      </c>
      <c r="K184" s="5" t="n">
        <f aca="false">COUNTIFS('Product Rows'!$A$2:$A$696,B184,'Product Rows'!$B$2:$B$696,C184,'Product Rows'!$G$2:$G$696,"Vial")</f>
        <v>2</v>
      </c>
      <c r="L184" s="5" t="n">
        <f aca="false">COUNTIFS('Product Rows'!$A$2:$A$696,B184,'Product Rows'!$B$2:$B$696,C184,'Product Rows'!$G$2:$G$696,"Ampoule")</f>
        <v>2</v>
      </c>
      <c r="M184" s="5" t="n">
        <f aca="false">COUNTIFS('Product Rows'!$A$2:$A$696,B184,'Product Rows'!$B$2:$B$696,C184,'Product Rows'!$G$2:$G$696,"Prefilled syringe/pen")</f>
        <v>0</v>
      </c>
      <c r="N184" s="6" t="str">
        <f aca="false">IFERROR(AVERAGEIFS('Product Rows'!$H$2:$H$696,'Product Rows'!$A$2:$A$696,B184,'Product Rows'!$B$2:$B$696,C184),"")</f>
        <v/>
      </c>
      <c r="O184" s="7" t="n">
        <f aca="false">INDEX('API Data'!$E$2:$E$152,MATCH(B184,'API Data'!$A$2:$A$152,0))</f>
        <v>18596.2137796046</v>
      </c>
      <c r="P184" s="5" t="n">
        <f aca="false">COUNTIF($B$5:$B$337,B184)</f>
        <v>2</v>
      </c>
      <c r="Q184" s="8" t="n">
        <f aca="false">IF(ISNUMBER(I184),PERCENTRANK($I$5:$I$337,I184),"")</f>
        <v>0</v>
      </c>
      <c r="R184" s="8" t="str">
        <f aca="false">IF(ISNUMBER(N184),PERCENTRANK($N$5:$N$337,N184),"")</f>
        <v/>
      </c>
      <c r="S184" s="8" t="n">
        <f aca="false">IF(ISNUMBER(O184),PERCENTRANK($O$5:$O$337,O184),"")</f>
        <v>0.768</v>
      </c>
      <c r="T184" s="8" t="n">
        <f aca="false">IF(ISNUMBER(P184),PERCENTRANK($P$5:$P$337,P184),"")</f>
        <v>0.235</v>
      </c>
      <c r="U184" s="9" t="n">
        <f aca="false">IF((IF(ISNUMBER(Q184),Inputs!$B$4,0)+IF(ISNUMBER(R184),Inputs!$B$5,0)+IF(ISNUMBER(S184),Inputs!$B$6,0)+IF(ISNUMBER(T184),Inputs!$B$7,0))=0,"",(IF(ISNUMBER(Q184),Inputs!$B$4*Q184,0)+IF(ISNUMBER(R184),Inputs!$B$5*R184,0)+IF(ISNUMBER(S184),Inputs!$B$6*S184,0)+IF(ISNUMBER(T184),Inputs!$B$7*T184,0))/(IF(ISNUMBER(Q184),Inputs!$B$4,0)+IF(ISNUMBER(R184),Inputs!$B$5,0)+IF(ISNUMBER(S184),Inputs!$B$6,0)+IF(ISNUMBER(T184),Inputs!$B$7,0)))</f>
        <v>0.768</v>
      </c>
      <c r="V184" s="5" t="str">
        <f aca="false">IF(F184&gt;0,"Yes","No")</f>
        <v>No</v>
      </c>
      <c r="W184" s="5" t="str">
        <f aca="false">IF(ISNUMBER(N184),IF(N184&gt;=Inputs!$D$18,"Yes","No"),"No price")</f>
        <v>No price</v>
      </c>
      <c r="X184" s="5" t="str">
        <f aca="false">IF(K184+L184&gt;0,"Yes",IF(M184&gt;0,"No","Unclear"))</f>
        <v>Yes</v>
      </c>
      <c r="Y184" s="5" t="str">
        <f aca="false">INDEX('API Data'!$H$2:$H$152,MATCH(B184,'API Data'!$A$2:$A$152,0))</f>
        <v>No</v>
      </c>
      <c r="Z184" s="5" t="str">
        <f aca="false">IF(COUNTIFS('Product Rows'!$A$2:$A$696,B184,'Product Rows'!$B$2:$B$696,C184,'Product Rows'!$I$2:$I$696,"Yes")&gt;0,"Yes","No")</f>
        <v>No</v>
      </c>
      <c r="AA184" s="5" t="str">
        <f aca="false">IF(P184&gt;=Inputs!$D$22,"Yes","No")</f>
        <v>No</v>
      </c>
      <c r="AB184" s="10" t="b">
        <f aca="false">AND(OR(Inputs!$B$17&lt;&gt;"Exclude",V184="Yes"),OR(Inputs!$B$18&lt;&gt;"Exclude",W184&lt;&gt;"No"),OR(Inputs!$B$19&lt;&gt;"Exclude",X184&lt;&gt;"No"),OR(Inputs!$B$20&lt;&gt;"Exclude",Y184="No"),OR(Inputs!$B$21&lt;&gt;"Exclude",Z184="No"),OR(Inputs!$B$22&lt;&gt;"Exclude",AA184="Yes"),ISNUMBER(U184))</f>
        <v>0</v>
      </c>
      <c r="AC184" s="5" t="str">
        <f aca="false">IF(AB184,COUNTIFS($C$5:$C$337,C184,$AB$5:$AB$337,TRUE(),$U$5:$U$337,"&gt;"&amp;U184)+COUNTIFS($C$5:C184,C184,$AB$5:AB184,TRUE(),$U$5:U184,U184),"")</f>
        <v/>
      </c>
      <c r="AD184" s="5" t="str">
        <f aca="false">IF(AC184="","Not eligible",IF(AC184&lt;=Inputs!$B$25,"Lead",IF(AC184&lt;=Inputs!$B$25+Inputs!$B$26,"Next wave","Long list")))</f>
        <v>Not eligible</v>
      </c>
      <c r="AE184" s="5" t="str">
        <f aca="false">IF(AND(K184+L184=0,M184&gt;0),"Safety upgrade of existing prefilled syringe",IF(K184+L184+M184=0,"Confirm presentation (not stated in source)",IF(AA184="Yes","Differentiation in crowded generic market","Safety-device mandate compliance")))</f>
        <v>Safety-device mandate compliance</v>
      </c>
      <c r="AF184" s="5" t="str">
        <f aca="false">IF(AC184="","",C184&amp;"|"&amp;AC184)</f>
        <v/>
      </c>
    </row>
    <row r="185" customFormat="false" ht="15" hidden="false" customHeight="false" outlineLevel="0" collapsed="false">
      <c r="A185" s="5" t="n">
        <f aca="false">IF(ISNUMBER(U185),RANK(U185,$U$5:$U$337),"")</f>
        <v>275</v>
      </c>
      <c r="B185" s="5" t="s">
        <v>135</v>
      </c>
      <c r="C185" s="5" t="s">
        <v>65</v>
      </c>
      <c r="D185" s="5" t="str">
        <f aca="false">INDEX('API Data'!$B$2:$B$152,MATCH(B185,'API Data'!$A$2:$A$152,0))</f>
        <v>Anti-infective – serious Gram-positive infections (penicillin-allergic)</v>
      </c>
      <c r="E185" s="5" t="n">
        <f aca="false">COUNTIFS('Market Listing'!$A$2:$A$4054,B185,'Market Listing'!$B$2:$B$4054,C185)</f>
        <v>1</v>
      </c>
      <c r="F185" s="5" t="n">
        <f aca="false">COUNTIFS('Market Listing'!$A$2:$A$4054,B185,'Market Listing'!$B$2:$B$4054,C185,'Market Listing'!$D$2:$D$4054,"Tier 1")</f>
        <v>1</v>
      </c>
      <c r="G185" s="5" t="n">
        <f aca="false">COUNTIFS('Market Listing'!$A$2:$A$4054,B185,'Market Listing'!$B$2:$B$4054,C185,'Market Listing'!$D$2:$D$4054,"Tier 2")</f>
        <v>0</v>
      </c>
      <c r="H185" s="5" t="n">
        <f aca="false">COUNTIFS('Market Listing'!$A$2:$A$4054,B185,'Market Listing'!$B$2:$B$4054,C185,'Market Listing'!$D$2:$D$4054,"Tier 3")</f>
        <v>0</v>
      </c>
      <c r="I185" s="5" t="n">
        <f aca="false">SUMIFS('Market Listing'!$E$2:$E$4054,'Market Listing'!$A$2:$A$4054,B185,'Market Listing'!$B$2:$B$4054,C185)</f>
        <v>3</v>
      </c>
      <c r="J185" s="5" t="n">
        <f aca="false">COUNTIFS('Product Rows'!$A$2:$A$696,B185,'Product Rows'!$B$2:$B$696,C185)</f>
        <v>1</v>
      </c>
      <c r="K185" s="5" t="n">
        <f aca="false">COUNTIFS('Product Rows'!$A$2:$A$696,B185,'Product Rows'!$B$2:$B$696,C185,'Product Rows'!$G$2:$G$696,"Vial")</f>
        <v>1</v>
      </c>
      <c r="L185" s="5" t="n">
        <f aca="false">COUNTIFS('Product Rows'!$A$2:$A$696,B185,'Product Rows'!$B$2:$B$696,C185,'Product Rows'!$G$2:$G$696,"Ampoule")</f>
        <v>0</v>
      </c>
      <c r="M185" s="5" t="n">
        <f aca="false">COUNTIFS('Product Rows'!$A$2:$A$696,B185,'Product Rows'!$B$2:$B$696,C185,'Product Rows'!$G$2:$G$696,"Prefilled syringe/pen")</f>
        <v>0</v>
      </c>
      <c r="N185" s="6" t="n">
        <f aca="false">IFERROR(AVERAGEIFS('Product Rows'!$H$2:$H$696,'Product Rows'!$A$2:$A$696,B185,'Product Rows'!$B$2:$B$696,C185),"")</f>
        <v>22.55</v>
      </c>
      <c r="O185" s="7" t="n">
        <f aca="false">INDEX('API Data'!$E$2:$E$152,MATCH(B185,'API Data'!$A$2:$A$152,0))</f>
        <v>1076.08888888889</v>
      </c>
      <c r="P185" s="5" t="n">
        <f aca="false">COUNTIF($B$5:$B$337,B185)</f>
        <v>1</v>
      </c>
      <c r="Q185" s="8" t="n">
        <f aca="false">IF(ISNUMBER(I185),PERCENTRANK($I$5:$I$337,I185),"")</f>
        <v>0.157</v>
      </c>
      <c r="R185" s="8" t="n">
        <f aca="false">IF(ISNUMBER(N185),PERCENTRANK($N$5:$N$337,N185),"")</f>
        <v>0.401</v>
      </c>
      <c r="S185" s="8" t="n">
        <f aca="false">IF(ISNUMBER(O185),PERCENTRANK($O$5:$O$337,O185),"")</f>
        <v>0.16</v>
      </c>
      <c r="T185" s="8" t="n">
        <f aca="false">IF(ISNUMBER(P185),PERCENTRANK($P$5:$P$337,P185),"")</f>
        <v>0</v>
      </c>
      <c r="U185" s="9" t="n">
        <f aca="false">IF((IF(ISNUMBER(Q185),Inputs!$B$4,0)+IF(ISNUMBER(R185),Inputs!$B$5,0)+IF(ISNUMBER(S185),Inputs!$B$6,0)+IF(ISNUMBER(T185),Inputs!$B$7,0))=0,"",(IF(ISNUMBER(Q185),Inputs!$B$4*Q185,0)+IF(ISNUMBER(R185),Inputs!$B$5*R185,0)+IF(ISNUMBER(S185),Inputs!$B$6*S185,0)+IF(ISNUMBER(T185),Inputs!$B$7*T185,0))/(IF(ISNUMBER(Q185),Inputs!$B$4,0)+IF(ISNUMBER(R185),Inputs!$B$5,0)+IF(ISNUMBER(S185),Inputs!$B$6,0)+IF(ISNUMBER(T185),Inputs!$B$7,0)))</f>
        <v>0.2805</v>
      </c>
      <c r="V185" s="5" t="str">
        <f aca="false">IF(F185&gt;0,"Yes","No")</f>
        <v>Yes</v>
      </c>
      <c r="W185" s="5" t="str">
        <f aca="false">IF(ISNUMBER(N185),IF(N185&gt;=Inputs!$D$18,"Yes","No"),"No price")</f>
        <v>Yes</v>
      </c>
      <c r="X185" s="5" t="str">
        <f aca="false">IF(K185+L185&gt;0,"Yes",IF(M185&gt;0,"No","Unclear"))</f>
        <v>Yes</v>
      </c>
      <c r="Y185" s="5" t="str">
        <f aca="false">INDEX('API Data'!$H$2:$H$152,MATCH(B185,'API Data'!$A$2:$A$152,0))</f>
        <v>No</v>
      </c>
      <c r="Z185" s="5" t="str">
        <f aca="false">IF(COUNTIFS('Product Rows'!$A$2:$A$696,B185,'Product Rows'!$B$2:$B$696,C185,'Product Rows'!$I$2:$I$696,"Yes")&gt;0,"Yes","No")</f>
        <v>No</v>
      </c>
      <c r="AA185" s="5" t="str">
        <f aca="false">IF(P185&gt;=Inputs!$D$22,"Yes","No")</f>
        <v>No</v>
      </c>
      <c r="AB185" s="10" t="b">
        <f aca="false">AND(OR(Inputs!$B$17&lt;&gt;"Exclude",V185="Yes"),OR(Inputs!$B$18&lt;&gt;"Exclude",W185&lt;&gt;"No"),OR(Inputs!$B$19&lt;&gt;"Exclude",X185&lt;&gt;"No"),OR(Inputs!$B$20&lt;&gt;"Exclude",Y185="No"),OR(Inputs!$B$21&lt;&gt;"Exclude",Z185="No"),OR(Inputs!$B$22&lt;&gt;"Exclude",AA185="Yes"),ISNUMBER(U185))</f>
        <v>1</v>
      </c>
      <c r="AC185" s="5" t="n">
        <f aca="false">IF(AB185,COUNTIFS($C$5:$C$337,C185,$AB$5:$AB$337,TRUE(),$U$5:$U$337,"&gt;"&amp;U185)+COUNTIFS($C$5:C185,C185,$AB$5:AB185,TRUE(),$U$5:U185,U185),"")</f>
        <v>6</v>
      </c>
      <c r="AD185" s="5" t="str">
        <f aca="false">IF(AC185="","Not eligible",IF(AC185&lt;=Inputs!$B$25,"Lead",IF(AC185&lt;=Inputs!$B$25+Inputs!$B$26,"Next wave","Long list")))</f>
        <v>Next wave</v>
      </c>
      <c r="AE185" s="5" t="str">
        <f aca="false">IF(AND(K185+L185=0,M185&gt;0),"Safety upgrade of existing prefilled syringe",IF(K185+L185+M185=0,"Confirm presentation (not stated in source)",IF(AA185="Yes","Differentiation in crowded generic market","Safety-device mandate compliance")))</f>
        <v>Safety-device mandate compliance</v>
      </c>
      <c r="AF185" s="5" t="str">
        <f aca="false">IF(AC185="","",C185&amp;"|"&amp;AC185)</f>
        <v>Micro Labs|6</v>
      </c>
    </row>
    <row r="186" customFormat="false" ht="15" hidden="false" customHeight="false" outlineLevel="0" collapsed="false">
      <c r="A186" s="5" t="n">
        <f aca="false">IF(ISNUMBER(U186),RANK(U186,$U$5:$U$337),"")</f>
        <v>190</v>
      </c>
      <c r="B186" s="5" t="s">
        <v>136</v>
      </c>
      <c r="C186" s="5" t="s">
        <v>57</v>
      </c>
      <c r="D186" s="5" t="str">
        <f aca="false">INDEX('API Data'!$B$2:$B$152,MATCH(B186,'API Data'!$A$2:$A$152,0))</f>
        <v>Women's health / Critical care – eclampsia seizures; low magnesium</v>
      </c>
      <c r="E186" s="5" t="n">
        <f aca="false">COUNTIFS('Market Listing'!$A$2:$A$4054,B186,'Market Listing'!$B$2:$B$4054,C186)</f>
        <v>1</v>
      </c>
      <c r="F186" s="5" t="n">
        <f aca="false">COUNTIFS('Market Listing'!$A$2:$A$4054,B186,'Market Listing'!$B$2:$B$4054,C186,'Market Listing'!$D$2:$D$4054,"Tier 1")</f>
        <v>1</v>
      </c>
      <c r="G186" s="5" t="n">
        <f aca="false">COUNTIFS('Market Listing'!$A$2:$A$4054,B186,'Market Listing'!$B$2:$B$4054,C186,'Market Listing'!$D$2:$D$4054,"Tier 2")</f>
        <v>0</v>
      </c>
      <c r="H186" s="5" t="n">
        <f aca="false">COUNTIFS('Market Listing'!$A$2:$A$4054,B186,'Market Listing'!$B$2:$B$4054,C186,'Market Listing'!$D$2:$D$4054,"Tier 3")</f>
        <v>0</v>
      </c>
      <c r="I186" s="5" t="n">
        <f aca="false">SUMIFS('Market Listing'!$E$2:$E$4054,'Market Listing'!$A$2:$A$4054,B186,'Market Listing'!$B$2:$B$4054,C186)</f>
        <v>3</v>
      </c>
      <c r="J186" s="5" t="n">
        <f aca="false">COUNTIFS('Product Rows'!$A$2:$A$696,B186,'Product Rows'!$B$2:$B$696,C186)</f>
        <v>1</v>
      </c>
      <c r="K186" s="5" t="n">
        <f aca="false">COUNTIFS('Product Rows'!$A$2:$A$696,B186,'Product Rows'!$B$2:$B$696,C186,'Product Rows'!$G$2:$G$696,"Vial")</f>
        <v>1</v>
      </c>
      <c r="L186" s="5" t="n">
        <f aca="false">COUNTIFS('Product Rows'!$A$2:$A$696,B186,'Product Rows'!$B$2:$B$696,C186,'Product Rows'!$G$2:$G$696,"Ampoule")</f>
        <v>0</v>
      </c>
      <c r="M186" s="5" t="n">
        <f aca="false">COUNTIFS('Product Rows'!$A$2:$A$696,B186,'Product Rows'!$B$2:$B$696,C186,'Product Rows'!$G$2:$G$696,"Prefilled syringe/pen")</f>
        <v>0</v>
      </c>
      <c r="N186" s="6" t="n">
        <f aca="false">IFERROR(AVERAGEIFS('Product Rows'!$H$2:$H$696,'Product Rows'!$A$2:$A$696,B186,'Product Rows'!$B$2:$B$696,C186),"")</f>
        <v>9.12</v>
      </c>
      <c r="O186" s="7" t="n">
        <f aca="false">INDEX('API Data'!$E$2:$E$152,MATCH(B186,'API Data'!$A$2:$A$152,0))</f>
        <v>11544.4253297947</v>
      </c>
      <c r="P186" s="5" t="n">
        <f aca="false">COUNTIF($B$5:$B$337,B186)</f>
        <v>1</v>
      </c>
      <c r="Q186" s="8" t="n">
        <f aca="false">IF(ISNUMBER(I186),PERCENTRANK($I$5:$I$337,I186),"")</f>
        <v>0.157</v>
      </c>
      <c r="R186" s="8" t="n">
        <f aca="false">IF(ISNUMBER(N186),PERCENTRANK($N$5:$N$337,N186),"")</f>
        <v>0.179</v>
      </c>
      <c r="S186" s="8" t="n">
        <f aca="false">IF(ISNUMBER(O186),PERCENTRANK($O$5:$O$337,O186),"")</f>
        <v>0.714</v>
      </c>
      <c r="T186" s="8" t="n">
        <f aca="false">IF(ISNUMBER(P186),PERCENTRANK($P$5:$P$337,P186),"")</f>
        <v>0</v>
      </c>
      <c r="U186" s="9" t="n">
        <f aca="false">IF((IF(ISNUMBER(Q186),Inputs!$B$4,0)+IF(ISNUMBER(R186),Inputs!$B$5,0)+IF(ISNUMBER(S186),Inputs!$B$6,0)+IF(ISNUMBER(T186),Inputs!$B$7,0))=0,"",(IF(ISNUMBER(Q186),Inputs!$B$4*Q186,0)+IF(ISNUMBER(R186),Inputs!$B$5*R186,0)+IF(ISNUMBER(S186),Inputs!$B$6*S186,0)+IF(ISNUMBER(T186),Inputs!$B$7*T186,0))/(IF(ISNUMBER(Q186),Inputs!$B$4,0)+IF(ISNUMBER(R186),Inputs!$B$5,0)+IF(ISNUMBER(S186),Inputs!$B$6,0)+IF(ISNUMBER(T186),Inputs!$B$7,0)))</f>
        <v>0.4465</v>
      </c>
      <c r="V186" s="5" t="str">
        <f aca="false">IF(F186&gt;0,"Yes","No")</f>
        <v>Yes</v>
      </c>
      <c r="W186" s="5" t="str">
        <f aca="false">IF(ISNUMBER(N186),IF(N186&gt;=Inputs!$D$18,"Yes","No"),"No price")</f>
        <v>Yes</v>
      </c>
      <c r="X186" s="5" t="str">
        <f aca="false">IF(K186+L186&gt;0,"Yes",IF(M186&gt;0,"No","Unclear"))</f>
        <v>Yes</v>
      </c>
      <c r="Y186" s="5" t="str">
        <f aca="false">INDEX('API Data'!$H$2:$H$152,MATCH(B186,'API Data'!$A$2:$A$152,0))</f>
        <v>No</v>
      </c>
      <c r="Z186" s="5" t="str">
        <f aca="false">IF(COUNTIFS('Product Rows'!$A$2:$A$696,B186,'Product Rows'!$B$2:$B$696,C186,'Product Rows'!$I$2:$I$696,"Yes")&gt;0,"Yes","No")</f>
        <v>No</v>
      </c>
      <c r="AA186" s="5" t="str">
        <f aca="false">IF(P186&gt;=Inputs!$D$22,"Yes","No")</f>
        <v>No</v>
      </c>
      <c r="AB186" s="10" t="b">
        <f aca="false">AND(OR(Inputs!$B$17&lt;&gt;"Exclude",V186="Yes"),OR(Inputs!$B$18&lt;&gt;"Exclude",W186&lt;&gt;"No"),OR(Inputs!$B$19&lt;&gt;"Exclude",X186&lt;&gt;"No"),OR(Inputs!$B$20&lt;&gt;"Exclude",Y186="No"),OR(Inputs!$B$21&lt;&gt;"Exclude",Z186="No"),OR(Inputs!$B$22&lt;&gt;"Exclude",AA186="Yes"),ISNUMBER(U186))</f>
        <v>1</v>
      </c>
      <c r="AC186" s="5" t="n">
        <f aca="false">IF(AB186,COUNTIFS($C$5:$C$337,C186,$AB$5:$AB$337,TRUE(),$U$5:$U$337,"&gt;"&amp;U186)+COUNTIFS($C$5:C186,C186,$AB$5:AB186,TRUE(),$U$5:U186,U186),"")</f>
        <v>11</v>
      </c>
      <c r="AD186" s="5" t="str">
        <f aca="false">IF(AC186="","Not eligible",IF(AC186&lt;=Inputs!$B$25,"Lead",IF(AC186&lt;=Inputs!$B$25+Inputs!$B$26,"Next wave","Long list")))</f>
        <v>Long list</v>
      </c>
      <c r="AE186" s="5" t="str">
        <f aca="false">IF(AND(K186+L186=0,M186&gt;0),"Safety upgrade of existing prefilled syringe",IF(K186+L186+M186=0,"Confirm presentation (not stated in source)",IF(AA186="Yes","Differentiation in crowded generic market","Safety-device mandate compliance")))</f>
        <v>Safety-device mandate compliance</v>
      </c>
      <c r="AF186" s="5" t="str">
        <f aca="false">IF(AC186="","",C186&amp;"|"&amp;AC186)</f>
        <v>Hetero Labs|11</v>
      </c>
    </row>
    <row r="187" customFormat="false" ht="15" hidden="false" customHeight="false" outlineLevel="0" collapsed="false">
      <c r="A187" s="5" t="n">
        <f aca="false">IF(ISNUMBER(U187),RANK(U187,$U$5:$U$337),"")</f>
        <v>38</v>
      </c>
      <c r="B187" s="5" t="s">
        <v>137</v>
      </c>
      <c r="C187" s="5" t="s">
        <v>54</v>
      </c>
      <c r="D187" s="5" t="str">
        <f aca="false">INDEX('API Data'!$B$2:$B$152,MATCH(B187,'API Data'!$A$2:$A$152,0))</f>
        <v>Vaccines – childhood measles immunisation</v>
      </c>
      <c r="E187" s="5" t="n">
        <f aca="false">COUNTIFS('Market Listing'!$A$2:$A$4054,B187,'Market Listing'!$B$2:$B$4054,C187)</f>
        <v>1</v>
      </c>
      <c r="F187" s="5" t="n">
        <f aca="false">COUNTIFS('Market Listing'!$A$2:$A$4054,B187,'Market Listing'!$B$2:$B$4054,C187,'Market Listing'!$D$2:$D$4054,"Tier 1")</f>
        <v>0</v>
      </c>
      <c r="G187" s="5" t="n">
        <f aca="false">COUNTIFS('Market Listing'!$A$2:$A$4054,B187,'Market Listing'!$B$2:$B$4054,C187,'Market Listing'!$D$2:$D$4054,"Tier 2")</f>
        <v>1</v>
      </c>
      <c r="H187" s="5" t="n">
        <f aca="false">COUNTIFS('Market Listing'!$A$2:$A$4054,B187,'Market Listing'!$B$2:$B$4054,C187,'Market Listing'!$D$2:$D$4054,"Tier 3")</f>
        <v>0</v>
      </c>
      <c r="I187" s="5" t="n">
        <f aca="false">SUMIFS('Market Listing'!$E$2:$E$4054,'Market Listing'!$A$2:$A$4054,B187,'Market Listing'!$B$2:$B$4054,C187)</f>
        <v>2</v>
      </c>
      <c r="J187" s="5" t="n">
        <f aca="false">COUNTIFS('Product Rows'!$A$2:$A$696,B187,'Product Rows'!$B$2:$B$696,C187)</f>
        <v>2</v>
      </c>
      <c r="K187" s="5" t="n">
        <f aca="false">COUNTIFS('Product Rows'!$A$2:$A$696,B187,'Product Rows'!$B$2:$B$696,C187,'Product Rows'!$G$2:$G$696,"Vial")</f>
        <v>2</v>
      </c>
      <c r="L187" s="5" t="n">
        <f aca="false">COUNTIFS('Product Rows'!$A$2:$A$696,B187,'Product Rows'!$B$2:$B$696,C187,'Product Rows'!$G$2:$G$696,"Ampoule")</f>
        <v>0</v>
      </c>
      <c r="M187" s="5" t="n">
        <f aca="false">COUNTIFS('Product Rows'!$A$2:$A$696,B187,'Product Rows'!$B$2:$B$696,C187,'Product Rows'!$G$2:$G$696,"Prefilled syringe/pen")</f>
        <v>0</v>
      </c>
      <c r="N187" s="6" t="n">
        <f aca="false">IFERROR(AVERAGEIFS('Product Rows'!$H$2:$H$696,'Product Rows'!$A$2:$A$696,B187,'Product Rows'!$B$2:$B$696,C187),"")</f>
        <v>52.55</v>
      </c>
      <c r="O187" s="7" t="n">
        <f aca="false">INDEX('API Data'!$E$2:$E$152,MATCH(B187,'API Data'!$A$2:$A$152,0))</f>
        <v>358084.465714286</v>
      </c>
      <c r="P187" s="5" t="n">
        <f aca="false">COUNTIF($B$5:$B$337,B187)</f>
        <v>1</v>
      </c>
      <c r="Q187" s="8" t="n">
        <f aca="false">IF(ISNUMBER(I187),PERCENTRANK($I$5:$I$337,I187),"")</f>
        <v>0</v>
      </c>
      <c r="R187" s="8" t="n">
        <f aca="false">IF(ISNUMBER(N187),PERCENTRANK($N$5:$N$337,N187),"")</f>
        <v>0.616</v>
      </c>
      <c r="S187" s="8" t="n">
        <f aca="false">IF(ISNUMBER(O187),PERCENTRANK($O$5:$O$337,O187),"")</f>
        <v>1</v>
      </c>
      <c r="T187" s="8" t="n">
        <f aca="false">IF(ISNUMBER(P187),PERCENTRANK($P$5:$P$337,P187),"")</f>
        <v>0</v>
      </c>
      <c r="U187" s="9" t="n">
        <f aca="false">IF((IF(ISNUMBER(Q187),Inputs!$B$4,0)+IF(ISNUMBER(R187),Inputs!$B$5,0)+IF(ISNUMBER(S187),Inputs!$B$6,0)+IF(ISNUMBER(T187),Inputs!$B$7,0))=0,"",(IF(ISNUMBER(Q187),Inputs!$B$4*Q187,0)+IF(ISNUMBER(R187),Inputs!$B$5*R187,0)+IF(ISNUMBER(S187),Inputs!$B$6*S187,0)+IF(ISNUMBER(T187),Inputs!$B$7*T187,0))/(IF(ISNUMBER(Q187),Inputs!$B$4,0)+IF(ISNUMBER(R187),Inputs!$B$5,0)+IF(ISNUMBER(S187),Inputs!$B$6,0)+IF(ISNUMBER(T187),Inputs!$B$7,0)))</f>
        <v>0.808</v>
      </c>
      <c r="V187" s="5" t="str">
        <f aca="false">IF(F187&gt;0,"Yes","No")</f>
        <v>No</v>
      </c>
      <c r="W187" s="5" t="str">
        <f aca="false">IF(ISNUMBER(N187),IF(N187&gt;=Inputs!$D$18,"Yes","No"),"No price")</f>
        <v>Yes</v>
      </c>
      <c r="X187" s="5" t="str">
        <f aca="false">IF(K187+L187&gt;0,"Yes",IF(M187&gt;0,"No","Unclear"))</f>
        <v>Yes</v>
      </c>
      <c r="Y187" s="5" t="str">
        <f aca="false">INDEX('API Data'!$H$2:$H$152,MATCH(B187,'API Data'!$A$2:$A$152,0))</f>
        <v>No</v>
      </c>
      <c r="Z187" s="5" t="str">
        <f aca="false">IF(COUNTIFS('Product Rows'!$A$2:$A$696,B187,'Product Rows'!$B$2:$B$696,C187,'Product Rows'!$I$2:$I$696,"Yes")&gt;0,"Yes","No")</f>
        <v>No</v>
      </c>
      <c r="AA187" s="5" t="str">
        <f aca="false">IF(P187&gt;=Inputs!$D$22,"Yes","No")</f>
        <v>No</v>
      </c>
      <c r="AB187" s="10" t="b">
        <f aca="false">AND(OR(Inputs!$B$17&lt;&gt;"Exclude",V187="Yes"),OR(Inputs!$B$18&lt;&gt;"Exclude",W187&lt;&gt;"No"),OR(Inputs!$B$19&lt;&gt;"Exclude",X187&lt;&gt;"No"),OR(Inputs!$B$20&lt;&gt;"Exclude",Y187="No"),OR(Inputs!$B$21&lt;&gt;"Exclude",Z187="No"),OR(Inputs!$B$22&lt;&gt;"Exclude",AA187="Yes"),ISNUMBER(U187))</f>
        <v>0</v>
      </c>
      <c r="AC187" s="5" t="str">
        <f aca="false">IF(AB187,COUNTIFS($C$5:$C$337,C187,$AB$5:$AB$337,TRUE(),$U$5:$U$337,"&gt;"&amp;U187)+COUNTIFS($C$5:C187,C187,$AB$5:AB187,TRUE(),$U$5:U187,U187),"")</f>
        <v/>
      </c>
      <c r="AD187" s="5" t="str">
        <f aca="false">IF(AC187="","Not eligible",IF(AC187&lt;=Inputs!$B$25,"Lead",IF(AC187&lt;=Inputs!$B$25+Inputs!$B$26,"Next wave","Long list")))</f>
        <v>Not eligible</v>
      </c>
      <c r="AE187" s="5" t="str">
        <f aca="false">IF(AND(K187+L187=0,M187&gt;0),"Safety upgrade of existing prefilled syringe",IF(K187+L187+M187=0,"Confirm presentation (not stated in source)",IF(AA187="Yes","Differentiation in crowded generic market","Safety-device mandate compliance")))</f>
        <v>Safety-device mandate compliance</v>
      </c>
      <c r="AF187" s="5" t="str">
        <f aca="false">IF(AC187="","",C187&amp;"|"&amp;AC187)</f>
        <v/>
      </c>
    </row>
    <row r="188" customFormat="false" ht="15" hidden="false" customHeight="false" outlineLevel="0" collapsed="false">
      <c r="A188" s="5" t="n">
        <f aca="false">IF(ISNUMBER(U188),RANK(U188,$U$5:$U$337),"")</f>
        <v>195</v>
      </c>
      <c r="B188" s="5" t="s">
        <v>138</v>
      </c>
      <c r="C188" s="5" t="s">
        <v>47</v>
      </c>
      <c r="D188" s="5" t="str">
        <f aca="false">INDEX('API Data'!$B$2:$B$152,MATCH(B188,'API Data'!$A$2:$A$152,0))</f>
        <v>Women's health – 3-monthly contraceptive injection</v>
      </c>
      <c r="E188" s="5" t="n">
        <f aca="false">COUNTIFS('Market Listing'!$A$2:$A$4054,B188,'Market Listing'!$B$2:$B$4054,C188)</f>
        <v>1</v>
      </c>
      <c r="F188" s="5" t="n">
        <f aca="false">COUNTIFS('Market Listing'!$A$2:$A$4054,B188,'Market Listing'!$B$2:$B$4054,C188,'Market Listing'!$D$2:$D$4054,"Tier 1")</f>
        <v>1</v>
      </c>
      <c r="G188" s="5" t="n">
        <f aca="false">COUNTIFS('Market Listing'!$A$2:$A$4054,B188,'Market Listing'!$B$2:$B$4054,C188,'Market Listing'!$D$2:$D$4054,"Tier 2")</f>
        <v>0</v>
      </c>
      <c r="H188" s="5" t="n">
        <f aca="false">COUNTIFS('Market Listing'!$A$2:$A$4054,B188,'Market Listing'!$B$2:$B$4054,C188,'Market Listing'!$D$2:$D$4054,"Tier 3")</f>
        <v>0</v>
      </c>
      <c r="I188" s="5" t="n">
        <f aca="false">SUMIFS('Market Listing'!$E$2:$E$4054,'Market Listing'!$A$2:$A$4054,B188,'Market Listing'!$B$2:$B$4054,C188)</f>
        <v>3</v>
      </c>
      <c r="J188" s="5" t="n">
        <f aca="false">COUNTIFS('Product Rows'!$A$2:$A$696,B188,'Product Rows'!$B$2:$B$696,C188)</f>
        <v>2</v>
      </c>
      <c r="K188" s="5" t="n">
        <f aca="false">COUNTIFS('Product Rows'!$A$2:$A$696,B188,'Product Rows'!$B$2:$B$696,C188,'Product Rows'!$G$2:$G$696,"Vial")</f>
        <v>1</v>
      </c>
      <c r="L188" s="5" t="n">
        <f aca="false">COUNTIFS('Product Rows'!$A$2:$A$696,B188,'Product Rows'!$B$2:$B$696,C188,'Product Rows'!$G$2:$G$696,"Ampoule")</f>
        <v>0</v>
      </c>
      <c r="M188" s="5" t="n">
        <f aca="false">COUNTIFS('Product Rows'!$A$2:$A$696,B188,'Product Rows'!$B$2:$B$696,C188,'Product Rows'!$G$2:$G$696,"Prefilled syringe/pen")</f>
        <v>1</v>
      </c>
      <c r="N188" s="6" t="n">
        <f aca="false">IFERROR(AVERAGEIFS('Product Rows'!$H$2:$H$696,'Product Rows'!$A$2:$A$696,B188,'Product Rows'!$B$2:$B$696,C188),"")</f>
        <v>35.255</v>
      </c>
      <c r="O188" s="7" t="n">
        <f aca="false">INDEX('API Data'!$E$2:$E$152,MATCH(B188,'API Data'!$A$2:$A$152,0))</f>
        <v>2690.12949800894</v>
      </c>
      <c r="P188" s="5" t="n">
        <f aca="false">COUNTIF($B$5:$B$337,B188)</f>
        <v>2</v>
      </c>
      <c r="Q188" s="8" t="n">
        <f aca="false">IF(ISNUMBER(I188),PERCENTRANK($I$5:$I$337,I188),"")</f>
        <v>0.157</v>
      </c>
      <c r="R188" s="8" t="n">
        <f aca="false">IF(ISNUMBER(N188),PERCENTRANK($N$5:$N$337,N188),"")</f>
        <v>0.538</v>
      </c>
      <c r="S188" s="8" t="n">
        <f aca="false">IF(ISNUMBER(O188),PERCENTRANK($O$5:$O$337,O188),"")</f>
        <v>0.34</v>
      </c>
      <c r="T188" s="8" t="n">
        <f aca="false">IF(ISNUMBER(P188),PERCENTRANK($P$5:$P$337,P188),"")</f>
        <v>0.235</v>
      </c>
      <c r="U188" s="9" t="n">
        <f aca="false">IF((IF(ISNUMBER(Q188),Inputs!$B$4,0)+IF(ISNUMBER(R188),Inputs!$B$5,0)+IF(ISNUMBER(S188),Inputs!$B$6,0)+IF(ISNUMBER(T188),Inputs!$B$7,0))=0,"",(IF(ISNUMBER(Q188),Inputs!$B$4*Q188,0)+IF(ISNUMBER(R188),Inputs!$B$5*R188,0)+IF(ISNUMBER(S188),Inputs!$B$6*S188,0)+IF(ISNUMBER(T188),Inputs!$B$7*T188,0))/(IF(ISNUMBER(Q188),Inputs!$B$4,0)+IF(ISNUMBER(R188),Inputs!$B$5,0)+IF(ISNUMBER(S188),Inputs!$B$6,0)+IF(ISNUMBER(T188),Inputs!$B$7,0)))</f>
        <v>0.439</v>
      </c>
      <c r="V188" s="5" t="str">
        <f aca="false">IF(F188&gt;0,"Yes","No")</f>
        <v>Yes</v>
      </c>
      <c r="W188" s="5" t="str">
        <f aca="false">IF(ISNUMBER(N188),IF(N188&gt;=Inputs!$D$18,"Yes","No"),"No price")</f>
        <v>Yes</v>
      </c>
      <c r="X188" s="5" t="str">
        <f aca="false">IF(K188+L188&gt;0,"Yes",IF(M188&gt;0,"No","Unclear"))</f>
        <v>Yes</v>
      </c>
      <c r="Y188" s="5" t="str">
        <f aca="false">INDEX('API Data'!$H$2:$H$152,MATCH(B188,'API Data'!$A$2:$A$152,0))</f>
        <v>No</v>
      </c>
      <c r="Z188" s="5" t="str">
        <f aca="false">IF(COUNTIFS('Product Rows'!$A$2:$A$696,B188,'Product Rows'!$B$2:$B$696,C188,'Product Rows'!$I$2:$I$696,"Yes")&gt;0,"Yes","No")</f>
        <v>No</v>
      </c>
      <c r="AA188" s="5" t="str">
        <f aca="false">IF(P188&gt;=Inputs!$D$22,"Yes","No")</f>
        <v>No</v>
      </c>
      <c r="AB188" s="10" t="b">
        <f aca="false">AND(OR(Inputs!$B$17&lt;&gt;"Exclude",V188="Yes"),OR(Inputs!$B$18&lt;&gt;"Exclude",W188&lt;&gt;"No"),OR(Inputs!$B$19&lt;&gt;"Exclude",X188&lt;&gt;"No"),OR(Inputs!$B$20&lt;&gt;"Exclude",Y188="No"),OR(Inputs!$B$21&lt;&gt;"Exclude",Z188="No"),OR(Inputs!$B$22&lt;&gt;"Exclude",AA188="Yes"),ISNUMBER(U188))</f>
        <v>1</v>
      </c>
      <c r="AC188" s="5" t="n">
        <f aca="false">IF(AB188,COUNTIFS($C$5:$C$337,C188,$AB$5:$AB$337,TRUE(),$U$5:$U$337,"&gt;"&amp;U188)+COUNTIFS($C$5:C188,C188,$AB$5:AB188,TRUE(),$U$5:U188,U188),"")</f>
        <v>33</v>
      </c>
      <c r="AD188" s="5" t="str">
        <f aca="false">IF(AC188="","Not eligible",IF(AC188&lt;=Inputs!$B$25,"Lead",IF(AC188&lt;=Inputs!$B$25+Inputs!$B$26,"Next wave","Long list")))</f>
        <v>Long list</v>
      </c>
      <c r="AE188" s="5" t="str">
        <f aca="false">IF(AND(K188+L188=0,M188&gt;0),"Safety upgrade of existing prefilled syringe",IF(K188+L188+M188=0,"Confirm presentation (not stated in source)",IF(AA188="Yes","Differentiation in crowded generic market","Safety-device mandate compliance")))</f>
        <v>Safety-device mandate compliance</v>
      </c>
      <c r="AF188" s="5" t="str">
        <f aca="false">IF(AC188="","",C188&amp;"|"&amp;AC188)</f>
        <v>Aurobindo Pharma|33</v>
      </c>
    </row>
    <row r="189" customFormat="false" ht="15" hidden="false" customHeight="false" outlineLevel="0" collapsed="false">
      <c r="A189" s="5" t="n">
        <f aca="false">IF(ISNUMBER(U189),RANK(U189,$U$5:$U$337),"")</f>
        <v>244</v>
      </c>
      <c r="B189" s="5" t="s">
        <v>138</v>
      </c>
      <c r="C189" s="5" t="s">
        <v>54</v>
      </c>
      <c r="D189" s="5" t="str">
        <f aca="false">INDEX('API Data'!$B$2:$B$152,MATCH(B189,'API Data'!$A$2:$A$152,0))</f>
        <v>Women's health – 3-monthly contraceptive injection</v>
      </c>
      <c r="E189" s="5" t="n">
        <f aca="false">COUNTIFS('Market Listing'!$A$2:$A$4054,B189,'Market Listing'!$B$2:$B$4054,C189)</f>
        <v>1</v>
      </c>
      <c r="F189" s="5" t="n">
        <f aca="false">COUNTIFS('Market Listing'!$A$2:$A$4054,B189,'Market Listing'!$B$2:$B$4054,C189,'Market Listing'!$D$2:$D$4054,"Tier 1")</f>
        <v>0</v>
      </c>
      <c r="G189" s="5" t="n">
        <f aca="false">COUNTIFS('Market Listing'!$A$2:$A$4054,B189,'Market Listing'!$B$2:$B$4054,C189,'Market Listing'!$D$2:$D$4054,"Tier 2")</f>
        <v>1</v>
      </c>
      <c r="H189" s="5" t="n">
        <f aca="false">COUNTIFS('Market Listing'!$A$2:$A$4054,B189,'Market Listing'!$B$2:$B$4054,C189,'Market Listing'!$D$2:$D$4054,"Tier 3")</f>
        <v>0</v>
      </c>
      <c r="I189" s="5" t="n">
        <f aca="false">SUMIFS('Market Listing'!$E$2:$E$4054,'Market Listing'!$A$2:$A$4054,B189,'Market Listing'!$B$2:$B$4054,C189)</f>
        <v>2</v>
      </c>
      <c r="J189" s="5" t="n">
        <f aca="false">COUNTIFS('Product Rows'!$A$2:$A$696,B189,'Product Rows'!$B$2:$B$696,C189)</f>
        <v>1</v>
      </c>
      <c r="K189" s="5" t="n">
        <f aca="false">COUNTIFS('Product Rows'!$A$2:$A$696,B189,'Product Rows'!$B$2:$B$696,C189,'Product Rows'!$G$2:$G$696,"Vial")</f>
        <v>1</v>
      </c>
      <c r="L189" s="5" t="n">
        <f aca="false">COUNTIFS('Product Rows'!$A$2:$A$696,B189,'Product Rows'!$B$2:$B$696,C189,'Product Rows'!$G$2:$G$696,"Ampoule")</f>
        <v>0</v>
      </c>
      <c r="M189" s="5" t="n">
        <f aca="false">COUNTIFS('Product Rows'!$A$2:$A$696,B189,'Product Rows'!$B$2:$B$696,C189,'Product Rows'!$G$2:$G$696,"Prefilled syringe/pen")</f>
        <v>0</v>
      </c>
      <c r="N189" s="6" t="n">
        <f aca="false">IFERROR(AVERAGEIFS('Product Rows'!$H$2:$H$696,'Product Rows'!$A$2:$A$696,B189,'Product Rows'!$B$2:$B$696,C189),"")</f>
        <v>19.649</v>
      </c>
      <c r="O189" s="7" t="n">
        <f aca="false">INDEX('API Data'!$E$2:$E$152,MATCH(B189,'API Data'!$A$2:$A$152,0))</f>
        <v>2690.12949800894</v>
      </c>
      <c r="P189" s="5" t="n">
        <f aca="false">COUNTIF($B$5:$B$337,B189)</f>
        <v>2</v>
      </c>
      <c r="Q189" s="8" t="n">
        <f aca="false">IF(ISNUMBER(I189),PERCENTRANK($I$5:$I$337,I189),"")</f>
        <v>0</v>
      </c>
      <c r="R189" s="8" t="n">
        <f aca="false">IF(ISNUMBER(N189),PERCENTRANK($N$5:$N$337,N189),"")</f>
        <v>0.355</v>
      </c>
      <c r="S189" s="8" t="n">
        <f aca="false">IF(ISNUMBER(O189),PERCENTRANK($O$5:$O$337,O189),"")</f>
        <v>0.34</v>
      </c>
      <c r="T189" s="8" t="n">
        <f aca="false">IF(ISNUMBER(P189),PERCENTRANK($P$5:$P$337,P189),"")</f>
        <v>0.235</v>
      </c>
      <c r="U189" s="9" t="n">
        <f aca="false">IF((IF(ISNUMBER(Q189),Inputs!$B$4,0)+IF(ISNUMBER(R189),Inputs!$B$5,0)+IF(ISNUMBER(S189),Inputs!$B$6,0)+IF(ISNUMBER(T189),Inputs!$B$7,0))=0,"",(IF(ISNUMBER(Q189),Inputs!$B$4*Q189,0)+IF(ISNUMBER(R189),Inputs!$B$5*R189,0)+IF(ISNUMBER(S189),Inputs!$B$6*S189,0)+IF(ISNUMBER(T189),Inputs!$B$7*T189,0))/(IF(ISNUMBER(Q189),Inputs!$B$4,0)+IF(ISNUMBER(R189),Inputs!$B$5,0)+IF(ISNUMBER(S189),Inputs!$B$6,0)+IF(ISNUMBER(T189),Inputs!$B$7,0)))</f>
        <v>0.3475</v>
      </c>
      <c r="V189" s="5" t="str">
        <f aca="false">IF(F189&gt;0,"Yes","No")</f>
        <v>No</v>
      </c>
      <c r="W189" s="5" t="str">
        <f aca="false">IF(ISNUMBER(N189),IF(N189&gt;=Inputs!$D$18,"Yes","No"),"No price")</f>
        <v>Yes</v>
      </c>
      <c r="X189" s="5" t="str">
        <f aca="false">IF(K189+L189&gt;0,"Yes",IF(M189&gt;0,"No","Unclear"))</f>
        <v>Yes</v>
      </c>
      <c r="Y189" s="5" t="str">
        <f aca="false">INDEX('API Data'!$H$2:$H$152,MATCH(B189,'API Data'!$A$2:$A$152,0))</f>
        <v>No</v>
      </c>
      <c r="Z189" s="5" t="str">
        <f aca="false">IF(COUNTIFS('Product Rows'!$A$2:$A$696,B189,'Product Rows'!$B$2:$B$696,C189,'Product Rows'!$I$2:$I$696,"Yes")&gt;0,"Yes","No")</f>
        <v>No</v>
      </c>
      <c r="AA189" s="5" t="str">
        <f aca="false">IF(P189&gt;=Inputs!$D$22,"Yes","No")</f>
        <v>No</v>
      </c>
      <c r="AB189" s="10" t="b">
        <f aca="false">AND(OR(Inputs!$B$17&lt;&gt;"Exclude",V189="Yes"),OR(Inputs!$B$18&lt;&gt;"Exclude",W189&lt;&gt;"No"),OR(Inputs!$B$19&lt;&gt;"Exclude",X189&lt;&gt;"No"),OR(Inputs!$B$20&lt;&gt;"Exclude",Y189="No"),OR(Inputs!$B$21&lt;&gt;"Exclude",Z189="No"),OR(Inputs!$B$22&lt;&gt;"Exclude",AA189="Yes"),ISNUMBER(U189))</f>
        <v>0</v>
      </c>
      <c r="AC189" s="5" t="str">
        <f aca="false">IF(AB189,COUNTIFS($C$5:$C$337,C189,$AB$5:$AB$337,TRUE(),$U$5:$U$337,"&gt;"&amp;U189)+COUNTIFS($C$5:C189,C189,$AB$5:AB189,TRUE(),$U$5:U189,U189),"")</f>
        <v/>
      </c>
      <c r="AD189" s="5" t="str">
        <f aca="false">IF(AC189="","Not eligible",IF(AC189&lt;=Inputs!$B$25,"Lead",IF(AC189&lt;=Inputs!$B$25+Inputs!$B$26,"Next wave","Long list")))</f>
        <v>Not eligible</v>
      </c>
      <c r="AE189" s="5" t="str">
        <f aca="false">IF(AND(K189+L189=0,M189&gt;0),"Safety upgrade of existing prefilled syringe",IF(K189+L189+M189=0,"Confirm presentation (not stated in source)",IF(AA189="Yes","Differentiation in crowded generic market","Safety-device mandate compliance")))</f>
        <v>Safety-device mandate compliance</v>
      </c>
      <c r="AF189" s="5" t="str">
        <f aca="false">IF(AC189="","",C189&amp;"|"&amp;AC189)</f>
        <v/>
      </c>
    </row>
    <row r="190" customFormat="false" ht="15" hidden="false" customHeight="false" outlineLevel="0" collapsed="false">
      <c r="A190" s="5" t="n">
        <f aca="false">IF(ISNUMBER(U190),RANK(U190,$U$5:$U$337),"")</f>
        <v>121</v>
      </c>
      <c r="B190" s="5" t="s">
        <v>139</v>
      </c>
      <c r="C190" s="5" t="s">
        <v>47</v>
      </c>
      <c r="D190" s="5" t="str">
        <f aca="false">INDEX('API Data'!$B$2:$B$152,MATCH(B190,'API Data'!$A$2:$A$152,0))</f>
        <v>Oncology – multiple myeloma (stem-cell transplant conditioning)</v>
      </c>
      <c r="E190" s="5" t="n">
        <f aca="false">COUNTIFS('Market Listing'!$A$2:$A$4054,B190,'Market Listing'!$B$2:$B$4054,C190)</f>
        <v>28</v>
      </c>
      <c r="F190" s="5" t="n">
        <f aca="false">COUNTIFS('Market Listing'!$A$2:$A$4054,B190,'Market Listing'!$B$2:$B$4054,C190,'Market Listing'!$D$2:$D$4054,"Tier 1")</f>
        <v>5</v>
      </c>
      <c r="G190" s="5" t="n">
        <f aca="false">COUNTIFS('Market Listing'!$A$2:$A$4054,B190,'Market Listing'!$B$2:$B$4054,C190,'Market Listing'!$D$2:$D$4054,"Tier 2")</f>
        <v>2</v>
      </c>
      <c r="H190" s="5" t="n">
        <f aca="false">COUNTIFS('Market Listing'!$A$2:$A$4054,B190,'Market Listing'!$B$2:$B$4054,C190,'Market Listing'!$D$2:$D$4054,"Tier 3")</f>
        <v>21</v>
      </c>
      <c r="I190" s="5" t="n">
        <f aca="false">SUMIFS('Market Listing'!$E$2:$E$4054,'Market Listing'!$A$2:$A$4054,B190,'Market Listing'!$B$2:$B$4054,C190)</f>
        <v>40</v>
      </c>
      <c r="J190" s="5" t="n">
        <f aca="false">COUNTIFS('Product Rows'!$A$2:$A$696,B190,'Product Rows'!$B$2:$B$696,C190)</f>
        <v>1</v>
      </c>
      <c r="K190" s="5" t="n">
        <f aca="false">COUNTIFS('Product Rows'!$A$2:$A$696,B190,'Product Rows'!$B$2:$B$696,C190,'Product Rows'!$G$2:$G$696,"Vial")</f>
        <v>1</v>
      </c>
      <c r="L190" s="5" t="n">
        <f aca="false">COUNTIFS('Product Rows'!$A$2:$A$696,B190,'Product Rows'!$B$2:$B$696,C190,'Product Rows'!$G$2:$G$696,"Ampoule")</f>
        <v>0</v>
      </c>
      <c r="M190" s="5" t="n">
        <f aca="false">COUNTIFS('Product Rows'!$A$2:$A$696,B190,'Product Rows'!$B$2:$B$696,C190,'Product Rows'!$G$2:$G$696,"Prefilled syringe/pen")</f>
        <v>0</v>
      </c>
      <c r="N190" s="6" t="n">
        <f aca="false">IFERROR(AVERAGEIFS('Product Rows'!$H$2:$H$696,'Product Rows'!$A$2:$A$696,B190,'Product Rows'!$B$2:$B$696,C190),"")</f>
        <v>95.2025</v>
      </c>
      <c r="O190" s="7" t="n">
        <f aca="false">INDEX('API Data'!$E$2:$E$152,MATCH(B190,'API Data'!$A$2:$A$152,0))</f>
        <v>2886.00398313027</v>
      </c>
      <c r="P190" s="5" t="n">
        <f aca="false">COUNTIF($B$5:$B$337,B190)</f>
        <v>5</v>
      </c>
      <c r="Q190" s="8" t="n">
        <f aca="false">IF(ISNUMBER(I190),PERCENTRANK($I$5:$I$337,I190),"")</f>
        <v>0.699</v>
      </c>
      <c r="R190" s="8" t="n">
        <f aca="false">IF(ISNUMBER(N190),PERCENTRANK($N$5:$N$337,N190),"")</f>
        <v>0.749</v>
      </c>
      <c r="S190" s="8" t="n">
        <f aca="false">IF(ISNUMBER(O190),PERCENTRANK($O$5:$O$337,O190),"")</f>
        <v>0.373</v>
      </c>
      <c r="T190" s="8" t="n">
        <f aca="false">IF(ISNUMBER(P190),PERCENTRANK($P$5:$P$337,P190),"")</f>
        <v>0.702</v>
      </c>
      <c r="U190" s="9" t="n">
        <f aca="false">IF((IF(ISNUMBER(Q190),Inputs!$B$4,0)+IF(ISNUMBER(R190),Inputs!$B$5,0)+IF(ISNUMBER(S190),Inputs!$B$6,0)+IF(ISNUMBER(T190),Inputs!$B$7,0))=0,"",(IF(ISNUMBER(Q190),Inputs!$B$4*Q190,0)+IF(ISNUMBER(R190),Inputs!$B$5*R190,0)+IF(ISNUMBER(S190),Inputs!$B$6*S190,0)+IF(ISNUMBER(T190),Inputs!$B$7*T190,0))/(IF(ISNUMBER(Q190),Inputs!$B$4,0)+IF(ISNUMBER(R190),Inputs!$B$5,0)+IF(ISNUMBER(S190),Inputs!$B$6,0)+IF(ISNUMBER(T190),Inputs!$B$7,0)))</f>
        <v>0.561</v>
      </c>
      <c r="V190" s="5" t="str">
        <f aca="false">IF(F190&gt;0,"Yes","No")</f>
        <v>Yes</v>
      </c>
      <c r="W190" s="5" t="str">
        <f aca="false">IF(ISNUMBER(N190),IF(N190&gt;=Inputs!$D$18,"Yes","No"),"No price")</f>
        <v>Yes</v>
      </c>
      <c r="X190" s="5" t="str">
        <f aca="false">IF(K190+L190&gt;0,"Yes",IF(M190&gt;0,"No","Unclear"))</f>
        <v>Yes</v>
      </c>
      <c r="Y190" s="5" t="str">
        <f aca="false">INDEX('API Data'!$H$2:$H$152,MATCH(B190,'API Data'!$A$2:$A$152,0))</f>
        <v>Yes</v>
      </c>
      <c r="Z190" s="5" t="str">
        <f aca="false">IF(COUNTIFS('Product Rows'!$A$2:$A$696,B190,'Product Rows'!$B$2:$B$696,C190,'Product Rows'!$I$2:$I$696,"Yes")&gt;0,"Yes","No")</f>
        <v>Yes</v>
      </c>
      <c r="AA190" s="5" t="str">
        <f aca="false">IF(P190&gt;=Inputs!$D$22,"Yes","No")</f>
        <v>Yes</v>
      </c>
      <c r="AB190" s="10" t="b">
        <f aca="false">AND(OR(Inputs!$B$17&lt;&gt;"Exclude",V190="Yes"),OR(Inputs!$B$18&lt;&gt;"Exclude",W190&lt;&gt;"No"),OR(Inputs!$B$19&lt;&gt;"Exclude",X190&lt;&gt;"No"),OR(Inputs!$B$20&lt;&gt;"Exclude",Y190="No"),OR(Inputs!$B$21&lt;&gt;"Exclude",Z190="No"),OR(Inputs!$B$22&lt;&gt;"Exclude",AA190="Yes"),ISNUMBER(U190))</f>
        <v>1</v>
      </c>
      <c r="AC190" s="5" t="n">
        <f aca="false">IF(AB190,COUNTIFS($C$5:$C$337,C190,$AB$5:$AB$337,TRUE(),$U$5:$U$337,"&gt;"&amp;U190)+COUNTIFS($C$5:C190,C190,$AB$5:AB190,TRUE(),$U$5:U190,U190),"")</f>
        <v>16</v>
      </c>
      <c r="AD190" s="5" t="str">
        <f aca="false">IF(AC190="","Not eligible",IF(AC190&lt;=Inputs!$B$25,"Lead",IF(AC190&lt;=Inputs!$B$25+Inputs!$B$26,"Next wave","Long list")))</f>
        <v>Long list</v>
      </c>
      <c r="AE190" s="5" t="str">
        <f aca="false">IF(AND(K190+L190=0,M190&gt;0),"Safety upgrade of existing prefilled syringe",IF(K190+L190+M190=0,"Confirm presentation (not stated in source)",IF(AA190="Yes","Differentiation in crowded generic market","Safety-device mandate compliance")))</f>
        <v>Differentiation in crowded generic market</v>
      </c>
      <c r="AF190" s="5" t="str">
        <f aca="false">IF(AC190="","",C190&amp;"|"&amp;AC190)</f>
        <v>Aurobindo Pharma|16</v>
      </c>
    </row>
    <row r="191" customFormat="false" ht="15" hidden="false" customHeight="false" outlineLevel="0" collapsed="false">
      <c r="A191" s="5" t="n">
        <f aca="false">IF(ISNUMBER(U191),RANK(U191,$U$5:$U$337),"")</f>
        <v>88</v>
      </c>
      <c r="B191" s="5" t="s">
        <v>139</v>
      </c>
      <c r="C191" s="5" t="s">
        <v>35</v>
      </c>
      <c r="D191" s="5" t="str">
        <f aca="false">INDEX('API Data'!$B$2:$B$152,MATCH(B191,'API Data'!$A$2:$A$152,0))</f>
        <v>Oncology – multiple myeloma (stem-cell transplant conditioning)</v>
      </c>
      <c r="E191" s="5" t="n">
        <f aca="false">COUNTIFS('Market Listing'!$A$2:$A$4054,B191,'Market Listing'!$B$2:$B$4054,C191)</f>
        <v>32</v>
      </c>
      <c r="F191" s="5" t="n">
        <f aca="false">COUNTIFS('Market Listing'!$A$2:$A$4054,B191,'Market Listing'!$B$2:$B$4054,C191,'Market Listing'!$D$2:$D$4054,"Tier 1")</f>
        <v>7</v>
      </c>
      <c r="G191" s="5" t="n">
        <f aca="false">COUNTIFS('Market Listing'!$A$2:$A$4054,B191,'Market Listing'!$B$2:$B$4054,C191,'Market Listing'!$D$2:$D$4054,"Tier 2")</f>
        <v>3</v>
      </c>
      <c r="H191" s="5" t="n">
        <f aca="false">COUNTIFS('Market Listing'!$A$2:$A$4054,B191,'Market Listing'!$B$2:$B$4054,C191,'Market Listing'!$D$2:$D$4054,"Tier 3")</f>
        <v>22</v>
      </c>
      <c r="I191" s="5" t="n">
        <f aca="false">SUMIFS('Market Listing'!$E$2:$E$4054,'Market Listing'!$A$2:$A$4054,B191,'Market Listing'!$B$2:$B$4054,C191)</f>
        <v>49</v>
      </c>
      <c r="J191" s="5" t="n">
        <f aca="false">COUNTIFS('Product Rows'!$A$2:$A$696,B191,'Product Rows'!$B$2:$B$696,C191)</f>
        <v>5</v>
      </c>
      <c r="K191" s="5" t="n">
        <f aca="false">COUNTIFS('Product Rows'!$A$2:$A$696,B191,'Product Rows'!$B$2:$B$696,C191,'Product Rows'!$G$2:$G$696,"Vial")</f>
        <v>5</v>
      </c>
      <c r="L191" s="5" t="n">
        <f aca="false">COUNTIFS('Product Rows'!$A$2:$A$696,B191,'Product Rows'!$B$2:$B$696,C191,'Product Rows'!$G$2:$G$696,"Ampoule")</f>
        <v>0</v>
      </c>
      <c r="M191" s="5" t="n">
        <f aca="false">COUNTIFS('Product Rows'!$A$2:$A$696,B191,'Product Rows'!$B$2:$B$696,C191,'Product Rows'!$G$2:$G$696,"Prefilled syringe/pen")</f>
        <v>0</v>
      </c>
      <c r="N191" s="6" t="n">
        <f aca="false">IFERROR(AVERAGEIFS('Product Rows'!$H$2:$H$696,'Product Rows'!$A$2:$A$696,B191,'Product Rows'!$B$2:$B$696,C191),"")</f>
        <v>195.70555</v>
      </c>
      <c r="O191" s="7" t="n">
        <f aca="false">INDEX('API Data'!$E$2:$E$152,MATCH(B191,'API Data'!$A$2:$A$152,0))</f>
        <v>2886.00398313027</v>
      </c>
      <c r="P191" s="5" t="n">
        <f aca="false">COUNTIF($B$5:$B$337,B191)</f>
        <v>5</v>
      </c>
      <c r="Q191" s="8" t="n">
        <f aca="false">IF(ISNUMBER(I191),PERCENTRANK($I$5:$I$337,I191),"")</f>
        <v>0.934</v>
      </c>
      <c r="R191" s="8" t="n">
        <f aca="false">IF(ISNUMBER(N191),PERCENTRANK($N$5:$N$337,N191),"")</f>
        <v>0.839</v>
      </c>
      <c r="S191" s="8" t="n">
        <f aca="false">IF(ISNUMBER(O191),PERCENTRANK($O$5:$O$337,O191),"")</f>
        <v>0.373</v>
      </c>
      <c r="T191" s="8" t="n">
        <f aca="false">IF(ISNUMBER(P191),PERCENTRANK($P$5:$P$337,P191),"")</f>
        <v>0.702</v>
      </c>
      <c r="U191" s="9" t="n">
        <f aca="false">IF((IF(ISNUMBER(Q191),Inputs!$B$4,0)+IF(ISNUMBER(R191),Inputs!$B$5,0)+IF(ISNUMBER(S191),Inputs!$B$6,0)+IF(ISNUMBER(T191),Inputs!$B$7,0))=0,"",(IF(ISNUMBER(Q191),Inputs!$B$4*Q191,0)+IF(ISNUMBER(R191),Inputs!$B$5*R191,0)+IF(ISNUMBER(S191),Inputs!$B$6*S191,0)+IF(ISNUMBER(T191),Inputs!$B$7*T191,0))/(IF(ISNUMBER(Q191),Inputs!$B$4,0)+IF(ISNUMBER(R191),Inputs!$B$5,0)+IF(ISNUMBER(S191),Inputs!$B$6,0)+IF(ISNUMBER(T191),Inputs!$B$7,0)))</f>
        <v>0.606</v>
      </c>
      <c r="V191" s="5" t="str">
        <f aca="false">IF(F191&gt;0,"Yes","No")</f>
        <v>Yes</v>
      </c>
      <c r="W191" s="5" t="str">
        <f aca="false">IF(ISNUMBER(N191),IF(N191&gt;=Inputs!$D$18,"Yes","No"),"No price")</f>
        <v>Yes</v>
      </c>
      <c r="X191" s="5" t="str">
        <f aca="false">IF(K191+L191&gt;0,"Yes",IF(M191&gt;0,"No","Unclear"))</f>
        <v>Yes</v>
      </c>
      <c r="Y191" s="5" t="str">
        <f aca="false">INDEX('API Data'!$H$2:$H$152,MATCH(B191,'API Data'!$A$2:$A$152,0))</f>
        <v>Yes</v>
      </c>
      <c r="Z191" s="5" t="str">
        <f aca="false">IF(COUNTIFS('Product Rows'!$A$2:$A$696,B191,'Product Rows'!$B$2:$B$696,C191,'Product Rows'!$I$2:$I$696,"Yes")&gt;0,"Yes","No")</f>
        <v>Yes</v>
      </c>
      <c r="AA191" s="5" t="str">
        <f aca="false">IF(P191&gt;=Inputs!$D$22,"Yes","No")</f>
        <v>Yes</v>
      </c>
      <c r="AB191" s="10" t="b">
        <f aca="false">AND(OR(Inputs!$B$17&lt;&gt;"Exclude",V191="Yes"),OR(Inputs!$B$18&lt;&gt;"Exclude",W191&lt;&gt;"No"),OR(Inputs!$B$19&lt;&gt;"Exclude",X191&lt;&gt;"No"),OR(Inputs!$B$20&lt;&gt;"Exclude",Y191="No"),OR(Inputs!$B$21&lt;&gt;"Exclude",Z191="No"),OR(Inputs!$B$22&lt;&gt;"Exclude",AA191="Yes"),ISNUMBER(U191))</f>
        <v>1</v>
      </c>
      <c r="AC191" s="5" t="n">
        <f aca="false">IF(AB191,COUNTIFS($C$5:$C$337,C191,$AB$5:$AB$337,TRUE(),$U$5:$U$337,"&gt;"&amp;U191)+COUNTIFS($C$5:C191,C191,$AB$5:AB191,TRUE(),$U$5:U191,U191),"")</f>
        <v>7</v>
      </c>
      <c r="AD191" s="5" t="str">
        <f aca="false">IF(AC191="","Not eligible",IF(AC191&lt;=Inputs!$B$25,"Lead",IF(AC191&lt;=Inputs!$B$25+Inputs!$B$26,"Next wave","Long list")))</f>
        <v>Next wave</v>
      </c>
      <c r="AE191" s="5" t="str">
        <f aca="false">IF(AND(K191+L191=0,M191&gt;0),"Safety upgrade of existing prefilled syringe",IF(K191+L191+M191=0,"Confirm presentation (not stated in source)",IF(AA191="Yes","Differentiation in crowded generic market","Safety-device mandate compliance")))</f>
        <v>Differentiation in crowded generic market</v>
      </c>
      <c r="AF191" s="5" t="str">
        <f aca="false">IF(AC191="","",C191&amp;"|"&amp;AC191)</f>
        <v>Emcure Pharmaceuticals|7</v>
      </c>
    </row>
    <row r="192" customFormat="false" ht="15" hidden="false" customHeight="false" outlineLevel="0" collapsed="false">
      <c r="A192" s="5" t="n">
        <f aca="false">IF(ISNUMBER(U192),RANK(U192,$U$5:$U$337),"")</f>
        <v>123</v>
      </c>
      <c r="B192" s="5" t="s">
        <v>139</v>
      </c>
      <c r="C192" s="5" t="s">
        <v>57</v>
      </c>
      <c r="D192" s="5" t="str">
        <f aca="false">INDEX('API Data'!$B$2:$B$152,MATCH(B192,'API Data'!$A$2:$A$152,0))</f>
        <v>Oncology – multiple myeloma (stem-cell transplant conditioning)</v>
      </c>
      <c r="E192" s="5" t="n">
        <f aca="false">COUNTIFS('Market Listing'!$A$2:$A$4054,B192,'Market Listing'!$B$2:$B$4054,C192)</f>
        <v>30</v>
      </c>
      <c r="F192" s="5" t="n">
        <f aca="false">COUNTIFS('Market Listing'!$A$2:$A$4054,B192,'Market Listing'!$B$2:$B$4054,C192,'Market Listing'!$D$2:$D$4054,"Tier 1")</f>
        <v>6</v>
      </c>
      <c r="G192" s="5" t="n">
        <f aca="false">COUNTIFS('Market Listing'!$A$2:$A$4054,B192,'Market Listing'!$B$2:$B$4054,C192,'Market Listing'!$D$2:$D$4054,"Tier 2")</f>
        <v>2</v>
      </c>
      <c r="H192" s="5" t="n">
        <f aca="false">COUNTIFS('Market Listing'!$A$2:$A$4054,B192,'Market Listing'!$B$2:$B$4054,C192,'Market Listing'!$D$2:$D$4054,"Tier 3")</f>
        <v>22</v>
      </c>
      <c r="I192" s="5" t="n">
        <f aca="false">SUMIFS('Market Listing'!$E$2:$E$4054,'Market Listing'!$A$2:$A$4054,B192,'Market Listing'!$B$2:$B$4054,C192)</f>
        <v>44</v>
      </c>
      <c r="J192" s="5" t="n">
        <f aca="false">COUNTIFS('Product Rows'!$A$2:$A$696,B192,'Product Rows'!$B$2:$B$696,C192)</f>
        <v>3</v>
      </c>
      <c r="K192" s="5" t="n">
        <f aca="false">COUNTIFS('Product Rows'!$A$2:$A$696,B192,'Product Rows'!$B$2:$B$696,C192,'Product Rows'!$G$2:$G$696,"Vial")</f>
        <v>3</v>
      </c>
      <c r="L192" s="5" t="n">
        <f aca="false">COUNTIFS('Product Rows'!$A$2:$A$696,B192,'Product Rows'!$B$2:$B$696,C192,'Product Rows'!$G$2:$G$696,"Ampoule")</f>
        <v>0</v>
      </c>
      <c r="M192" s="5" t="n">
        <f aca="false">COUNTIFS('Product Rows'!$A$2:$A$696,B192,'Product Rows'!$B$2:$B$696,C192,'Product Rows'!$G$2:$G$696,"Prefilled syringe/pen")</f>
        <v>0</v>
      </c>
      <c r="N192" s="6" t="n">
        <f aca="false">IFERROR(AVERAGEIFS('Product Rows'!$H$2:$H$696,'Product Rows'!$A$2:$A$696,B192,'Product Rows'!$B$2:$B$696,C192),"")</f>
        <v>92.7421666666667</v>
      </c>
      <c r="O192" s="7" t="n">
        <f aca="false">INDEX('API Data'!$E$2:$E$152,MATCH(B192,'API Data'!$A$2:$A$152,0))</f>
        <v>2886.00398313027</v>
      </c>
      <c r="P192" s="5" t="n">
        <f aca="false">COUNTIF($B$5:$B$337,B192)</f>
        <v>5</v>
      </c>
      <c r="Q192" s="8" t="n">
        <f aca="false">IF(ISNUMBER(I192),PERCENTRANK($I$5:$I$337,I192),"")</f>
        <v>0.798</v>
      </c>
      <c r="R192" s="8" t="n">
        <f aca="false">IF(ISNUMBER(N192),PERCENTRANK($N$5:$N$337,N192),"")</f>
        <v>0.738</v>
      </c>
      <c r="S192" s="8" t="n">
        <f aca="false">IF(ISNUMBER(O192),PERCENTRANK($O$5:$O$337,O192),"")</f>
        <v>0.373</v>
      </c>
      <c r="T192" s="8" t="n">
        <f aca="false">IF(ISNUMBER(P192),PERCENTRANK($P$5:$P$337,P192),"")</f>
        <v>0.702</v>
      </c>
      <c r="U192" s="9" t="n">
        <f aca="false">IF((IF(ISNUMBER(Q192),Inputs!$B$4,0)+IF(ISNUMBER(R192),Inputs!$B$5,0)+IF(ISNUMBER(S192),Inputs!$B$6,0)+IF(ISNUMBER(T192),Inputs!$B$7,0))=0,"",(IF(ISNUMBER(Q192),Inputs!$B$4*Q192,0)+IF(ISNUMBER(R192),Inputs!$B$5*R192,0)+IF(ISNUMBER(S192),Inputs!$B$6*S192,0)+IF(ISNUMBER(T192),Inputs!$B$7*T192,0))/(IF(ISNUMBER(Q192),Inputs!$B$4,0)+IF(ISNUMBER(R192),Inputs!$B$5,0)+IF(ISNUMBER(S192),Inputs!$B$6,0)+IF(ISNUMBER(T192),Inputs!$B$7,0)))</f>
        <v>0.5555</v>
      </c>
      <c r="V192" s="5" t="str">
        <f aca="false">IF(F192&gt;0,"Yes","No")</f>
        <v>Yes</v>
      </c>
      <c r="W192" s="5" t="str">
        <f aca="false">IF(ISNUMBER(N192),IF(N192&gt;=Inputs!$D$18,"Yes","No"),"No price")</f>
        <v>Yes</v>
      </c>
      <c r="X192" s="5" t="str">
        <f aca="false">IF(K192+L192&gt;0,"Yes",IF(M192&gt;0,"No","Unclear"))</f>
        <v>Yes</v>
      </c>
      <c r="Y192" s="5" t="str">
        <f aca="false">INDEX('API Data'!$H$2:$H$152,MATCH(B192,'API Data'!$A$2:$A$152,0))</f>
        <v>Yes</v>
      </c>
      <c r="Z192" s="5" t="str">
        <f aca="false">IF(COUNTIFS('Product Rows'!$A$2:$A$696,B192,'Product Rows'!$B$2:$B$696,C192,'Product Rows'!$I$2:$I$696,"Yes")&gt;0,"Yes","No")</f>
        <v>Yes</v>
      </c>
      <c r="AA192" s="5" t="str">
        <f aca="false">IF(P192&gt;=Inputs!$D$22,"Yes","No")</f>
        <v>Yes</v>
      </c>
      <c r="AB192" s="10" t="b">
        <f aca="false">AND(OR(Inputs!$B$17&lt;&gt;"Exclude",V192="Yes"),OR(Inputs!$B$18&lt;&gt;"Exclude",W192&lt;&gt;"No"),OR(Inputs!$B$19&lt;&gt;"Exclude",X192&lt;&gt;"No"),OR(Inputs!$B$20&lt;&gt;"Exclude",Y192="No"),OR(Inputs!$B$21&lt;&gt;"Exclude",Z192="No"),OR(Inputs!$B$22&lt;&gt;"Exclude",AA192="Yes"),ISNUMBER(U192))</f>
        <v>1</v>
      </c>
      <c r="AC192" s="5" t="n">
        <f aca="false">IF(AB192,COUNTIFS($C$5:$C$337,C192,$AB$5:$AB$337,TRUE(),$U$5:$U$337,"&gt;"&amp;U192)+COUNTIFS($C$5:C192,C192,$AB$5:AB192,TRUE(),$U$5:U192,U192),"")</f>
        <v>9</v>
      </c>
      <c r="AD192" s="5" t="str">
        <f aca="false">IF(AC192="","Not eligible",IF(AC192&lt;=Inputs!$B$25,"Lead",IF(AC192&lt;=Inputs!$B$25+Inputs!$B$26,"Next wave","Long list")))</f>
        <v>Next wave</v>
      </c>
      <c r="AE192" s="5" t="str">
        <f aca="false">IF(AND(K192+L192=0,M192&gt;0),"Safety upgrade of existing prefilled syringe",IF(K192+L192+M192=0,"Confirm presentation (not stated in source)",IF(AA192="Yes","Differentiation in crowded generic market","Safety-device mandate compliance")))</f>
        <v>Differentiation in crowded generic market</v>
      </c>
      <c r="AF192" s="5" t="str">
        <f aca="false">IF(AC192="","",C192&amp;"|"&amp;AC192)</f>
        <v>Hetero Labs|9</v>
      </c>
    </row>
    <row r="193" customFormat="false" ht="15" hidden="false" customHeight="false" outlineLevel="0" collapsed="false">
      <c r="A193" s="5" t="n">
        <f aca="false">IF(ISNUMBER(U193),RANK(U193,$U$5:$U$337),"")</f>
        <v>103</v>
      </c>
      <c r="B193" s="5" t="s">
        <v>139</v>
      </c>
      <c r="C193" s="5" t="s">
        <v>44</v>
      </c>
      <c r="D193" s="5" t="str">
        <f aca="false">INDEX('API Data'!$B$2:$B$152,MATCH(B193,'API Data'!$A$2:$A$152,0))</f>
        <v>Oncology – multiple myeloma (stem-cell transplant conditioning)</v>
      </c>
      <c r="E193" s="5" t="n">
        <f aca="false">COUNTIFS('Market Listing'!$A$2:$A$4054,B193,'Market Listing'!$B$2:$B$4054,C193)</f>
        <v>29</v>
      </c>
      <c r="F193" s="5" t="n">
        <f aca="false">COUNTIFS('Market Listing'!$A$2:$A$4054,B193,'Market Listing'!$B$2:$B$4054,C193,'Market Listing'!$D$2:$D$4054,"Tier 1")</f>
        <v>6</v>
      </c>
      <c r="G193" s="5" t="n">
        <f aca="false">COUNTIFS('Market Listing'!$A$2:$A$4054,B193,'Market Listing'!$B$2:$B$4054,C193,'Market Listing'!$D$2:$D$4054,"Tier 2")</f>
        <v>2</v>
      </c>
      <c r="H193" s="5" t="n">
        <f aca="false">COUNTIFS('Market Listing'!$A$2:$A$4054,B193,'Market Listing'!$B$2:$B$4054,C193,'Market Listing'!$D$2:$D$4054,"Tier 3")</f>
        <v>21</v>
      </c>
      <c r="I193" s="5" t="n">
        <f aca="false">SUMIFS('Market Listing'!$E$2:$E$4054,'Market Listing'!$A$2:$A$4054,B193,'Market Listing'!$B$2:$B$4054,C193)</f>
        <v>43</v>
      </c>
      <c r="J193" s="5" t="n">
        <f aca="false">COUNTIFS('Product Rows'!$A$2:$A$696,B193,'Product Rows'!$B$2:$B$696,C193)</f>
        <v>2</v>
      </c>
      <c r="K193" s="5" t="n">
        <f aca="false">COUNTIFS('Product Rows'!$A$2:$A$696,B193,'Product Rows'!$B$2:$B$696,C193,'Product Rows'!$G$2:$G$696,"Vial")</f>
        <v>2</v>
      </c>
      <c r="L193" s="5" t="n">
        <f aca="false">COUNTIFS('Product Rows'!$A$2:$A$696,B193,'Product Rows'!$B$2:$B$696,C193,'Product Rows'!$G$2:$G$696,"Ampoule")</f>
        <v>0</v>
      </c>
      <c r="M193" s="5" t="n">
        <f aca="false">COUNTIFS('Product Rows'!$A$2:$A$696,B193,'Product Rows'!$B$2:$B$696,C193,'Product Rows'!$G$2:$G$696,"Prefilled syringe/pen")</f>
        <v>0</v>
      </c>
      <c r="N193" s="6" t="n">
        <f aca="false">IFERROR(AVERAGEIFS('Product Rows'!$H$2:$H$696,'Product Rows'!$A$2:$A$696,B193,'Product Rows'!$B$2:$B$696,C193),"")</f>
        <v>147.804</v>
      </c>
      <c r="O193" s="7" t="n">
        <f aca="false">INDEX('API Data'!$E$2:$E$152,MATCH(B193,'API Data'!$A$2:$A$152,0))</f>
        <v>2886.00398313027</v>
      </c>
      <c r="P193" s="5" t="n">
        <f aca="false">COUNTIF($B$5:$B$337,B193)</f>
        <v>5</v>
      </c>
      <c r="Q193" s="8" t="n">
        <f aca="false">IF(ISNUMBER(I193),PERCENTRANK($I$5:$I$337,I193),"")</f>
        <v>0.75</v>
      </c>
      <c r="R193" s="8" t="n">
        <f aca="false">IF(ISNUMBER(N193),PERCENTRANK($N$5:$N$337,N193),"")</f>
        <v>0.796</v>
      </c>
      <c r="S193" s="8" t="n">
        <f aca="false">IF(ISNUMBER(O193),PERCENTRANK($O$5:$O$337,O193),"")</f>
        <v>0.373</v>
      </c>
      <c r="T193" s="8" t="n">
        <f aca="false">IF(ISNUMBER(P193),PERCENTRANK($P$5:$P$337,P193),"")</f>
        <v>0.702</v>
      </c>
      <c r="U193" s="9" t="n">
        <f aca="false">IF((IF(ISNUMBER(Q193),Inputs!$B$4,0)+IF(ISNUMBER(R193),Inputs!$B$5,0)+IF(ISNUMBER(S193),Inputs!$B$6,0)+IF(ISNUMBER(T193),Inputs!$B$7,0))=0,"",(IF(ISNUMBER(Q193),Inputs!$B$4*Q193,0)+IF(ISNUMBER(R193),Inputs!$B$5*R193,0)+IF(ISNUMBER(S193),Inputs!$B$6*S193,0)+IF(ISNUMBER(T193),Inputs!$B$7*T193,0))/(IF(ISNUMBER(Q193),Inputs!$B$4,0)+IF(ISNUMBER(R193),Inputs!$B$5,0)+IF(ISNUMBER(S193),Inputs!$B$6,0)+IF(ISNUMBER(T193),Inputs!$B$7,0)))</f>
        <v>0.5845</v>
      </c>
      <c r="V193" s="5" t="str">
        <f aca="false">IF(F193&gt;0,"Yes","No")</f>
        <v>Yes</v>
      </c>
      <c r="W193" s="5" t="str">
        <f aca="false">IF(ISNUMBER(N193),IF(N193&gt;=Inputs!$D$18,"Yes","No"),"No price")</f>
        <v>Yes</v>
      </c>
      <c r="X193" s="5" t="str">
        <f aca="false">IF(K193+L193&gt;0,"Yes",IF(M193&gt;0,"No","Unclear"))</f>
        <v>Yes</v>
      </c>
      <c r="Y193" s="5" t="str">
        <f aca="false">INDEX('API Data'!$H$2:$H$152,MATCH(B193,'API Data'!$A$2:$A$152,0))</f>
        <v>Yes</v>
      </c>
      <c r="Z193" s="5" t="str">
        <f aca="false">IF(COUNTIFS('Product Rows'!$A$2:$A$696,B193,'Product Rows'!$B$2:$B$696,C193,'Product Rows'!$I$2:$I$696,"Yes")&gt;0,"Yes","No")</f>
        <v>Yes</v>
      </c>
      <c r="AA193" s="5" t="str">
        <f aca="false">IF(P193&gt;=Inputs!$D$22,"Yes","No")</f>
        <v>Yes</v>
      </c>
      <c r="AB193" s="10" t="b">
        <f aca="false">AND(OR(Inputs!$B$17&lt;&gt;"Exclude",V193="Yes"),OR(Inputs!$B$18&lt;&gt;"Exclude",W193&lt;&gt;"No"),OR(Inputs!$B$19&lt;&gt;"Exclude",X193&lt;&gt;"No"),OR(Inputs!$B$20&lt;&gt;"Exclude",Y193="No"),OR(Inputs!$B$21&lt;&gt;"Exclude",Z193="No"),OR(Inputs!$B$22&lt;&gt;"Exclude",AA193="Yes"),ISNUMBER(U193))</f>
        <v>1</v>
      </c>
      <c r="AC193" s="5" t="n">
        <f aca="false">IF(AB193,COUNTIFS($C$5:$C$337,C193,$AB$5:$AB$337,TRUE(),$U$5:$U$337,"&gt;"&amp;U193)+COUNTIFS($C$5:C193,C193,$AB$5:AB193,TRUE(),$U$5:U193,U193),"")</f>
        <v>21</v>
      </c>
      <c r="AD193" s="5" t="str">
        <f aca="false">IF(AC193="","Not eligible",IF(AC193&lt;=Inputs!$B$25,"Lead",IF(AC193&lt;=Inputs!$B$25+Inputs!$B$26,"Next wave","Long list")))</f>
        <v>Long list</v>
      </c>
      <c r="AE193" s="5" t="str">
        <f aca="false">IF(AND(K193+L193=0,M193&gt;0),"Safety upgrade of existing prefilled syringe",IF(K193+L193+M193=0,"Confirm presentation (not stated in source)",IF(AA193="Yes","Differentiation in crowded generic market","Safety-device mandate compliance")))</f>
        <v>Differentiation in crowded generic market</v>
      </c>
      <c r="AF193" s="5" t="str">
        <f aca="false">IF(AC193="","",C193&amp;"|"&amp;AC193)</f>
        <v>Intas Pharmaceuticals|21</v>
      </c>
    </row>
    <row r="194" customFormat="false" ht="15" hidden="false" customHeight="false" outlineLevel="0" collapsed="false">
      <c r="A194" s="5" t="n">
        <f aca="false">IF(ISNUMBER(U194),RANK(U194,$U$5:$U$337),"")</f>
        <v>90</v>
      </c>
      <c r="B194" s="5" t="s">
        <v>139</v>
      </c>
      <c r="C194" s="5" t="s">
        <v>50</v>
      </c>
      <c r="D194" s="5" t="str">
        <f aca="false">INDEX('API Data'!$B$2:$B$152,MATCH(B194,'API Data'!$A$2:$A$152,0))</f>
        <v>Oncology – multiple myeloma (stem-cell transplant conditioning)</v>
      </c>
      <c r="E194" s="5" t="n">
        <f aca="false">COUNTIFS('Market Listing'!$A$2:$A$4054,B194,'Market Listing'!$B$2:$B$4054,C194)</f>
        <v>29</v>
      </c>
      <c r="F194" s="5" t="n">
        <f aca="false">COUNTIFS('Market Listing'!$A$2:$A$4054,B194,'Market Listing'!$B$2:$B$4054,C194,'Market Listing'!$D$2:$D$4054,"Tier 1")</f>
        <v>6</v>
      </c>
      <c r="G194" s="5" t="n">
        <f aca="false">COUNTIFS('Market Listing'!$A$2:$A$4054,B194,'Market Listing'!$B$2:$B$4054,C194,'Market Listing'!$D$2:$D$4054,"Tier 2")</f>
        <v>2</v>
      </c>
      <c r="H194" s="5" t="n">
        <f aca="false">COUNTIFS('Market Listing'!$A$2:$A$4054,B194,'Market Listing'!$B$2:$B$4054,C194,'Market Listing'!$D$2:$D$4054,"Tier 3")</f>
        <v>21</v>
      </c>
      <c r="I194" s="5" t="n">
        <f aca="false">SUMIFS('Market Listing'!$E$2:$E$4054,'Market Listing'!$A$2:$A$4054,B194,'Market Listing'!$B$2:$B$4054,C194)</f>
        <v>43</v>
      </c>
      <c r="J194" s="5" t="n">
        <f aca="false">COUNTIFS('Product Rows'!$A$2:$A$696,B194,'Product Rows'!$B$2:$B$696,C194)</f>
        <v>2</v>
      </c>
      <c r="K194" s="5" t="n">
        <f aca="false">COUNTIFS('Product Rows'!$A$2:$A$696,B194,'Product Rows'!$B$2:$B$696,C194,'Product Rows'!$G$2:$G$696,"Vial")</f>
        <v>2</v>
      </c>
      <c r="L194" s="5" t="n">
        <f aca="false">COUNTIFS('Product Rows'!$A$2:$A$696,B194,'Product Rows'!$B$2:$B$696,C194,'Product Rows'!$G$2:$G$696,"Ampoule")</f>
        <v>0</v>
      </c>
      <c r="M194" s="5" t="n">
        <f aca="false">COUNTIFS('Product Rows'!$A$2:$A$696,B194,'Product Rows'!$B$2:$B$696,C194,'Product Rows'!$G$2:$G$696,"Prefilled syringe/pen")</f>
        <v>0</v>
      </c>
      <c r="N194" s="6" t="n">
        <f aca="false">IFERROR(AVERAGEIFS('Product Rows'!$H$2:$H$696,'Product Rows'!$A$2:$A$696,B194,'Product Rows'!$B$2:$B$696,C194),"")</f>
        <v>180.42275</v>
      </c>
      <c r="O194" s="7" t="n">
        <f aca="false">INDEX('API Data'!$E$2:$E$152,MATCH(B194,'API Data'!$A$2:$A$152,0))</f>
        <v>2886.00398313027</v>
      </c>
      <c r="P194" s="5" t="n">
        <f aca="false">COUNTIF($B$5:$B$337,B194)</f>
        <v>5</v>
      </c>
      <c r="Q194" s="8" t="n">
        <f aca="false">IF(ISNUMBER(I194),PERCENTRANK($I$5:$I$337,I194),"")</f>
        <v>0.75</v>
      </c>
      <c r="R194" s="8" t="n">
        <f aca="false">IF(ISNUMBER(N194),PERCENTRANK($N$5:$N$337,N194),"")</f>
        <v>0.832</v>
      </c>
      <c r="S194" s="8" t="n">
        <f aca="false">IF(ISNUMBER(O194),PERCENTRANK($O$5:$O$337,O194),"")</f>
        <v>0.373</v>
      </c>
      <c r="T194" s="8" t="n">
        <f aca="false">IF(ISNUMBER(P194),PERCENTRANK($P$5:$P$337,P194),"")</f>
        <v>0.702</v>
      </c>
      <c r="U194" s="9" t="n">
        <f aca="false">IF((IF(ISNUMBER(Q194),Inputs!$B$4,0)+IF(ISNUMBER(R194),Inputs!$B$5,0)+IF(ISNUMBER(S194),Inputs!$B$6,0)+IF(ISNUMBER(T194),Inputs!$B$7,0))=0,"",(IF(ISNUMBER(Q194),Inputs!$B$4*Q194,0)+IF(ISNUMBER(R194),Inputs!$B$5*R194,0)+IF(ISNUMBER(S194),Inputs!$B$6*S194,0)+IF(ISNUMBER(T194),Inputs!$B$7*T194,0))/(IF(ISNUMBER(Q194),Inputs!$B$4,0)+IF(ISNUMBER(R194),Inputs!$B$5,0)+IF(ISNUMBER(S194),Inputs!$B$6,0)+IF(ISNUMBER(T194),Inputs!$B$7,0)))</f>
        <v>0.6025</v>
      </c>
      <c r="V194" s="5" t="str">
        <f aca="false">IF(F194&gt;0,"Yes","No")</f>
        <v>Yes</v>
      </c>
      <c r="W194" s="5" t="str">
        <f aca="false">IF(ISNUMBER(N194),IF(N194&gt;=Inputs!$D$18,"Yes","No"),"No price")</f>
        <v>Yes</v>
      </c>
      <c r="X194" s="5" t="str">
        <f aca="false">IF(K194+L194&gt;0,"Yes",IF(M194&gt;0,"No","Unclear"))</f>
        <v>Yes</v>
      </c>
      <c r="Y194" s="5" t="str">
        <f aca="false">INDEX('API Data'!$H$2:$H$152,MATCH(B194,'API Data'!$A$2:$A$152,0))</f>
        <v>Yes</v>
      </c>
      <c r="Z194" s="5" t="str">
        <f aca="false">IF(COUNTIFS('Product Rows'!$A$2:$A$696,B194,'Product Rows'!$B$2:$B$696,C194,'Product Rows'!$I$2:$I$696,"Yes")&gt;0,"Yes","No")</f>
        <v>Yes</v>
      </c>
      <c r="AA194" s="5" t="str">
        <f aca="false">IF(P194&gt;=Inputs!$D$22,"Yes","No")</f>
        <v>Yes</v>
      </c>
      <c r="AB194" s="10" t="b">
        <f aca="false">AND(OR(Inputs!$B$17&lt;&gt;"Exclude",V194="Yes"),OR(Inputs!$B$18&lt;&gt;"Exclude",W194&lt;&gt;"No"),OR(Inputs!$B$19&lt;&gt;"Exclude",X194&lt;&gt;"No"),OR(Inputs!$B$20&lt;&gt;"Exclude",Y194="No"),OR(Inputs!$B$21&lt;&gt;"Exclude",Z194="No"),OR(Inputs!$B$22&lt;&gt;"Exclude",AA194="Yes"),ISNUMBER(U194))</f>
        <v>1</v>
      </c>
      <c r="AC194" s="5" t="n">
        <f aca="false">IF(AB194,COUNTIFS($C$5:$C$337,C194,$AB$5:$AB$337,TRUE(),$U$5:$U$337,"&gt;"&amp;U194)+COUNTIFS($C$5:C194,C194,$AB$5:AB194,TRUE(),$U$5:U194,U194),"")</f>
        <v>4</v>
      </c>
      <c r="AD194" s="5" t="str">
        <f aca="false">IF(AC194="","Not eligible",IF(AC194&lt;=Inputs!$B$25,"Lead",IF(AC194&lt;=Inputs!$B$25+Inputs!$B$26,"Next wave","Long list")))</f>
        <v>Lead</v>
      </c>
      <c r="AE194" s="5" t="str">
        <f aca="false">IF(AND(K194+L194=0,M194&gt;0),"Safety upgrade of existing prefilled syringe",IF(K194+L194+M194=0,"Confirm presentation (not stated in source)",IF(AA194="Yes","Differentiation in crowded generic market","Safety-device mandate compliance")))</f>
        <v>Differentiation in crowded generic market</v>
      </c>
      <c r="AF194" s="5" t="str">
        <f aca="false">IF(AC194="","",C194&amp;"|"&amp;AC194)</f>
        <v>Sun Pharma|4</v>
      </c>
    </row>
    <row r="195" customFormat="false" ht="15" hidden="false" customHeight="false" outlineLevel="0" collapsed="false">
      <c r="A195" s="5" t="n">
        <f aca="false">IF(ISNUMBER(U195),RANK(U195,$U$5:$U$337),"")</f>
        <v>77</v>
      </c>
      <c r="B195" s="5" t="s">
        <v>140</v>
      </c>
      <c r="C195" s="5" t="s">
        <v>47</v>
      </c>
      <c r="D195" s="5" t="str">
        <f aca="false">INDEX('API Data'!$B$2:$B$152,MATCH(B195,'API Data'!$A$2:$A$152,0))</f>
        <v>Anti-infective – severe hospital infections (ICU, sepsis, meningitis, MDR)</v>
      </c>
      <c r="E195" s="5" t="n">
        <f aca="false">COUNTIFS('Market Listing'!$A$2:$A$4054,B195,'Market Listing'!$B$2:$B$4054,C195)</f>
        <v>31</v>
      </c>
      <c r="F195" s="5" t="n">
        <f aca="false">COUNTIFS('Market Listing'!$A$2:$A$4054,B195,'Market Listing'!$B$2:$B$4054,C195,'Market Listing'!$D$2:$D$4054,"Tier 1")</f>
        <v>6</v>
      </c>
      <c r="G195" s="5" t="n">
        <f aca="false">COUNTIFS('Market Listing'!$A$2:$A$4054,B195,'Market Listing'!$B$2:$B$4054,C195,'Market Listing'!$D$2:$D$4054,"Tier 2")</f>
        <v>3</v>
      </c>
      <c r="H195" s="5" t="n">
        <f aca="false">COUNTIFS('Market Listing'!$A$2:$A$4054,B195,'Market Listing'!$B$2:$B$4054,C195,'Market Listing'!$D$2:$D$4054,"Tier 3")</f>
        <v>22</v>
      </c>
      <c r="I195" s="5" t="n">
        <f aca="false">SUMIFS('Market Listing'!$E$2:$E$4054,'Market Listing'!$A$2:$A$4054,B195,'Market Listing'!$B$2:$B$4054,C195)</f>
        <v>46</v>
      </c>
      <c r="J195" s="5" t="n">
        <f aca="false">COUNTIFS('Product Rows'!$A$2:$A$696,B195,'Product Rows'!$B$2:$B$696,C195)</f>
        <v>7</v>
      </c>
      <c r="K195" s="5" t="n">
        <f aca="false">COUNTIFS('Product Rows'!$A$2:$A$696,B195,'Product Rows'!$B$2:$B$696,C195,'Product Rows'!$G$2:$G$696,"Vial")</f>
        <v>7</v>
      </c>
      <c r="L195" s="5" t="n">
        <f aca="false">COUNTIFS('Product Rows'!$A$2:$A$696,B195,'Product Rows'!$B$2:$B$696,C195,'Product Rows'!$G$2:$G$696,"Ampoule")</f>
        <v>0</v>
      </c>
      <c r="M195" s="5" t="n">
        <f aca="false">COUNTIFS('Product Rows'!$A$2:$A$696,B195,'Product Rows'!$B$2:$B$696,C195,'Product Rows'!$G$2:$G$696,"Prefilled syringe/pen")</f>
        <v>0</v>
      </c>
      <c r="N195" s="6" t="n">
        <f aca="false">IFERROR(AVERAGEIFS('Product Rows'!$H$2:$H$696,'Product Rows'!$A$2:$A$696,B195,'Product Rows'!$B$2:$B$696,C195),"")</f>
        <v>20.1370142857143</v>
      </c>
      <c r="O195" s="7" t="n">
        <f aca="false">INDEX('API Data'!$E$2:$E$152,MATCH(B195,'API Data'!$A$2:$A$152,0))</f>
        <v>58920.4013724345</v>
      </c>
      <c r="P195" s="5" t="n">
        <f aca="false">COUNTIF($B$5:$B$337,B195)</f>
        <v>7</v>
      </c>
      <c r="Q195" s="8" t="n">
        <f aca="false">IF(ISNUMBER(I195),PERCENTRANK($I$5:$I$337,I195),"")</f>
        <v>0.846</v>
      </c>
      <c r="R195" s="8" t="n">
        <f aca="false">IF(ISNUMBER(N195),PERCENTRANK($N$5:$N$337,N195),"")</f>
        <v>0.358</v>
      </c>
      <c r="S195" s="8" t="n">
        <f aca="false">IF(ISNUMBER(O195),PERCENTRANK($O$5:$O$337,O195),"")</f>
        <v>0.937</v>
      </c>
      <c r="T195" s="8" t="n">
        <f aca="false">IF(ISNUMBER(P195),PERCENTRANK($P$5:$P$337,P195),"")</f>
        <v>0.822</v>
      </c>
      <c r="U195" s="9" t="n">
        <f aca="false">IF((IF(ISNUMBER(Q195),Inputs!$B$4,0)+IF(ISNUMBER(R195),Inputs!$B$5,0)+IF(ISNUMBER(S195),Inputs!$B$6,0)+IF(ISNUMBER(T195),Inputs!$B$7,0))=0,"",(IF(ISNUMBER(Q195),Inputs!$B$4*Q195,0)+IF(ISNUMBER(R195),Inputs!$B$5*R195,0)+IF(ISNUMBER(S195),Inputs!$B$6*S195,0)+IF(ISNUMBER(T195),Inputs!$B$7*T195,0))/(IF(ISNUMBER(Q195),Inputs!$B$4,0)+IF(ISNUMBER(R195),Inputs!$B$5,0)+IF(ISNUMBER(S195),Inputs!$B$6,0)+IF(ISNUMBER(T195),Inputs!$B$7,0)))</f>
        <v>0.6475</v>
      </c>
      <c r="V195" s="5" t="str">
        <f aca="false">IF(F195&gt;0,"Yes","No")</f>
        <v>Yes</v>
      </c>
      <c r="W195" s="5" t="str">
        <f aca="false">IF(ISNUMBER(N195),IF(N195&gt;=Inputs!$D$18,"Yes","No"),"No price")</f>
        <v>Yes</v>
      </c>
      <c r="X195" s="5" t="str">
        <f aca="false">IF(K195+L195&gt;0,"Yes",IF(M195&gt;0,"No","Unclear"))</f>
        <v>Yes</v>
      </c>
      <c r="Y195" s="5" t="str">
        <f aca="false">INDEX('API Data'!$H$2:$H$152,MATCH(B195,'API Data'!$A$2:$A$152,0))</f>
        <v>No</v>
      </c>
      <c r="Z195" s="5" t="str">
        <f aca="false">IF(COUNTIFS('Product Rows'!$A$2:$A$696,B195,'Product Rows'!$B$2:$B$696,C195,'Product Rows'!$I$2:$I$696,"Yes")&gt;0,"Yes","No")</f>
        <v>Yes</v>
      </c>
      <c r="AA195" s="5" t="str">
        <f aca="false">IF(P195&gt;=Inputs!$D$22,"Yes","No")</f>
        <v>Yes</v>
      </c>
      <c r="AB195" s="10" t="b">
        <f aca="false">AND(OR(Inputs!$B$17&lt;&gt;"Exclude",V195="Yes"),OR(Inputs!$B$18&lt;&gt;"Exclude",W195&lt;&gt;"No"),OR(Inputs!$B$19&lt;&gt;"Exclude",X195&lt;&gt;"No"),OR(Inputs!$B$20&lt;&gt;"Exclude",Y195="No"),OR(Inputs!$B$21&lt;&gt;"Exclude",Z195="No"),OR(Inputs!$B$22&lt;&gt;"Exclude",AA195="Yes"),ISNUMBER(U195))</f>
        <v>1</v>
      </c>
      <c r="AC195" s="5" t="n">
        <f aca="false">IF(AB195,COUNTIFS($C$5:$C$337,C195,$AB$5:$AB$337,TRUE(),$U$5:$U$337,"&gt;"&amp;U195)+COUNTIFS($C$5:C195,C195,$AB$5:AB195,TRUE(),$U$5:U195,U195),"")</f>
        <v>9</v>
      </c>
      <c r="AD195" s="5" t="str">
        <f aca="false">IF(AC195="","Not eligible",IF(AC195&lt;=Inputs!$B$25,"Lead",IF(AC195&lt;=Inputs!$B$25+Inputs!$B$26,"Next wave","Long list")))</f>
        <v>Next wave</v>
      </c>
      <c r="AE195" s="5" t="str">
        <f aca="false">IF(AND(K195+L195=0,M195&gt;0),"Safety upgrade of existing prefilled syringe",IF(K195+L195+M195=0,"Confirm presentation (not stated in source)",IF(AA195="Yes","Differentiation in crowded generic market","Safety-device mandate compliance")))</f>
        <v>Differentiation in crowded generic market</v>
      </c>
      <c r="AF195" s="5" t="str">
        <f aca="false">IF(AC195="","",C195&amp;"|"&amp;AC195)</f>
        <v>Aurobindo Pharma|9</v>
      </c>
    </row>
    <row r="196" customFormat="false" ht="15" hidden="false" customHeight="false" outlineLevel="0" collapsed="false">
      <c r="A196" s="5" t="n">
        <f aca="false">IF(ISNUMBER(U196),RANK(U196,$U$5:$U$337),"")</f>
        <v>104</v>
      </c>
      <c r="B196" s="5" t="s">
        <v>140</v>
      </c>
      <c r="C196" s="5" t="s">
        <v>40</v>
      </c>
      <c r="D196" s="5" t="str">
        <f aca="false">INDEX('API Data'!$B$2:$B$152,MATCH(B196,'API Data'!$A$2:$A$152,0))</f>
        <v>Anti-infective – severe hospital infections (ICU, sepsis, meningitis, MDR)</v>
      </c>
      <c r="E196" s="5" t="n">
        <f aca="false">COUNTIFS('Market Listing'!$A$2:$A$4054,B196,'Market Listing'!$B$2:$B$4054,C196)</f>
        <v>2</v>
      </c>
      <c r="F196" s="5" t="n">
        <f aca="false">COUNTIFS('Market Listing'!$A$2:$A$4054,B196,'Market Listing'!$B$2:$B$4054,C196,'Market Listing'!$D$2:$D$4054,"Tier 1")</f>
        <v>0</v>
      </c>
      <c r="G196" s="5" t="n">
        <f aca="false">COUNTIFS('Market Listing'!$A$2:$A$4054,B196,'Market Listing'!$B$2:$B$4054,C196,'Market Listing'!$D$2:$D$4054,"Tier 2")</f>
        <v>2</v>
      </c>
      <c r="H196" s="5" t="n">
        <f aca="false">COUNTIFS('Market Listing'!$A$2:$A$4054,B196,'Market Listing'!$B$2:$B$4054,C196,'Market Listing'!$D$2:$D$4054,"Tier 3")</f>
        <v>0</v>
      </c>
      <c r="I196" s="5" t="n">
        <f aca="false">SUMIFS('Market Listing'!$E$2:$E$4054,'Market Listing'!$A$2:$A$4054,B196,'Market Listing'!$B$2:$B$4054,C196)</f>
        <v>4</v>
      </c>
      <c r="J196" s="5" t="n">
        <f aca="false">COUNTIFS('Product Rows'!$A$2:$A$696,B196,'Product Rows'!$B$2:$B$696,C196)</f>
        <v>4</v>
      </c>
      <c r="K196" s="5" t="n">
        <f aca="false">COUNTIFS('Product Rows'!$A$2:$A$696,B196,'Product Rows'!$B$2:$B$696,C196,'Product Rows'!$G$2:$G$696,"Vial")</f>
        <v>4</v>
      </c>
      <c r="L196" s="5" t="n">
        <f aca="false">COUNTIFS('Product Rows'!$A$2:$A$696,B196,'Product Rows'!$B$2:$B$696,C196,'Product Rows'!$G$2:$G$696,"Ampoule")</f>
        <v>0</v>
      </c>
      <c r="M196" s="5" t="n">
        <f aca="false">COUNTIFS('Product Rows'!$A$2:$A$696,B196,'Product Rows'!$B$2:$B$696,C196,'Product Rows'!$G$2:$G$696,"Prefilled syringe/pen")</f>
        <v>0</v>
      </c>
      <c r="N196" s="6" t="n">
        <f aca="false">IFERROR(AVERAGEIFS('Product Rows'!$H$2:$H$696,'Product Rows'!$A$2:$A$696,B196,'Product Rows'!$B$2:$B$696,C196),"")</f>
        <v>11.10225</v>
      </c>
      <c r="O196" s="7" t="n">
        <f aca="false">INDEX('API Data'!$E$2:$E$152,MATCH(B196,'API Data'!$A$2:$A$152,0))</f>
        <v>58920.4013724345</v>
      </c>
      <c r="P196" s="5" t="n">
        <f aca="false">COUNTIF($B$5:$B$337,B196)</f>
        <v>7</v>
      </c>
      <c r="Q196" s="8" t="n">
        <f aca="false">IF(ISNUMBER(I196),PERCENTRANK($I$5:$I$337,I196),"")</f>
        <v>0.509</v>
      </c>
      <c r="R196" s="8" t="n">
        <f aca="false">IF(ISNUMBER(N196),PERCENTRANK($N$5:$N$337,N196),"")</f>
        <v>0.229</v>
      </c>
      <c r="S196" s="8" t="n">
        <f aca="false">IF(ISNUMBER(O196),PERCENTRANK($O$5:$O$337,O196),"")</f>
        <v>0.937</v>
      </c>
      <c r="T196" s="8" t="n">
        <f aca="false">IF(ISNUMBER(P196),PERCENTRANK($P$5:$P$337,P196),"")</f>
        <v>0.822</v>
      </c>
      <c r="U196" s="9" t="n">
        <f aca="false">IF((IF(ISNUMBER(Q196),Inputs!$B$4,0)+IF(ISNUMBER(R196),Inputs!$B$5,0)+IF(ISNUMBER(S196),Inputs!$B$6,0)+IF(ISNUMBER(T196),Inputs!$B$7,0))=0,"",(IF(ISNUMBER(Q196),Inputs!$B$4*Q196,0)+IF(ISNUMBER(R196),Inputs!$B$5*R196,0)+IF(ISNUMBER(S196),Inputs!$B$6*S196,0)+IF(ISNUMBER(T196),Inputs!$B$7*T196,0))/(IF(ISNUMBER(Q196),Inputs!$B$4,0)+IF(ISNUMBER(R196),Inputs!$B$5,0)+IF(ISNUMBER(S196),Inputs!$B$6,0)+IF(ISNUMBER(T196),Inputs!$B$7,0)))</f>
        <v>0.583</v>
      </c>
      <c r="V196" s="5" t="str">
        <f aca="false">IF(F196&gt;0,"Yes","No")</f>
        <v>No</v>
      </c>
      <c r="W196" s="5" t="str">
        <f aca="false">IF(ISNUMBER(N196),IF(N196&gt;=Inputs!$D$18,"Yes","No"),"No price")</f>
        <v>Yes</v>
      </c>
      <c r="X196" s="5" t="str">
        <f aca="false">IF(K196+L196&gt;0,"Yes",IF(M196&gt;0,"No","Unclear"))</f>
        <v>Yes</v>
      </c>
      <c r="Y196" s="5" t="str">
        <f aca="false">INDEX('API Data'!$H$2:$H$152,MATCH(B196,'API Data'!$A$2:$A$152,0))</f>
        <v>No</v>
      </c>
      <c r="Z196" s="5" t="str">
        <f aca="false">IF(COUNTIFS('Product Rows'!$A$2:$A$696,B196,'Product Rows'!$B$2:$B$696,C196,'Product Rows'!$I$2:$I$696,"Yes")&gt;0,"Yes","No")</f>
        <v>Yes</v>
      </c>
      <c r="AA196" s="5" t="str">
        <f aca="false">IF(P196&gt;=Inputs!$D$22,"Yes","No")</f>
        <v>Yes</v>
      </c>
      <c r="AB196" s="10" t="b">
        <f aca="false">AND(OR(Inputs!$B$17&lt;&gt;"Exclude",V196="Yes"),OR(Inputs!$B$18&lt;&gt;"Exclude",W196&lt;&gt;"No"),OR(Inputs!$B$19&lt;&gt;"Exclude",X196&lt;&gt;"No"),OR(Inputs!$B$20&lt;&gt;"Exclude",Y196="No"),OR(Inputs!$B$21&lt;&gt;"Exclude",Z196="No"),OR(Inputs!$B$22&lt;&gt;"Exclude",AA196="Yes"),ISNUMBER(U196))</f>
        <v>0</v>
      </c>
      <c r="AC196" s="5" t="str">
        <f aca="false">IF(AB196,COUNTIFS($C$5:$C$337,C196,$AB$5:$AB$337,TRUE(),$U$5:$U$337,"&gt;"&amp;U196)+COUNTIFS($C$5:C196,C196,$AB$5:AB196,TRUE(),$U$5:U196,U196),"")</f>
        <v/>
      </c>
      <c r="AD196" s="5" t="str">
        <f aca="false">IF(AC196="","Not eligible",IF(AC196&lt;=Inputs!$B$25,"Lead",IF(AC196&lt;=Inputs!$B$25+Inputs!$B$26,"Next wave","Long list")))</f>
        <v>Not eligible</v>
      </c>
      <c r="AE196" s="5" t="str">
        <f aca="false">IF(AND(K196+L196=0,M196&gt;0),"Safety upgrade of existing prefilled syringe",IF(K196+L196+M196=0,"Confirm presentation (not stated in source)",IF(AA196="Yes","Differentiation in crowded generic market","Safety-device mandate compliance")))</f>
        <v>Differentiation in crowded generic market</v>
      </c>
      <c r="AF196" s="5" t="str">
        <f aca="false">IF(AC196="","",C196&amp;"|"&amp;AC196)</f>
        <v/>
      </c>
    </row>
    <row r="197" customFormat="false" ht="15" hidden="false" customHeight="false" outlineLevel="0" collapsed="false">
      <c r="A197" s="5" t="n">
        <f aca="false">IF(ISNUMBER(U197),RANK(U197,$U$5:$U$337),"")</f>
        <v>67</v>
      </c>
      <c r="B197" s="5" t="s">
        <v>140</v>
      </c>
      <c r="C197" s="5" t="s">
        <v>67</v>
      </c>
      <c r="D197" s="5" t="str">
        <f aca="false">INDEX('API Data'!$B$2:$B$152,MATCH(B197,'API Data'!$A$2:$A$152,0))</f>
        <v>Anti-infective – severe hospital infections (ICU, sepsis, meningitis, MDR)</v>
      </c>
      <c r="E197" s="5" t="n">
        <f aca="false">COUNTIFS('Market Listing'!$A$2:$A$4054,B197,'Market Listing'!$B$2:$B$4054,C197)</f>
        <v>30</v>
      </c>
      <c r="F197" s="5" t="n">
        <f aca="false">COUNTIFS('Market Listing'!$A$2:$A$4054,B197,'Market Listing'!$B$2:$B$4054,C197,'Market Listing'!$D$2:$D$4054,"Tier 1")</f>
        <v>5</v>
      </c>
      <c r="G197" s="5" t="n">
        <f aca="false">COUNTIFS('Market Listing'!$A$2:$A$4054,B197,'Market Listing'!$B$2:$B$4054,C197,'Market Listing'!$D$2:$D$4054,"Tier 2")</f>
        <v>3</v>
      </c>
      <c r="H197" s="5" t="n">
        <f aca="false">COUNTIFS('Market Listing'!$A$2:$A$4054,B197,'Market Listing'!$B$2:$B$4054,C197,'Market Listing'!$D$2:$D$4054,"Tier 3")</f>
        <v>22</v>
      </c>
      <c r="I197" s="5" t="n">
        <f aca="false">SUMIFS('Market Listing'!$E$2:$E$4054,'Market Listing'!$A$2:$A$4054,B197,'Market Listing'!$B$2:$B$4054,C197)</f>
        <v>43</v>
      </c>
      <c r="J197" s="5" t="n">
        <f aca="false">COUNTIFS('Product Rows'!$A$2:$A$696,B197,'Product Rows'!$B$2:$B$696,C197)</f>
        <v>3</v>
      </c>
      <c r="K197" s="5" t="n">
        <f aca="false">COUNTIFS('Product Rows'!$A$2:$A$696,B197,'Product Rows'!$B$2:$B$696,C197,'Product Rows'!$G$2:$G$696,"Vial")</f>
        <v>3</v>
      </c>
      <c r="L197" s="5" t="n">
        <f aca="false">COUNTIFS('Product Rows'!$A$2:$A$696,B197,'Product Rows'!$B$2:$B$696,C197,'Product Rows'!$G$2:$G$696,"Ampoule")</f>
        <v>0</v>
      </c>
      <c r="M197" s="5" t="n">
        <f aca="false">COUNTIFS('Product Rows'!$A$2:$A$696,B197,'Product Rows'!$B$2:$B$696,C197,'Product Rows'!$G$2:$G$696,"Prefilled syringe/pen")</f>
        <v>0</v>
      </c>
      <c r="N197" s="6" t="n">
        <f aca="false">IFERROR(AVERAGEIFS('Product Rows'!$H$2:$H$696,'Product Rows'!$A$2:$A$696,B197,'Product Rows'!$B$2:$B$696,C197),"")</f>
        <v>24.1029</v>
      </c>
      <c r="O197" s="7" t="n">
        <f aca="false">INDEX('API Data'!$E$2:$E$152,MATCH(B197,'API Data'!$A$2:$A$152,0))</f>
        <v>58920.4013724345</v>
      </c>
      <c r="P197" s="5" t="n">
        <f aca="false">COUNTIF($B$5:$B$337,B197)</f>
        <v>7</v>
      </c>
      <c r="Q197" s="8" t="n">
        <f aca="false">IF(ISNUMBER(I197),PERCENTRANK($I$5:$I$337,I197),"")</f>
        <v>0.75</v>
      </c>
      <c r="R197" s="8" t="n">
        <f aca="false">IF(ISNUMBER(N197),PERCENTRANK($N$5:$N$337,N197),"")</f>
        <v>0.423</v>
      </c>
      <c r="S197" s="8" t="n">
        <f aca="false">IF(ISNUMBER(O197),PERCENTRANK($O$5:$O$337,O197),"")</f>
        <v>0.937</v>
      </c>
      <c r="T197" s="8" t="n">
        <f aca="false">IF(ISNUMBER(P197),PERCENTRANK($P$5:$P$337,P197),"")</f>
        <v>0.822</v>
      </c>
      <c r="U197" s="9" t="n">
        <f aca="false">IF((IF(ISNUMBER(Q197),Inputs!$B$4,0)+IF(ISNUMBER(R197),Inputs!$B$5,0)+IF(ISNUMBER(S197),Inputs!$B$6,0)+IF(ISNUMBER(T197),Inputs!$B$7,0))=0,"",(IF(ISNUMBER(Q197),Inputs!$B$4*Q197,0)+IF(ISNUMBER(R197),Inputs!$B$5*R197,0)+IF(ISNUMBER(S197),Inputs!$B$6*S197,0)+IF(ISNUMBER(T197),Inputs!$B$7*T197,0))/(IF(ISNUMBER(Q197),Inputs!$B$4,0)+IF(ISNUMBER(R197),Inputs!$B$5,0)+IF(ISNUMBER(S197),Inputs!$B$6,0)+IF(ISNUMBER(T197),Inputs!$B$7,0)))</f>
        <v>0.68</v>
      </c>
      <c r="V197" s="5" t="str">
        <f aca="false">IF(F197&gt;0,"Yes","No")</f>
        <v>Yes</v>
      </c>
      <c r="W197" s="5" t="str">
        <f aca="false">IF(ISNUMBER(N197),IF(N197&gt;=Inputs!$D$18,"Yes","No"),"No price")</f>
        <v>Yes</v>
      </c>
      <c r="X197" s="5" t="str">
        <f aca="false">IF(K197+L197&gt;0,"Yes",IF(M197&gt;0,"No","Unclear"))</f>
        <v>Yes</v>
      </c>
      <c r="Y197" s="5" t="str">
        <f aca="false">INDEX('API Data'!$H$2:$H$152,MATCH(B197,'API Data'!$A$2:$A$152,0))</f>
        <v>No</v>
      </c>
      <c r="Z197" s="5" t="str">
        <f aca="false">IF(COUNTIFS('Product Rows'!$A$2:$A$696,B197,'Product Rows'!$B$2:$B$696,C197,'Product Rows'!$I$2:$I$696,"Yes")&gt;0,"Yes","No")</f>
        <v>Yes</v>
      </c>
      <c r="AA197" s="5" t="str">
        <f aca="false">IF(P197&gt;=Inputs!$D$22,"Yes","No")</f>
        <v>Yes</v>
      </c>
      <c r="AB197" s="10" t="b">
        <f aca="false">AND(OR(Inputs!$B$17&lt;&gt;"Exclude",V197="Yes"),OR(Inputs!$B$18&lt;&gt;"Exclude",W197&lt;&gt;"No"),OR(Inputs!$B$19&lt;&gt;"Exclude",X197&lt;&gt;"No"),OR(Inputs!$B$20&lt;&gt;"Exclude",Y197="No"),OR(Inputs!$B$21&lt;&gt;"Exclude",Z197="No"),OR(Inputs!$B$22&lt;&gt;"Exclude",AA197="Yes"),ISNUMBER(U197))</f>
        <v>1</v>
      </c>
      <c r="AC197" s="5" t="n">
        <f aca="false">IF(AB197,COUNTIFS($C$5:$C$337,C197,$AB$5:$AB$337,TRUE(),$U$5:$U$337,"&gt;"&amp;U197)+COUNTIFS($C$5:C197,C197,$AB$5:AB197,TRUE(),$U$5:U197,U197),"")</f>
        <v>1</v>
      </c>
      <c r="AD197" s="5" t="str">
        <f aca="false">IF(AC197="","Not eligible",IF(AC197&lt;=Inputs!$B$25,"Lead",IF(AC197&lt;=Inputs!$B$25+Inputs!$B$26,"Next wave","Long list")))</f>
        <v>Lead</v>
      </c>
      <c r="AE197" s="5" t="str">
        <f aca="false">IF(AND(K197+L197=0,M197&gt;0),"Safety upgrade of existing prefilled syringe",IF(K197+L197+M197=0,"Confirm presentation (not stated in source)",IF(AA197="Yes","Differentiation in crowded generic market","Safety-device mandate compliance")))</f>
        <v>Differentiation in crowded generic market</v>
      </c>
      <c r="AF197" s="5" t="str">
        <f aca="false">IF(AC197="","",C197&amp;"|"&amp;AC197)</f>
        <v>OneSource Specialty Pharma|1</v>
      </c>
    </row>
    <row r="198" customFormat="false" ht="15" hidden="false" customHeight="false" outlineLevel="0" collapsed="false">
      <c r="A198" s="5" t="n">
        <f aca="false">IF(ISNUMBER(U198),RANK(U198,$U$5:$U$337),"")</f>
        <v>100</v>
      </c>
      <c r="B198" s="5" t="s">
        <v>140</v>
      </c>
      <c r="C198" s="5" t="s">
        <v>73</v>
      </c>
      <c r="D198" s="5" t="str">
        <f aca="false">INDEX('API Data'!$B$2:$B$152,MATCH(B198,'API Data'!$A$2:$A$152,0))</f>
        <v>Anti-infective – severe hospital infections (ICU, sepsis, meningitis, MDR)</v>
      </c>
      <c r="E198" s="5" t="n">
        <f aca="false">COUNTIFS('Market Listing'!$A$2:$A$4054,B198,'Market Listing'!$B$2:$B$4054,C198)</f>
        <v>31</v>
      </c>
      <c r="F198" s="5" t="n">
        <f aca="false">COUNTIFS('Market Listing'!$A$2:$A$4054,B198,'Market Listing'!$B$2:$B$4054,C198,'Market Listing'!$D$2:$D$4054,"Tier 1")</f>
        <v>6</v>
      </c>
      <c r="G198" s="5" t="n">
        <f aca="false">COUNTIFS('Market Listing'!$A$2:$A$4054,B198,'Market Listing'!$B$2:$B$4054,C198,'Market Listing'!$D$2:$D$4054,"Tier 2")</f>
        <v>3</v>
      </c>
      <c r="H198" s="5" t="n">
        <f aca="false">COUNTIFS('Market Listing'!$A$2:$A$4054,B198,'Market Listing'!$B$2:$B$4054,C198,'Market Listing'!$D$2:$D$4054,"Tier 3")</f>
        <v>22</v>
      </c>
      <c r="I198" s="5" t="n">
        <f aca="false">SUMIFS('Market Listing'!$E$2:$E$4054,'Market Listing'!$A$2:$A$4054,B198,'Market Listing'!$B$2:$B$4054,C198)</f>
        <v>46</v>
      </c>
      <c r="J198" s="5" t="n">
        <f aca="false">COUNTIFS('Product Rows'!$A$2:$A$696,B198,'Product Rows'!$B$2:$B$696,C198)</f>
        <v>3</v>
      </c>
      <c r="K198" s="5" t="n">
        <f aca="false">COUNTIFS('Product Rows'!$A$2:$A$696,B198,'Product Rows'!$B$2:$B$696,C198,'Product Rows'!$G$2:$G$696,"Vial")</f>
        <v>3</v>
      </c>
      <c r="L198" s="5" t="n">
        <f aca="false">COUNTIFS('Product Rows'!$A$2:$A$696,B198,'Product Rows'!$B$2:$B$696,C198,'Product Rows'!$G$2:$G$696,"Ampoule")</f>
        <v>0</v>
      </c>
      <c r="M198" s="5" t="n">
        <f aca="false">COUNTIFS('Product Rows'!$A$2:$A$696,B198,'Product Rows'!$B$2:$B$696,C198,'Product Rows'!$G$2:$G$696,"Prefilled syringe/pen")</f>
        <v>0</v>
      </c>
      <c r="N198" s="6" t="n">
        <f aca="false">IFERROR(AVERAGEIFS('Product Rows'!$H$2:$H$696,'Product Rows'!$A$2:$A$696,B198,'Product Rows'!$B$2:$B$696,C198),"")</f>
        <v>11.7098</v>
      </c>
      <c r="O198" s="7" t="n">
        <f aca="false">INDEX('API Data'!$E$2:$E$152,MATCH(B198,'API Data'!$A$2:$A$152,0))</f>
        <v>58920.4013724345</v>
      </c>
      <c r="P198" s="5" t="n">
        <f aca="false">COUNTIF($B$5:$B$337,B198)</f>
        <v>7</v>
      </c>
      <c r="Q198" s="8" t="n">
        <f aca="false">IF(ISNUMBER(I198),PERCENTRANK($I$5:$I$337,I198),"")</f>
        <v>0.846</v>
      </c>
      <c r="R198" s="8" t="n">
        <f aca="false">IF(ISNUMBER(N198),PERCENTRANK($N$5:$N$337,N198),"")</f>
        <v>0.237</v>
      </c>
      <c r="S198" s="8" t="n">
        <f aca="false">IF(ISNUMBER(O198),PERCENTRANK($O$5:$O$337,O198),"")</f>
        <v>0.937</v>
      </c>
      <c r="T198" s="8" t="n">
        <f aca="false">IF(ISNUMBER(P198),PERCENTRANK($P$5:$P$337,P198),"")</f>
        <v>0.822</v>
      </c>
      <c r="U198" s="9" t="n">
        <f aca="false">IF((IF(ISNUMBER(Q198),Inputs!$B$4,0)+IF(ISNUMBER(R198),Inputs!$B$5,0)+IF(ISNUMBER(S198),Inputs!$B$6,0)+IF(ISNUMBER(T198),Inputs!$B$7,0))=0,"",(IF(ISNUMBER(Q198),Inputs!$B$4*Q198,0)+IF(ISNUMBER(R198),Inputs!$B$5*R198,0)+IF(ISNUMBER(S198),Inputs!$B$6*S198,0)+IF(ISNUMBER(T198),Inputs!$B$7*T198,0))/(IF(ISNUMBER(Q198),Inputs!$B$4,0)+IF(ISNUMBER(R198),Inputs!$B$5,0)+IF(ISNUMBER(S198),Inputs!$B$6,0)+IF(ISNUMBER(T198),Inputs!$B$7,0)))</f>
        <v>0.587</v>
      </c>
      <c r="V198" s="5" t="str">
        <f aca="false">IF(F198&gt;0,"Yes","No")</f>
        <v>Yes</v>
      </c>
      <c r="W198" s="5" t="str">
        <f aca="false">IF(ISNUMBER(N198),IF(N198&gt;=Inputs!$D$18,"Yes","No"),"No price")</f>
        <v>Yes</v>
      </c>
      <c r="X198" s="5" t="str">
        <f aca="false">IF(K198+L198&gt;0,"Yes",IF(M198&gt;0,"No","Unclear"))</f>
        <v>Yes</v>
      </c>
      <c r="Y198" s="5" t="str">
        <f aca="false">INDEX('API Data'!$H$2:$H$152,MATCH(B198,'API Data'!$A$2:$A$152,0))</f>
        <v>No</v>
      </c>
      <c r="Z198" s="5" t="str">
        <f aca="false">IF(COUNTIFS('Product Rows'!$A$2:$A$696,B198,'Product Rows'!$B$2:$B$696,C198,'Product Rows'!$I$2:$I$696,"Yes")&gt;0,"Yes","No")</f>
        <v>Yes</v>
      </c>
      <c r="AA198" s="5" t="str">
        <f aca="false">IF(P198&gt;=Inputs!$D$22,"Yes","No")</f>
        <v>Yes</v>
      </c>
      <c r="AB198" s="10" t="b">
        <f aca="false">AND(OR(Inputs!$B$17&lt;&gt;"Exclude",V198="Yes"),OR(Inputs!$B$18&lt;&gt;"Exclude",W198&lt;&gt;"No"),OR(Inputs!$B$19&lt;&gt;"Exclude",X198&lt;&gt;"No"),OR(Inputs!$B$20&lt;&gt;"Exclude",Y198="No"),OR(Inputs!$B$21&lt;&gt;"Exclude",Z198="No"),OR(Inputs!$B$22&lt;&gt;"Exclude",AA198="Yes"),ISNUMBER(U198))</f>
        <v>1</v>
      </c>
      <c r="AC198" s="5" t="n">
        <f aca="false">IF(AB198,COUNTIFS($C$5:$C$337,C198,$AB$5:$AB$337,TRUE(),$U$5:$U$337,"&gt;"&amp;U198)+COUNTIFS($C$5:C198,C198,$AB$5:AB198,TRUE(),$U$5:U198,U198),"")</f>
        <v>1</v>
      </c>
      <c r="AD198" s="5" t="str">
        <f aca="false">IF(AC198="","Not eligible",IF(AC198&lt;=Inputs!$B$25,"Lead",IF(AC198&lt;=Inputs!$B$25+Inputs!$B$26,"Next wave","Long list")))</f>
        <v>Lead</v>
      </c>
      <c r="AE198" s="5" t="str">
        <f aca="false">IF(AND(K198+L198=0,M198&gt;0),"Safety upgrade of existing prefilled syringe",IF(K198+L198+M198=0,"Confirm presentation (not stated in source)",IF(AA198="Yes","Differentiation in crowded generic market","Safety-device mandate compliance")))</f>
        <v>Differentiation in crowded generic market</v>
      </c>
      <c r="AF198" s="5" t="str">
        <f aca="false">IF(AC198="","",C198&amp;"|"&amp;AC198)</f>
        <v>Strides Pharma Science|1</v>
      </c>
    </row>
    <row r="199" customFormat="false" ht="15" hidden="false" customHeight="false" outlineLevel="0" collapsed="false">
      <c r="A199" s="5" t="n">
        <f aca="false">IF(ISNUMBER(U199),RANK(U199,$U$5:$U$337),"")</f>
        <v>98</v>
      </c>
      <c r="B199" s="5" t="s">
        <v>140</v>
      </c>
      <c r="C199" s="5" t="s">
        <v>50</v>
      </c>
      <c r="D199" s="5" t="str">
        <f aca="false">INDEX('API Data'!$B$2:$B$152,MATCH(B199,'API Data'!$A$2:$A$152,0))</f>
        <v>Anti-infective – severe hospital infections (ICU, sepsis, meningitis, MDR)</v>
      </c>
      <c r="E199" s="5" t="n">
        <f aca="false">COUNTIFS('Market Listing'!$A$2:$A$4054,B199,'Market Listing'!$B$2:$B$4054,C199)</f>
        <v>34</v>
      </c>
      <c r="F199" s="5" t="n">
        <f aca="false">COUNTIFS('Market Listing'!$A$2:$A$4054,B199,'Market Listing'!$B$2:$B$4054,C199,'Market Listing'!$D$2:$D$4054,"Tier 1")</f>
        <v>7</v>
      </c>
      <c r="G199" s="5" t="n">
        <f aca="false">COUNTIFS('Market Listing'!$A$2:$A$4054,B199,'Market Listing'!$B$2:$B$4054,C199,'Market Listing'!$D$2:$D$4054,"Tier 2")</f>
        <v>5</v>
      </c>
      <c r="H199" s="5" t="n">
        <f aca="false">COUNTIFS('Market Listing'!$A$2:$A$4054,B199,'Market Listing'!$B$2:$B$4054,C199,'Market Listing'!$D$2:$D$4054,"Tier 3")</f>
        <v>22</v>
      </c>
      <c r="I199" s="5" t="n">
        <f aca="false">SUMIFS('Market Listing'!$E$2:$E$4054,'Market Listing'!$A$2:$A$4054,B199,'Market Listing'!$B$2:$B$4054,C199)</f>
        <v>53</v>
      </c>
      <c r="J199" s="5" t="n">
        <f aca="false">COUNTIFS('Product Rows'!$A$2:$A$696,B199,'Product Rows'!$B$2:$B$696,C199)</f>
        <v>8</v>
      </c>
      <c r="K199" s="5" t="n">
        <f aca="false">COUNTIFS('Product Rows'!$A$2:$A$696,B199,'Product Rows'!$B$2:$B$696,C199,'Product Rows'!$G$2:$G$696,"Vial")</f>
        <v>8</v>
      </c>
      <c r="L199" s="5" t="n">
        <f aca="false">COUNTIFS('Product Rows'!$A$2:$A$696,B199,'Product Rows'!$B$2:$B$696,C199,'Product Rows'!$G$2:$G$696,"Ampoule")</f>
        <v>0</v>
      </c>
      <c r="M199" s="5" t="n">
        <f aca="false">COUNTIFS('Product Rows'!$A$2:$A$696,B199,'Product Rows'!$B$2:$B$696,C199,'Product Rows'!$G$2:$G$696,"Prefilled syringe/pen")</f>
        <v>0</v>
      </c>
      <c r="N199" s="6" t="n">
        <f aca="false">IFERROR(AVERAGEIFS('Product Rows'!$H$2:$H$696,'Product Rows'!$A$2:$A$696,B199,'Product Rows'!$B$2:$B$696,C199),"")</f>
        <v>11.90695625</v>
      </c>
      <c r="O199" s="7" t="n">
        <f aca="false">INDEX('API Data'!$E$2:$E$152,MATCH(B199,'API Data'!$A$2:$A$152,0))</f>
        <v>58920.4013724345</v>
      </c>
      <c r="P199" s="5" t="n">
        <f aca="false">COUNTIF($B$5:$B$337,B199)</f>
        <v>7</v>
      </c>
      <c r="Q199" s="8" t="n">
        <f aca="false">IF(ISNUMBER(I199),PERCENTRANK($I$5:$I$337,I199),"")</f>
        <v>0.988</v>
      </c>
      <c r="R199" s="8" t="n">
        <f aca="false">IF(ISNUMBER(N199),PERCENTRANK($N$5:$N$337,N199),"")</f>
        <v>0.244</v>
      </c>
      <c r="S199" s="8" t="n">
        <f aca="false">IF(ISNUMBER(O199),PERCENTRANK($O$5:$O$337,O199),"")</f>
        <v>0.937</v>
      </c>
      <c r="T199" s="8" t="n">
        <f aca="false">IF(ISNUMBER(P199),PERCENTRANK($P$5:$P$337,P199),"")</f>
        <v>0.822</v>
      </c>
      <c r="U199" s="9" t="n">
        <f aca="false">IF((IF(ISNUMBER(Q199),Inputs!$B$4,0)+IF(ISNUMBER(R199),Inputs!$B$5,0)+IF(ISNUMBER(S199),Inputs!$B$6,0)+IF(ISNUMBER(T199),Inputs!$B$7,0))=0,"",(IF(ISNUMBER(Q199),Inputs!$B$4*Q199,0)+IF(ISNUMBER(R199),Inputs!$B$5*R199,0)+IF(ISNUMBER(S199),Inputs!$B$6*S199,0)+IF(ISNUMBER(T199),Inputs!$B$7*T199,0))/(IF(ISNUMBER(Q199),Inputs!$B$4,0)+IF(ISNUMBER(R199),Inputs!$B$5,0)+IF(ISNUMBER(S199),Inputs!$B$6,0)+IF(ISNUMBER(T199),Inputs!$B$7,0)))</f>
        <v>0.5905</v>
      </c>
      <c r="V199" s="5" t="str">
        <f aca="false">IF(F199&gt;0,"Yes","No")</f>
        <v>Yes</v>
      </c>
      <c r="W199" s="5" t="str">
        <f aca="false">IF(ISNUMBER(N199),IF(N199&gt;=Inputs!$D$18,"Yes","No"),"No price")</f>
        <v>Yes</v>
      </c>
      <c r="X199" s="5" t="str">
        <f aca="false">IF(K199+L199&gt;0,"Yes",IF(M199&gt;0,"No","Unclear"))</f>
        <v>Yes</v>
      </c>
      <c r="Y199" s="5" t="str">
        <f aca="false">INDEX('API Data'!$H$2:$H$152,MATCH(B199,'API Data'!$A$2:$A$152,0))</f>
        <v>No</v>
      </c>
      <c r="Z199" s="5" t="str">
        <f aca="false">IF(COUNTIFS('Product Rows'!$A$2:$A$696,B199,'Product Rows'!$B$2:$B$696,C199,'Product Rows'!$I$2:$I$696,"Yes")&gt;0,"Yes","No")</f>
        <v>Yes</v>
      </c>
      <c r="AA199" s="5" t="str">
        <f aca="false">IF(P199&gt;=Inputs!$D$22,"Yes","No")</f>
        <v>Yes</v>
      </c>
      <c r="AB199" s="10" t="b">
        <f aca="false">AND(OR(Inputs!$B$17&lt;&gt;"Exclude",V199="Yes"),OR(Inputs!$B$18&lt;&gt;"Exclude",W199&lt;&gt;"No"),OR(Inputs!$B$19&lt;&gt;"Exclude",X199&lt;&gt;"No"),OR(Inputs!$B$20&lt;&gt;"Exclude",Y199="No"),OR(Inputs!$B$21&lt;&gt;"Exclude",Z199="No"),OR(Inputs!$B$22&lt;&gt;"Exclude",AA199="Yes"),ISNUMBER(U199))</f>
        <v>1</v>
      </c>
      <c r="AC199" s="5" t="n">
        <f aca="false">IF(AB199,COUNTIFS($C$5:$C$337,C199,$AB$5:$AB$337,TRUE(),$U$5:$U$337,"&gt;"&amp;U199)+COUNTIFS($C$5:C199,C199,$AB$5:AB199,TRUE(),$U$5:U199,U199),"")</f>
        <v>6</v>
      </c>
      <c r="AD199" s="5" t="str">
        <f aca="false">IF(AC199="","Not eligible",IF(AC199&lt;=Inputs!$B$25,"Lead",IF(AC199&lt;=Inputs!$B$25+Inputs!$B$26,"Next wave","Long list")))</f>
        <v>Next wave</v>
      </c>
      <c r="AE199" s="5" t="str">
        <f aca="false">IF(AND(K199+L199=0,M199&gt;0),"Safety upgrade of existing prefilled syringe",IF(K199+L199+M199=0,"Confirm presentation (not stated in source)",IF(AA199="Yes","Differentiation in crowded generic market","Safety-device mandate compliance")))</f>
        <v>Differentiation in crowded generic market</v>
      </c>
      <c r="AF199" s="5" t="str">
        <f aca="false">IF(AC199="","",C199&amp;"|"&amp;AC199)</f>
        <v>Sun Pharma|6</v>
      </c>
    </row>
    <row r="200" customFormat="false" ht="15" hidden="false" customHeight="false" outlineLevel="0" collapsed="false">
      <c r="A200" s="5" t="n">
        <f aca="false">IF(ISNUMBER(U200),RANK(U200,$U$5:$U$337),"")</f>
        <v>96</v>
      </c>
      <c r="B200" s="5" t="s">
        <v>140</v>
      </c>
      <c r="C200" s="5" t="s">
        <v>115</v>
      </c>
      <c r="D200" s="5" t="str">
        <f aca="false">INDEX('API Data'!$B$2:$B$152,MATCH(B200,'API Data'!$A$2:$A$152,0))</f>
        <v>Anti-infective – severe hospital infections (ICU, sepsis, meningitis, MDR)</v>
      </c>
      <c r="E200" s="5" t="n">
        <f aca="false">COUNTIFS('Market Listing'!$A$2:$A$4054,B200,'Market Listing'!$B$2:$B$4054,C200)</f>
        <v>29</v>
      </c>
      <c r="F200" s="5" t="n">
        <f aca="false">COUNTIFS('Market Listing'!$A$2:$A$4054,B200,'Market Listing'!$B$2:$B$4054,C200,'Market Listing'!$D$2:$D$4054,"Tier 1")</f>
        <v>5</v>
      </c>
      <c r="G200" s="5" t="n">
        <f aca="false">COUNTIFS('Market Listing'!$A$2:$A$4054,B200,'Market Listing'!$B$2:$B$4054,C200,'Market Listing'!$D$2:$D$4054,"Tier 2")</f>
        <v>3</v>
      </c>
      <c r="H200" s="5" t="n">
        <f aca="false">COUNTIFS('Market Listing'!$A$2:$A$4054,B200,'Market Listing'!$B$2:$B$4054,C200,'Market Listing'!$D$2:$D$4054,"Tier 3")</f>
        <v>21</v>
      </c>
      <c r="I200" s="5" t="n">
        <f aca="false">SUMIFS('Market Listing'!$E$2:$E$4054,'Market Listing'!$A$2:$A$4054,B200,'Market Listing'!$B$2:$B$4054,C200)</f>
        <v>42</v>
      </c>
      <c r="J200" s="5" t="n">
        <f aca="false">COUNTIFS('Product Rows'!$A$2:$A$696,B200,'Product Rows'!$B$2:$B$696,C200)</f>
        <v>1</v>
      </c>
      <c r="K200" s="5" t="n">
        <f aca="false">COUNTIFS('Product Rows'!$A$2:$A$696,B200,'Product Rows'!$B$2:$B$696,C200,'Product Rows'!$G$2:$G$696,"Vial")</f>
        <v>1</v>
      </c>
      <c r="L200" s="5" t="n">
        <f aca="false">COUNTIFS('Product Rows'!$A$2:$A$696,B200,'Product Rows'!$B$2:$B$696,C200,'Product Rows'!$G$2:$G$696,"Ampoule")</f>
        <v>0</v>
      </c>
      <c r="M200" s="5" t="n">
        <f aca="false">COUNTIFS('Product Rows'!$A$2:$A$696,B200,'Product Rows'!$B$2:$B$696,C200,'Product Rows'!$G$2:$G$696,"Prefilled syringe/pen")</f>
        <v>0</v>
      </c>
      <c r="N200" s="6" t="n">
        <f aca="false">IFERROR(AVERAGEIFS('Product Rows'!$H$2:$H$696,'Product Rows'!$A$2:$A$696,B200,'Product Rows'!$B$2:$B$696,C200),"")</f>
        <v>12.0797</v>
      </c>
      <c r="O200" s="7" t="n">
        <f aca="false">INDEX('API Data'!$E$2:$E$152,MATCH(B200,'API Data'!$A$2:$A$152,0))</f>
        <v>58920.4013724345</v>
      </c>
      <c r="P200" s="5" t="n">
        <f aca="false">COUNTIF($B$5:$B$337,B200)</f>
        <v>7</v>
      </c>
      <c r="Q200" s="8" t="n">
        <f aca="false">IF(ISNUMBER(I200),PERCENTRANK($I$5:$I$337,I200),"")</f>
        <v>0.729</v>
      </c>
      <c r="R200" s="8" t="n">
        <f aca="false">IF(ISNUMBER(N200),PERCENTRANK($N$5:$N$337,N200),"")</f>
        <v>0.247</v>
      </c>
      <c r="S200" s="8" t="n">
        <f aca="false">IF(ISNUMBER(O200),PERCENTRANK($O$5:$O$337,O200),"")</f>
        <v>0.937</v>
      </c>
      <c r="T200" s="8" t="n">
        <f aca="false">IF(ISNUMBER(P200),PERCENTRANK($P$5:$P$337,P200),"")</f>
        <v>0.822</v>
      </c>
      <c r="U200" s="9" t="n">
        <f aca="false">IF((IF(ISNUMBER(Q200),Inputs!$B$4,0)+IF(ISNUMBER(R200),Inputs!$B$5,0)+IF(ISNUMBER(S200),Inputs!$B$6,0)+IF(ISNUMBER(T200),Inputs!$B$7,0))=0,"",(IF(ISNUMBER(Q200),Inputs!$B$4*Q200,0)+IF(ISNUMBER(R200),Inputs!$B$5*R200,0)+IF(ISNUMBER(S200),Inputs!$B$6*S200,0)+IF(ISNUMBER(T200),Inputs!$B$7*T200,0))/(IF(ISNUMBER(Q200),Inputs!$B$4,0)+IF(ISNUMBER(R200),Inputs!$B$5,0)+IF(ISNUMBER(S200),Inputs!$B$6,0)+IF(ISNUMBER(T200),Inputs!$B$7,0)))</f>
        <v>0.592</v>
      </c>
      <c r="V200" s="5" t="str">
        <f aca="false">IF(F200&gt;0,"Yes","No")</f>
        <v>Yes</v>
      </c>
      <c r="W200" s="5" t="str">
        <f aca="false">IF(ISNUMBER(N200),IF(N200&gt;=Inputs!$D$18,"Yes","No"),"No price")</f>
        <v>Yes</v>
      </c>
      <c r="X200" s="5" t="str">
        <f aca="false">IF(K200+L200&gt;0,"Yes",IF(M200&gt;0,"No","Unclear"))</f>
        <v>Yes</v>
      </c>
      <c r="Y200" s="5" t="str">
        <f aca="false">INDEX('API Data'!$H$2:$H$152,MATCH(B200,'API Data'!$A$2:$A$152,0))</f>
        <v>No</v>
      </c>
      <c r="Z200" s="5" t="str">
        <f aca="false">IF(COUNTIFS('Product Rows'!$A$2:$A$696,B200,'Product Rows'!$B$2:$B$696,C200,'Product Rows'!$I$2:$I$696,"Yes")&gt;0,"Yes","No")</f>
        <v>Yes</v>
      </c>
      <c r="AA200" s="5" t="str">
        <f aca="false">IF(P200&gt;=Inputs!$D$22,"Yes","No")</f>
        <v>Yes</v>
      </c>
      <c r="AB200" s="10" t="b">
        <f aca="false">AND(OR(Inputs!$B$17&lt;&gt;"Exclude",V200="Yes"),OR(Inputs!$B$18&lt;&gt;"Exclude",W200&lt;&gt;"No"),OR(Inputs!$B$19&lt;&gt;"Exclude",X200&lt;&gt;"No"),OR(Inputs!$B$20&lt;&gt;"Exclude",Y200="No"),OR(Inputs!$B$21&lt;&gt;"Exclude",Z200="No"),OR(Inputs!$B$22&lt;&gt;"Exclude",AA200="Yes"),ISNUMBER(U200))</f>
        <v>1</v>
      </c>
      <c r="AC200" s="5" t="n">
        <f aca="false">IF(AB200,COUNTIFS($C$5:$C$337,C200,$AB$5:$AB$337,TRUE(),$U$5:$U$337,"&gt;"&amp;U200)+COUNTIFS($C$5:C200,C200,$AB$5:AB200,TRUE(),$U$5:U200,U200),"")</f>
        <v>5</v>
      </c>
      <c r="AD200" s="5" t="str">
        <f aca="false">IF(AC200="","Not eligible",IF(AC200&lt;=Inputs!$B$25,"Lead",IF(AC200&lt;=Inputs!$B$25+Inputs!$B$26,"Next wave","Long list")))</f>
        <v>Lead</v>
      </c>
      <c r="AE200" s="5" t="str">
        <f aca="false">IF(AND(K200+L200=0,M200&gt;0),"Safety upgrade of existing prefilled syringe",IF(K200+L200+M200=0,"Confirm presentation (not stated in source)",IF(AA200="Yes","Differentiation in crowded generic market","Safety-device mandate compliance")))</f>
        <v>Differentiation in crowded generic market</v>
      </c>
      <c r="AF200" s="5" t="str">
        <f aca="false">IF(AC200="","",C200&amp;"|"&amp;AC200)</f>
        <v>Torrent Pharmaceuticals|5</v>
      </c>
    </row>
    <row r="201" customFormat="false" ht="15" hidden="false" customHeight="false" outlineLevel="0" collapsed="false">
      <c r="A201" s="5" t="n">
        <f aca="false">IF(ISNUMBER(U201),RANK(U201,$U$5:$U$337),"")</f>
        <v>100</v>
      </c>
      <c r="B201" s="5" t="s">
        <v>140</v>
      </c>
      <c r="C201" s="5" t="s">
        <v>61</v>
      </c>
      <c r="D201" s="5" t="str">
        <f aca="false">INDEX('API Data'!$B$2:$B$152,MATCH(B201,'API Data'!$A$2:$A$152,0))</f>
        <v>Anti-infective – severe hospital infections (ICU, sepsis, meningitis, MDR)</v>
      </c>
      <c r="E201" s="5" t="n">
        <f aca="false">COUNTIFS('Market Listing'!$A$2:$A$4054,B201,'Market Listing'!$B$2:$B$4054,C201)</f>
        <v>31</v>
      </c>
      <c r="F201" s="5" t="n">
        <f aca="false">COUNTIFS('Market Listing'!$A$2:$A$4054,B201,'Market Listing'!$B$2:$B$4054,C201,'Market Listing'!$D$2:$D$4054,"Tier 1")</f>
        <v>6</v>
      </c>
      <c r="G201" s="5" t="n">
        <f aca="false">COUNTIFS('Market Listing'!$A$2:$A$4054,B201,'Market Listing'!$B$2:$B$4054,C201,'Market Listing'!$D$2:$D$4054,"Tier 2")</f>
        <v>3</v>
      </c>
      <c r="H201" s="5" t="n">
        <f aca="false">COUNTIFS('Market Listing'!$A$2:$A$4054,B201,'Market Listing'!$B$2:$B$4054,C201,'Market Listing'!$D$2:$D$4054,"Tier 3")</f>
        <v>22</v>
      </c>
      <c r="I201" s="5" t="n">
        <f aca="false">SUMIFS('Market Listing'!$E$2:$E$4054,'Market Listing'!$A$2:$A$4054,B201,'Market Listing'!$B$2:$B$4054,C201)</f>
        <v>46</v>
      </c>
      <c r="J201" s="5" t="n">
        <f aca="false">COUNTIFS('Product Rows'!$A$2:$A$696,B201,'Product Rows'!$B$2:$B$696,C201)</f>
        <v>3</v>
      </c>
      <c r="K201" s="5" t="n">
        <f aca="false">COUNTIFS('Product Rows'!$A$2:$A$696,B201,'Product Rows'!$B$2:$B$696,C201,'Product Rows'!$G$2:$G$696,"Vial")</f>
        <v>3</v>
      </c>
      <c r="L201" s="5" t="n">
        <f aca="false">COUNTIFS('Product Rows'!$A$2:$A$696,B201,'Product Rows'!$B$2:$B$696,C201,'Product Rows'!$G$2:$G$696,"Ampoule")</f>
        <v>0</v>
      </c>
      <c r="M201" s="5" t="n">
        <f aca="false">COUNTIFS('Product Rows'!$A$2:$A$696,B201,'Product Rows'!$B$2:$B$696,C201,'Product Rows'!$G$2:$G$696,"Prefilled syringe/pen")</f>
        <v>0</v>
      </c>
      <c r="N201" s="6" t="n">
        <f aca="false">IFERROR(AVERAGEIFS('Product Rows'!$H$2:$H$696,'Product Rows'!$A$2:$A$696,B201,'Product Rows'!$B$2:$B$696,C201),"")</f>
        <v>11.7098</v>
      </c>
      <c r="O201" s="7" t="n">
        <f aca="false">INDEX('API Data'!$E$2:$E$152,MATCH(B201,'API Data'!$A$2:$A$152,0))</f>
        <v>58920.4013724345</v>
      </c>
      <c r="P201" s="5" t="n">
        <f aca="false">COUNTIF($B$5:$B$337,B201)</f>
        <v>7</v>
      </c>
      <c r="Q201" s="8" t="n">
        <f aca="false">IF(ISNUMBER(I201),PERCENTRANK($I$5:$I$337,I201),"")</f>
        <v>0.846</v>
      </c>
      <c r="R201" s="8" t="n">
        <f aca="false">IF(ISNUMBER(N201),PERCENTRANK($N$5:$N$337,N201),"")</f>
        <v>0.237</v>
      </c>
      <c r="S201" s="8" t="n">
        <f aca="false">IF(ISNUMBER(O201),PERCENTRANK($O$5:$O$337,O201),"")</f>
        <v>0.937</v>
      </c>
      <c r="T201" s="8" t="n">
        <f aca="false">IF(ISNUMBER(P201),PERCENTRANK($P$5:$P$337,P201),"")</f>
        <v>0.822</v>
      </c>
      <c r="U201" s="9" t="n">
        <f aca="false">IF((IF(ISNUMBER(Q201),Inputs!$B$4,0)+IF(ISNUMBER(R201),Inputs!$B$5,0)+IF(ISNUMBER(S201),Inputs!$B$6,0)+IF(ISNUMBER(T201),Inputs!$B$7,0))=0,"",(IF(ISNUMBER(Q201),Inputs!$B$4*Q201,0)+IF(ISNUMBER(R201),Inputs!$B$5*R201,0)+IF(ISNUMBER(S201),Inputs!$B$6*S201,0)+IF(ISNUMBER(T201),Inputs!$B$7*T201,0))/(IF(ISNUMBER(Q201),Inputs!$B$4,0)+IF(ISNUMBER(R201),Inputs!$B$5,0)+IF(ISNUMBER(S201),Inputs!$B$6,0)+IF(ISNUMBER(T201),Inputs!$B$7,0)))</f>
        <v>0.587</v>
      </c>
      <c r="V201" s="5" t="str">
        <f aca="false">IF(F201&gt;0,"Yes","No")</f>
        <v>Yes</v>
      </c>
      <c r="W201" s="5" t="str">
        <f aca="false">IF(ISNUMBER(N201),IF(N201&gt;=Inputs!$D$18,"Yes","No"),"No price")</f>
        <v>Yes</v>
      </c>
      <c r="X201" s="5" t="str">
        <f aca="false">IF(K201+L201&gt;0,"Yes",IF(M201&gt;0,"No","Unclear"))</f>
        <v>Yes</v>
      </c>
      <c r="Y201" s="5" t="str">
        <f aca="false">INDEX('API Data'!$H$2:$H$152,MATCH(B201,'API Data'!$A$2:$A$152,0))</f>
        <v>No</v>
      </c>
      <c r="Z201" s="5" t="str">
        <f aca="false">IF(COUNTIFS('Product Rows'!$A$2:$A$696,B201,'Product Rows'!$B$2:$B$696,C201,'Product Rows'!$I$2:$I$696,"Yes")&gt;0,"Yes","No")</f>
        <v>Yes</v>
      </c>
      <c r="AA201" s="5" t="str">
        <f aca="false">IF(P201&gt;=Inputs!$D$22,"Yes","No")</f>
        <v>Yes</v>
      </c>
      <c r="AB201" s="10" t="b">
        <f aca="false">AND(OR(Inputs!$B$17&lt;&gt;"Exclude",V201="Yes"),OR(Inputs!$B$18&lt;&gt;"Exclude",W201&lt;&gt;"No"),OR(Inputs!$B$19&lt;&gt;"Exclude",X201&lt;&gt;"No"),OR(Inputs!$B$20&lt;&gt;"Exclude",Y201="No"),OR(Inputs!$B$21&lt;&gt;"Exclude",Z201="No"),OR(Inputs!$B$22&lt;&gt;"Exclude",AA201="Yes"),ISNUMBER(U201))</f>
        <v>1</v>
      </c>
      <c r="AC201" s="5" t="n">
        <f aca="false">IF(AB201,COUNTIFS($C$5:$C$337,C201,$AB$5:$AB$337,TRUE(),$U$5:$U$337,"&gt;"&amp;U201)+COUNTIFS($C$5:C201,C201,$AB$5:AB201,TRUE(),$U$5:U201,U201),"")</f>
        <v>3</v>
      </c>
      <c r="AD201" s="5" t="str">
        <f aca="false">IF(AC201="","Not eligible",IF(AC201&lt;=Inputs!$B$25,"Lead",IF(AC201&lt;=Inputs!$B$25+Inputs!$B$26,"Next wave","Long list")))</f>
        <v>Lead</v>
      </c>
      <c r="AE201" s="5" t="str">
        <f aca="false">IF(AND(K201+L201=0,M201&gt;0),"Safety upgrade of existing prefilled syringe",IF(K201+L201+M201=0,"Confirm presentation (not stated in source)",IF(AA201="Yes","Differentiation in crowded generic market","Safety-device mandate compliance")))</f>
        <v>Differentiation in crowded generic market</v>
      </c>
      <c r="AF201" s="5" t="str">
        <f aca="false">IF(AC201="","",C201&amp;"|"&amp;AC201)</f>
        <v>Venus Remedies|3</v>
      </c>
    </row>
    <row r="202" customFormat="false" ht="15" hidden="false" customHeight="false" outlineLevel="0" collapsed="false">
      <c r="A202" s="5" t="n">
        <f aca="false">IF(ISNUMBER(U202),RANK(U202,$U$5:$U$337),"")</f>
        <v>293</v>
      </c>
      <c r="B202" s="5" t="s">
        <v>141</v>
      </c>
      <c r="C202" s="5" t="s">
        <v>47</v>
      </c>
      <c r="D202" s="5" t="str">
        <f aca="false">INDEX('API Data'!$B$2:$B$152,MATCH(B202,'API Data'!$A$2:$A$152,0))</f>
        <v>Oncology supportive – prevents bladder toxicity of ifosfamide/cyclophosphamide</v>
      </c>
      <c r="E202" s="5" t="n">
        <f aca="false">COUNTIFS('Market Listing'!$A$2:$A$4054,B202,'Market Listing'!$B$2:$B$4054,C202)</f>
        <v>1</v>
      </c>
      <c r="F202" s="5" t="n">
        <f aca="false">COUNTIFS('Market Listing'!$A$2:$A$4054,B202,'Market Listing'!$B$2:$B$4054,C202,'Market Listing'!$D$2:$D$4054,"Tier 1")</f>
        <v>1</v>
      </c>
      <c r="G202" s="5" t="n">
        <f aca="false">COUNTIFS('Market Listing'!$A$2:$A$4054,B202,'Market Listing'!$B$2:$B$4054,C202,'Market Listing'!$D$2:$D$4054,"Tier 2")</f>
        <v>0</v>
      </c>
      <c r="H202" s="5" t="n">
        <f aca="false">COUNTIFS('Market Listing'!$A$2:$A$4054,B202,'Market Listing'!$B$2:$B$4054,C202,'Market Listing'!$D$2:$D$4054,"Tier 3")</f>
        <v>0</v>
      </c>
      <c r="I202" s="5" t="n">
        <f aca="false">SUMIFS('Market Listing'!$E$2:$E$4054,'Market Listing'!$A$2:$A$4054,B202,'Market Listing'!$B$2:$B$4054,C202)</f>
        <v>3</v>
      </c>
      <c r="J202" s="5" t="n">
        <f aca="false">COUNTIFS('Product Rows'!$A$2:$A$696,B202,'Product Rows'!$B$2:$B$696,C202)</f>
        <v>1</v>
      </c>
      <c r="K202" s="5" t="n">
        <f aca="false">COUNTIFS('Product Rows'!$A$2:$A$696,B202,'Product Rows'!$B$2:$B$696,C202,'Product Rows'!$G$2:$G$696,"Vial")</f>
        <v>1</v>
      </c>
      <c r="L202" s="5" t="n">
        <f aca="false">COUNTIFS('Product Rows'!$A$2:$A$696,B202,'Product Rows'!$B$2:$B$696,C202,'Product Rows'!$G$2:$G$696,"Ampoule")</f>
        <v>0</v>
      </c>
      <c r="M202" s="5" t="n">
        <f aca="false">COUNTIFS('Product Rows'!$A$2:$A$696,B202,'Product Rows'!$B$2:$B$696,C202,'Product Rows'!$G$2:$G$696,"Prefilled syringe/pen")</f>
        <v>0</v>
      </c>
      <c r="N202" s="6" t="n">
        <f aca="false">IFERROR(AVERAGEIFS('Product Rows'!$H$2:$H$696,'Product Rows'!$A$2:$A$696,B202,'Product Rows'!$B$2:$B$696,C202),"")</f>
        <v>22.25</v>
      </c>
      <c r="O202" s="7" t="n">
        <f aca="false">INDEX('API Data'!$E$2:$E$152,MATCH(B202,'API Data'!$A$2:$A$152,0))</f>
        <v>484.312857142858</v>
      </c>
      <c r="P202" s="5" t="n">
        <f aca="false">COUNTIF($B$5:$B$337,B202)</f>
        <v>1</v>
      </c>
      <c r="Q202" s="8" t="n">
        <f aca="false">IF(ISNUMBER(I202),PERCENTRANK($I$5:$I$337,I202),"")</f>
        <v>0.157</v>
      </c>
      <c r="R202" s="8" t="n">
        <f aca="false">IF(ISNUMBER(N202),PERCENTRANK($N$5:$N$337,N202),"")</f>
        <v>0.384</v>
      </c>
      <c r="S202" s="8" t="n">
        <f aca="false">IF(ISNUMBER(O202),PERCENTRANK($O$5:$O$337,O202),"")</f>
        <v>0.0994</v>
      </c>
      <c r="T202" s="8" t="n">
        <f aca="false">IF(ISNUMBER(P202),PERCENTRANK($P$5:$P$337,P202),"")</f>
        <v>0</v>
      </c>
      <c r="U202" s="9" t="n">
        <f aca="false">IF((IF(ISNUMBER(Q202),Inputs!$B$4,0)+IF(ISNUMBER(R202),Inputs!$B$5,0)+IF(ISNUMBER(S202),Inputs!$B$6,0)+IF(ISNUMBER(T202),Inputs!$B$7,0))=0,"",(IF(ISNUMBER(Q202),Inputs!$B$4*Q202,0)+IF(ISNUMBER(R202),Inputs!$B$5*R202,0)+IF(ISNUMBER(S202),Inputs!$B$6*S202,0)+IF(ISNUMBER(T202),Inputs!$B$7*T202,0))/(IF(ISNUMBER(Q202),Inputs!$B$4,0)+IF(ISNUMBER(R202),Inputs!$B$5,0)+IF(ISNUMBER(S202),Inputs!$B$6,0)+IF(ISNUMBER(T202),Inputs!$B$7,0)))</f>
        <v>0.2417</v>
      </c>
      <c r="V202" s="5" t="str">
        <f aca="false">IF(F202&gt;0,"Yes","No")</f>
        <v>Yes</v>
      </c>
      <c r="W202" s="5" t="str">
        <f aca="false">IF(ISNUMBER(N202),IF(N202&gt;=Inputs!$D$18,"Yes","No"),"No price")</f>
        <v>Yes</v>
      </c>
      <c r="X202" s="5" t="str">
        <f aca="false">IF(K202+L202&gt;0,"Yes",IF(M202&gt;0,"No","Unclear"))</f>
        <v>Yes</v>
      </c>
      <c r="Y202" s="5" t="str">
        <f aca="false">INDEX('API Data'!$H$2:$H$152,MATCH(B202,'API Data'!$A$2:$A$152,0))</f>
        <v>No</v>
      </c>
      <c r="Z202" s="5" t="str">
        <f aca="false">IF(COUNTIFS('Product Rows'!$A$2:$A$696,B202,'Product Rows'!$B$2:$B$696,C202,'Product Rows'!$I$2:$I$696,"Yes")&gt;0,"Yes","No")</f>
        <v>No</v>
      </c>
      <c r="AA202" s="5" t="str">
        <f aca="false">IF(P202&gt;=Inputs!$D$22,"Yes","No")</f>
        <v>No</v>
      </c>
      <c r="AB202" s="10" t="b">
        <f aca="false">AND(OR(Inputs!$B$17&lt;&gt;"Exclude",V202="Yes"),OR(Inputs!$B$18&lt;&gt;"Exclude",W202&lt;&gt;"No"),OR(Inputs!$B$19&lt;&gt;"Exclude",X202&lt;&gt;"No"),OR(Inputs!$B$20&lt;&gt;"Exclude",Y202="No"),OR(Inputs!$B$21&lt;&gt;"Exclude",Z202="No"),OR(Inputs!$B$22&lt;&gt;"Exclude",AA202="Yes"),ISNUMBER(U202))</f>
        <v>1</v>
      </c>
      <c r="AC202" s="5" t="n">
        <f aca="false">IF(AB202,COUNTIFS($C$5:$C$337,C202,$AB$5:$AB$337,TRUE(),$U$5:$U$337,"&gt;"&amp;U202)+COUNTIFS($C$5:C202,C202,$AB$5:AB202,TRUE(),$U$5:U202,U202),"")</f>
        <v>46</v>
      </c>
      <c r="AD202" s="5" t="str">
        <f aca="false">IF(AC202="","Not eligible",IF(AC202&lt;=Inputs!$B$25,"Lead",IF(AC202&lt;=Inputs!$B$25+Inputs!$B$26,"Next wave","Long list")))</f>
        <v>Long list</v>
      </c>
      <c r="AE202" s="5" t="str">
        <f aca="false">IF(AND(K202+L202=0,M202&gt;0),"Safety upgrade of existing prefilled syringe",IF(K202+L202+M202=0,"Confirm presentation (not stated in source)",IF(AA202="Yes","Differentiation in crowded generic market","Safety-device mandate compliance")))</f>
        <v>Safety-device mandate compliance</v>
      </c>
      <c r="AF202" s="5" t="str">
        <f aca="false">IF(AC202="","",C202&amp;"|"&amp;AC202)</f>
        <v>Aurobindo Pharma|46</v>
      </c>
    </row>
    <row r="203" customFormat="false" ht="15" hidden="false" customHeight="false" outlineLevel="0" collapsed="false">
      <c r="A203" s="5" t="n">
        <f aca="false">IF(ISNUMBER(U203),RANK(U203,$U$5:$U$337),"")</f>
        <v>282</v>
      </c>
      <c r="B203" s="5" t="s">
        <v>142</v>
      </c>
      <c r="C203" s="5" t="s">
        <v>38</v>
      </c>
      <c r="D203" s="5" t="str">
        <f aca="false">INDEX('API Data'!$B$2:$B$152,MATCH(B203,'API Data'!$A$2:$A$152,0))</f>
        <v>Anaesthesia – hypotension during anaesthesia (vasopressor)</v>
      </c>
      <c r="E203" s="5" t="n">
        <f aca="false">COUNTIFS('Market Listing'!$A$2:$A$4054,B203,'Market Listing'!$B$2:$B$4054,C203)</f>
        <v>2</v>
      </c>
      <c r="F203" s="5" t="n">
        <f aca="false">COUNTIFS('Market Listing'!$A$2:$A$4054,B203,'Market Listing'!$B$2:$B$4054,C203,'Market Listing'!$D$2:$D$4054,"Tier 1")</f>
        <v>1</v>
      </c>
      <c r="G203" s="5" t="n">
        <f aca="false">COUNTIFS('Market Listing'!$A$2:$A$4054,B203,'Market Listing'!$B$2:$B$4054,C203,'Market Listing'!$D$2:$D$4054,"Tier 2")</f>
        <v>1</v>
      </c>
      <c r="H203" s="5" t="n">
        <f aca="false">COUNTIFS('Market Listing'!$A$2:$A$4054,B203,'Market Listing'!$B$2:$B$4054,C203,'Market Listing'!$D$2:$D$4054,"Tier 3")</f>
        <v>0</v>
      </c>
      <c r="I203" s="5" t="n">
        <f aca="false">SUMIFS('Market Listing'!$E$2:$E$4054,'Market Listing'!$A$2:$A$4054,B203,'Market Listing'!$B$2:$B$4054,C203)</f>
        <v>5</v>
      </c>
      <c r="J203" s="5" t="n">
        <f aca="false">COUNTIFS('Product Rows'!$A$2:$A$696,B203,'Product Rows'!$B$2:$B$696,C203)</f>
        <v>3</v>
      </c>
      <c r="K203" s="5" t="n">
        <f aca="false">COUNTIFS('Product Rows'!$A$2:$A$696,B203,'Product Rows'!$B$2:$B$696,C203,'Product Rows'!$G$2:$G$696,"Vial")</f>
        <v>0</v>
      </c>
      <c r="L203" s="5" t="n">
        <f aca="false">COUNTIFS('Product Rows'!$A$2:$A$696,B203,'Product Rows'!$B$2:$B$696,C203,'Product Rows'!$G$2:$G$696,"Ampoule")</f>
        <v>3</v>
      </c>
      <c r="M203" s="5" t="n">
        <f aca="false">COUNTIFS('Product Rows'!$A$2:$A$696,B203,'Product Rows'!$B$2:$B$696,C203,'Product Rows'!$G$2:$G$696,"Prefilled syringe/pen")</f>
        <v>0</v>
      </c>
      <c r="N203" s="6" t="n">
        <f aca="false">IFERROR(AVERAGEIFS('Product Rows'!$H$2:$H$696,'Product Rows'!$A$2:$A$696,B203,'Product Rows'!$B$2:$B$696,C203),"")</f>
        <v>13.899</v>
      </c>
      <c r="O203" s="7" t="n">
        <f aca="false">INDEX('API Data'!$E$2:$E$152,MATCH(B203,'API Data'!$A$2:$A$152,0))</f>
        <v>1894.78</v>
      </c>
      <c r="P203" s="5" t="n">
        <f aca="false">COUNTIF($B$5:$B$337,B203)</f>
        <v>1</v>
      </c>
      <c r="Q203" s="8" t="n">
        <f aca="false">IF(ISNUMBER(I203),PERCENTRANK($I$5:$I$337,I203),"")</f>
        <v>0.521</v>
      </c>
      <c r="R203" s="8" t="n">
        <f aca="false">IF(ISNUMBER(N203),PERCENTRANK($N$5:$N$337,N203),"")</f>
        <v>0.272</v>
      </c>
      <c r="S203" s="8" t="n">
        <f aca="false">IF(ISNUMBER(O203),PERCENTRANK($O$5:$O$337,O203),"")</f>
        <v>0.256</v>
      </c>
      <c r="T203" s="8" t="n">
        <f aca="false">IF(ISNUMBER(P203),PERCENTRANK($P$5:$P$337,P203),"")</f>
        <v>0</v>
      </c>
      <c r="U203" s="9" t="n">
        <f aca="false">IF((IF(ISNUMBER(Q203),Inputs!$B$4,0)+IF(ISNUMBER(R203),Inputs!$B$5,0)+IF(ISNUMBER(S203),Inputs!$B$6,0)+IF(ISNUMBER(T203),Inputs!$B$7,0))=0,"",(IF(ISNUMBER(Q203),Inputs!$B$4*Q203,0)+IF(ISNUMBER(R203),Inputs!$B$5*R203,0)+IF(ISNUMBER(S203),Inputs!$B$6*S203,0)+IF(ISNUMBER(T203),Inputs!$B$7*T203,0))/(IF(ISNUMBER(Q203),Inputs!$B$4,0)+IF(ISNUMBER(R203),Inputs!$B$5,0)+IF(ISNUMBER(S203),Inputs!$B$6,0)+IF(ISNUMBER(T203),Inputs!$B$7,0)))</f>
        <v>0.264</v>
      </c>
      <c r="V203" s="5" t="str">
        <f aca="false">IF(F203&gt;0,"Yes","No")</f>
        <v>Yes</v>
      </c>
      <c r="W203" s="5" t="str">
        <f aca="false">IF(ISNUMBER(N203),IF(N203&gt;=Inputs!$D$18,"Yes","No"),"No price")</f>
        <v>Yes</v>
      </c>
      <c r="X203" s="5" t="str">
        <f aca="false">IF(K203+L203&gt;0,"Yes",IF(M203&gt;0,"No","Unclear"))</f>
        <v>Yes</v>
      </c>
      <c r="Y203" s="5" t="str">
        <f aca="false">INDEX('API Data'!$H$2:$H$152,MATCH(B203,'API Data'!$A$2:$A$152,0))</f>
        <v>No</v>
      </c>
      <c r="Z203" s="5" t="str">
        <f aca="false">IF(COUNTIFS('Product Rows'!$A$2:$A$696,B203,'Product Rows'!$B$2:$B$696,C203,'Product Rows'!$I$2:$I$696,"Yes")&gt;0,"Yes","No")</f>
        <v>No</v>
      </c>
      <c r="AA203" s="5" t="str">
        <f aca="false">IF(P203&gt;=Inputs!$D$22,"Yes","No")</f>
        <v>No</v>
      </c>
      <c r="AB203" s="10" t="b">
        <f aca="false">AND(OR(Inputs!$B$17&lt;&gt;"Exclude",V203="Yes"),OR(Inputs!$B$18&lt;&gt;"Exclude",W203&lt;&gt;"No"),OR(Inputs!$B$19&lt;&gt;"Exclude",X203&lt;&gt;"No"),OR(Inputs!$B$20&lt;&gt;"Exclude",Y203="No"),OR(Inputs!$B$21&lt;&gt;"Exclude",Z203="No"),OR(Inputs!$B$22&lt;&gt;"Exclude",AA203="Yes"),ISNUMBER(U203))</f>
        <v>1</v>
      </c>
      <c r="AC203" s="5" t="n">
        <f aca="false">IF(AB203,COUNTIFS($C$5:$C$337,C203,$AB$5:$AB$337,TRUE(),$U$5:$U$337,"&gt;"&amp;U203)+COUNTIFS($C$5:C203,C203,$AB$5:AB203,TRUE(),$U$5:U203,U203),"")</f>
        <v>12</v>
      </c>
      <c r="AD203" s="5" t="str">
        <f aca="false">IF(AC203="","Not eligible",IF(AC203&lt;=Inputs!$B$25,"Lead",IF(AC203&lt;=Inputs!$B$25+Inputs!$B$26,"Next wave","Long list")))</f>
        <v>Long list</v>
      </c>
      <c r="AE203" s="5" t="str">
        <f aca="false">IF(AND(K203+L203=0,M203&gt;0),"Safety upgrade of existing prefilled syringe",IF(K203+L203+M203=0,"Confirm presentation (not stated in source)",IF(AA203="Yes","Differentiation in crowded generic market","Safety-device mandate compliance")))</f>
        <v>Safety-device mandate compliance</v>
      </c>
      <c r="AF203" s="5" t="str">
        <f aca="false">IF(AC203="","",C203&amp;"|"&amp;AC203)</f>
        <v>Wockhardt|12</v>
      </c>
    </row>
    <row r="204" customFormat="false" ht="15" hidden="false" customHeight="false" outlineLevel="0" collapsed="false">
      <c r="A204" s="5" t="n">
        <f aca="false">IF(ISNUMBER(U204),RANK(U204,$U$5:$U$337),"")</f>
        <v>332</v>
      </c>
      <c r="B204" s="5" t="s">
        <v>143</v>
      </c>
      <c r="C204" s="5" t="s">
        <v>67</v>
      </c>
      <c r="D204" s="5" t="str">
        <f aca="false">INDEX('API Data'!$B$2:$B$152,MATCH(B204,'API Data'!$A$2:$A$152,0))</f>
        <v>Anaesthesia – anaesthesia for ECT &amp; short procedures</v>
      </c>
      <c r="E204" s="5" t="n">
        <f aca="false">COUNTIFS('Market Listing'!$A$2:$A$4054,B204,'Market Listing'!$B$2:$B$4054,C204)</f>
        <v>1</v>
      </c>
      <c r="F204" s="5" t="n">
        <f aca="false">COUNTIFS('Market Listing'!$A$2:$A$4054,B204,'Market Listing'!$B$2:$B$4054,C204,'Market Listing'!$D$2:$D$4054,"Tier 1")</f>
        <v>1</v>
      </c>
      <c r="G204" s="5" t="n">
        <f aca="false">COUNTIFS('Market Listing'!$A$2:$A$4054,B204,'Market Listing'!$B$2:$B$4054,C204,'Market Listing'!$D$2:$D$4054,"Tier 2")</f>
        <v>0</v>
      </c>
      <c r="H204" s="5" t="n">
        <f aca="false">COUNTIFS('Market Listing'!$A$2:$A$4054,B204,'Market Listing'!$B$2:$B$4054,C204,'Market Listing'!$D$2:$D$4054,"Tier 3")</f>
        <v>0</v>
      </c>
      <c r="I204" s="5" t="n">
        <f aca="false">SUMIFS('Market Listing'!$E$2:$E$4054,'Market Listing'!$A$2:$A$4054,B204,'Market Listing'!$B$2:$B$4054,C204)</f>
        <v>3</v>
      </c>
      <c r="J204" s="5" t="n">
        <f aca="false">COUNTIFS('Product Rows'!$A$2:$A$696,B204,'Product Rows'!$B$2:$B$696,C204)</f>
        <v>1</v>
      </c>
      <c r="K204" s="5" t="n">
        <f aca="false">COUNTIFS('Product Rows'!$A$2:$A$696,B204,'Product Rows'!$B$2:$B$696,C204,'Product Rows'!$G$2:$G$696,"Vial")</f>
        <v>1</v>
      </c>
      <c r="L204" s="5" t="n">
        <f aca="false">COUNTIFS('Product Rows'!$A$2:$A$696,B204,'Product Rows'!$B$2:$B$696,C204,'Product Rows'!$G$2:$G$696,"Ampoule")</f>
        <v>0</v>
      </c>
      <c r="M204" s="5" t="n">
        <f aca="false">COUNTIFS('Product Rows'!$A$2:$A$696,B204,'Product Rows'!$B$2:$B$696,C204,'Product Rows'!$G$2:$G$696,"Prefilled syringe/pen")</f>
        <v>0</v>
      </c>
      <c r="N204" s="6" t="str">
        <f aca="false">IFERROR(AVERAGEIFS('Product Rows'!$H$2:$H$696,'Product Rows'!$A$2:$A$696,B204,'Product Rows'!$B$2:$B$696,C204),"")</f>
        <v/>
      </c>
      <c r="O204" s="7" t="n">
        <f aca="false">INDEX('API Data'!$E$2:$E$152,MATCH(B204,'API Data'!$A$2:$A$152,0))</f>
        <v>117.07</v>
      </c>
      <c r="P204" s="5" t="n">
        <f aca="false">COUNTIF($B$5:$B$337,B204)</f>
        <v>1</v>
      </c>
      <c r="Q204" s="8" t="n">
        <f aca="false">IF(ISNUMBER(I204),PERCENTRANK($I$5:$I$337,I204),"")</f>
        <v>0.157</v>
      </c>
      <c r="R204" s="8" t="str">
        <f aca="false">IF(ISNUMBER(N204),PERCENTRANK($N$5:$N$337,N204),"")</f>
        <v/>
      </c>
      <c r="S204" s="8" t="n">
        <f aca="false">IF(ISNUMBER(O204),PERCENTRANK($O$5:$O$337,O204),"")</f>
        <v>0.0361</v>
      </c>
      <c r="T204" s="8" t="n">
        <f aca="false">IF(ISNUMBER(P204),PERCENTRANK($P$5:$P$337,P204),"")</f>
        <v>0</v>
      </c>
      <c r="U204" s="9" t="n">
        <f aca="false">IF((IF(ISNUMBER(Q204),Inputs!$B$4,0)+IF(ISNUMBER(R204),Inputs!$B$5,0)+IF(ISNUMBER(S204),Inputs!$B$6,0)+IF(ISNUMBER(T204),Inputs!$B$7,0))=0,"",(IF(ISNUMBER(Q204),Inputs!$B$4*Q204,0)+IF(ISNUMBER(R204),Inputs!$B$5*R204,0)+IF(ISNUMBER(S204),Inputs!$B$6*S204,0)+IF(ISNUMBER(T204),Inputs!$B$7*T204,0))/(IF(ISNUMBER(Q204),Inputs!$B$4,0)+IF(ISNUMBER(R204),Inputs!$B$5,0)+IF(ISNUMBER(S204),Inputs!$B$6,0)+IF(ISNUMBER(T204),Inputs!$B$7,0)))</f>
        <v>0.0361</v>
      </c>
      <c r="V204" s="5" t="str">
        <f aca="false">IF(F204&gt;0,"Yes","No")</f>
        <v>Yes</v>
      </c>
      <c r="W204" s="5" t="str">
        <f aca="false">IF(ISNUMBER(N204),IF(N204&gt;=Inputs!$D$18,"Yes","No"),"No price")</f>
        <v>No price</v>
      </c>
      <c r="X204" s="5" t="str">
        <f aca="false">IF(K204+L204&gt;0,"Yes",IF(M204&gt;0,"No","Unclear"))</f>
        <v>Yes</v>
      </c>
      <c r="Y204" s="5" t="str">
        <f aca="false">INDEX('API Data'!$H$2:$H$152,MATCH(B204,'API Data'!$A$2:$A$152,0))</f>
        <v>No</v>
      </c>
      <c r="Z204" s="5" t="str">
        <f aca="false">IF(COUNTIFS('Product Rows'!$A$2:$A$696,B204,'Product Rows'!$B$2:$B$696,C204,'Product Rows'!$I$2:$I$696,"Yes")&gt;0,"Yes","No")</f>
        <v>No</v>
      </c>
      <c r="AA204" s="5" t="str">
        <f aca="false">IF(P204&gt;=Inputs!$D$22,"Yes","No")</f>
        <v>No</v>
      </c>
      <c r="AB204" s="10" t="b">
        <f aca="false">AND(OR(Inputs!$B$17&lt;&gt;"Exclude",V204="Yes"),OR(Inputs!$B$18&lt;&gt;"Exclude",W204&lt;&gt;"No"),OR(Inputs!$B$19&lt;&gt;"Exclude",X204&lt;&gt;"No"),OR(Inputs!$B$20&lt;&gt;"Exclude",Y204="No"),OR(Inputs!$B$21&lt;&gt;"Exclude",Z204="No"),OR(Inputs!$B$22&lt;&gt;"Exclude",AA204="Yes"),ISNUMBER(U204))</f>
        <v>1</v>
      </c>
      <c r="AC204" s="5" t="n">
        <f aca="false">IF(AB204,COUNTIFS($C$5:$C$337,C204,$AB$5:$AB$337,TRUE(),$U$5:$U$337,"&gt;"&amp;U204)+COUNTIFS($C$5:C204,C204,$AB$5:AB204,TRUE(),$U$5:U204,U204),"")</f>
        <v>5</v>
      </c>
      <c r="AD204" s="5" t="str">
        <f aca="false">IF(AC204="","Not eligible",IF(AC204&lt;=Inputs!$B$25,"Lead",IF(AC204&lt;=Inputs!$B$25+Inputs!$B$26,"Next wave","Long list")))</f>
        <v>Lead</v>
      </c>
      <c r="AE204" s="5" t="str">
        <f aca="false">IF(AND(K204+L204=0,M204&gt;0),"Safety upgrade of existing prefilled syringe",IF(K204+L204+M204=0,"Confirm presentation (not stated in source)",IF(AA204="Yes","Differentiation in crowded generic market","Safety-device mandate compliance")))</f>
        <v>Safety-device mandate compliance</v>
      </c>
      <c r="AF204" s="5" t="str">
        <f aca="false">IF(AC204="","",C204&amp;"|"&amp;AC204)</f>
        <v>OneSource Specialty Pharma|5</v>
      </c>
    </row>
    <row r="205" customFormat="false" ht="15" hidden="false" customHeight="false" outlineLevel="0" collapsed="false">
      <c r="A205" s="5" t="n">
        <f aca="false">IF(ISNUMBER(U205),RANK(U205,$U$5:$U$337),"")</f>
        <v>171</v>
      </c>
      <c r="B205" s="5" t="s">
        <v>144</v>
      </c>
      <c r="C205" s="5" t="s">
        <v>70</v>
      </c>
      <c r="D205" s="5" t="str">
        <f aca="false">INDEX('API Data'!$B$2:$B$152,MATCH(B205,'API Data'!$A$2:$A$152,0))</f>
        <v>Oncology / Immunology – leukaemia, lymphoma, osteosarcoma; rheumatoid arthritis, psoriasis</v>
      </c>
      <c r="E205" s="5" t="n">
        <f aca="false">COUNTIFS('Market Listing'!$A$2:$A$4054,B205,'Market Listing'!$B$2:$B$4054,C205)</f>
        <v>1</v>
      </c>
      <c r="F205" s="5" t="n">
        <f aca="false">COUNTIFS('Market Listing'!$A$2:$A$4054,B205,'Market Listing'!$B$2:$B$4054,C205,'Market Listing'!$D$2:$D$4054,"Tier 1")</f>
        <v>1</v>
      </c>
      <c r="G205" s="5" t="n">
        <f aca="false">COUNTIFS('Market Listing'!$A$2:$A$4054,B205,'Market Listing'!$B$2:$B$4054,C205,'Market Listing'!$D$2:$D$4054,"Tier 2")</f>
        <v>0</v>
      </c>
      <c r="H205" s="5" t="n">
        <f aca="false">COUNTIFS('Market Listing'!$A$2:$A$4054,B205,'Market Listing'!$B$2:$B$4054,C205,'Market Listing'!$D$2:$D$4054,"Tier 3")</f>
        <v>0</v>
      </c>
      <c r="I205" s="5" t="n">
        <f aca="false">SUMIFS('Market Listing'!$E$2:$E$4054,'Market Listing'!$A$2:$A$4054,B205,'Market Listing'!$B$2:$B$4054,C205)</f>
        <v>3</v>
      </c>
      <c r="J205" s="5" t="n">
        <f aca="false">COUNTIFS('Product Rows'!$A$2:$A$696,B205,'Product Rows'!$B$2:$B$696,C205)</f>
        <v>2</v>
      </c>
      <c r="K205" s="5" t="n">
        <f aca="false">COUNTIFS('Product Rows'!$A$2:$A$696,B205,'Product Rows'!$B$2:$B$696,C205,'Product Rows'!$G$2:$G$696,"Vial")</f>
        <v>2</v>
      </c>
      <c r="L205" s="5" t="n">
        <f aca="false">COUNTIFS('Product Rows'!$A$2:$A$696,B205,'Product Rows'!$B$2:$B$696,C205,'Product Rows'!$G$2:$G$696,"Ampoule")</f>
        <v>0</v>
      </c>
      <c r="M205" s="5" t="n">
        <f aca="false">COUNTIFS('Product Rows'!$A$2:$A$696,B205,'Product Rows'!$B$2:$B$696,C205,'Product Rows'!$G$2:$G$696,"Prefilled syringe/pen")</f>
        <v>0</v>
      </c>
      <c r="N205" s="6" t="n">
        <f aca="false">IFERROR(AVERAGEIFS('Product Rows'!$H$2:$H$696,'Product Rows'!$A$2:$A$696,B205,'Product Rows'!$B$2:$B$696,C205),"")</f>
        <v>10.355</v>
      </c>
      <c r="O205" s="7" t="n">
        <f aca="false">INDEX('API Data'!$E$2:$E$152,MATCH(B205,'API Data'!$A$2:$A$152,0))</f>
        <v>13045.6426458402</v>
      </c>
      <c r="P205" s="5" t="n">
        <f aca="false">COUNTIF($B$5:$B$337,B205)</f>
        <v>4</v>
      </c>
      <c r="Q205" s="8" t="n">
        <f aca="false">IF(ISNUMBER(I205),PERCENTRANK($I$5:$I$337,I205),"")</f>
        <v>0.157</v>
      </c>
      <c r="R205" s="8" t="n">
        <f aca="false">IF(ISNUMBER(N205),PERCENTRANK($N$5:$N$337,N205),"")</f>
        <v>0.219</v>
      </c>
      <c r="S205" s="8" t="n">
        <f aca="false">IF(ISNUMBER(O205),PERCENTRANK($O$5:$O$337,O205),"")</f>
        <v>0.72</v>
      </c>
      <c r="T205" s="8" t="n">
        <f aca="false">IF(ISNUMBER(P205),PERCENTRANK($P$5:$P$337,P205),"")</f>
        <v>0.569</v>
      </c>
      <c r="U205" s="9" t="n">
        <f aca="false">IF((IF(ISNUMBER(Q205),Inputs!$B$4,0)+IF(ISNUMBER(R205),Inputs!$B$5,0)+IF(ISNUMBER(S205),Inputs!$B$6,0)+IF(ISNUMBER(T205),Inputs!$B$7,0))=0,"",(IF(ISNUMBER(Q205),Inputs!$B$4*Q205,0)+IF(ISNUMBER(R205),Inputs!$B$5*R205,0)+IF(ISNUMBER(S205),Inputs!$B$6*S205,0)+IF(ISNUMBER(T205),Inputs!$B$7*T205,0))/(IF(ISNUMBER(Q205),Inputs!$B$4,0)+IF(ISNUMBER(R205),Inputs!$B$5,0)+IF(ISNUMBER(S205),Inputs!$B$6,0)+IF(ISNUMBER(T205),Inputs!$B$7,0)))</f>
        <v>0.4695</v>
      </c>
      <c r="V205" s="5" t="str">
        <f aca="false">IF(F205&gt;0,"Yes","No")</f>
        <v>Yes</v>
      </c>
      <c r="W205" s="5" t="str">
        <f aca="false">IF(ISNUMBER(N205),IF(N205&gt;=Inputs!$D$18,"Yes","No"),"No price")</f>
        <v>Yes</v>
      </c>
      <c r="X205" s="5" t="str">
        <f aca="false">IF(K205+L205&gt;0,"Yes",IF(M205&gt;0,"No","Unclear"))</f>
        <v>Yes</v>
      </c>
      <c r="Y205" s="5" t="str">
        <f aca="false">INDEX('API Data'!$H$2:$H$152,MATCH(B205,'API Data'!$A$2:$A$152,0))</f>
        <v>Yes</v>
      </c>
      <c r="Z205" s="5" t="str">
        <f aca="false">IF(COUNTIFS('Product Rows'!$A$2:$A$696,B205,'Product Rows'!$B$2:$B$696,C205,'Product Rows'!$I$2:$I$696,"Yes")&gt;0,"Yes","No")</f>
        <v>No</v>
      </c>
      <c r="AA205" s="5" t="str">
        <f aca="false">IF(P205&gt;=Inputs!$D$22,"Yes","No")</f>
        <v>Yes</v>
      </c>
      <c r="AB205" s="10" t="b">
        <f aca="false">AND(OR(Inputs!$B$17&lt;&gt;"Exclude",V205="Yes"),OR(Inputs!$B$18&lt;&gt;"Exclude",W205&lt;&gt;"No"),OR(Inputs!$B$19&lt;&gt;"Exclude",X205&lt;&gt;"No"),OR(Inputs!$B$20&lt;&gt;"Exclude",Y205="No"),OR(Inputs!$B$21&lt;&gt;"Exclude",Z205="No"),OR(Inputs!$B$22&lt;&gt;"Exclude",AA205="Yes"),ISNUMBER(U205))</f>
        <v>1</v>
      </c>
      <c r="AC205" s="5" t="n">
        <f aca="false">IF(AB205,COUNTIFS($C$5:$C$337,C205,$AB$5:$AB$337,TRUE(),$U$5:$U$337,"&gt;"&amp;U205)+COUNTIFS($C$5:C205,C205,$AB$5:AB205,TRUE(),$U$5:U205,U205),"")</f>
        <v>4</v>
      </c>
      <c r="AD205" s="5" t="str">
        <f aca="false">IF(AC205="","Not eligible",IF(AC205&lt;=Inputs!$B$25,"Lead",IF(AC205&lt;=Inputs!$B$25+Inputs!$B$26,"Next wave","Long list")))</f>
        <v>Lead</v>
      </c>
      <c r="AE205" s="5" t="str">
        <f aca="false">IF(AND(K205+L205=0,M205&gt;0),"Safety upgrade of existing prefilled syringe",IF(K205+L205+M205=0,"Confirm presentation (not stated in source)",IF(AA205="Yes","Differentiation in crowded generic market","Safety-device mandate compliance")))</f>
        <v>Differentiation in crowded generic market</v>
      </c>
      <c r="AF205" s="5" t="str">
        <f aca="false">IF(AC205="","",C205&amp;"|"&amp;AC205)</f>
        <v>Alembic Pharmaceuticals|4</v>
      </c>
    </row>
    <row r="206" customFormat="false" ht="15" hidden="false" customHeight="false" outlineLevel="0" collapsed="false">
      <c r="A206" s="5" t="n">
        <f aca="false">IF(ISNUMBER(U206),RANK(U206,$U$5:$U$337),"")</f>
        <v>178</v>
      </c>
      <c r="B206" s="5" t="s">
        <v>144</v>
      </c>
      <c r="C206" s="5" t="s">
        <v>47</v>
      </c>
      <c r="D206" s="5" t="str">
        <f aca="false">INDEX('API Data'!$B$2:$B$152,MATCH(B206,'API Data'!$A$2:$A$152,0))</f>
        <v>Oncology / Immunology – leukaemia, lymphoma, osteosarcoma; rheumatoid arthritis, psoriasis</v>
      </c>
      <c r="E206" s="5" t="n">
        <f aca="false">COUNTIFS('Market Listing'!$A$2:$A$4054,B206,'Market Listing'!$B$2:$B$4054,C206)</f>
        <v>1</v>
      </c>
      <c r="F206" s="5" t="n">
        <f aca="false">COUNTIFS('Market Listing'!$A$2:$A$4054,B206,'Market Listing'!$B$2:$B$4054,C206,'Market Listing'!$D$2:$D$4054,"Tier 1")</f>
        <v>1</v>
      </c>
      <c r="G206" s="5" t="n">
        <f aca="false">COUNTIFS('Market Listing'!$A$2:$A$4054,B206,'Market Listing'!$B$2:$B$4054,C206,'Market Listing'!$D$2:$D$4054,"Tier 2")</f>
        <v>0</v>
      </c>
      <c r="H206" s="5" t="n">
        <f aca="false">COUNTIFS('Market Listing'!$A$2:$A$4054,B206,'Market Listing'!$B$2:$B$4054,C206,'Market Listing'!$D$2:$D$4054,"Tier 3")</f>
        <v>0</v>
      </c>
      <c r="I206" s="5" t="n">
        <f aca="false">SUMIFS('Market Listing'!$E$2:$E$4054,'Market Listing'!$A$2:$A$4054,B206,'Market Listing'!$B$2:$B$4054,C206)</f>
        <v>3</v>
      </c>
      <c r="J206" s="5" t="n">
        <f aca="false">COUNTIFS('Product Rows'!$A$2:$A$696,B206,'Product Rows'!$B$2:$B$696,C206)</f>
        <v>3</v>
      </c>
      <c r="K206" s="5" t="n">
        <f aca="false">COUNTIFS('Product Rows'!$A$2:$A$696,B206,'Product Rows'!$B$2:$B$696,C206,'Product Rows'!$G$2:$G$696,"Vial")</f>
        <v>3</v>
      </c>
      <c r="L206" s="5" t="n">
        <f aca="false">COUNTIFS('Product Rows'!$A$2:$A$696,B206,'Product Rows'!$B$2:$B$696,C206,'Product Rows'!$G$2:$G$696,"Ampoule")</f>
        <v>0</v>
      </c>
      <c r="M206" s="5" t="n">
        <f aca="false">COUNTIFS('Product Rows'!$A$2:$A$696,B206,'Product Rows'!$B$2:$B$696,C206,'Product Rows'!$G$2:$G$696,"Prefilled syringe/pen")</f>
        <v>0</v>
      </c>
      <c r="N206" s="6" t="n">
        <f aca="false">IFERROR(AVERAGEIFS('Product Rows'!$H$2:$H$696,'Product Rows'!$A$2:$A$696,B206,'Product Rows'!$B$2:$B$696,C206),"")</f>
        <v>9.81</v>
      </c>
      <c r="O206" s="7" t="n">
        <f aca="false">INDEX('API Data'!$E$2:$E$152,MATCH(B206,'API Data'!$A$2:$A$152,0))</f>
        <v>13045.6426458402</v>
      </c>
      <c r="P206" s="5" t="n">
        <f aca="false">COUNTIF($B$5:$B$337,B206)</f>
        <v>4</v>
      </c>
      <c r="Q206" s="8" t="n">
        <f aca="false">IF(ISNUMBER(I206),PERCENTRANK($I$5:$I$337,I206),"")</f>
        <v>0.157</v>
      </c>
      <c r="R206" s="8" t="n">
        <f aca="false">IF(ISNUMBER(N206),PERCENTRANK($N$5:$N$337,N206),"")</f>
        <v>0.197</v>
      </c>
      <c r="S206" s="8" t="n">
        <f aca="false">IF(ISNUMBER(O206),PERCENTRANK($O$5:$O$337,O206),"")</f>
        <v>0.72</v>
      </c>
      <c r="T206" s="8" t="n">
        <f aca="false">IF(ISNUMBER(P206),PERCENTRANK($P$5:$P$337,P206),"")</f>
        <v>0.569</v>
      </c>
      <c r="U206" s="9" t="n">
        <f aca="false">IF((IF(ISNUMBER(Q206),Inputs!$B$4,0)+IF(ISNUMBER(R206),Inputs!$B$5,0)+IF(ISNUMBER(S206),Inputs!$B$6,0)+IF(ISNUMBER(T206),Inputs!$B$7,0))=0,"",(IF(ISNUMBER(Q206),Inputs!$B$4*Q206,0)+IF(ISNUMBER(R206),Inputs!$B$5*R206,0)+IF(ISNUMBER(S206),Inputs!$B$6*S206,0)+IF(ISNUMBER(T206),Inputs!$B$7*T206,0))/(IF(ISNUMBER(Q206),Inputs!$B$4,0)+IF(ISNUMBER(R206),Inputs!$B$5,0)+IF(ISNUMBER(S206),Inputs!$B$6,0)+IF(ISNUMBER(T206),Inputs!$B$7,0)))</f>
        <v>0.4585</v>
      </c>
      <c r="V206" s="5" t="str">
        <f aca="false">IF(F206&gt;0,"Yes","No")</f>
        <v>Yes</v>
      </c>
      <c r="W206" s="5" t="str">
        <f aca="false">IF(ISNUMBER(N206),IF(N206&gt;=Inputs!$D$18,"Yes","No"),"No price")</f>
        <v>Yes</v>
      </c>
      <c r="X206" s="5" t="str">
        <f aca="false">IF(K206+L206&gt;0,"Yes",IF(M206&gt;0,"No","Unclear"))</f>
        <v>Yes</v>
      </c>
      <c r="Y206" s="5" t="str">
        <f aca="false">INDEX('API Data'!$H$2:$H$152,MATCH(B206,'API Data'!$A$2:$A$152,0))</f>
        <v>Yes</v>
      </c>
      <c r="Z206" s="5" t="str">
        <f aca="false">IF(COUNTIFS('Product Rows'!$A$2:$A$696,B206,'Product Rows'!$B$2:$B$696,C206,'Product Rows'!$I$2:$I$696,"Yes")&gt;0,"Yes","No")</f>
        <v>No</v>
      </c>
      <c r="AA206" s="5" t="str">
        <f aca="false">IF(P206&gt;=Inputs!$D$22,"Yes","No")</f>
        <v>Yes</v>
      </c>
      <c r="AB206" s="10" t="b">
        <f aca="false">AND(OR(Inputs!$B$17&lt;&gt;"Exclude",V206="Yes"),OR(Inputs!$B$18&lt;&gt;"Exclude",W206&lt;&gt;"No"),OR(Inputs!$B$19&lt;&gt;"Exclude",X206&lt;&gt;"No"),OR(Inputs!$B$20&lt;&gt;"Exclude",Y206="No"),OR(Inputs!$B$21&lt;&gt;"Exclude",Z206="No"),OR(Inputs!$B$22&lt;&gt;"Exclude",AA206="Yes"),ISNUMBER(U206))</f>
        <v>1</v>
      </c>
      <c r="AC206" s="5" t="n">
        <f aca="false">IF(AB206,COUNTIFS($C$5:$C$337,C206,$AB$5:$AB$337,TRUE(),$U$5:$U$337,"&gt;"&amp;U206)+COUNTIFS($C$5:C206,C206,$AB$5:AB206,TRUE(),$U$5:U206,U206),"")</f>
        <v>31</v>
      </c>
      <c r="AD206" s="5" t="str">
        <f aca="false">IF(AC206="","Not eligible",IF(AC206&lt;=Inputs!$B$25,"Lead",IF(AC206&lt;=Inputs!$B$25+Inputs!$B$26,"Next wave","Long list")))</f>
        <v>Long list</v>
      </c>
      <c r="AE206" s="5" t="str">
        <f aca="false">IF(AND(K206+L206=0,M206&gt;0),"Safety upgrade of existing prefilled syringe",IF(K206+L206+M206=0,"Confirm presentation (not stated in source)",IF(AA206="Yes","Differentiation in crowded generic market","Safety-device mandate compliance")))</f>
        <v>Differentiation in crowded generic market</v>
      </c>
      <c r="AF206" s="5" t="str">
        <f aca="false">IF(AC206="","",C206&amp;"|"&amp;AC206)</f>
        <v>Aurobindo Pharma|31</v>
      </c>
    </row>
    <row r="207" customFormat="false" ht="15" hidden="false" customHeight="false" outlineLevel="0" collapsed="false">
      <c r="A207" s="5" t="n">
        <f aca="false">IF(ISNUMBER(U207),RANK(U207,$U$5:$U$337),"")</f>
        <v>210</v>
      </c>
      <c r="B207" s="5" t="s">
        <v>144</v>
      </c>
      <c r="C207" s="5" t="s">
        <v>57</v>
      </c>
      <c r="D207" s="5" t="str">
        <f aca="false">INDEX('API Data'!$B$2:$B$152,MATCH(B207,'API Data'!$A$2:$A$152,0))</f>
        <v>Oncology / Immunology – leukaemia, lymphoma, osteosarcoma; rheumatoid arthritis, psoriasis</v>
      </c>
      <c r="E207" s="5" t="n">
        <f aca="false">COUNTIFS('Market Listing'!$A$2:$A$4054,B207,'Market Listing'!$B$2:$B$4054,C207)</f>
        <v>1</v>
      </c>
      <c r="F207" s="5" t="n">
        <f aca="false">COUNTIFS('Market Listing'!$A$2:$A$4054,B207,'Market Listing'!$B$2:$B$4054,C207,'Market Listing'!$D$2:$D$4054,"Tier 1")</f>
        <v>1</v>
      </c>
      <c r="G207" s="5" t="n">
        <f aca="false">COUNTIFS('Market Listing'!$A$2:$A$4054,B207,'Market Listing'!$B$2:$B$4054,C207,'Market Listing'!$D$2:$D$4054,"Tier 2")</f>
        <v>0</v>
      </c>
      <c r="H207" s="5" t="n">
        <f aca="false">COUNTIFS('Market Listing'!$A$2:$A$4054,B207,'Market Listing'!$B$2:$B$4054,C207,'Market Listing'!$D$2:$D$4054,"Tier 3")</f>
        <v>0</v>
      </c>
      <c r="I207" s="5" t="n">
        <f aca="false">SUMIFS('Market Listing'!$E$2:$E$4054,'Market Listing'!$A$2:$A$4054,B207,'Market Listing'!$B$2:$B$4054,C207)</f>
        <v>3</v>
      </c>
      <c r="J207" s="5" t="n">
        <f aca="false">COUNTIFS('Product Rows'!$A$2:$A$696,B207,'Product Rows'!$B$2:$B$696,C207)</f>
        <v>1</v>
      </c>
      <c r="K207" s="5" t="n">
        <f aca="false">COUNTIFS('Product Rows'!$A$2:$A$696,B207,'Product Rows'!$B$2:$B$696,C207,'Product Rows'!$G$2:$G$696,"Vial")</f>
        <v>0</v>
      </c>
      <c r="L207" s="5" t="n">
        <f aca="false">COUNTIFS('Product Rows'!$A$2:$A$696,B207,'Product Rows'!$B$2:$B$696,C207,'Product Rows'!$G$2:$G$696,"Ampoule")</f>
        <v>0</v>
      </c>
      <c r="M207" s="5" t="n">
        <f aca="false">COUNTIFS('Product Rows'!$A$2:$A$696,B207,'Product Rows'!$B$2:$B$696,C207,'Product Rows'!$G$2:$G$696,"Prefilled syringe/pen")</f>
        <v>0</v>
      </c>
      <c r="N207" s="6" t="n">
        <f aca="false">IFERROR(AVERAGEIFS('Product Rows'!$H$2:$H$696,'Product Rows'!$A$2:$A$696,B207,'Product Rows'!$B$2:$B$696,C207),"")</f>
        <v>7.15</v>
      </c>
      <c r="O207" s="7" t="n">
        <f aca="false">INDEX('API Data'!$E$2:$E$152,MATCH(B207,'API Data'!$A$2:$A$152,0))</f>
        <v>13045.6426458402</v>
      </c>
      <c r="P207" s="5" t="n">
        <f aca="false">COUNTIF($B$5:$B$337,B207)</f>
        <v>4</v>
      </c>
      <c r="Q207" s="8" t="n">
        <f aca="false">IF(ISNUMBER(I207),PERCENTRANK($I$5:$I$337,I207),"")</f>
        <v>0.157</v>
      </c>
      <c r="R207" s="8" t="n">
        <f aca="false">IF(ISNUMBER(N207),PERCENTRANK($N$5:$N$337,N207),"")</f>
        <v>0.108</v>
      </c>
      <c r="S207" s="8" t="n">
        <f aca="false">IF(ISNUMBER(O207),PERCENTRANK($O$5:$O$337,O207),"")</f>
        <v>0.72</v>
      </c>
      <c r="T207" s="8" t="n">
        <f aca="false">IF(ISNUMBER(P207),PERCENTRANK($P$5:$P$337,P207),"")</f>
        <v>0.569</v>
      </c>
      <c r="U207" s="9" t="n">
        <f aca="false">IF((IF(ISNUMBER(Q207),Inputs!$B$4,0)+IF(ISNUMBER(R207),Inputs!$B$5,0)+IF(ISNUMBER(S207),Inputs!$B$6,0)+IF(ISNUMBER(T207),Inputs!$B$7,0))=0,"",(IF(ISNUMBER(Q207),Inputs!$B$4*Q207,0)+IF(ISNUMBER(R207),Inputs!$B$5*R207,0)+IF(ISNUMBER(S207),Inputs!$B$6*S207,0)+IF(ISNUMBER(T207),Inputs!$B$7*T207,0))/(IF(ISNUMBER(Q207),Inputs!$B$4,0)+IF(ISNUMBER(R207),Inputs!$B$5,0)+IF(ISNUMBER(S207),Inputs!$B$6,0)+IF(ISNUMBER(T207),Inputs!$B$7,0)))</f>
        <v>0.414</v>
      </c>
      <c r="V207" s="5" t="str">
        <f aca="false">IF(F207&gt;0,"Yes","No")</f>
        <v>Yes</v>
      </c>
      <c r="W207" s="5" t="str">
        <f aca="false">IF(ISNUMBER(N207),IF(N207&gt;=Inputs!$D$18,"Yes","No"),"No price")</f>
        <v>Yes</v>
      </c>
      <c r="X207" s="5" t="str">
        <f aca="false">IF(K207+L207&gt;0,"Yes",IF(M207&gt;0,"No","Unclear"))</f>
        <v>Unclear</v>
      </c>
      <c r="Y207" s="5" t="str">
        <f aca="false">INDEX('API Data'!$H$2:$H$152,MATCH(B207,'API Data'!$A$2:$A$152,0))</f>
        <v>Yes</v>
      </c>
      <c r="Z207" s="5" t="str">
        <f aca="false">IF(COUNTIFS('Product Rows'!$A$2:$A$696,B207,'Product Rows'!$B$2:$B$696,C207,'Product Rows'!$I$2:$I$696,"Yes")&gt;0,"Yes","No")</f>
        <v>No</v>
      </c>
      <c r="AA207" s="5" t="str">
        <f aca="false">IF(P207&gt;=Inputs!$D$22,"Yes","No")</f>
        <v>Yes</v>
      </c>
      <c r="AB207" s="10" t="b">
        <f aca="false">AND(OR(Inputs!$B$17&lt;&gt;"Exclude",V207="Yes"),OR(Inputs!$B$18&lt;&gt;"Exclude",W207&lt;&gt;"No"),OR(Inputs!$B$19&lt;&gt;"Exclude",X207&lt;&gt;"No"),OR(Inputs!$B$20&lt;&gt;"Exclude",Y207="No"),OR(Inputs!$B$21&lt;&gt;"Exclude",Z207="No"),OR(Inputs!$B$22&lt;&gt;"Exclude",AA207="Yes"),ISNUMBER(U207))</f>
        <v>1</v>
      </c>
      <c r="AC207" s="5" t="n">
        <f aca="false">IF(AB207,COUNTIFS($C$5:$C$337,C207,$AB$5:$AB$337,TRUE(),$U$5:$U$337,"&gt;"&amp;U207)+COUNTIFS($C$5:C207,C207,$AB$5:AB207,TRUE(),$U$5:U207,U207),"")</f>
        <v>13</v>
      </c>
      <c r="AD207" s="5" t="str">
        <f aca="false">IF(AC207="","Not eligible",IF(AC207&lt;=Inputs!$B$25,"Lead",IF(AC207&lt;=Inputs!$B$25+Inputs!$B$26,"Next wave","Long list")))</f>
        <v>Long list</v>
      </c>
      <c r="AE207" s="5" t="str">
        <f aca="false">IF(AND(K207+L207=0,M207&gt;0),"Safety upgrade of existing prefilled syringe",IF(K207+L207+M207=0,"Confirm presentation (not stated in source)",IF(AA207="Yes","Differentiation in crowded generic market","Safety-device mandate compliance")))</f>
        <v>Confirm presentation (not stated in source)</v>
      </c>
      <c r="AF207" s="5" t="str">
        <f aca="false">IF(AC207="","",C207&amp;"|"&amp;AC207)</f>
        <v>Hetero Labs|13</v>
      </c>
    </row>
    <row r="208" customFormat="false" ht="15" hidden="false" customHeight="false" outlineLevel="0" collapsed="false">
      <c r="A208" s="5" t="n">
        <f aca="false">IF(ISNUMBER(U208),RANK(U208,$U$5:$U$337),"")</f>
        <v>74</v>
      </c>
      <c r="B208" s="5" t="s">
        <v>144</v>
      </c>
      <c r="C208" s="5" t="s">
        <v>44</v>
      </c>
      <c r="D208" s="5" t="str">
        <f aca="false">INDEX('API Data'!$B$2:$B$152,MATCH(B208,'API Data'!$A$2:$A$152,0))</f>
        <v>Oncology / Immunology – leukaemia, lymphoma, osteosarcoma; rheumatoid arthritis, psoriasis</v>
      </c>
      <c r="E208" s="5" t="n">
        <f aca="false">COUNTIFS('Market Listing'!$A$2:$A$4054,B208,'Market Listing'!$B$2:$B$4054,C208)</f>
        <v>3</v>
      </c>
      <c r="F208" s="5" t="n">
        <f aca="false">COUNTIFS('Market Listing'!$A$2:$A$4054,B208,'Market Listing'!$B$2:$B$4054,C208,'Market Listing'!$D$2:$D$4054,"Tier 1")</f>
        <v>2</v>
      </c>
      <c r="G208" s="5" t="n">
        <f aca="false">COUNTIFS('Market Listing'!$A$2:$A$4054,B208,'Market Listing'!$B$2:$B$4054,C208,'Market Listing'!$D$2:$D$4054,"Tier 2")</f>
        <v>1</v>
      </c>
      <c r="H208" s="5" t="n">
        <f aca="false">COUNTIFS('Market Listing'!$A$2:$A$4054,B208,'Market Listing'!$B$2:$B$4054,C208,'Market Listing'!$D$2:$D$4054,"Tier 3")</f>
        <v>0</v>
      </c>
      <c r="I208" s="5" t="n">
        <f aca="false">SUMIFS('Market Listing'!$E$2:$E$4054,'Market Listing'!$A$2:$A$4054,B208,'Market Listing'!$B$2:$B$4054,C208)</f>
        <v>8</v>
      </c>
      <c r="J208" s="5" t="n">
        <f aca="false">COUNTIFS('Product Rows'!$A$2:$A$696,B208,'Product Rows'!$B$2:$B$696,C208)</f>
        <v>8</v>
      </c>
      <c r="K208" s="5" t="n">
        <f aca="false">COUNTIFS('Product Rows'!$A$2:$A$696,B208,'Product Rows'!$B$2:$B$696,C208,'Product Rows'!$G$2:$G$696,"Vial")</f>
        <v>6</v>
      </c>
      <c r="L208" s="5" t="n">
        <f aca="false">COUNTIFS('Product Rows'!$A$2:$A$696,B208,'Product Rows'!$B$2:$B$696,C208,'Product Rows'!$G$2:$G$696,"Ampoule")</f>
        <v>0</v>
      </c>
      <c r="M208" s="5" t="n">
        <f aca="false">COUNTIFS('Product Rows'!$A$2:$A$696,B208,'Product Rows'!$B$2:$B$696,C208,'Product Rows'!$G$2:$G$696,"Prefilled syringe/pen")</f>
        <v>2</v>
      </c>
      <c r="N208" s="6" t="n">
        <f aca="false">IFERROR(AVERAGEIFS('Product Rows'!$H$2:$H$696,'Product Rows'!$A$2:$A$696,B208,'Product Rows'!$B$2:$B$696,C208),"")</f>
        <v>50.765875</v>
      </c>
      <c r="O208" s="7" t="n">
        <f aca="false">INDEX('API Data'!$E$2:$E$152,MATCH(B208,'API Data'!$A$2:$A$152,0))</f>
        <v>13045.6426458402</v>
      </c>
      <c r="P208" s="5" t="n">
        <f aca="false">COUNTIF($B$5:$B$337,B208)</f>
        <v>4</v>
      </c>
      <c r="Q208" s="8" t="n">
        <f aca="false">IF(ISNUMBER(I208),PERCENTRANK($I$5:$I$337,I208),"")</f>
        <v>0.575</v>
      </c>
      <c r="R208" s="8" t="n">
        <f aca="false">IF(ISNUMBER(N208),PERCENTRANK($N$5:$N$337,N208),"")</f>
        <v>0.599</v>
      </c>
      <c r="S208" s="8" t="n">
        <f aca="false">IF(ISNUMBER(O208),PERCENTRANK($O$5:$O$337,O208),"")</f>
        <v>0.72</v>
      </c>
      <c r="T208" s="8" t="n">
        <f aca="false">IF(ISNUMBER(P208),PERCENTRANK($P$5:$P$337,P208),"")</f>
        <v>0.569</v>
      </c>
      <c r="U208" s="9" t="n">
        <f aca="false">IF((IF(ISNUMBER(Q208),Inputs!$B$4,0)+IF(ISNUMBER(R208),Inputs!$B$5,0)+IF(ISNUMBER(S208),Inputs!$B$6,0)+IF(ISNUMBER(T208),Inputs!$B$7,0))=0,"",(IF(ISNUMBER(Q208),Inputs!$B$4*Q208,0)+IF(ISNUMBER(R208),Inputs!$B$5*R208,0)+IF(ISNUMBER(S208),Inputs!$B$6*S208,0)+IF(ISNUMBER(T208),Inputs!$B$7*T208,0))/(IF(ISNUMBER(Q208),Inputs!$B$4,0)+IF(ISNUMBER(R208),Inputs!$B$5,0)+IF(ISNUMBER(S208),Inputs!$B$6,0)+IF(ISNUMBER(T208),Inputs!$B$7,0)))</f>
        <v>0.6595</v>
      </c>
      <c r="V208" s="5" t="str">
        <f aca="false">IF(F208&gt;0,"Yes","No")</f>
        <v>Yes</v>
      </c>
      <c r="W208" s="5" t="str">
        <f aca="false">IF(ISNUMBER(N208),IF(N208&gt;=Inputs!$D$18,"Yes","No"),"No price")</f>
        <v>Yes</v>
      </c>
      <c r="X208" s="5" t="str">
        <f aca="false">IF(K208+L208&gt;0,"Yes",IF(M208&gt;0,"No","Unclear"))</f>
        <v>Yes</v>
      </c>
      <c r="Y208" s="5" t="str">
        <f aca="false">INDEX('API Data'!$H$2:$H$152,MATCH(B208,'API Data'!$A$2:$A$152,0))</f>
        <v>Yes</v>
      </c>
      <c r="Z208" s="5" t="str">
        <f aca="false">IF(COUNTIFS('Product Rows'!$A$2:$A$696,B208,'Product Rows'!$B$2:$B$696,C208,'Product Rows'!$I$2:$I$696,"Yes")&gt;0,"Yes","No")</f>
        <v>No</v>
      </c>
      <c r="AA208" s="5" t="str">
        <f aca="false">IF(P208&gt;=Inputs!$D$22,"Yes","No")</f>
        <v>Yes</v>
      </c>
      <c r="AB208" s="10" t="b">
        <f aca="false">AND(OR(Inputs!$B$17&lt;&gt;"Exclude",V208="Yes"),OR(Inputs!$B$18&lt;&gt;"Exclude",W208&lt;&gt;"No"),OR(Inputs!$B$19&lt;&gt;"Exclude",X208&lt;&gt;"No"),OR(Inputs!$B$20&lt;&gt;"Exclude",Y208="No"),OR(Inputs!$B$21&lt;&gt;"Exclude",Z208="No"),OR(Inputs!$B$22&lt;&gt;"Exclude",AA208="Yes"),ISNUMBER(U208))</f>
        <v>1</v>
      </c>
      <c r="AC208" s="5" t="n">
        <f aca="false">IF(AB208,COUNTIFS($C$5:$C$337,C208,$AB$5:$AB$337,TRUE(),$U$5:$U$337,"&gt;"&amp;U208)+COUNTIFS($C$5:C208,C208,$AB$5:AB208,TRUE(),$U$5:U208,U208),"")</f>
        <v>14</v>
      </c>
      <c r="AD208" s="5" t="str">
        <f aca="false">IF(AC208="","Not eligible",IF(AC208&lt;=Inputs!$B$25,"Lead",IF(AC208&lt;=Inputs!$B$25+Inputs!$B$26,"Next wave","Long list")))</f>
        <v>Long list</v>
      </c>
      <c r="AE208" s="5" t="str">
        <f aca="false">IF(AND(K208+L208=0,M208&gt;0),"Safety upgrade of existing prefilled syringe",IF(K208+L208+M208=0,"Confirm presentation (not stated in source)",IF(AA208="Yes","Differentiation in crowded generic market","Safety-device mandate compliance")))</f>
        <v>Differentiation in crowded generic market</v>
      </c>
      <c r="AF208" s="5" t="str">
        <f aca="false">IF(AC208="","",C208&amp;"|"&amp;AC208)</f>
        <v>Intas Pharmaceuticals|14</v>
      </c>
    </row>
    <row r="209" customFormat="false" ht="15" hidden="false" customHeight="false" outlineLevel="0" collapsed="false">
      <c r="A209" s="5" t="n">
        <f aca="false">IF(ISNUMBER(U209),RANK(U209,$U$5:$U$337),"")</f>
        <v>138</v>
      </c>
      <c r="B209" s="5" t="s">
        <v>145</v>
      </c>
      <c r="C209" s="5" t="s">
        <v>47</v>
      </c>
      <c r="D209" s="5" t="str">
        <f aca="false">INDEX('API Data'!$B$2:$B$152,MATCH(B209,'API Data'!$A$2:$A$152,0))</f>
        <v>Ortho / Immunology – joint injections (arthritis, bursitis); inflammatory conditions</v>
      </c>
      <c r="E209" s="5" t="n">
        <f aca="false">COUNTIFS('Market Listing'!$A$2:$A$4054,B209,'Market Listing'!$B$2:$B$4054,C209)</f>
        <v>1</v>
      </c>
      <c r="F209" s="5" t="n">
        <f aca="false">COUNTIFS('Market Listing'!$A$2:$A$4054,B209,'Market Listing'!$B$2:$B$4054,C209,'Market Listing'!$D$2:$D$4054,"Tier 1")</f>
        <v>1</v>
      </c>
      <c r="G209" s="5" t="n">
        <f aca="false">COUNTIFS('Market Listing'!$A$2:$A$4054,B209,'Market Listing'!$B$2:$B$4054,C209,'Market Listing'!$D$2:$D$4054,"Tier 2")</f>
        <v>0</v>
      </c>
      <c r="H209" s="5" t="n">
        <f aca="false">COUNTIFS('Market Listing'!$A$2:$A$4054,B209,'Market Listing'!$B$2:$B$4054,C209,'Market Listing'!$D$2:$D$4054,"Tier 3")</f>
        <v>0</v>
      </c>
      <c r="I209" s="5" t="n">
        <f aca="false">SUMIFS('Market Listing'!$E$2:$E$4054,'Market Listing'!$A$2:$A$4054,B209,'Market Listing'!$B$2:$B$4054,C209)</f>
        <v>3</v>
      </c>
      <c r="J209" s="5" t="n">
        <f aca="false">COUNTIFS('Product Rows'!$A$2:$A$696,B209,'Product Rows'!$B$2:$B$696,C209)</f>
        <v>2</v>
      </c>
      <c r="K209" s="5" t="n">
        <f aca="false">COUNTIFS('Product Rows'!$A$2:$A$696,B209,'Product Rows'!$B$2:$B$696,C209,'Product Rows'!$G$2:$G$696,"Vial")</f>
        <v>2</v>
      </c>
      <c r="L209" s="5" t="n">
        <f aca="false">COUNTIFS('Product Rows'!$A$2:$A$696,B209,'Product Rows'!$B$2:$B$696,C209,'Product Rows'!$G$2:$G$696,"Ampoule")</f>
        <v>0</v>
      </c>
      <c r="M209" s="5" t="n">
        <f aca="false">COUNTIFS('Product Rows'!$A$2:$A$696,B209,'Product Rows'!$B$2:$B$696,C209,'Product Rows'!$G$2:$G$696,"Prefilled syringe/pen")</f>
        <v>0</v>
      </c>
      <c r="N209" s="6" t="str">
        <f aca="false">IFERROR(AVERAGEIFS('Product Rows'!$H$2:$H$696,'Product Rows'!$A$2:$A$696,B209,'Product Rows'!$B$2:$B$696,C209),"")</f>
        <v/>
      </c>
      <c r="O209" s="7" t="n">
        <f aca="false">INDEX('API Data'!$E$2:$E$152,MATCH(B209,'API Data'!$A$2:$A$152,0))</f>
        <v>4745.88</v>
      </c>
      <c r="P209" s="5" t="n">
        <f aca="false">COUNTIF($B$5:$B$337,B209)</f>
        <v>1</v>
      </c>
      <c r="Q209" s="8" t="n">
        <f aca="false">IF(ISNUMBER(I209),PERCENTRANK($I$5:$I$337,I209),"")</f>
        <v>0.157</v>
      </c>
      <c r="R209" s="8" t="str">
        <f aca="false">IF(ISNUMBER(N209),PERCENTRANK($N$5:$N$337,N209),"")</f>
        <v/>
      </c>
      <c r="S209" s="8" t="n">
        <f aca="false">IF(ISNUMBER(O209),PERCENTRANK($O$5:$O$337,O209),"")</f>
        <v>0.53</v>
      </c>
      <c r="T209" s="8" t="n">
        <f aca="false">IF(ISNUMBER(P209),PERCENTRANK($P$5:$P$337,P209),"")</f>
        <v>0</v>
      </c>
      <c r="U209" s="9" t="n">
        <f aca="false">IF((IF(ISNUMBER(Q209),Inputs!$B$4,0)+IF(ISNUMBER(R209),Inputs!$B$5,0)+IF(ISNUMBER(S209),Inputs!$B$6,0)+IF(ISNUMBER(T209),Inputs!$B$7,0))=0,"",(IF(ISNUMBER(Q209),Inputs!$B$4*Q209,0)+IF(ISNUMBER(R209),Inputs!$B$5*R209,0)+IF(ISNUMBER(S209),Inputs!$B$6*S209,0)+IF(ISNUMBER(T209),Inputs!$B$7*T209,0))/(IF(ISNUMBER(Q209),Inputs!$B$4,0)+IF(ISNUMBER(R209),Inputs!$B$5,0)+IF(ISNUMBER(S209),Inputs!$B$6,0)+IF(ISNUMBER(T209),Inputs!$B$7,0)))</f>
        <v>0.53</v>
      </c>
      <c r="V209" s="5" t="str">
        <f aca="false">IF(F209&gt;0,"Yes","No")</f>
        <v>Yes</v>
      </c>
      <c r="W209" s="5" t="str">
        <f aca="false">IF(ISNUMBER(N209),IF(N209&gt;=Inputs!$D$18,"Yes","No"),"No price")</f>
        <v>No price</v>
      </c>
      <c r="X209" s="5" t="str">
        <f aca="false">IF(K209+L209&gt;0,"Yes",IF(M209&gt;0,"No","Unclear"))</f>
        <v>Yes</v>
      </c>
      <c r="Y209" s="5" t="str">
        <f aca="false">INDEX('API Data'!$H$2:$H$152,MATCH(B209,'API Data'!$A$2:$A$152,0))</f>
        <v>No</v>
      </c>
      <c r="Z209" s="5" t="str">
        <f aca="false">IF(COUNTIFS('Product Rows'!$A$2:$A$696,B209,'Product Rows'!$B$2:$B$696,C209,'Product Rows'!$I$2:$I$696,"Yes")&gt;0,"Yes","No")</f>
        <v>Yes</v>
      </c>
      <c r="AA209" s="5" t="str">
        <f aca="false">IF(P209&gt;=Inputs!$D$22,"Yes","No")</f>
        <v>No</v>
      </c>
      <c r="AB209" s="10" t="b">
        <f aca="false">AND(OR(Inputs!$B$17&lt;&gt;"Exclude",V209="Yes"),OR(Inputs!$B$18&lt;&gt;"Exclude",W209&lt;&gt;"No"),OR(Inputs!$B$19&lt;&gt;"Exclude",X209&lt;&gt;"No"),OR(Inputs!$B$20&lt;&gt;"Exclude",Y209="No"),OR(Inputs!$B$21&lt;&gt;"Exclude",Z209="No"),OR(Inputs!$B$22&lt;&gt;"Exclude",AA209="Yes"),ISNUMBER(U209))</f>
        <v>1</v>
      </c>
      <c r="AC209" s="5" t="n">
        <f aca="false">IF(AB209,COUNTIFS($C$5:$C$337,C209,$AB$5:$AB$337,TRUE(),$U$5:$U$337,"&gt;"&amp;U209)+COUNTIFS($C$5:C209,C209,$AB$5:AB209,TRUE(),$U$5:U209,U209),"")</f>
        <v>19</v>
      </c>
      <c r="AD209" s="5" t="str">
        <f aca="false">IF(AC209="","Not eligible",IF(AC209&lt;=Inputs!$B$25,"Lead",IF(AC209&lt;=Inputs!$B$25+Inputs!$B$26,"Next wave","Long list")))</f>
        <v>Long list</v>
      </c>
      <c r="AE209" s="5" t="str">
        <f aca="false">IF(AND(K209+L209=0,M209&gt;0),"Safety upgrade of existing prefilled syringe",IF(K209+L209+M209=0,"Confirm presentation (not stated in source)",IF(AA209="Yes","Differentiation in crowded generic market","Safety-device mandate compliance")))</f>
        <v>Safety-device mandate compliance</v>
      </c>
      <c r="AF209" s="5" t="str">
        <f aca="false">IF(AC209="","",C209&amp;"|"&amp;AC209)</f>
        <v>Aurobindo Pharma|19</v>
      </c>
    </row>
    <row r="210" customFormat="false" ht="15" hidden="false" customHeight="false" outlineLevel="0" collapsed="false">
      <c r="A210" s="5" t="n">
        <f aca="false">IF(ISNUMBER(U210),RANK(U210,$U$5:$U$337),"")</f>
        <v>229</v>
      </c>
      <c r="B210" s="5" t="s">
        <v>146</v>
      </c>
      <c r="C210" s="5" t="s">
        <v>44</v>
      </c>
      <c r="D210" s="5" t="str">
        <f aca="false">INDEX('API Data'!$B$2:$B$152,MATCH(B210,'API Data'!$A$2:$A$152,0))</f>
        <v>Anaesthesia – sedation (procedural, ICU) &amp; anaesthesia induction; seizures</v>
      </c>
      <c r="E210" s="5" t="n">
        <f aca="false">COUNTIFS('Market Listing'!$A$2:$A$4054,B210,'Market Listing'!$B$2:$B$4054,C210)</f>
        <v>1</v>
      </c>
      <c r="F210" s="5" t="n">
        <f aca="false">COUNTIFS('Market Listing'!$A$2:$A$4054,B210,'Market Listing'!$B$2:$B$4054,C210,'Market Listing'!$D$2:$D$4054,"Tier 1")</f>
        <v>0</v>
      </c>
      <c r="G210" s="5" t="n">
        <f aca="false">COUNTIFS('Market Listing'!$A$2:$A$4054,B210,'Market Listing'!$B$2:$B$4054,C210,'Market Listing'!$D$2:$D$4054,"Tier 2")</f>
        <v>1</v>
      </c>
      <c r="H210" s="5" t="n">
        <f aca="false">COUNTIFS('Market Listing'!$A$2:$A$4054,B210,'Market Listing'!$B$2:$B$4054,C210,'Market Listing'!$D$2:$D$4054,"Tier 3")</f>
        <v>0</v>
      </c>
      <c r="I210" s="5" t="n">
        <f aca="false">SUMIFS('Market Listing'!$E$2:$E$4054,'Market Listing'!$A$2:$A$4054,B210,'Market Listing'!$B$2:$B$4054,C210)</f>
        <v>2</v>
      </c>
      <c r="J210" s="5" t="n">
        <f aca="false">COUNTIFS('Product Rows'!$A$2:$A$696,B210,'Product Rows'!$B$2:$B$696,C210)</f>
        <v>3</v>
      </c>
      <c r="K210" s="5" t="n">
        <f aca="false">COUNTIFS('Product Rows'!$A$2:$A$696,B210,'Product Rows'!$B$2:$B$696,C210,'Product Rows'!$G$2:$G$696,"Vial")</f>
        <v>0</v>
      </c>
      <c r="L210" s="5" t="n">
        <f aca="false">COUNTIFS('Product Rows'!$A$2:$A$696,B210,'Product Rows'!$B$2:$B$696,C210,'Product Rows'!$G$2:$G$696,"Ampoule")</f>
        <v>1</v>
      </c>
      <c r="M210" s="5" t="n">
        <f aca="false">COUNTIFS('Product Rows'!$A$2:$A$696,B210,'Product Rows'!$B$2:$B$696,C210,'Product Rows'!$G$2:$G$696,"Prefilled syringe/pen")</f>
        <v>2</v>
      </c>
      <c r="N210" s="6" t="n">
        <f aca="false">IFERROR(AVERAGEIFS('Product Rows'!$H$2:$H$696,'Product Rows'!$A$2:$A$696,B210,'Product Rows'!$B$2:$B$696,C210),"")</f>
        <v>11.326</v>
      </c>
      <c r="O210" s="7" t="n">
        <f aca="false">INDEX('API Data'!$E$2:$E$152,MATCH(B210,'API Data'!$A$2:$A$152,0))</f>
        <v>4675.058593915</v>
      </c>
      <c r="P210" s="5" t="n">
        <f aca="false">COUNTIF($B$5:$B$337,B210)</f>
        <v>1</v>
      </c>
      <c r="Q210" s="8" t="n">
        <f aca="false">IF(ISNUMBER(I210),PERCENTRANK($I$5:$I$337,I210),"")</f>
        <v>0</v>
      </c>
      <c r="R210" s="8" t="n">
        <f aca="false">IF(ISNUMBER(N210),PERCENTRANK($N$5:$N$337,N210),"")</f>
        <v>0.233</v>
      </c>
      <c r="S210" s="8" t="n">
        <f aca="false">IF(ISNUMBER(O210),PERCENTRANK($O$5:$O$337,O210),"")</f>
        <v>0.527</v>
      </c>
      <c r="T210" s="8" t="n">
        <f aca="false">IF(ISNUMBER(P210),PERCENTRANK($P$5:$P$337,P210),"")</f>
        <v>0</v>
      </c>
      <c r="U210" s="9" t="n">
        <f aca="false">IF((IF(ISNUMBER(Q210),Inputs!$B$4,0)+IF(ISNUMBER(R210),Inputs!$B$5,0)+IF(ISNUMBER(S210),Inputs!$B$6,0)+IF(ISNUMBER(T210),Inputs!$B$7,0))=0,"",(IF(ISNUMBER(Q210),Inputs!$B$4*Q210,0)+IF(ISNUMBER(R210),Inputs!$B$5*R210,0)+IF(ISNUMBER(S210),Inputs!$B$6*S210,0)+IF(ISNUMBER(T210),Inputs!$B$7*T210,0))/(IF(ISNUMBER(Q210),Inputs!$B$4,0)+IF(ISNUMBER(R210),Inputs!$B$5,0)+IF(ISNUMBER(S210),Inputs!$B$6,0)+IF(ISNUMBER(T210),Inputs!$B$7,0)))</f>
        <v>0.38</v>
      </c>
      <c r="V210" s="5" t="str">
        <f aca="false">IF(F210&gt;0,"Yes","No")</f>
        <v>No</v>
      </c>
      <c r="W210" s="5" t="str">
        <f aca="false">IF(ISNUMBER(N210),IF(N210&gt;=Inputs!$D$18,"Yes","No"),"No price")</f>
        <v>Yes</v>
      </c>
      <c r="X210" s="5" t="str">
        <f aca="false">IF(K210+L210&gt;0,"Yes",IF(M210&gt;0,"No","Unclear"))</f>
        <v>Yes</v>
      </c>
      <c r="Y210" s="5" t="str">
        <f aca="false">INDEX('API Data'!$H$2:$H$152,MATCH(B210,'API Data'!$A$2:$A$152,0))</f>
        <v>No</v>
      </c>
      <c r="Z210" s="5" t="str">
        <f aca="false">IF(COUNTIFS('Product Rows'!$A$2:$A$696,B210,'Product Rows'!$B$2:$B$696,C210,'Product Rows'!$I$2:$I$696,"Yes")&gt;0,"Yes","No")</f>
        <v>No</v>
      </c>
      <c r="AA210" s="5" t="str">
        <f aca="false">IF(P210&gt;=Inputs!$D$22,"Yes","No")</f>
        <v>No</v>
      </c>
      <c r="AB210" s="10" t="b">
        <f aca="false">AND(OR(Inputs!$B$17&lt;&gt;"Exclude",V210="Yes"),OR(Inputs!$B$18&lt;&gt;"Exclude",W210&lt;&gt;"No"),OR(Inputs!$B$19&lt;&gt;"Exclude",X210&lt;&gt;"No"),OR(Inputs!$B$20&lt;&gt;"Exclude",Y210="No"),OR(Inputs!$B$21&lt;&gt;"Exclude",Z210="No"),OR(Inputs!$B$22&lt;&gt;"Exclude",AA210="Yes"),ISNUMBER(U210))</f>
        <v>0</v>
      </c>
      <c r="AC210" s="5" t="str">
        <f aca="false">IF(AB210,COUNTIFS($C$5:$C$337,C210,$AB$5:$AB$337,TRUE(),$U$5:$U$337,"&gt;"&amp;U210)+COUNTIFS($C$5:C210,C210,$AB$5:AB210,TRUE(),$U$5:U210,U210),"")</f>
        <v/>
      </c>
      <c r="AD210" s="5" t="str">
        <f aca="false">IF(AC210="","Not eligible",IF(AC210&lt;=Inputs!$B$25,"Lead",IF(AC210&lt;=Inputs!$B$25+Inputs!$B$26,"Next wave","Long list")))</f>
        <v>Not eligible</v>
      </c>
      <c r="AE210" s="5" t="str">
        <f aca="false">IF(AND(K210+L210=0,M210&gt;0),"Safety upgrade of existing prefilled syringe",IF(K210+L210+M210=0,"Confirm presentation (not stated in source)",IF(AA210="Yes","Differentiation in crowded generic market","Safety-device mandate compliance")))</f>
        <v>Safety-device mandate compliance</v>
      </c>
      <c r="AF210" s="5" t="str">
        <f aca="false">IF(AC210="","",C210&amp;"|"&amp;AC210)</f>
        <v/>
      </c>
    </row>
    <row r="211" customFormat="false" ht="15" hidden="false" customHeight="false" outlineLevel="0" collapsed="false">
      <c r="A211" s="5" t="n">
        <f aca="false">IF(ISNUMBER(U211),RANK(U211,$U$5:$U$337),"")</f>
        <v>189</v>
      </c>
      <c r="B211" s="5" t="s">
        <v>147</v>
      </c>
      <c r="C211" s="5" t="s">
        <v>35</v>
      </c>
      <c r="D211" s="5" t="str">
        <f aca="false">INDEX('API Data'!$B$2:$B$152,MATCH(B211,'API Data'!$A$2:$A$152,0))</f>
        <v>Cardiovascular – acute decompensated heart failure</v>
      </c>
      <c r="E211" s="5" t="n">
        <f aca="false">COUNTIFS('Market Listing'!$A$2:$A$4054,B211,'Market Listing'!$B$2:$B$4054,C211)</f>
        <v>25</v>
      </c>
      <c r="F211" s="5" t="n">
        <f aca="false">COUNTIFS('Market Listing'!$A$2:$A$4054,B211,'Market Listing'!$B$2:$B$4054,C211,'Market Listing'!$D$2:$D$4054,"Tier 1")</f>
        <v>6</v>
      </c>
      <c r="G211" s="5" t="n">
        <f aca="false">COUNTIFS('Market Listing'!$A$2:$A$4054,B211,'Market Listing'!$B$2:$B$4054,C211,'Market Listing'!$D$2:$D$4054,"Tier 2")</f>
        <v>2</v>
      </c>
      <c r="H211" s="5" t="n">
        <f aca="false">COUNTIFS('Market Listing'!$A$2:$A$4054,B211,'Market Listing'!$B$2:$B$4054,C211,'Market Listing'!$D$2:$D$4054,"Tier 3")</f>
        <v>17</v>
      </c>
      <c r="I211" s="5" t="n">
        <f aca="false">SUMIFS('Market Listing'!$E$2:$E$4054,'Market Listing'!$A$2:$A$4054,B211,'Market Listing'!$B$2:$B$4054,C211)</f>
        <v>39</v>
      </c>
      <c r="J211" s="5" t="n">
        <f aca="false">COUNTIFS('Product Rows'!$A$2:$A$696,B211,'Product Rows'!$B$2:$B$696,C211)</f>
        <v>2</v>
      </c>
      <c r="K211" s="5" t="n">
        <f aca="false">COUNTIFS('Product Rows'!$A$2:$A$696,B211,'Product Rows'!$B$2:$B$696,C211,'Product Rows'!$G$2:$G$696,"Vial")</f>
        <v>2</v>
      </c>
      <c r="L211" s="5" t="n">
        <f aca="false">COUNTIFS('Product Rows'!$A$2:$A$696,B211,'Product Rows'!$B$2:$B$696,C211,'Product Rows'!$G$2:$G$696,"Ampoule")</f>
        <v>0</v>
      </c>
      <c r="M211" s="5" t="n">
        <f aca="false">COUNTIFS('Product Rows'!$A$2:$A$696,B211,'Product Rows'!$B$2:$B$696,C211,'Product Rows'!$G$2:$G$696,"Prefilled syringe/pen")</f>
        <v>0</v>
      </c>
      <c r="N211" s="6" t="n">
        <f aca="false">IFERROR(AVERAGEIFS('Product Rows'!$H$2:$H$696,'Product Rows'!$A$2:$A$696,B211,'Product Rows'!$B$2:$B$696,C211),"")</f>
        <v>22.38355</v>
      </c>
      <c r="O211" s="7" t="n">
        <f aca="false">INDEX('API Data'!$E$2:$E$152,MATCH(B211,'API Data'!$A$2:$A$152,0))</f>
        <v>4036.55</v>
      </c>
      <c r="P211" s="5" t="n">
        <f aca="false">COUNTIF($B$5:$B$337,B211)</f>
        <v>3</v>
      </c>
      <c r="Q211" s="8" t="n">
        <f aca="false">IF(ISNUMBER(I211),PERCENTRANK($I$5:$I$337,I211),"")</f>
        <v>0.681</v>
      </c>
      <c r="R211" s="8" t="n">
        <f aca="false">IF(ISNUMBER(N211),PERCENTRANK($N$5:$N$337,N211),"")</f>
        <v>0.391</v>
      </c>
      <c r="S211" s="8" t="n">
        <f aca="false">IF(ISNUMBER(O211),PERCENTRANK($O$5:$O$337,O211),"")</f>
        <v>0.503</v>
      </c>
      <c r="T211" s="8" t="n">
        <f aca="false">IF(ISNUMBER(P211),PERCENTRANK($P$5:$P$337,P211),"")</f>
        <v>0.416</v>
      </c>
      <c r="U211" s="9" t="n">
        <f aca="false">IF((IF(ISNUMBER(Q211),Inputs!$B$4,0)+IF(ISNUMBER(R211),Inputs!$B$5,0)+IF(ISNUMBER(S211),Inputs!$B$6,0)+IF(ISNUMBER(T211),Inputs!$B$7,0))=0,"",(IF(ISNUMBER(Q211),Inputs!$B$4*Q211,0)+IF(ISNUMBER(R211),Inputs!$B$5*R211,0)+IF(ISNUMBER(S211),Inputs!$B$6*S211,0)+IF(ISNUMBER(T211),Inputs!$B$7*T211,0))/(IF(ISNUMBER(Q211),Inputs!$B$4,0)+IF(ISNUMBER(R211),Inputs!$B$5,0)+IF(ISNUMBER(S211),Inputs!$B$6,0)+IF(ISNUMBER(T211),Inputs!$B$7,0)))</f>
        <v>0.447</v>
      </c>
      <c r="V211" s="5" t="str">
        <f aca="false">IF(F211&gt;0,"Yes","No")</f>
        <v>Yes</v>
      </c>
      <c r="W211" s="5" t="str">
        <f aca="false">IF(ISNUMBER(N211),IF(N211&gt;=Inputs!$D$18,"Yes","No"),"No price")</f>
        <v>Yes</v>
      </c>
      <c r="X211" s="5" t="str">
        <f aca="false">IF(K211+L211&gt;0,"Yes",IF(M211&gt;0,"No","Unclear"))</f>
        <v>Yes</v>
      </c>
      <c r="Y211" s="5" t="str">
        <f aca="false">INDEX('API Data'!$H$2:$H$152,MATCH(B211,'API Data'!$A$2:$A$152,0))</f>
        <v>No</v>
      </c>
      <c r="Z211" s="5" t="str">
        <f aca="false">IF(COUNTIFS('Product Rows'!$A$2:$A$696,B211,'Product Rows'!$B$2:$B$696,C211,'Product Rows'!$I$2:$I$696,"Yes")&gt;0,"Yes","No")</f>
        <v>No</v>
      </c>
      <c r="AA211" s="5" t="str">
        <f aca="false">IF(P211&gt;=Inputs!$D$22,"Yes","No")</f>
        <v>Yes</v>
      </c>
      <c r="AB211" s="10" t="b">
        <f aca="false">AND(OR(Inputs!$B$17&lt;&gt;"Exclude",V211="Yes"),OR(Inputs!$B$18&lt;&gt;"Exclude",W211&lt;&gt;"No"),OR(Inputs!$B$19&lt;&gt;"Exclude",X211&lt;&gt;"No"),OR(Inputs!$B$20&lt;&gt;"Exclude",Y211="No"),OR(Inputs!$B$21&lt;&gt;"Exclude",Z211="No"),OR(Inputs!$B$22&lt;&gt;"Exclude",AA211="Yes"),ISNUMBER(U211))</f>
        <v>1</v>
      </c>
      <c r="AC211" s="5" t="n">
        <f aca="false">IF(AB211,COUNTIFS($C$5:$C$337,C211,$AB$5:$AB$337,TRUE(),$U$5:$U$337,"&gt;"&amp;U211)+COUNTIFS($C$5:C211,C211,$AB$5:AB211,TRUE(),$U$5:U211,U211),"")</f>
        <v>14</v>
      </c>
      <c r="AD211" s="5" t="str">
        <f aca="false">IF(AC211="","Not eligible",IF(AC211&lt;=Inputs!$B$25,"Lead",IF(AC211&lt;=Inputs!$B$25+Inputs!$B$26,"Next wave","Long list")))</f>
        <v>Long list</v>
      </c>
      <c r="AE211" s="5" t="str">
        <f aca="false">IF(AND(K211+L211=0,M211&gt;0),"Safety upgrade of existing prefilled syringe",IF(K211+L211+M211=0,"Confirm presentation (not stated in source)",IF(AA211="Yes","Differentiation in crowded generic market","Safety-device mandate compliance")))</f>
        <v>Differentiation in crowded generic market</v>
      </c>
      <c r="AF211" s="5" t="str">
        <f aca="false">IF(AC211="","",C211&amp;"|"&amp;AC211)</f>
        <v>Emcure Pharmaceuticals|14</v>
      </c>
    </row>
    <row r="212" customFormat="false" ht="15" hidden="false" customHeight="false" outlineLevel="0" collapsed="false">
      <c r="A212" s="5" t="n">
        <f aca="false">IF(ISNUMBER(U212),RANK(U212,$U$5:$U$337),"")</f>
        <v>150</v>
      </c>
      <c r="B212" s="5" t="s">
        <v>147</v>
      </c>
      <c r="C212" s="5" t="s">
        <v>40</v>
      </c>
      <c r="D212" s="5" t="str">
        <f aca="false">INDEX('API Data'!$B$2:$B$152,MATCH(B212,'API Data'!$A$2:$A$152,0))</f>
        <v>Cardiovascular – acute decompensated heart failure</v>
      </c>
      <c r="E212" s="5" t="n">
        <f aca="false">COUNTIFS('Market Listing'!$A$2:$A$4054,B212,'Market Listing'!$B$2:$B$4054,C212)</f>
        <v>1</v>
      </c>
      <c r="F212" s="5" t="n">
        <f aca="false">COUNTIFS('Market Listing'!$A$2:$A$4054,B212,'Market Listing'!$B$2:$B$4054,C212,'Market Listing'!$D$2:$D$4054,"Tier 1")</f>
        <v>0</v>
      </c>
      <c r="G212" s="5" t="n">
        <f aca="false">COUNTIFS('Market Listing'!$A$2:$A$4054,B212,'Market Listing'!$B$2:$B$4054,C212,'Market Listing'!$D$2:$D$4054,"Tier 2")</f>
        <v>1</v>
      </c>
      <c r="H212" s="5" t="n">
        <f aca="false">COUNTIFS('Market Listing'!$A$2:$A$4054,B212,'Market Listing'!$B$2:$B$4054,C212,'Market Listing'!$D$2:$D$4054,"Tier 3")</f>
        <v>0</v>
      </c>
      <c r="I212" s="5" t="n">
        <f aca="false">SUMIFS('Market Listing'!$E$2:$E$4054,'Market Listing'!$A$2:$A$4054,B212,'Market Listing'!$B$2:$B$4054,C212)</f>
        <v>2</v>
      </c>
      <c r="J212" s="5" t="n">
        <f aca="false">COUNTIFS('Product Rows'!$A$2:$A$696,B212,'Product Rows'!$B$2:$B$696,C212)</f>
        <v>1</v>
      </c>
      <c r="K212" s="5" t="n">
        <f aca="false">COUNTIFS('Product Rows'!$A$2:$A$696,B212,'Product Rows'!$B$2:$B$696,C212,'Product Rows'!$G$2:$G$696,"Vial")</f>
        <v>0</v>
      </c>
      <c r="L212" s="5" t="n">
        <f aca="false">COUNTIFS('Product Rows'!$A$2:$A$696,B212,'Product Rows'!$B$2:$B$696,C212,'Product Rows'!$G$2:$G$696,"Ampoule")</f>
        <v>1</v>
      </c>
      <c r="M212" s="5" t="n">
        <f aca="false">COUNTIFS('Product Rows'!$A$2:$A$696,B212,'Product Rows'!$B$2:$B$696,C212,'Product Rows'!$G$2:$G$696,"Prefilled syringe/pen")</f>
        <v>0</v>
      </c>
      <c r="N212" s="6" t="str">
        <f aca="false">IFERROR(AVERAGEIFS('Product Rows'!$H$2:$H$696,'Product Rows'!$A$2:$A$696,B212,'Product Rows'!$B$2:$B$696,C212),"")</f>
        <v/>
      </c>
      <c r="O212" s="7" t="n">
        <f aca="false">INDEX('API Data'!$E$2:$E$152,MATCH(B212,'API Data'!$A$2:$A$152,0))</f>
        <v>4036.55</v>
      </c>
      <c r="P212" s="5" t="n">
        <f aca="false">COUNTIF($B$5:$B$337,B212)</f>
        <v>3</v>
      </c>
      <c r="Q212" s="8" t="n">
        <f aca="false">IF(ISNUMBER(I212),PERCENTRANK($I$5:$I$337,I212),"")</f>
        <v>0</v>
      </c>
      <c r="R212" s="8" t="str">
        <f aca="false">IF(ISNUMBER(N212),PERCENTRANK($N$5:$N$337,N212),"")</f>
        <v/>
      </c>
      <c r="S212" s="8" t="n">
        <f aca="false">IF(ISNUMBER(O212),PERCENTRANK($O$5:$O$337,O212),"")</f>
        <v>0.503</v>
      </c>
      <c r="T212" s="8" t="n">
        <f aca="false">IF(ISNUMBER(P212),PERCENTRANK($P$5:$P$337,P212),"")</f>
        <v>0.416</v>
      </c>
      <c r="U212" s="9" t="n">
        <f aca="false">IF((IF(ISNUMBER(Q212),Inputs!$B$4,0)+IF(ISNUMBER(R212),Inputs!$B$5,0)+IF(ISNUMBER(S212),Inputs!$B$6,0)+IF(ISNUMBER(T212),Inputs!$B$7,0))=0,"",(IF(ISNUMBER(Q212),Inputs!$B$4*Q212,0)+IF(ISNUMBER(R212),Inputs!$B$5*R212,0)+IF(ISNUMBER(S212),Inputs!$B$6*S212,0)+IF(ISNUMBER(T212),Inputs!$B$7*T212,0))/(IF(ISNUMBER(Q212),Inputs!$B$4,0)+IF(ISNUMBER(R212),Inputs!$B$5,0)+IF(ISNUMBER(S212),Inputs!$B$6,0)+IF(ISNUMBER(T212),Inputs!$B$7,0)))</f>
        <v>0.503</v>
      </c>
      <c r="V212" s="5" t="str">
        <f aca="false">IF(F212&gt;0,"Yes","No")</f>
        <v>No</v>
      </c>
      <c r="W212" s="5" t="str">
        <f aca="false">IF(ISNUMBER(N212),IF(N212&gt;=Inputs!$D$18,"Yes","No"),"No price")</f>
        <v>No price</v>
      </c>
      <c r="X212" s="5" t="str">
        <f aca="false">IF(K212+L212&gt;0,"Yes",IF(M212&gt;0,"No","Unclear"))</f>
        <v>Yes</v>
      </c>
      <c r="Y212" s="5" t="str">
        <f aca="false">INDEX('API Data'!$H$2:$H$152,MATCH(B212,'API Data'!$A$2:$A$152,0))</f>
        <v>No</v>
      </c>
      <c r="Z212" s="5" t="str">
        <f aca="false">IF(COUNTIFS('Product Rows'!$A$2:$A$696,B212,'Product Rows'!$B$2:$B$696,C212,'Product Rows'!$I$2:$I$696,"Yes")&gt;0,"Yes","No")</f>
        <v>No</v>
      </c>
      <c r="AA212" s="5" t="str">
        <f aca="false">IF(P212&gt;=Inputs!$D$22,"Yes","No")</f>
        <v>Yes</v>
      </c>
      <c r="AB212" s="10" t="b">
        <f aca="false">AND(OR(Inputs!$B$17&lt;&gt;"Exclude",V212="Yes"),OR(Inputs!$B$18&lt;&gt;"Exclude",W212&lt;&gt;"No"),OR(Inputs!$B$19&lt;&gt;"Exclude",X212&lt;&gt;"No"),OR(Inputs!$B$20&lt;&gt;"Exclude",Y212="No"),OR(Inputs!$B$21&lt;&gt;"Exclude",Z212="No"),OR(Inputs!$B$22&lt;&gt;"Exclude",AA212="Yes"),ISNUMBER(U212))</f>
        <v>0</v>
      </c>
      <c r="AC212" s="5" t="str">
        <f aca="false">IF(AB212,COUNTIFS($C$5:$C$337,C212,$AB$5:$AB$337,TRUE(),$U$5:$U$337,"&gt;"&amp;U212)+COUNTIFS($C$5:C212,C212,$AB$5:AB212,TRUE(),$U$5:U212,U212),"")</f>
        <v/>
      </c>
      <c r="AD212" s="5" t="str">
        <f aca="false">IF(AC212="","Not eligible",IF(AC212&lt;=Inputs!$B$25,"Lead",IF(AC212&lt;=Inputs!$B$25+Inputs!$B$26,"Next wave","Long list")))</f>
        <v>Not eligible</v>
      </c>
      <c r="AE212" s="5" t="str">
        <f aca="false">IF(AND(K212+L212=0,M212&gt;0),"Safety upgrade of existing prefilled syringe",IF(K212+L212+M212=0,"Confirm presentation (not stated in source)",IF(AA212="Yes","Differentiation in crowded generic market","Safety-device mandate compliance")))</f>
        <v>Differentiation in crowded generic market</v>
      </c>
      <c r="AF212" s="5" t="str">
        <f aca="false">IF(AC212="","",C212&amp;"|"&amp;AC212)</f>
        <v/>
      </c>
    </row>
    <row r="213" customFormat="false" ht="15" hidden="false" customHeight="false" outlineLevel="0" collapsed="false">
      <c r="A213" s="5" t="n">
        <f aca="false">IF(ISNUMBER(U213),RANK(U213,$U$5:$U$337),"")</f>
        <v>179</v>
      </c>
      <c r="B213" s="5" t="s">
        <v>147</v>
      </c>
      <c r="C213" s="5" t="s">
        <v>38</v>
      </c>
      <c r="D213" s="5" t="str">
        <f aca="false">INDEX('API Data'!$B$2:$B$152,MATCH(B213,'API Data'!$A$2:$A$152,0))</f>
        <v>Cardiovascular – acute decompensated heart failure</v>
      </c>
      <c r="E213" s="5" t="n">
        <f aca="false">COUNTIFS('Market Listing'!$A$2:$A$4054,B213,'Market Listing'!$B$2:$B$4054,C213)</f>
        <v>25</v>
      </c>
      <c r="F213" s="5" t="n">
        <f aca="false">COUNTIFS('Market Listing'!$A$2:$A$4054,B213,'Market Listing'!$B$2:$B$4054,C213,'Market Listing'!$D$2:$D$4054,"Tier 1")</f>
        <v>6</v>
      </c>
      <c r="G213" s="5" t="n">
        <f aca="false">COUNTIFS('Market Listing'!$A$2:$A$4054,B213,'Market Listing'!$B$2:$B$4054,C213,'Market Listing'!$D$2:$D$4054,"Tier 2")</f>
        <v>2</v>
      </c>
      <c r="H213" s="5" t="n">
        <f aca="false">COUNTIFS('Market Listing'!$A$2:$A$4054,B213,'Market Listing'!$B$2:$B$4054,C213,'Market Listing'!$D$2:$D$4054,"Tier 3")</f>
        <v>17</v>
      </c>
      <c r="I213" s="5" t="n">
        <f aca="false">SUMIFS('Market Listing'!$E$2:$E$4054,'Market Listing'!$A$2:$A$4054,B213,'Market Listing'!$B$2:$B$4054,C213)</f>
        <v>39</v>
      </c>
      <c r="J213" s="5" t="n">
        <f aca="false">COUNTIFS('Product Rows'!$A$2:$A$696,B213,'Product Rows'!$B$2:$B$696,C213)</f>
        <v>2</v>
      </c>
      <c r="K213" s="5" t="n">
        <f aca="false">COUNTIFS('Product Rows'!$A$2:$A$696,B213,'Product Rows'!$B$2:$B$696,C213,'Product Rows'!$G$2:$G$696,"Vial")</f>
        <v>0</v>
      </c>
      <c r="L213" s="5" t="n">
        <f aca="false">COUNTIFS('Product Rows'!$A$2:$A$696,B213,'Product Rows'!$B$2:$B$696,C213,'Product Rows'!$G$2:$G$696,"Ampoule")</f>
        <v>2</v>
      </c>
      <c r="M213" s="5" t="n">
        <f aca="false">COUNTIFS('Product Rows'!$A$2:$A$696,B213,'Product Rows'!$B$2:$B$696,C213,'Product Rows'!$G$2:$G$696,"Prefilled syringe/pen")</f>
        <v>0</v>
      </c>
      <c r="N213" s="6" t="n">
        <f aca="false">IFERROR(AVERAGEIFS('Product Rows'!$H$2:$H$696,'Product Rows'!$A$2:$A$696,B213,'Product Rows'!$B$2:$B$696,C213),"")</f>
        <v>23.70855</v>
      </c>
      <c r="O213" s="7" t="n">
        <f aca="false">INDEX('API Data'!$E$2:$E$152,MATCH(B213,'API Data'!$A$2:$A$152,0))</f>
        <v>4036.55</v>
      </c>
      <c r="P213" s="5" t="n">
        <f aca="false">COUNTIF($B$5:$B$337,B213)</f>
        <v>3</v>
      </c>
      <c r="Q213" s="8" t="n">
        <f aca="false">IF(ISNUMBER(I213),PERCENTRANK($I$5:$I$337,I213),"")</f>
        <v>0.681</v>
      </c>
      <c r="R213" s="8" t="n">
        <f aca="false">IF(ISNUMBER(N213),PERCENTRANK($N$5:$N$337,N213),"")</f>
        <v>0.412</v>
      </c>
      <c r="S213" s="8" t="n">
        <f aca="false">IF(ISNUMBER(O213),PERCENTRANK($O$5:$O$337,O213),"")</f>
        <v>0.503</v>
      </c>
      <c r="T213" s="8" t="n">
        <f aca="false">IF(ISNUMBER(P213),PERCENTRANK($P$5:$P$337,P213),"")</f>
        <v>0.416</v>
      </c>
      <c r="U213" s="9" t="n">
        <f aca="false">IF((IF(ISNUMBER(Q213),Inputs!$B$4,0)+IF(ISNUMBER(R213),Inputs!$B$5,0)+IF(ISNUMBER(S213),Inputs!$B$6,0)+IF(ISNUMBER(T213),Inputs!$B$7,0))=0,"",(IF(ISNUMBER(Q213),Inputs!$B$4*Q213,0)+IF(ISNUMBER(R213),Inputs!$B$5*R213,0)+IF(ISNUMBER(S213),Inputs!$B$6*S213,0)+IF(ISNUMBER(T213),Inputs!$B$7*T213,0))/(IF(ISNUMBER(Q213),Inputs!$B$4,0)+IF(ISNUMBER(R213),Inputs!$B$5,0)+IF(ISNUMBER(S213),Inputs!$B$6,0)+IF(ISNUMBER(T213),Inputs!$B$7,0)))</f>
        <v>0.4575</v>
      </c>
      <c r="V213" s="5" t="str">
        <f aca="false">IF(F213&gt;0,"Yes","No")</f>
        <v>Yes</v>
      </c>
      <c r="W213" s="5" t="str">
        <f aca="false">IF(ISNUMBER(N213),IF(N213&gt;=Inputs!$D$18,"Yes","No"),"No price")</f>
        <v>Yes</v>
      </c>
      <c r="X213" s="5" t="str">
        <f aca="false">IF(K213+L213&gt;0,"Yes",IF(M213&gt;0,"No","Unclear"))</f>
        <v>Yes</v>
      </c>
      <c r="Y213" s="5" t="str">
        <f aca="false">INDEX('API Data'!$H$2:$H$152,MATCH(B213,'API Data'!$A$2:$A$152,0))</f>
        <v>No</v>
      </c>
      <c r="Z213" s="5" t="str">
        <f aca="false">IF(COUNTIFS('Product Rows'!$A$2:$A$696,B213,'Product Rows'!$B$2:$B$696,C213,'Product Rows'!$I$2:$I$696,"Yes")&gt;0,"Yes","No")</f>
        <v>No</v>
      </c>
      <c r="AA213" s="5" t="str">
        <f aca="false">IF(P213&gt;=Inputs!$D$22,"Yes","No")</f>
        <v>Yes</v>
      </c>
      <c r="AB213" s="10" t="b">
        <f aca="false">AND(OR(Inputs!$B$17&lt;&gt;"Exclude",V213="Yes"),OR(Inputs!$B$18&lt;&gt;"Exclude",W213&lt;&gt;"No"),OR(Inputs!$B$19&lt;&gt;"Exclude",X213&lt;&gt;"No"),OR(Inputs!$B$20&lt;&gt;"Exclude",Y213="No"),OR(Inputs!$B$21&lt;&gt;"Exclude",Z213="No"),OR(Inputs!$B$22&lt;&gt;"Exclude",AA213="Yes"),ISNUMBER(U213))</f>
        <v>1</v>
      </c>
      <c r="AC213" s="5" t="n">
        <f aca="false">IF(AB213,COUNTIFS($C$5:$C$337,C213,$AB$5:$AB$337,TRUE(),$U$5:$U$337,"&gt;"&amp;U213)+COUNTIFS($C$5:C213,C213,$AB$5:AB213,TRUE(),$U$5:U213,U213),"")</f>
        <v>7</v>
      </c>
      <c r="AD213" s="5" t="str">
        <f aca="false">IF(AC213="","Not eligible",IF(AC213&lt;=Inputs!$B$25,"Lead",IF(AC213&lt;=Inputs!$B$25+Inputs!$B$26,"Next wave","Long list")))</f>
        <v>Next wave</v>
      </c>
      <c r="AE213" s="5" t="str">
        <f aca="false">IF(AND(K213+L213=0,M213&gt;0),"Safety upgrade of existing prefilled syringe",IF(K213+L213+M213=0,"Confirm presentation (not stated in source)",IF(AA213="Yes","Differentiation in crowded generic market","Safety-device mandate compliance")))</f>
        <v>Differentiation in crowded generic market</v>
      </c>
      <c r="AF213" s="5" t="str">
        <f aca="false">IF(AC213="","",C213&amp;"|"&amp;AC213)</f>
        <v>Wockhardt|7</v>
      </c>
    </row>
    <row r="214" customFormat="false" ht="15" hidden="false" customHeight="false" outlineLevel="0" collapsed="false">
      <c r="A214" s="5" t="n">
        <f aca="false">IF(ISNUMBER(U214),RANK(U214,$U$5:$U$337),"")</f>
        <v>80</v>
      </c>
      <c r="B214" s="5" t="s">
        <v>148</v>
      </c>
      <c r="C214" s="5" t="s">
        <v>47</v>
      </c>
      <c r="D214" s="5" t="str">
        <f aca="false">INDEX('API Data'!$B$2:$B$152,MATCH(B214,'API Data'!$A$2:$A$152,0))</f>
        <v>Oncology – gastric, pancreatic, anal &amp; bladder cancers</v>
      </c>
      <c r="E214" s="5" t="n">
        <f aca="false">COUNTIFS('Market Listing'!$A$2:$A$4054,B214,'Market Listing'!$B$2:$B$4054,C214)</f>
        <v>26</v>
      </c>
      <c r="F214" s="5" t="n">
        <f aca="false">COUNTIFS('Market Listing'!$A$2:$A$4054,B214,'Market Listing'!$B$2:$B$4054,C214,'Market Listing'!$D$2:$D$4054,"Tier 1")</f>
        <v>5</v>
      </c>
      <c r="G214" s="5" t="n">
        <f aca="false">COUNTIFS('Market Listing'!$A$2:$A$4054,B214,'Market Listing'!$B$2:$B$4054,C214,'Market Listing'!$D$2:$D$4054,"Tier 2")</f>
        <v>3</v>
      </c>
      <c r="H214" s="5" t="n">
        <f aca="false">COUNTIFS('Market Listing'!$A$2:$A$4054,B214,'Market Listing'!$B$2:$B$4054,C214,'Market Listing'!$D$2:$D$4054,"Tier 3")</f>
        <v>18</v>
      </c>
      <c r="I214" s="5" t="n">
        <f aca="false">SUMIFS('Market Listing'!$E$2:$E$4054,'Market Listing'!$A$2:$A$4054,B214,'Market Listing'!$B$2:$B$4054,C214)</f>
        <v>39</v>
      </c>
      <c r="J214" s="5" t="n">
        <f aca="false">COUNTIFS('Product Rows'!$A$2:$A$696,B214,'Product Rows'!$B$2:$B$696,C214)</f>
        <v>1</v>
      </c>
      <c r="K214" s="5" t="n">
        <f aca="false">COUNTIFS('Product Rows'!$A$2:$A$696,B214,'Product Rows'!$B$2:$B$696,C214,'Product Rows'!$G$2:$G$696,"Vial")</f>
        <v>1</v>
      </c>
      <c r="L214" s="5" t="n">
        <f aca="false">COUNTIFS('Product Rows'!$A$2:$A$696,B214,'Product Rows'!$B$2:$B$696,C214,'Product Rows'!$G$2:$G$696,"Ampoule")</f>
        <v>0</v>
      </c>
      <c r="M214" s="5" t="n">
        <f aca="false">COUNTIFS('Product Rows'!$A$2:$A$696,B214,'Product Rows'!$B$2:$B$696,C214,'Product Rows'!$G$2:$G$696,"Prefilled syringe/pen")</f>
        <v>0</v>
      </c>
      <c r="N214" s="6" t="n">
        <f aca="false">IFERROR(AVERAGEIFS('Product Rows'!$H$2:$H$696,'Product Rows'!$A$2:$A$696,B214,'Product Rows'!$B$2:$B$696,C214),"")</f>
        <v>55.8898</v>
      </c>
      <c r="O214" s="7" t="n">
        <f aca="false">INDEX('API Data'!$E$2:$E$152,MATCH(B214,'API Data'!$A$2:$A$152,0))</f>
        <v>6754.24670338983</v>
      </c>
      <c r="P214" s="5" t="n">
        <f aca="false">COUNTIF($B$5:$B$337,B214)</f>
        <v>2</v>
      </c>
      <c r="Q214" s="8" t="n">
        <f aca="false">IF(ISNUMBER(I214),PERCENTRANK($I$5:$I$337,I214),"")</f>
        <v>0.681</v>
      </c>
      <c r="R214" s="8" t="n">
        <f aca="false">IF(ISNUMBER(N214),PERCENTRANK($N$5:$N$337,N214),"")</f>
        <v>0.631</v>
      </c>
      <c r="S214" s="8" t="n">
        <f aca="false">IF(ISNUMBER(O214),PERCENTRANK($O$5:$O$337,O214),"")</f>
        <v>0.627</v>
      </c>
      <c r="T214" s="8" t="n">
        <f aca="false">IF(ISNUMBER(P214),PERCENTRANK($P$5:$P$337,P214),"")</f>
        <v>0.235</v>
      </c>
      <c r="U214" s="9" t="n">
        <f aca="false">IF((IF(ISNUMBER(Q214),Inputs!$B$4,0)+IF(ISNUMBER(R214),Inputs!$B$5,0)+IF(ISNUMBER(S214),Inputs!$B$6,0)+IF(ISNUMBER(T214),Inputs!$B$7,0))=0,"",(IF(ISNUMBER(Q214),Inputs!$B$4*Q214,0)+IF(ISNUMBER(R214),Inputs!$B$5*R214,0)+IF(ISNUMBER(S214),Inputs!$B$6*S214,0)+IF(ISNUMBER(T214),Inputs!$B$7*T214,0))/(IF(ISNUMBER(Q214),Inputs!$B$4,0)+IF(ISNUMBER(R214),Inputs!$B$5,0)+IF(ISNUMBER(S214),Inputs!$B$6,0)+IF(ISNUMBER(T214),Inputs!$B$7,0)))</f>
        <v>0.629</v>
      </c>
      <c r="V214" s="5" t="str">
        <f aca="false">IF(F214&gt;0,"Yes","No")</f>
        <v>Yes</v>
      </c>
      <c r="W214" s="5" t="str">
        <f aca="false">IF(ISNUMBER(N214),IF(N214&gt;=Inputs!$D$18,"Yes","No"),"No price")</f>
        <v>Yes</v>
      </c>
      <c r="X214" s="5" t="str">
        <f aca="false">IF(K214+L214&gt;0,"Yes",IF(M214&gt;0,"No","Unclear"))</f>
        <v>Yes</v>
      </c>
      <c r="Y214" s="5" t="str">
        <f aca="false">INDEX('API Data'!$H$2:$H$152,MATCH(B214,'API Data'!$A$2:$A$152,0))</f>
        <v>Yes</v>
      </c>
      <c r="Z214" s="5" t="str">
        <f aca="false">IF(COUNTIFS('Product Rows'!$A$2:$A$696,B214,'Product Rows'!$B$2:$B$696,C214,'Product Rows'!$I$2:$I$696,"Yes")&gt;0,"Yes","No")</f>
        <v>Yes</v>
      </c>
      <c r="AA214" s="5" t="str">
        <f aca="false">IF(P214&gt;=Inputs!$D$22,"Yes","No")</f>
        <v>No</v>
      </c>
      <c r="AB214" s="10" t="b">
        <f aca="false">AND(OR(Inputs!$B$17&lt;&gt;"Exclude",V214="Yes"),OR(Inputs!$B$18&lt;&gt;"Exclude",W214&lt;&gt;"No"),OR(Inputs!$B$19&lt;&gt;"Exclude",X214&lt;&gt;"No"),OR(Inputs!$B$20&lt;&gt;"Exclude",Y214="No"),OR(Inputs!$B$21&lt;&gt;"Exclude",Z214="No"),OR(Inputs!$B$22&lt;&gt;"Exclude",AA214="Yes"),ISNUMBER(U214))</f>
        <v>1</v>
      </c>
      <c r="AC214" s="5" t="n">
        <f aca="false">IF(AB214,COUNTIFS($C$5:$C$337,C214,$AB$5:$AB$337,TRUE(),$U$5:$U$337,"&gt;"&amp;U214)+COUNTIFS($C$5:C214,C214,$AB$5:AB214,TRUE(),$U$5:U214,U214),"")</f>
        <v>10</v>
      </c>
      <c r="AD214" s="5" t="str">
        <f aca="false">IF(AC214="","Not eligible",IF(AC214&lt;=Inputs!$B$25,"Lead",IF(AC214&lt;=Inputs!$B$25+Inputs!$B$26,"Next wave","Long list")))</f>
        <v>Next wave</v>
      </c>
      <c r="AE214" s="5" t="str">
        <f aca="false">IF(AND(K214+L214=0,M214&gt;0),"Safety upgrade of existing prefilled syringe",IF(K214+L214+M214=0,"Confirm presentation (not stated in source)",IF(AA214="Yes","Differentiation in crowded generic market","Safety-device mandate compliance")))</f>
        <v>Safety-device mandate compliance</v>
      </c>
      <c r="AF214" s="5" t="str">
        <f aca="false">IF(AC214="","",C214&amp;"|"&amp;AC214)</f>
        <v>Aurobindo Pharma|10</v>
      </c>
    </row>
    <row r="215" customFormat="false" ht="15" hidden="false" customHeight="false" outlineLevel="0" collapsed="false">
      <c r="A215" s="5" t="n">
        <f aca="false">IF(ISNUMBER(U215),RANK(U215,$U$5:$U$337),"")</f>
        <v>63</v>
      </c>
      <c r="B215" s="5" t="s">
        <v>148</v>
      </c>
      <c r="C215" s="5" t="s">
        <v>44</v>
      </c>
      <c r="D215" s="5" t="str">
        <f aca="false">INDEX('API Data'!$B$2:$B$152,MATCH(B215,'API Data'!$A$2:$A$152,0))</f>
        <v>Oncology – gastric, pancreatic, anal &amp; bladder cancers</v>
      </c>
      <c r="E215" s="5" t="n">
        <f aca="false">COUNTIFS('Market Listing'!$A$2:$A$4054,B215,'Market Listing'!$B$2:$B$4054,C215)</f>
        <v>28</v>
      </c>
      <c r="F215" s="5" t="n">
        <f aca="false">COUNTIFS('Market Listing'!$A$2:$A$4054,B215,'Market Listing'!$B$2:$B$4054,C215,'Market Listing'!$D$2:$D$4054,"Tier 1")</f>
        <v>7</v>
      </c>
      <c r="G215" s="5" t="n">
        <f aca="false">COUNTIFS('Market Listing'!$A$2:$A$4054,B215,'Market Listing'!$B$2:$B$4054,C215,'Market Listing'!$D$2:$D$4054,"Tier 2")</f>
        <v>3</v>
      </c>
      <c r="H215" s="5" t="n">
        <f aca="false">COUNTIFS('Market Listing'!$A$2:$A$4054,B215,'Market Listing'!$B$2:$B$4054,C215,'Market Listing'!$D$2:$D$4054,"Tier 3")</f>
        <v>18</v>
      </c>
      <c r="I215" s="5" t="n">
        <f aca="false">SUMIFS('Market Listing'!$E$2:$E$4054,'Market Listing'!$A$2:$A$4054,B215,'Market Listing'!$B$2:$B$4054,C215)</f>
        <v>45</v>
      </c>
      <c r="J215" s="5" t="n">
        <f aca="false">COUNTIFS('Product Rows'!$A$2:$A$696,B215,'Product Rows'!$B$2:$B$696,C215)</f>
        <v>3</v>
      </c>
      <c r="K215" s="5" t="n">
        <f aca="false">COUNTIFS('Product Rows'!$A$2:$A$696,B215,'Product Rows'!$B$2:$B$696,C215,'Product Rows'!$G$2:$G$696,"Vial")</f>
        <v>3</v>
      </c>
      <c r="L215" s="5" t="n">
        <f aca="false">COUNTIFS('Product Rows'!$A$2:$A$696,B215,'Product Rows'!$B$2:$B$696,C215,'Product Rows'!$G$2:$G$696,"Ampoule")</f>
        <v>0</v>
      </c>
      <c r="M215" s="5" t="n">
        <f aca="false">COUNTIFS('Product Rows'!$A$2:$A$696,B215,'Product Rows'!$B$2:$B$696,C215,'Product Rows'!$G$2:$G$696,"Prefilled syringe/pen")</f>
        <v>0</v>
      </c>
      <c r="N215" s="6" t="n">
        <f aca="false">IFERROR(AVERAGEIFS('Product Rows'!$H$2:$H$696,'Product Rows'!$A$2:$A$696,B215,'Product Rows'!$B$2:$B$696,C215),"")</f>
        <v>130.771633333333</v>
      </c>
      <c r="O215" s="7" t="n">
        <f aca="false">INDEX('API Data'!$E$2:$E$152,MATCH(B215,'API Data'!$A$2:$A$152,0))</f>
        <v>6754.24670338983</v>
      </c>
      <c r="P215" s="5" t="n">
        <f aca="false">COUNTIF($B$5:$B$337,B215)</f>
        <v>2</v>
      </c>
      <c r="Q215" s="8" t="n">
        <f aca="false">IF(ISNUMBER(I215),PERCENTRANK($I$5:$I$337,I215),"")</f>
        <v>0.837</v>
      </c>
      <c r="R215" s="8" t="n">
        <f aca="false">IF(ISNUMBER(N215),PERCENTRANK($N$5:$N$337,N215),"")</f>
        <v>0.781</v>
      </c>
      <c r="S215" s="8" t="n">
        <f aca="false">IF(ISNUMBER(O215),PERCENTRANK($O$5:$O$337,O215),"")</f>
        <v>0.627</v>
      </c>
      <c r="T215" s="8" t="n">
        <f aca="false">IF(ISNUMBER(P215),PERCENTRANK($P$5:$P$337,P215),"")</f>
        <v>0.235</v>
      </c>
      <c r="U215" s="9" t="n">
        <f aca="false">IF((IF(ISNUMBER(Q215),Inputs!$B$4,0)+IF(ISNUMBER(R215),Inputs!$B$5,0)+IF(ISNUMBER(S215),Inputs!$B$6,0)+IF(ISNUMBER(T215),Inputs!$B$7,0))=0,"",(IF(ISNUMBER(Q215),Inputs!$B$4*Q215,0)+IF(ISNUMBER(R215),Inputs!$B$5*R215,0)+IF(ISNUMBER(S215),Inputs!$B$6*S215,0)+IF(ISNUMBER(T215),Inputs!$B$7*T215,0))/(IF(ISNUMBER(Q215),Inputs!$B$4,0)+IF(ISNUMBER(R215),Inputs!$B$5,0)+IF(ISNUMBER(S215),Inputs!$B$6,0)+IF(ISNUMBER(T215),Inputs!$B$7,0)))</f>
        <v>0.704</v>
      </c>
      <c r="V215" s="5" t="str">
        <f aca="false">IF(F215&gt;0,"Yes","No")</f>
        <v>Yes</v>
      </c>
      <c r="W215" s="5" t="str">
        <f aca="false">IF(ISNUMBER(N215),IF(N215&gt;=Inputs!$D$18,"Yes","No"),"No price")</f>
        <v>Yes</v>
      </c>
      <c r="X215" s="5" t="str">
        <f aca="false">IF(K215+L215&gt;0,"Yes",IF(M215&gt;0,"No","Unclear"))</f>
        <v>Yes</v>
      </c>
      <c r="Y215" s="5" t="str">
        <f aca="false">INDEX('API Data'!$H$2:$H$152,MATCH(B215,'API Data'!$A$2:$A$152,0))</f>
        <v>Yes</v>
      </c>
      <c r="Z215" s="5" t="str">
        <f aca="false">IF(COUNTIFS('Product Rows'!$A$2:$A$696,B215,'Product Rows'!$B$2:$B$696,C215,'Product Rows'!$I$2:$I$696,"Yes")&gt;0,"Yes","No")</f>
        <v>Yes</v>
      </c>
      <c r="AA215" s="5" t="str">
        <f aca="false">IF(P215&gt;=Inputs!$D$22,"Yes","No")</f>
        <v>No</v>
      </c>
      <c r="AB215" s="10" t="b">
        <f aca="false">AND(OR(Inputs!$B$17&lt;&gt;"Exclude",V215="Yes"),OR(Inputs!$B$18&lt;&gt;"Exclude",W215&lt;&gt;"No"),OR(Inputs!$B$19&lt;&gt;"Exclude",X215&lt;&gt;"No"),OR(Inputs!$B$20&lt;&gt;"Exclude",Y215="No"),OR(Inputs!$B$21&lt;&gt;"Exclude",Z215="No"),OR(Inputs!$B$22&lt;&gt;"Exclude",AA215="Yes"),ISNUMBER(U215))</f>
        <v>1</v>
      </c>
      <c r="AC215" s="5" t="n">
        <f aca="false">IF(AB215,COUNTIFS($C$5:$C$337,C215,$AB$5:$AB$337,TRUE(),$U$5:$U$337,"&gt;"&amp;U215)+COUNTIFS($C$5:C215,C215,$AB$5:AB215,TRUE(),$U$5:U215,U215),"")</f>
        <v>12</v>
      </c>
      <c r="AD215" s="5" t="str">
        <f aca="false">IF(AC215="","Not eligible",IF(AC215&lt;=Inputs!$B$25,"Lead",IF(AC215&lt;=Inputs!$B$25+Inputs!$B$26,"Next wave","Long list")))</f>
        <v>Long list</v>
      </c>
      <c r="AE215" s="5" t="str">
        <f aca="false">IF(AND(K215+L215=0,M215&gt;0),"Safety upgrade of existing prefilled syringe",IF(K215+L215+M215=0,"Confirm presentation (not stated in source)",IF(AA215="Yes","Differentiation in crowded generic market","Safety-device mandate compliance")))</f>
        <v>Safety-device mandate compliance</v>
      </c>
      <c r="AF215" s="5" t="str">
        <f aca="false">IF(AC215="","",C215&amp;"|"&amp;AC215)</f>
        <v>Intas Pharmaceuticals|12</v>
      </c>
    </row>
    <row r="216" customFormat="false" ht="15" hidden="false" customHeight="false" outlineLevel="0" collapsed="false">
      <c r="A216" s="5" t="n">
        <f aca="false">IF(ISNUMBER(U216),RANK(U216,$U$5:$U$337),"")</f>
        <v>187</v>
      </c>
      <c r="B216" s="5" t="s">
        <v>149</v>
      </c>
      <c r="C216" s="5" t="s">
        <v>44</v>
      </c>
      <c r="D216" s="5" t="str">
        <f aca="false">INDEX('API Data'!$B$2:$B$152,MATCH(B216,'API Data'!$A$2:$A$152,0))</f>
        <v>Oncology / Neurology – AML, prostate cancer; multiple sclerosis</v>
      </c>
      <c r="E216" s="5" t="n">
        <f aca="false">COUNTIFS('Market Listing'!$A$2:$A$4054,B216,'Market Listing'!$B$2:$B$4054,C216)</f>
        <v>16</v>
      </c>
      <c r="F216" s="5" t="n">
        <f aca="false">COUNTIFS('Market Listing'!$A$2:$A$4054,B216,'Market Listing'!$B$2:$B$4054,C216,'Market Listing'!$D$2:$D$4054,"Tier 1")</f>
        <v>4</v>
      </c>
      <c r="G216" s="5" t="n">
        <f aca="false">COUNTIFS('Market Listing'!$A$2:$A$4054,B216,'Market Listing'!$B$2:$B$4054,C216,'Market Listing'!$D$2:$D$4054,"Tier 2")</f>
        <v>1</v>
      </c>
      <c r="H216" s="5" t="n">
        <f aca="false">COUNTIFS('Market Listing'!$A$2:$A$4054,B216,'Market Listing'!$B$2:$B$4054,C216,'Market Listing'!$D$2:$D$4054,"Tier 3")</f>
        <v>11</v>
      </c>
      <c r="I216" s="5" t="n">
        <f aca="false">SUMIFS('Market Listing'!$E$2:$E$4054,'Market Listing'!$A$2:$A$4054,B216,'Market Listing'!$B$2:$B$4054,C216)</f>
        <v>25</v>
      </c>
      <c r="J216" s="5" t="n">
        <f aca="false">COUNTIFS('Product Rows'!$A$2:$A$696,B216,'Product Rows'!$B$2:$B$696,C216)</f>
        <v>1</v>
      </c>
      <c r="K216" s="5" t="n">
        <f aca="false">COUNTIFS('Product Rows'!$A$2:$A$696,B216,'Product Rows'!$B$2:$B$696,C216,'Product Rows'!$G$2:$G$696,"Vial")</f>
        <v>1</v>
      </c>
      <c r="L216" s="5" t="n">
        <f aca="false">COUNTIFS('Product Rows'!$A$2:$A$696,B216,'Product Rows'!$B$2:$B$696,C216,'Product Rows'!$G$2:$G$696,"Ampoule")</f>
        <v>0</v>
      </c>
      <c r="M216" s="5" t="n">
        <f aca="false">COUNTIFS('Product Rows'!$A$2:$A$696,B216,'Product Rows'!$B$2:$B$696,C216,'Product Rows'!$G$2:$G$696,"Prefilled syringe/pen")</f>
        <v>0</v>
      </c>
      <c r="N216" s="6" t="n">
        <f aca="false">IFERROR(AVERAGEIFS('Product Rows'!$H$2:$H$696,'Product Rows'!$A$2:$A$696,B216,'Product Rows'!$B$2:$B$696,C216),"")</f>
        <v>122.2095</v>
      </c>
      <c r="O216" s="7" t="n">
        <f aca="false">INDEX('API Data'!$E$2:$E$152,MATCH(B216,'API Data'!$A$2:$A$152,0))</f>
        <v>578.133333333333</v>
      </c>
      <c r="P216" s="5" t="n">
        <f aca="false">COUNTIF($B$5:$B$337,B216)</f>
        <v>1</v>
      </c>
      <c r="Q216" s="8" t="n">
        <f aca="false">IF(ISNUMBER(I216),PERCENTRANK($I$5:$I$337,I216),"")</f>
        <v>0.605</v>
      </c>
      <c r="R216" s="8" t="n">
        <f aca="false">IF(ISNUMBER(N216),PERCENTRANK($N$5:$N$337,N216),"")</f>
        <v>0.771</v>
      </c>
      <c r="S216" s="8" t="n">
        <f aca="false">IF(ISNUMBER(O216),PERCENTRANK($O$5:$O$337,O216),"")</f>
        <v>0.13</v>
      </c>
      <c r="T216" s="8" t="n">
        <f aca="false">IF(ISNUMBER(P216),PERCENTRANK($P$5:$P$337,P216),"")</f>
        <v>0</v>
      </c>
      <c r="U216" s="9" t="n">
        <f aca="false">IF((IF(ISNUMBER(Q216),Inputs!$B$4,0)+IF(ISNUMBER(R216),Inputs!$B$5,0)+IF(ISNUMBER(S216),Inputs!$B$6,0)+IF(ISNUMBER(T216),Inputs!$B$7,0))=0,"",(IF(ISNUMBER(Q216),Inputs!$B$4*Q216,0)+IF(ISNUMBER(R216),Inputs!$B$5*R216,0)+IF(ISNUMBER(S216),Inputs!$B$6*S216,0)+IF(ISNUMBER(T216),Inputs!$B$7*T216,0))/(IF(ISNUMBER(Q216),Inputs!$B$4,0)+IF(ISNUMBER(R216),Inputs!$B$5,0)+IF(ISNUMBER(S216),Inputs!$B$6,0)+IF(ISNUMBER(T216),Inputs!$B$7,0)))</f>
        <v>0.4505</v>
      </c>
      <c r="V216" s="5" t="str">
        <f aca="false">IF(F216&gt;0,"Yes","No")</f>
        <v>Yes</v>
      </c>
      <c r="W216" s="5" t="str">
        <f aca="false">IF(ISNUMBER(N216),IF(N216&gt;=Inputs!$D$18,"Yes","No"),"No price")</f>
        <v>Yes</v>
      </c>
      <c r="X216" s="5" t="str">
        <f aca="false">IF(K216+L216&gt;0,"Yes",IF(M216&gt;0,"No","Unclear"))</f>
        <v>Yes</v>
      </c>
      <c r="Y216" s="5" t="str">
        <f aca="false">INDEX('API Data'!$H$2:$H$152,MATCH(B216,'API Data'!$A$2:$A$152,0))</f>
        <v>Yes</v>
      </c>
      <c r="Z216" s="5" t="str">
        <f aca="false">IF(COUNTIFS('Product Rows'!$A$2:$A$696,B216,'Product Rows'!$B$2:$B$696,C216,'Product Rows'!$I$2:$I$696,"Yes")&gt;0,"Yes","No")</f>
        <v>No</v>
      </c>
      <c r="AA216" s="5" t="str">
        <f aca="false">IF(P216&gt;=Inputs!$D$22,"Yes","No")</f>
        <v>No</v>
      </c>
      <c r="AB216" s="10" t="b">
        <f aca="false">AND(OR(Inputs!$B$17&lt;&gt;"Exclude",V216="Yes"),OR(Inputs!$B$18&lt;&gt;"Exclude",W216&lt;&gt;"No"),OR(Inputs!$B$19&lt;&gt;"Exclude",X216&lt;&gt;"No"),OR(Inputs!$B$20&lt;&gt;"Exclude",Y216="No"),OR(Inputs!$B$21&lt;&gt;"Exclude",Z216="No"),OR(Inputs!$B$22&lt;&gt;"Exclude",AA216="Yes"),ISNUMBER(U216))</f>
        <v>1</v>
      </c>
      <c r="AC216" s="5" t="n">
        <f aca="false">IF(AB216,COUNTIFS($C$5:$C$337,C216,$AB$5:$AB$337,TRUE(),$U$5:$U$337,"&gt;"&amp;U216)+COUNTIFS($C$5:C216,C216,$AB$5:AB216,TRUE(),$U$5:U216,U216),"")</f>
        <v>34</v>
      </c>
      <c r="AD216" s="5" t="str">
        <f aca="false">IF(AC216="","Not eligible",IF(AC216&lt;=Inputs!$B$25,"Lead",IF(AC216&lt;=Inputs!$B$25+Inputs!$B$26,"Next wave","Long list")))</f>
        <v>Long list</v>
      </c>
      <c r="AE216" s="5" t="str">
        <f aca="false">IF(AND(K216+L216=0,M216&gt;0),"Safety upgrade of existing prefilled syringe",IF(K216+L216+M216=0,"Confirm presentation (not stated in source)",IF(AA216="Yes","Differentiation in crowded generic market","Safety-device mandate compliance")))</f>
        <v>Safety-device mandate compliance</v>
      </c>
      <c r="AF216" s="5" t="str">
        <f aca="false">IF(AC216="","",C216&amp;"|"&amp;AC216)</f>
        <v>Intas Pharmaceuticals|34</v>
      </c>
    </row>
    <row r="217" customFormat="false" ht="15" hidden="false" customHeight="false" outlineLevel="0" collapsed="false">
      <c r="A217" s="5" t="n">
        <f aca="false">IF(ISNUMBER(U217),RANK(U217,$U$5:$U$337),"")</f>
        <v>324</v>
      </c>
      <c r="B217" s="5" t="s">
        <v>150</v>
      </c>
      <c r="C217" s="5" t="s">
        <v>38</v>
      </c>
      <c r="D217" s="5" t="str">
        <f aca="false">INDEX('API Data'!$B$2:$B$152,MATCH(B217,'API Data'!$A$2:$A$152,0))</f>
        <v>Pain management – severe acute &amp; palliative pain</v>
      </c>
      <c r="E217" s="5" t="n">
        <f aca="false">COUNTIFS('Market Listing'!$A$2:$A$4054,B217,'Market Listing'!$B$2:$B$4054,C217)</f>
        <v>1</v>
      </c>
      <c r="F217" s="5" t="n">
        <f aca="false">COUNTIFS('Market Listing'!$A$2:$A$4054,B217,'Market Listing'!$B$2:$B$4054,C217,'Market Listing'!$D$2:$D$4054,"Tier 1")</f>
        <v>1</v>
      </c>
      <c r="G217" s="5" t="n">
        <f aca="false">COUNTIFS('Market Listing'!$A$2:$A$4054,B217,'Market Listing'!$B$2:$B$4054,C217,'Market Listing'!$D$2:$D$4054,"Tier 2")</f>
        <v>0</v>
      </c>
      <c r="H217" s="5" t="n">
        <f aca="false">COUNTIFS('Market Listing'!$A$2:$A$4054,B217,'Market Listing'!$B$2:$B$4054,C217,'Market Listing'!$D$2:$D$4054,"Tier 3")</f>
        <v>0</v>
      </c>
      <c r="I217" s="5" t="n">
        <f aca="false">SUMIFS('Market Listing'!$E$2:$E$4054,'Market Listing'!$A$2:$A$4054,B217,'Market Listing'!$B$2:$B$4054,C217)</f>
        <v>3</v>
      </c>
      <c r="J217" s="5" t="n">
        <f aca="false">COUNTIFS('Product Rows'!$A$2:$A$696,B217,'Product Rows'!$B$2:$B$696,C217)</f>
        <v>1</v>
      </c>
      <c r="K217" s="5" t="n">
        <f aca="false">COUNTIFS('Product Rows'!$A$2:$A$696,B217,'Product Rows'!$B$2:$B$696,C217,'Product Rows'!$G$2:$G$696,"Vial")</f>
        <v>0</v>
      </c>
      <c r="L217" s="5" t="n">
        <f aca="false">COUNTIFS('Product Rows'!$A$2:$A$696,B217,'Product Rows'!$B$2:$B$696,C217,'Product Rows'!$G$2:$G$696,"Ampoule")</f>
        <v>1</v>
      </c>
      <c r="M217" s="5" t="n">
        <f aca="false">COUNTIFS('Product Rows'!$A$2:$A$696,B217,'Product Rows'!$B$2:$B$696,C217,'Product Rows'!$G$2:$G$696,"Prefilled syringe/pen")</f>
        <v>0</v>
      </c>
      <c r="N217" s="6" t="n">
        <f aca="false">IFERROR(AVERAGEIFS('Product Rows'!$H$2:$H$696,'Product Rows'!$A$2:$A$696,B217,'Product Rows'!$B$2:$B$696,C217),"")</f>
        <v>6.4</v>
      </c>
      <c r="O217" s="7" t="n">
        <f aca="false">INDEX('API Data'!$E$2:$E$152,MATCH(B217,'API Data'!$A$2:$A$152,0))</f>
        <v>1765.1287965413</v>
      </c>
      <c r="P217" s="5" t="n">
        <f aca="false">COUNTIF($B$5:$B$337,B217)</f>
        <v>1</v>
      </c>
      <c r="Q217" s="8" t="n">
        <f aca="false">IF(ISNUMBER(I217),PERCENTRANK($I$5:$I$337,I217),"")</f>
        <v>0.157</v>
      </c>
      <c r="R217" s="8" t="n">
        <f aca="false">IF(ISNUMBER(N217),PERCENTRANK($N$5:$N$337,N217),"")</f>
        <v>0.0609</v>
      </c>
      <c r="S217" s="8" t="n">
        <f aca="false">IF(ISNUMBER(O217),PERCENTRANK($O$5:$O$337,O217),"")</f>
        <v>0.226</v>
      </c>
      <c r="T217" s="8" t="n">
        <f aca="false">IF(ISNUMBER(P217),PERCENTRANK($P$5:$P$337,P217),"")</f>
        <v>0</v>
      </c>
      <c r="U217" s="9" t="n">
        <f aca="false">IF((IF(ISNUMBER(Q217),Inputs!$B$4,0)+IF(ISNUMBER(R217),Inputs!$B$5,0)+IF(ISNUMBER(S217),Inputs!$B$6,0)+IF(ISNUMBER(T217),Inputs!$B$7,0))=0,"",(IF(ISNUMBER(Q217),Inputs!$B$4*Q217,0)+IF(ISNUMBER(R217),Inputs!$B$5*R217,0)+IF(ISNUMBER(S217),Inputs!$B$6*S217,0)+IF(ISNUMBER(T217),Inputs!$B$7*T217,0))/(IF(ISNUMBER(Q217),Inputs!$B$4,0)+IF(ISNUMBER(R217),Inputs!$B$5,0)+IF(ISNUMBER(S217),Inputs!$B$6,0)+IF(ISNUMBER(T217),Inputs!$B$7,0)))</f>
        <v>0.14345</v>
      </c>
      <c r="V217" s="5" t="str">
        <f aca="false">IF(F217&gt;0,"Yes","No")</f>
        <v>Yes</v>
      </c>
      <c r="W217" s="5" t="str">
        <f aca="false">IF(ISNUMBER(N217),IF(N217&gt;=Inputs!$D$18,"Yes","No"),"No price")</f>
        <v>Yes</v>
      </c>
      <c r="X217" s="5" t="str">
        <f aca="false">IF(K217+L217&gt;0,"Yes",IF(M217&gt;0,"No","Unclear"))</f>
        <v>Yes</v>
      </c>
      <c r="Y217" s="5" t="str">
        <f aca="false">INDEX('API Data'!$H$2:$H$152,MATCH(B217,'API Data'!$A$2:$A$152,0))</f>
        <v>No</v>
      </c>
      <c r="Z217" s="5" t="str">
        <f aca="false">IF(COUNTIFS('Product Rows'!$A$2:$A$696,B217,'Product Rows'!$B$2:$B$696,C217,'Product Rows'!$I$2:$I$696,"Yes")&gt;0,"Yes","No")</f>
        <v>No</v>
      </c>
      <c r="AA217" s="5" t="str">
        <f aca="false">IF(P217&gt;=Inputs!$D$22,"Yes","No")</f>
        <v>No</v>
      </c>
      <c r="AB217" s="10" t="b">
        <f aca="false">AND(OR(Inputs!$B$17&lt;&gt;"Exclude",V217="Yes"),OR(Inputs!$B$18&lt;&gt;"Exclude",W217&lt;&gt;"No"),OR(Inputs!$B$19&lt;&gt;"Exclude",X217&lt;&gt;"No"),OR(Inputs!$B$20&lt;&gt;"Exclude",Y217="No"),OR(Inputs!$B$21&lt;&gt;"Exclude",Z217="No"),OR(Inputs!$B$22&lt;&gt;"Exclude",AA217="Yes"),ISNUMBER(U217))</f>
        <v>1</v>
      </c>
      <c r="AC217" s="5" t="n">
        <f aca="false">IF(AB217,COUNTIFS($C$5:$C$337,C217,$AB$5:$AB$337,TRUE(),$U$5:$U$337,"&gt;"&amp;U217)+COUNTIFS($C$5:C217,C217,$AB$5:AB217,TRUE(),$U$5:U217,U217),"")</f>
        <v>18</v>
      </c>
      <c r="AD217" s="5" t="str">
        <f aca="false">IF(AC217="","Not eligible",IF(AC217&lt;=Inputs!$B$25,"Lead",IF(AC217&lt;=Inputs!$B$25+Inputs!$B$26,"Next wave","Long list")))</f>
        <v>Long list</v>
      </c>
      <c r="AE217" s="5" t="str">
        <f aca="false">IF(AND(K217+L217=0,M217&gt;0),"Safety upgrade of existing prefilled syringe",IF(K217+L217+M217=0,"Confirm presentation (not stated in source)",IF(AA217="Yes","Differentiation in crowded generic market","Safety-device mandate compliance")))</f>
        <v>Safety-device mandate compliance</v>
      </c>
      <c r="AF217" s="5" t="str">
        <f aca="false">IF(AC217="","",C217&amp;"|"&amp;AC217)</f>
        <v>Wockhardt|18</v>
      </c>
    </row>
    <row r="218" customFormat="false" ht="15" hidden="false" customHeight="false" outlineLevel="0" collapsed="false">
      <c r="A218" s="5" t="n">
        <f aca="false">IF(ISNUMBER(U218),RANK(U218,$U$5:$U$337),"")</f>
        <v>325</v>
      </c>
      <c r="B218" s="5" t="s">
        <v>151</v>
      </c>
      <c r="C218" s="5" t="s">
        <v>47</v>
      </c>
      <c r="D218" s="5" t="str">
        <f aca="false">INDEX('API Data'!$B$2:$B$152,MATCH(B218,'API Data'!$A$2:$A$152,0))</f>
        <v>Anti-infective – staphylococcal (MSSA) infections</v>
      </c>
      <c r="E218" s="5" t="n">
        <f aca="false">COUNTIFS('Market Listing'!$A$2:$A$4054,B218,'Market Listing'!$B$2:$B$4054,C218)</f>
        <v>1</v>
      </c>
      <c r="F218" s="5" t="n">
        <f aca="false">COUNTIFS('Market Listing'!$A$2:$A$4054,B218,'Market Listing'!$B$2:$B$4054,C218,'Market Listing'!$D$2:$D$4054,"Tier 1")</f>
        <v>1</v>
      </c>
      <c r="G218" s="5" t="n">
        <f aca="false">COUNTIFS('Market Listing'!$A$2:$A$4054,B218,'Market Listing'!$B$2:$B$4054,C218,'Market Listing'!$D$2:$D$4054,"Tier 2")</f>
        <v>0</v>
      </c>
      <c r="H218" s="5" t="n">
        <f aca="false">COUNTIFS('Market Listing'!$A$2:$A$4054,B218,'Market Listing'!$B$2:$B$4054,C218,'Market Listing'!$D$2:$D$4054,"Tier 3")</f>
        <v>0</v>
      </c>
      <c r="I218" s="5" t="n">
        <f aca="false">SUMIFS('Market Listing'!$E$2:$E$4054,'Market Listing'!$A$2:$A$4054,B218,'Market Listing'!$B$2:$B$4054,C218)</f>
        <v>3</v>
      </c>
      <c r="J218" s="5" t="n">
        <f aca="false">COUNTIFS('Product Rows'!$A$2:$A$696,B218,'Product Rows'!$B$2:$B$696,C218)</f>
        <v>2</v>
      </c>
      <c r="K218" s="5" t="n">
        <f aca="false">COUNTIFS('Product Rows'!$A$2:$A$696,B218,'Product Rows'!$B$2:$B$696,C218,'Product Rows'!$G$2:$G$696,"Vial")</f>
        <v>2</v>
      </c>
      <c r="L218" s="5" t="n">
        <f aca="false">COUNTIFS('Product Rows'!$A$2:$A$696,B218,'Product Rows'!$B$2:$B$696,C218,'Product Rows'!$G$2:$G$696,"Ampoule")</f>
        <v>0</v>
      </c>
      <c r="M218" s="5" t="n">
        <f aca="false">COUNTIFS('Product Rows'!$A$2:$A$696,B218,'Product Rows'!$B$2:$B$696,C218,'Product Rows'!$G$2:$G$696,"Prefilled syringe/pen")</f>
        <v>0</v>
      </c>
      <c r="N218" s="6" t="n">
        <f aca="false">IFERROR(AVERAGEIFS('Product Rows'!$H$2:$H$696,'Product Rows'!$A$2:$A$696,B218,'Product Rows'!$B$2:$B$696,C218),"")</f>
        <v>7.41</v>
      </c>
      <c r="O218" s="7" t="n">
        <f aca="false">INDEX('API Data'!$E$2:$E$152,MATCH(B218,'API Data'!$A$2:$A$152,0))</f>
        <v>570.1</v>
      </c>
      <c r="P218" s="5" t="n">
        <f aca="false">COUNTIF($B$5:$B$337,B218)</f>
        <v>2</v>
      </c>
      <c r="Q218" s="8" t="n">
        <f aca="false">IF(ISNUMBER(I218),PERCENTRANK($I$5:$I$337,I218),"")</f>
        <v>0.157</v>
      </c>
      <c r="R218" s="8" t="n">
        <f aca="false">IF(ISNUMBER(N218),PERCENTRANK($N$5:$N$337,N218),"")</f>
        <v>0.122</v>
      </c>
      <c r="S218" s="8" t="n">
        <f aca="false">IF(ISNUMBER(O218),PERCENTRANK($O$5:$O$337,O218),"")</f>
        <v>0.123</v>
      </c>
      <c r="T218" s="8" t="n">
        <f aca="false">IF(ISNUMBER(P218),PERCENTRANK($P$5:$P$337,P218),"")</f>
        <v>0.235</v>
      </c>
      <c r="U218" s="9" t="n">
        <f aca="false">IF((IF(ISNUMBER(Q218),Inputs!$B$4,0)+IF(ISNUMBER(R218),Inputs!$B$5,0)+IF(ISNUMBER(S218),Inputs!$B$6,0)+IF(ISNUMBER(T218),Inputs!$B$7,0))=0,"",(IF(ISNUMBER(Q218),Inputs!$B$4*Q218,0)+IF(ISNUMBER(R218),Inputs!$B$5*R218,0)+IF(ISNUMBER(S218),Inputs!$B$6*S218,0)+IF(ISNUMBER(T218),Inputs!$B$7*T218,0))/(IF(ISNUMBER(Q218),Inputs!$B$4,0)+IF(ISNUMBER(R218),Inputs!$B$5,0)+IF(ISNUMBER(S218),Inputs!$B$6,0)+IF(ISNUMBER(T218),Inputs!$B$7,0)))</f>
        <v>0.1225</v>
      </c>
      <c r="V218" s="5" t="str">
        <f aca="false">IF(F218&gt;0,"Yes","No")</f>
        <v>Yes</v>
      </c>
      <c r="W218" s="5" t="str">
        <f aca="false">IF(ISNUMBER(N218),IF(N218&gt;=Inputs!$D$18,"Yes","No"),"No price")</f>
        <v>Yes</v>
      </c>
      <c r="X218" s="5" t="str">
        <f aca="false">IF(K218+L218&gt;0,"Yes",IF(M218&gt;0,"No","Unclear"))</f>
        <v>Yes</v>
      </c>
      <c r="Y218" s="5" t="str">
        <f aca="false">INDEX('API Data'!$H$2:$H$152,MATCH(B218,'API Data'!$A$2:$A$152,0))</f>
        <v>No</v>
      </c>
      <c r="Z218" s="5" t="str">
        <f aca="false">IF(COUNTIFS('Product Rows'!$A$2:$A$696,B218,'Product Rows'!$B$2:$B$696,C218,'Product Rows'!$I$2:$I$696,"Yes")&gt;0,"Yes","No")</f>
        <v>Yes</v>
      </c>
      <c r="AA218" s="5" t="str">
        <f aca="false">IF(P218&gt;=Inputs!$D$22,"Yes","No")</f>
        <v>No</v>
      </c>
      <c r="AB218" s="10" t="b">
        <f aca="false">AND(OR(Inputs!$B$17&lt;&gt;"Exclude",V218="Yes"),OR(Inputs!$B$18&lt;&gt;"Exclude",W218&lt;&gt;"No"),OR(Inputs!$B$19&lt;&gt;"Exclude",X218&lt;&gt;"No"),OR(Inputs!$B$20&lt;&gt;"Exclude",Y218="No"),OR(Inputs!$B$21&lt;&gt;"Exclude",Z218="No"),OR(Inputs!$B$22&lt;&gt;"Exclude",AA218="Yes"),ISNUMBER(U218))</f>
        <v>1</v>
      </c>
      <c r="AC218" s="5" t="n">
        <f aca="false">IF(AB218,COUNTIFS($C$5:$C$337,C218,$AB$5:$AB$337,TRUE(),$U$5:$U$337,"&gt;"&amp;U218)+COUNTIFS($C$5:C218,C218,$AB$5:AB218,TRUE(),$U$5:U218,U218),"")</f>
        <v>50</v>
      </c>
      <c r="AD218" s="5" t="str">
        <f aca="false">IF(AC218="","Not eligible",IF(AC218&lt;=Inputs!$B$25,"Lead",IF(AC218&lt;=Inputs!$B$25+Inputs!$B$26,"Next wave","Long list")))</f>
        <v>Long list</v>
      </c>
      <c r="AE218" s="5" t="str">
        <f aca="false">IF(AND(K218+L218=0,M218&gt;0),"Safety upgrade of existing prefilled syringe",IF(K218+L218+M218=0,"Confirm presentation (not stated in source)",IF(AA218="Yes","Differentiation in crowded generic market","Safety-device mandate compliance")))</f>
        <v>Safety-device mandate compliance</v>
      </c>
      <c r="AF218" s="5" t="str">
        <f aca="false">IF(AC218="","",C218&amp;"|"&amp;AC218)</f>
        <v>Aurobindo Pharma|50</v>
      </c>
    </row>
    <row r="219" customFormat="false" ht="15" hidden="false" customHeight="false" outlineLevel="0" collapsed="false">
      <c r="A219" s="5" t="n">
        <f aca="false">IF(ISNUMBER(U219),RANK(U219,$U$5:$U$337),"")</f>
        <v>325</v>
      </c>
      <c r="B219" s="5" t="s">
        <v>151</v>
      </c>
      <c r="C219" s="5" t="s">
        <v>67</v>
      </c>
      <c r="D219" s="5" t="str">
        <f aca="false">INDEX('API Data'!$B$2:$B$152,MATCH(B219,'API Data'!$A$2:$A$152,0))</f>
        <v>Anti-infective – staphylococcal (MSSA) infections</v>
      </c>
      <c r="E219" s="5" t="n">
        <f aca="false">COUNTIFS('Market Listing'!$A$2:$A$4054,B219,'Market Listing'!$B$2:$B$4054,C219)</f>
        <v>1</v>
      </c>
      <c r="F219" s="5" t="n">
        <f aca="false">COUNTIFS('Market Listing'!$A$2:$A$4054,B219,'Market Listing'!$B$2:$B$4054,C219,'Market Listing'!$D$2:$D$4054,"Tier 1")</f>
        <v>1</v>
      </c>
      <c r="G219" s="5" t="n">
        <f aca="false">COUNTIFS('Market Listing'!$A$2:$A$4054,B219,'Market Listing'!$B$2:$B$4054,C219,'Market Listing'!$D$2:$D$4054,"Tier 2")</f>
        <v>0</v>
      </c>
      <c r="H219" s="5" t="n">
        <f aca="false">COUNTIFS('Market Listing'!$A$2:$A$4054,B219,'Market Listing'!$B$2:$B$4054,C219,'Market Listing'!$D$2:$D$4054,"Tier 3")</f>
        <v>0</v>
      </c>
      <c r="I219" s="5" t="n">
        <f aca="false">SUMIFS('Market Listing'!$E$2:$E$4054,'Market Listing'!$A$2:$A$4054,B219,'Market Listing'!$B$2:$B$4054,C219)</f>
        <v>3</v>
      </c>
      <c r="J219" s="5" t="n">
        <f aca="false">COUNTIFS('Product Rows'!$A$2:$A$696,B219,'Product Rows'!$B$2:$B$696,C219)</f>
        <v>2</v>
      </c>
      <c r="K219" s="5" t="n">
        <f aca="false">COUNTIFS('Product Rows'!$A$2:$A$696,B219,'Product Rows'!$B$2:$B$696,C219,'Product Rows'!$G$2:$G$696,"Vial")</f>
        <v>2</v>
      </c>
      <c r="L219" s="5" t="n">
        <f aca="false">COUNTIFS('Product Rows'!$A$2:$A$696,B219,'Product Rows'!$B$2:$B$696,C219,'Product Rows'!$G$2:$G$696,"Ampoule")</f>
        <v>0</v>
      </c>
      <c r="M219" s="5" t="n">
        <f aca="false">COUNTIFS('Product Rows'!$A$2:$A$696,B219,'Product Rows'!$B$2:$B$696,C219,'Product Rows'!$G$2:$G$696,"Prefilled syringe/pen")</f>
        <v>0</v>
      </c>
      <c r="N219" s="6" t="n">
        <f aca="false">IFERROR(AVERAGEIFS('Product Rows'!$H$2:$H$696,'Product Rows'!$A$2:$A$696,B219,'Product Rows'!$B$2:$B$696,C219),"")</f>
        <v>7.41</v>
      </c>
      <c r="O219" s="7" t="n">
        <f aca="false">INDEX('API Data'!$E$2:$E$152,MATCH(B219,'API Data'!$A$2:$A$152,0))</f>
        <v>570.1</v>
      </c>
      <c r="P219" s="5" t="n">
        <f aca="false">COUNTIF($B$5:$B$337,B219)</f>
        <v>2</v>
      </c>
      <c r="Q219" s="8" t="n">
        <f aca="false">IF(ISNUMBER(I219),PERCENTRANK($I$5:$I$337,I219),"")</f>
        <v>0.157</v>
      </c>
      <c r="R219" s="8" t="n">
        <f aca="false">IF(ISNUMBER(N219),PERCENTRANK($N$5:$N$337,N219),"")</f>
        <v>0.122</v>
      </c>
      <c r="S219" s="8" t="n">
        <f aca="false">IF(ISNUMBER(O219),PERCENTRANK($O$5:$O$337,O219),"")</f>
        <v>0.123</v>
      </c>
      <c r="T219" s="8" t="n">
        <f aca="false">IF(ISNUMBER(P219),PERCENTRANK($P$5:$P$337,P219),"")</f>
        <v>0.235</v>
      </c>
      <c r="U219" s="9" t="n">
        <f aca="false">IF((IF(ISNUMBER(Q219),Inputs!$B$4,0)+IF(ISNUMBER(R219),Inputs!$B$5,0)+IF(ISNUMBER(S219),Inputs!$B$6,0)+IF(ISNUMBER(T219),Inputs!$B$7,0))=0,"",(IF(ISNUMBER(Q219),Inputs!$B$4*Q219,0)+IF(ISNUMBER(R219),Inputs!$B$5*R219,0)+IF(ISNUMBER(S219),Inputs!$B$6*S219,0)+IF(ISNUMBER(T219),Inputs!$B$7*T219,0))/(IF(ISNUMBER(Q219),Inputs!$B$4,0)+IF(ISNUMBER(R219),Inputs!$B$5,0)+IF(ISNUMBER(S219),Inputs!$B$6,0)+IF(ISNUMBER(T219),Inputs!$B$7,0)))</f>
        <v>0.1225</v>
      </c>
      <c r="V219" s="5" t="str">
        <f aca="false">IF(F219&gt;0,"Yes","No")</f>
        <v>Yes</v>
      </c>
      <c r="W219" s="5" t="str">
        <f aca="false">IF(ISNUMBER(N219),IF(N219&gt;=Inputs!$D$18,"Yes","No"),"No price")</f>
        <v>Yes</v>
      </c>
      <c r="X219" s="5" t="str">
        <f aca="false">IF(K219+L219&gt;0,"Yes",IF(M219&gt;0,"No","Unclear"))</f>
        <v>Yes</v>
      </c>
      <c r="Y219" s="5" t="str">
        <f aca="false">INDEX('API Data'!$H$2:$H$152,MATCH(B219,'API Data'!$A$2:$A$152,0))</f>
        <v>No</v>
      </c>
      <c r="Z219" s="5" t="str">
        <f aca="false">IF(COUNTIFS('Product Rows'!$A$2:$A$696,B219,'Product Rows'!$B$2:$B$696,C219,'Product Rows'!$I$2:$I$696,"Yes")&gt;0,"Yes","No")</f>
        <v>Yes</v>
      </c>
      <c r="AA219" s="5" t="str">
        <f aca="false">IF(P219&gt;=Inputs!$D$22,"Yes","No")</f>
        <v>No</v>
      </c>
      <c r="AB219" s="10" t="b">
        <f aca="false">AND(OR(Inputs!$B$17&lt;&gt;"Exclude",V219="Yes"),OR(Inputs!$B$18&lt;&gt;"Exclude",W219&lt;&gt;"No"),OR(Inputs!$B$19&lt;&gt;"Exclude",X219&lt;&gt;"No"),OR(Inputs!$B$20&lt;&gt;"Exclude",Y219="No"),OR(Inputs!$B$21&lt;&gt;"Exclude",Z219="No"),OR(Inputs!$B$22&lt;&gt;"Exclude",AA219="Yes"),ISNUMBER(U219))</f>
        <v>1</v>
      </c>
      <c r="AC219" s="5" t="n">
        <f aca="false">IF(AB219,COUNTIFS($C$5:$C$337,C219,$AB$5:$AB$337,TRUE(),$U$5:$U$337,"&gt;"&amp;U219)+COUNTIFS($C$5:C219,C219,$AB$5:AB219,TRUE(),$U$5:U219,U219),"")</f>
        <v>4</v>
      </c>
      <c r="AD219" s="5" t="str">
        <f aca="false">IF(AC219="","Not eligible",IF(AC219&lt;=Inputs!$B$25,"Lead",IF(AC219&lt;=Inputs!$B$25+Inputs!$B$26,"Next wave","Long list")))</f>
        <v>Lead</v>
      </c>
      <c r="AE219" s="5" t="str">
        <f aca="false">IF(AND(K219+L219=0,M219&gt;0),"Safety upgrade of existing prefilled syringe",IF(K219+L219+M219=0,"Confirm presentation (not stated in source)",IF(AA219="Yes","Differentiation in crowded generic market","Safety-device mandate compliance")))</f>
        <v>Safety-device mandate compliance</v>
      </c>
      <c r="AF219" s="5" t="str">
        <f aca="false">IF(AC219="","",C219&amp;"|"&amp;AC219)</f>
        <v>OneSource Specialty Pharma|4</v>
      </c>
    </row>
    <row r="220" customFormat="false" ht="15" hidden="false" customHeight="false" outlineLevel="0" collapsed="false">
      <c r="A220" s="5" t="n">
        <f aca="false">IF(ISNUMBER(U220),RANK(U220,$U$5:$U$337),"")</f>
        <v>215</v>
      </c>
      <c r="B220" s="5" t="s">
        <v>152</v>
      </c>
      <c r="C220" s="5" t="s">
        <v>47</v>
      </c>
      <c r="D220" s="5" t="str">
        <f aca="false">INDEX('API Data'!$B$2:$B$152,MATCH(B220,'API Data'!$A$2:$A$152,0))</f>
        <v>Critical care – opioid overdose reversal</v>
      </c>
      <c r="E220" s="5" t="n">
        <f aca="false">COUNTIFS('Market Listing'!$A$2:$A$4054,B220,'Market Listing'!$B$2:$B$4054,C220)</f>
        <v>2</v>
      </c>
      <c r="F220" s="5" t="n">
        <f aca="false">COUNTIFS('Market Listing'!$A$2:$A$4054,B220,'Market Listing'!$B$2:$B$4054,C220,'Market Listing'!$D$2:$D$4054,"Tier 1")</f>
        <v>2</v>
      </c>
      <c r="G220" s="5" t="n">
        <f aca="false">COUNTIFS('Market Listing'!$A$2:$A$4054,B220,'Market Listing'!$B$2:$B$4054,C220,'Market Listing'!$D$2:$D$4054,"Tier 2")</f>
        <v>0</v>
      </c>
      <c r="H220" s="5" t="n">
        <f aca="false">COUNTIFS('Market Listing'!$A$2:$A$4054,B220,'Market Listing'!$B$2:$B$4054,C220,'Market Listing'!$D$2:$D$4054,"Tier 3")</f>
        <v>0</v>
      </c>
      <c r="I220" s="5" t="n">
        <f aca="false">SUMIFS('Market Listing'!$E$2:$E$4054,'Market Listing'!$A$2:$A$4054,B220,'Market Listing'!$B$2:$B$4054,C220)</f>
        <v>6</v>
      </c>
      <c r="J220" s="5" t="n">
        <f aca="false">COUNTIFS('Product Rows'!$A$2:$A$696,B220,'Product Rows'!$B$2:$B$696,C220)</f>
        <v>3</v>
      </c>
      <c r="K220" s="5" t="n">
        <f aca="false">COUNTIFS('Product Rows'!$A$2:$A$696,B220,'Product Rows'!$B$2:$B$696,C220,'Product Rows'!$G$2:$G$696,"Vial")</f>
        <v>2</v>
      </c>
      <c r="L220" s="5" t="n">
        <f aca="false">COUNTIFS('Product Rows'!$A$2:$A$696,B220,'Product Rows'!$B$2:$B$696,C220,'Product Rows'!$G$2:$G$696,"Ampoule")</f>
        <v>0</v>
      </c>
      <c r="M220" s="5" t="n">
        <f aca="false">COUNTIFS('Product Rows'!$A$2:$A$696,B220,'Product Rows'!$B$2:$B$696,C220,'Product Rows'!$G$2:$G$696,"Prefilled syringe/pen")</f>
        <v>1</v>
      </c>
      <c r="N220" s="6" t="n">
        <f aca="false">IFERROR(AVERAGEIFS('Product Rows'!$H$2:$H$696,'Product Rows'!$A$2:$A$696,B220,'Product Rows'!$B$2:$B$696,C220),"")</f>
        <v>51.3225</v>
      </c>
      <c r="O220" s="7" t="n">
        <f aca="false">INDEX('API Data'!$E$2:$E$152,MATCH(B220,'API Data'!$A$2:$A$152,0))</f>
        <v>1437.88338154726</v>
      </c>
      <c r="P220" s="5" t="n">
        <f aca="false">COUNTIF($B$5:$B$337,B220)</f>
        <v>3</v>
      </c>
      <c r="Q220" s="8" t="n">
        <f aca="false">IF(ISNUMBER(I220),PERCENTRANK($I$5:$I$337,I220),"")</f>
        <v>0.551</v>
      </c>
      <c r="R220" s="8" t="n">
        <f aca="false">IF(ISNUMBER(N220),PERCENTRANK($N$5:$N$337,N220),"")</f>
        <v>0.606</v>
      </c>
      <c r="S220" s="8" t="n">
        <f aca="false">IF(ISNUMBER(O220),PERCENTRANK($O$5:$O$337,O220),"")</f>
        <v>0.208</v>
      </c>
      <c r="T220" s="8" t="n">
        <f aca="false">IF(ISNUMBER(P220),PERCENTRANK($P$5:$P$337,P220),"")</f>
        <v>0.416</v>
      </c>
      <c r="U220" s="9" t="n">
        <f aca="false">IF((IF(ISNUMBER(Q220),Inputs!$B$4,0)+IF(ISNUMBER(R220),Inputs!$B$5,0)+IF(ISNUMBER(S220),Inputs!$B$6,0)+IF(ISNUMBER(T220),Inputs!$B$7,0))=0,"",(IF(ISNUMBER(Q220),Inputs!$B$4*Q220,0)+IF(ISNUMBER(R220),Inputs!$B$5*R220,0)+IF(ISNUMBER(S220),Inputs!$B$6*S220,0)+IF(ISNUMBER(T220),Inputs!$B$7*T220,0))/(IF(ISNUMBER(Q220),Inputs!$B$4,0)+IF(ISNUMBER(R220),Inputs!$B$5,0)+IF(ISNUMBER(S220),Inputs!$B$6,0)+IF(ISNUMBER(T220),Inputs!$B$7,0)))</f>
        <v>0.407</v>
      </c>
      <c r="V220" s="5" t="str">
        <f aca="false">IF(F220&gt;0,"Yes","No")</f>
        <v>Yes</v>
      </c>
      <c r="W220" s="5" t="str">
        <f aca="false">IF(ISNUMBER(N220),IF(N220&gt;=Inputs!$D$18,"Yes","No"),"No price")</f>
        <v>Yes</v>
      </c>
      <c r="X220" s="5" t="str">
        <f aca="false">IF(K220+L220&gt;0,"Yes",IF(M220&gt;0,"No","Unclear"))</f>
        <v>Yes</v>
      </c>
      <c r="Y220" s="5" t="str">
        <f aca="false">INDEX('API Data'!$H$2:$H$152,MATCH(B220,'API Data'!$A$2:$A$152,0))</f>
        <v>No</v>
      </c>
      <c r="Z220" s="5" t="str">
        <f aca="false">IF(COUNTIFS('Product Rows'!$A$2:$A$696,B220,'Product Rows'!$B$2:$B$696,C220,'Product Rows'!$I$2:$I$696,"Yes")&gt;0,"Yes","No")</f>
        <v>No</v>
      </c>
      <c r="AA220" s="5" t="str">
        <f aca="false">IF(P220&gt;=Inputs!$D$22,"Yes","No")</f>
        <v>Yes</v>
      </c>
      <c r="AB220" s="10" t="b">
        <f aca="false">AND(OR(Inputs!$B$17&lt;&gt;"Exclude",V220="Yes"),OR(Inputs!$B$18&lt;&gt;"Exclude",W220&lt;&gt;"No"),OR(Inputs!$B$19&lt;&gt;"Exclude",X220&lt;&gt;"No"),OR(Inputs!$B$20&lt;&gt;"Exclude",Y220="No"),OR(Inputs!$B$21&lt;&gt;"Exclude",Z220="No"),OR(Inputs!$B$22&lt;&gt;"Exclude",AA220="Yes"),ISNUMBER(U220))</f>
        <v>1</v>
      </c>
      <c r="AC220" s="5" t="n">
        <f aca="false">IF(AB220,COUNTIFS($C$5:$C$337,C220,$AB$5:$AB$337,TRUE(),$U$5:$U$337,"&gt;"&amp;U220)+COUNTIFS($C$5:C220,C220,$AB$5:AB220,TRUE(),$U$5:U220,U220),"")</f>
        <v>35</v>
      </c>
      <c r="AD220" s="5" t="str">
        <f aca="false">IF(AC220="","Not eligible",IF(AC220&lt;=Inputs!$B$25,"Lead",IF(AC220&lt;=Inputs!$B$25+Inputs!$B$26,"Next wave","Long list")))</f>
        <v>Long list</v>
      </c>
      <c r="AE220" s="5" t="str">
        <f aca="false">IF(AND(K220+L220=0,M220&gt;0),"Safety upgrade of existing prefilled syringe",IF(K220+L220+M220=0,"Confirm presentation (not stated in source)",IF(AA220="Yes","Differentiation in crowded generic market","Safety-device mandate compliance")))</f>
        <v>Differentiation in crowded generic market</v>
      </c>
      <c r="AF220" s="5" t="str">
        <f aca="false">IF(AC220="","",C220&amp;"|"&amp;AC220)</f>
        <v>Aurobindo Pharma|35</v>
      </c>
    </row>
    <row r="221" customFormat="false" ht="15" hidden="false" customHeight="false" outlineLevel="0" collapsed="false">
      <c r="A221" s="5" t="n">
        <f aca="false">IF(ISNUMBER(U221),RANK(U221,$U$5:$U$337),"")</f>
        <v>306</v>
      </c>
      <c r="B221" s="5" t="s">
        <v>152</v>
      </c>
      <c r="C221" s="5" t="s">
        <v>55</v>
      </c>
      <c r="D221" s="5" t="str">
        <f aca="false">INDEX('API Data'!$B$2:$B$152,MATCH(B221,'API Data'!$A$2:$A$152,0))</f>
        <v>Critical care – opioid overdose reversal</v>
      </c>
      <c r="E221" s="5" t="n">
        <f aca="false">COUNTIFS('Market Listing'!$A$2:$A$4054,B221,'Market Listing'!$B$2:$B$4054,C221)</f>
        <v>1</v>
      </c>
      <c r="F221" s="5" t="n">
        <f aca="false">COUNTIFS('Market Listing'!$A$2:$A$4054,B221,'Market Listing'!$B$2:$B$4054,C221,'Market Listing'!$D$2:$D$4054,"Tier 1")</f>
        <v>1</v>
      </c>
      <c r="G221" s="5" t="n">
        <f aca="false">COUNTIFS('Market Listing'!$A$2:$A$4054,B221,'Market Listing'!$B$2:$B$4054,C221,'Market Listing'!$D$2:$D$4054,"Tier 2")</f>
        <v>0</v>
      </c>
      <c r="H221" s="5" t="n">
        <f aca="false">COUNTIFS('Market Listing'!$A$2:$A$4054,B221,'Market Listing'!$B$2:$B$4054,C221,'Market Listing'!$D$2:$D$4054,"Tier 3")</f>
        <v>0</v>
      </c>
      <c r="I221" s="5" t="n">
        <f aca="false">SUMIFS('Market Listing'!$E$2:$E$4054,'Market Listing'!$A$2:$A$4054,B221,'Market Listing'!$B$2:$B$4054,C221)</f>
        <v>3</v>
      </c>
      <c r="J221" s="5" t="n">
        <f aca="false">COUNTIFS('Product Rows'!$A$2:$A$696,B221,'Product Rows'!$B$2:$B$696,C221)</f>
        <v>1</v>
      </c>
      <c r="K221" s="5" t="n">
        <f aca="false">COUNTIFS('Product Rows'!$A$2:$A$696,B221,'Product Rows'!$B$2:$B$696,C221,'Product Rows'!$G$2:$G$696,"Vial")</f>
        <v>0</v>
      </c>
      <c r="L221" s="5" t="n">
        <f aca="false">COUNTIFS('Product Rows'!$A$2:$A$696,B221,'Product Rows'!$B$2:$B$696,C221,'Product Rows'!$G$2:$G$696,"Ampoule")</f>
        <v>0</v>
      </c>
      <c r="M221" s="5" t="n">
        <f aca="false">COUNTIFS('Product Rows'!$A$2:$A$696,B221,'Product Rows'!$B$2:$B$696,C221,'Product Rows'!$G$2:$G$696,"Prefilled syringe/pen")</f>
        <v>1</v>
      </c>
      <c r="N221" s="6" t="str">
        <f aca="false">IFERROR(AVERAGEIFS('Product Rows'!$H$2:$H$696,'Product Rows'!$A$2:$A$696,B221,'Product Rows'!$B$2:$B$696,C221),"")</f>
        <v/>
      </c>
      <c r="O221" s="7" t="n">
        <f aca="false">INDEX('API Data'!$E$2:$E$152,MATCH(B221,'API Data'!$A$2:$A$152,0))</f>
        <v>1437.88338154726</v>
      </c>
      <c r="P221" s="5" t="n">
        <f aca="false">COUNTIF($B$5:$B$337,B221)</f>
        <v>3</v>
      </c>
      <c r="Q221" s="8" t="n">
        <f aca="false">IF(ISNUMBER(I221),PERCENTRANK($I$5:$I$337,I221),"")</f>
        <v>0.157</v>
      </c>
      <c r="R221" s="8" t="str">
        <f aca="false">IF(ISNUMBER(N221),PERCENTRANK($N$5:$N$337,N221),"")</f>
        <v/>
      </c>
      <c r="S221" s="8" t="n">
        <f aca="false">IF(ISNUMBER(O221),PERCENTRANK($O$5:$O$337,O221),"")</f>
        <v>0.208</v>
      </c>
      <c r="T221" s="8" t="n">
        <f aca="false">IF(ISNUMBER(P221),PERCENTRANK($P$5:$P$337,P221),"")</f>
        <v>0.416</v>
      </c>
      <c r="U221" s="9" t="n">
        <f aca="false">IF((IF(ISNUMBER(Q221),Inputs!$B$4,0)+IF(ISNUMBER(R221),Inputs!$B$5,0)+IF(ISNUMBER(S221),Inputs!$B$6,0)+IF(ISNUMBER(T221),Inputs!$B$7,0))=0,"",(IF(ISNUMBER(Q221),Inputs!$B$4*Q221,0)+IF(ISNUMBER(R221),Inputs!$B$5*R221,0)+IF(ISNUMBER(S221),Inputs!$B$6*S221,0)+IF(ISNUMBER(T221),Inputs!$B$7*T221,0))/(IF(ISNUMBER(Q221),Inputs!$B$4,0)+IF(ISNUMBER(R221),Inputs!$B$5,0)+IF(ISNUMBER(S221),Inputs!$B$6,0)+IF(ISNUMBER(T221),Inputs!$B$7,0)))</f>
        <v>0.208</v>
      </c>
      <c r="V221" s="5" t="str">
        <f aca="false">IF(F221&gt;0,"Yes","No")</f>
        <v>Yes</v>
      </c>
      <c r="W221" s="5" t="str">
        <f aca="false">IF(ISNUMBER(N221),IF(N221&gt;=Inputs!$D$18,"Yes","No"),"No price")</f>
        <v>No price</v>
      </c>
      <c r="X221" s="5" t="str">
        <f aca="false">IF(K221+L221&gt;0,"Yes",IF(M221&gt;0,"No","Unclear"))</f>
        <v>No</v>
      </c>
      <c r="Y221" s="5" t="str">
        <f aca="false">INDEX('API Data'!$H$2:$H$152,MATCH(B221,'API Data'!$A$2:$A$152,0))</f>
        <v>No</v>
      </c>
      <c r="Z221" s="5" t="str">
        <f aca="false">IF(COUNTIFS('Product Rows'!$A$2:$A$696,B221,'Product Rows'!$B$2:$B$696,C221,'Product Rows'!$I$2:$I$696,"Yes")&gt;0,"Yes","No")</f>
        <v>No</v>
      </c>
      <c r="AA221" s="5" t="str">
        <f aca="false">IF(P221&gt;=Inputs!$D$22,"Yes","No")</f>
        <v>Yes</v>
      </c>
      <c r="AB221" s="10" t="b">
        <f aca="false">AND(OR(Inputs!$B$17&lt;&gt;"Exclude",V221="Yes"),OR(Inputs!$B$18&lt;&gt;"Exclude",W221&lt;&gt;"No"),OR(Inputs!$B$19&lt;&gt;"Exclude",X221&lt;&gt;"No"),OR(Inputs!$B$20&lt;&gt;"Exclude",Y221="No"),OR(Inputs!$B$21&lt;&gt;"Exclude",Z221="No"),OR(Inputs!$B$22&lt;&gt;"Exclude",AA221="Yes"),ISNUMBER(U221))</f>
        <v>1</v>
      </c>
      <c r="AC221" s="5" t="n">
        <f aca="false">IF(AB221,COUNTIFS($C$5:$C$337,C221,$AB$5:$AB$337,TRUE(),$U$5:$U$337,"&gt;"&amp;U221)+COUNTIFS($C$5:C221,C221,$AB$5:AB221,TRUE(),$U$5:U221,U221),"")</f>
        <v>21</v>
      </c>
      <c r="AD221" s="5" t="str">
        <f aca="false">IF(AC221="","Not eligible",IF(AC221&lt;=Inputs!$B$25,"Lead",IF(AC221&lt;=Inputs!$B$25+Inputs!$B$26,"Next wave","Long list")))</f>
        <v>Long list</v>
      </c>
      <c r="AE221" s="5" t="str">
        <f aca="false">IF(AND(K221+L221=0,M221&gt;0),"Safety upgrade of existing prefilled syringe",IF(K221+L221+M221=0,"Confirm presentation (not stated in source)",IF(AA221="Yes","Differentiation in crowded generic market","Safety-device mandate compliance")))</f>
        <v>Safety upgrade of existing prefilled syringe</v>
      </c>
      <c r="AF221" s="5" t="str">
        <f aca="false">IF(AC221="","",C221&amp;"|"&amp;AC221)</f>
        <v>Dr. Reddy's Laboratories|21</v>
      </c>
    </row>
    <row r="222" customFormat="false" ht="15" hidden="false" customHeight="false" outlineLevel="0" collapsed="false">
      <c r="A222" s="5" t="n">
        <f aca="false">IF(ISNUMBER(U222),RANK(U222,$U$5:$U$337),"")</f>
        <v>327</v>
      </c>
      <c r="B222" s="5" t="s">
        <v>152</v>
      </c>
      <c r="C222" s="5" t="s">
        <v>44</v>
      </c>
      <c r="D222" s="5" t="str">
        <f aca="false">INDEX('API Data'!$B$2:$B$152,MATCH(B222,'API Data'!$A$2:$A$152,0))</f>
        <v>Critical care – opioid overdose reversal</v>
      </c>
      <c r="E222" s="5" t="n">
        <f aca="false">COUNTIFS('Market Listing'!$A$2:$A$4054,B222,'Market Listing'!$B$2:$B$4054,C222)</f>
        <v>2</v>
      </c>
      <c r="F222" s="5" t="n">
        <f aca="false">COUNTIFS('Market Listing'!$A$2:$A$4054,B222,'Market Listing'!$B$2:$B$4054,C222,'Market Listing'!$D$2:$D$4054,"Tier 1")</f>
        <v>2</v>
      </c>
      <c r="G222" s="5" t="n">
        <f aca="false">COUNTIFS('Market Listing'!$A$2:$A$4054,B222,'Market Listing'!$B$2:$B$4054,C222,'Market Listing'!$D$2:$D$4054,"Tier 2")</f>
        <v>0</v>
      </c>
      <c r="H222" s="5" t="n">
        <f aca="false">COUNTIFS('Market Listing'!$A$2:$A$4054,B222,'Market Listing'!$B$2:$B$4054,C222,'Market Listing'!$D$2:$D$4054,"Tier 3")</f>
        <v>0</v>
      </c>
      <c r="I222" s="5" t="n">
        <f aca="false">SUMIFS('Market Listing'!$E$2:$E$4054,'Market Listing'!$A$2:$A$4054,B222,'Market Listing'!$B$2:$B$4054,C222)</f>
        <v>6</v>
      </c>
      <c r="J222" s="5" t="n">
        <f aca="false">COUNTIFS('Product Rows'!$A$2:$A$696,B222,'Product Rows'!$B$2:$B$696,C222)</f>
        <v>3</v>
      </c>
      <c r="K222" s="5" t="n">
        <f aca="false">COUNTIFS('Product Rows'!$A$2:$A$696,B222,'Product Rows'!$B$2:$B$696,C222,'Product Rows'!$G$2:$G$696,"Vial")</f>
        <v>0</v>
      </c>
      <c r="L222" s="5" t="n">
        <f aca="false">COUNTIFS('Product Rows'!$A$2:$A$696,B222,'Product Rows'!$B$2:$B$696,C222,'Product Rows'!$G$2:$G$696,"Ampoule")</f>
        <v>0</v>
      </c>
      <c r="M222" s="5" t="n">
        <f aca="false">COUNTIFS('Product Rows'!$A$2:$A$696,B222,'Product Rows'!$B$2:$B$696,C222,'Product Rows'!$G$2:$G$696,"Prefilled syringe/pen")</f>
        <v>1</v>
      </c>
      <c r="N222" s="6" t="n">
        <f aca="false">IFERROR(AVERAGEIFS('Product Rows'!$H$2:$H$696,'Product Rows'!$A$2:$A$696,B222,'Product Rows'!$B$2:$B$696,C222),"")</f>
        <v>5.42</v>
      </c>
      <c r="O222" s="7" t="n">
        <f aca="false">INDEX('API Data'!$E$2:$E$152,MATCH(B222,'API Data'!$A$2:$A$152,0))</f>
        <v>1437.88338154726</v>
      </c>
      <c r="P222" s="5" t="n">
        <f aca="false">COUNTIF($B$5:$B$337,B222)</f>
        <v>3</v>
      </c>
      <c r="Q222" s="8" t="n">
        <f aca="false">IF(ISNUMBER(I222),PERCENTRANK($I$5:$I$337,I222),"")</f>
        <v>0.551</v>
      </c>
      <c r="R222" s="8" t="n">
        <f aca="false">IF(ISNUMBER(N222),PERCENTRANK($N$5:$N$337,N222),"")</f>
        <v>0.0215</v>
      </c>
      <c r="S222" s="8" t="n">
        <f aca="false">IF(ISNUMBER(O222),PERCENTRANK($O$5:$O$337,O222),"")</f>
        <v>0.208</v>
      </c>
      <c r="T222" s="8" t="n">
        <f aca="false">IF(ISNUMBER(P222),PERCENTRANK($P$5:$P$337,P222),"")</f>
        <v>0.416</v>
      </c>
      <c r="U222" s="9" t="n">
        <f aca="false">IF((IF(ISNUMBER(Q222),Inputs!$B$4,0)+IF(ISNUMBER(R222),Inputs!$B$5,0)+IF(ISNUMBER(S222),Inputs!$B$6,0)+IF(ISNUMBER(T222),Inputs!$B$7,0))=0,"",(IF(ISNUMBER(Q222),Inputs!$B$4*Q222,0)+IF(ISNUMBER(R222),Inputs!$B$5*R222,0)+IF(ISNUMBER(S222),Inputs!$B$6*S222,0)+IF(ISNUMBER(T222),Inputs!$B$7*T222,0))/(IF(ISNUMBER(Q222),Inputs!$B$4,0)+IF(ISNUMBER(R222),Inputs!$B$5,0)+IF(ISNUMBER(S222),Inputs!$B$6,0)+IF(ISNUMBER(T222),Inputs!$B$7,0)))</f>
        <v>0.11475</v>
      </c>
      <c r="V222" s="5" t="str">
        <f aca="false">IF(F222&gt;0,"Yes","No")</f>
        <v>Yes</v>
      </c>
      <c r="W222" s="5" t="str">
        <f aca="false">IF(ISNUMBER(N222),IF(N222&gt;=Inputs!$D$18,"Yes","No"),"No price")</f>
        <v>Yes</v>
      </c>
      <c r="X222" s="5" t="str">
        <f aca="false">IF(K222+L222&gt;0,"Yes",IF(M222&gt;0,"No","Unclear"))</f>
        <v>No</v>
      </c>
      <c r="Y222" s="5" t="str">
        <f aca="false">INDEX('API Data'!$H$2:$H$152,MATCH(B222,'API Data'!$A$2:$A$152,0))</f>
        <v>No</v>
      </c>
      <c r="Z222" s="5" t="str">
        <f aca="false">IF(COUNTIFS('Product Rows'!$A$2:$A$696,B222,'Product Rows'!$B$2:$B$696,C222,'Product Rows'!$I$2:$I$696,"Yes")&gt;0,"Yes","No")</f>
        <v>No</v>
      </c>
      <c r="AA222" s="5" t="str">
        <f aca="false">IF(P222&gt;=Inputs!$D$22,"Yes","No")</f>
        <v>Yes</v>
      </c>
      <c r="AB222" s="10" t="b">
        <f aca="false">AND(OR(Inputs!$B$17&lt;&gt;"Exclude",V222="Yes"),OR(Inputs!$B$18&lt;&gt;"Exclude",W222&lt;&gt;"No"),OR(Inputs!$B$19&lt;&gt;"Exclude",X222&lt;&gt;"No"),OR(Inputs!$B$20&lt;&gt;"Exclude",Y222="No"),OR(Inputs!$B$21&lt;&gt;"Exclude",Z222="No"),OR(Inputs!$B$22&lt;&gt;"Exclude",AA222="Yes"),ISNUMBER(U222))</f>
        <v>1</v>
      </c>
      <c r="AC222" s="5" t="n">
        <f aca="false">IF(AB222,COUNTIFS($C$5:$C$337,C222,$AB$5:$AB$337,TRUE(),$U$5:$U$337,"&gt;"&amp;U222)+COUNTIFS($C$5:C222,C222,$AB$5:AB222,TRUE(),$U$5:U222,U222),"")</f>
        <v>53</v>
      </c>
      <c r="AD222" s="5" t="str">
        <f aca="false">IF(AC222="","Not eligible",IF(AC222&lt;=Inputs!$B$25,"Lead",IF(AC222&lt;=Inputs!$B$25+Inputs!$B$26,"Next wave","Long list")))</f>
        <v>Long list</v>
      </c>
      <c r="AE222" s="5" t="str">
        <f aca="false">IF(AND(K222+L222=0,M222&gt;0),"Safety upgrade of existing prefilled syringe",IF(K222+L222+M222=0,"Confirm presentation (not stated in source)",IF(AA222="Yes","Differentiation in crowded generic market","Safety-device mandate compliance")))</f>
        <v>Safety upgrade of existing prefilled syringe</v>
      </c>
      <c r="AF222" s="5" t="str">
        <f aca="false">IF(AC222="","",C222&amp;"|"&amp;AC222)</f>
        <v>Intas Pharmaceuticals|53</v>
      </c>
    </row>
    <row r="223" customFormat="false" ht="15" hidden="false" customHeight="false" outlineLevel="0" collapsed="false">
      <c r="A223" s="5" t="n">
        <f aca="false">IF(ISNUMBER(U223),RANK(U223,$U$5:$U$337),"")</f>
        <v>271</v>
      </c>
      <c r="B223" s="5" t="s">
        <v>153</v>
      </c>
      <c r="C223" s="5" t="s">
        <v>55</v>
      </c>
      <c r="D223" s="5" t="str">
        <f aca="false">INDEX('API Data'!$B$2:$B$152,MATCH(B223,'API Data'!$A$2:$A$152,0))</f>
        <v>Anaesthesia – reversal of muscle relaxants after surgery</v>
      </c>
      <c r="E223" s="5" t="n">
        <f aca="false">COUNTIFS('Market Listing'!$A$2:$A$4054,B223,'Market Listing'!$B$2:$B$4054,C223)</f>
        <v>1</v>
      </c>
      <c r="F223" s="5" t="n">
        <f aca="false">COUNTIFS('Market Listing'!$A$2:$A$4054,B223,'Market Listing'!$B$2:$B$4054,C223,'Market Listing'!$D$2:$D$4054,"Tier 1")</f>
        <v>1</v>
      </c>
      <c r="G223" s="5" t="n">
        <f aca="false">COUNTIFS('Market Listing'!$A$2:$A$4054,B223,'Market Listing'!$B$2:$B$4054,C223,'Market Listing'!$D$2:$D$4054,"Tier 2")</f>
        <v>0</v>
      </c>
      <c r="H223" s="5" t="n">
        <f aca="false">COUNTIFS('Market Listing'!$A$2:$A$4054,B223,'Market Listing'!$B$2:$B$4054,C223,'Market Listing'!$D$2:$D$4054,"Tier 3")</f>
        <v>0</v>
      </c>
      <c r="I223" s="5" t="n">
        <f aca="false">SUMIFS('Market Listing'!$E$2:$E$4054,'Market Listing'!$A$2:$A$4054,B223,'Market Listing'!$B$2:$B$4054,C223)</f>
        <v>3</v>
      </c>
      <c r="J223" s="5" t="n">
        <f aca="false">COUNTIFS('Product Rows'!$A$2:$A$696,B223,'Product Rows'!$B$2:$B$696,C223)</f>
        <v>3</v>
      </c>
      <c r="K223" s="5" t="n">
        <f aca="false">COUNTIFS('Product Rows'!$A$2:$A$696,B223,'Product Rows'!$B$2:$B$696,C223,'Product Rows'!$G$2:$G$696,"Vial")</f>
        <v>2</v>
      </c>
      <c r="L223" s="5" t="n">
        <f aca="false">COUNTIFS('Product Rows'!$A$2:$A$696,B223,'Product Rows'!$B$2:$B$696,C223,'Product Rows'!$G$2:$G$696,"Ampoule")</f>
        <v>0</v>
      </c>
      <c r="M223" s="5" t="n">
        <f aca="false">COUNTIFS('Product Rows'!$A$2:$A$696,B223,'Product Rows'!$B$2:$B$696,C223,'Product Rows'!$G$2:$G$696,"Prefilled syringe/pen")</f>
        <v>1</v>
      </c>
      <c r="N223" s="6" t="n">
        <f aca="false">IFERROR(AVERAGEIFS('Product Rows'!$H$2:$H$696,'Product Rows'!$A$2:$A$696,B223,'Product Rows'!$B$2:$B$696,C223),"")</f>
        <v>17.7933333333333</v>
      </c>
      <c r="O223" s="7" t="n">
        <f aca="false">INDEX('API Data'!$E$2:$E$152,MATCH(B223,'API Data'!$A$2:$A$152,0))</f>
        <v>1830.45843406593</v>
      </c>
      <c r="P223" s="5" t="n">
        <f aca="false">COUNTIF($B$5:$B$337,B223)</f>
        <v>2</v>
      </c>
      <c r="Q223" s="8" t="n">
        <f aca="false">IF(ISNUMBER(I223),PERCENTRANK($I$5:$I$337,I223),"")</f>
        <v>0.157</v>
      </c>
      <c r="R223" s="8" t="n">
        <f aca="false">IF(ISNUMBER(N223),PERCENTRANK($N$5:$N$337,N223),"")</f>
        <v>0.337</v>
      </c>
      <c r="S223" s="8" t="n">
        <f aca="false">IF(ISNUMBER(O223),PERCENTRANK($O$5:$O$337,O223),"")</f>
        <v>0.235</v>
      </c>
      <c r="T223" s="8" t="n">
        <f aca="false">IF(ISNUMBER(P223),PERCENTRANK($P$5:$P$337,P223),"")</f>
        <v>0.235</v>
      </c>
      <c r="U223" s="9" t="n">
        <f aca="false">IF((IF(ISNUMBER(Q223),Inputs!$B$4,0)+IF(ISNUMBER(R223),Inputs!$B$5,0)+IF(ISNUMBER(S223),Inputs!$B$6,0)+IF(ISNUMBER(T223),Inputs!$B$7,0))=0,"",(IF(ISNUMBER(Q223),Inputs!$B$4*Q223,0)+IF(ISNUMBER(R223),Inputs!$B$5*R223,0)+IF(ISNUMBER(S223),Inputs!$B$6*S223,0)+IF(ISNUMBER(T223),Inputs!$B$7*T223,0))/(IF(ISNUMBER(Q223),Inputs!$B$4,0)+IF(ISNUMBER(R223),Inputs!$B$5,0)+IF(ISNUMBER(S223),Inputs!$B$6,0)+IF(ISNUMBER(T223),Inputs!$B$7,0)))</f>
        <v>0.286</v>
      </c>
      <c r="V223" s="5" t="str">
        <f aca="false">IF(F223&gt;0,"Yes","No")</f>
        <v>Yes</v>
      </c>
      <c r="W223" s="5" t="str">
        <f aca="false">IF(ISNUMBER(N223),IF(N223&gt;=Inputs!$D$18,"Yes","No"),"No price")</f>
        <v>Yes</v>
      </c>
      <c r="X223" s="5" t="str">
        <f aca="false">IF(K223+L223&gt;0,"Yes",IF(M223&gt;0,"No","Unclear"))</f>
        <v>Yes</v>
      </c>
      <c r="Y223" s="5" t="str">
        <f aca="false">INDEX('API Data'!$H$2:$H$152,MATCH(B223,'API Data'!$A$2:$A$152,0))</f>
        <v>No</v>
      </c>
      <c r="Z223" s="5" t="str">
        <f aca="false">IF(COUNTIFS('Product Rows'!$A$2:$A$696,B223,'Product Rows'!$B$2:$B$696,C223,'Product Rows'!$I$2:$I$696,"Yes")&gt;0,"Yes","No")</f>
        <v>No</v>
      </c>
      <c r="AA223" s="5" t="str">
        <f aca="false">IF(P223&gt;=Inputs!$D$22,"Yes","No")</f>
        <v>No</v>
      </c>
      <c r="AB223" s="10" t="b">
        <f aca="false">AND(OR(Inputs!$B$17&lt;&gt;"Exclude",V223="Yes"),OR(Inputs!$B$18&lt;&gt;"Exclude",W223&lt;&gt;"No"),OR(Inputs!$B$19&lt;&gt;"Exclude",X223&lt;&gt;"No"),OR(Inputs!$B$20&lt;&gt;"Exclude",Y223="No"),OR(Inputs!$B$21&lt;&gt;"Exclude",Z223="No"),OR(Inputs!$B$22&lt;&gt;"Exclude",AA223="Yes"),ISNUMBER(U223))</f>
        <v>1</v>
      </c>
      <c r="AC223" s="5" t="n">
        <f aca="false">IF(AB223,COUNTIFS($C$5:$C$337,C223,$AB$5:$AB$337,TRUE(),$U$5:$U$337,"&gt;"&amp;U223)+COUNTIFS($C$5:C223,C223,$AB$5:AB223,TRUE(),$U$5:U223,U223),"")</f>
        <v>19</v>
      </c>
      <c r="AD223" s="5" t="str">
        <f aca="false">IF(AC223="","Not eligible",IF(AC223&lt;=Inputs!$B$25,"Lead",IF(AC223&lt;=Inputs!$B$25+Inputs!$B$26,"Next wave","Long list")))</f>
        <v>Long list</v>
      </c>
      <c r="AE223" s="5" t="str">
        <f aca="false">IF(AND(K223+L223=0,M223&gt;0),"Safety upgrade of existing prefilled syringe",IF(K223+L223+M223=0,"Confirm presentation (not stated in source)",IF(AA223="Yes","Differentiation in crowded generic market","Safety-device mandate compliance")))</f>
        <v>Safety-device mandate compliance</v>
      </c>
      <c r="AF223" s="5" t="str">
        <f aca="false">IF(AC223="","",C223&amp;"|"&amp;AC223)</f>
        <v>Dr. Reddy's Laboratories|19</v>
      </c>
    </row>
    <row r="224" customFormat="false" ht="15" hidden="false" customHeight="false" outlineLevel="0" collapsed="false">
      <c r="A224" s="5" t="n">
        <f aca="false">IF(ISNUMBER(U224),RANK(U224,$U$5:$U$337),"")</f>
        <v>310</v>
      </c>
      <c r="B224" s="5" t="s">
        <v>153</v>
      </c>
      <c r="C224" s="5" t="s">
        <v>35</v>
      </c>
      <c r="D224" s="5" t="str">
        <f aca="false">INDEX('API Data'!$B$2:$B$152,MATCH(B224,'API Data'!$A$2:$A$152,0))</f>
        <v>Anaesthesia – reversal of muscle relaxants after surgery</v>
      </c>
      <c r="E224" s="5" t="n">
        <f aca="false">COUNTIFS('Market Listing'!$A$2:$A$4054,B224,'Market Listing'!$B$2:$B$4054,C224)</f>
        <v>1</v>
      </c>
      <c r="F224" s="5" t="n">
        <f aca="false">COUNTIFS('Market Listing'!$A$2:$A$4054,B224,'Market Listing'!$B$2:$B$4054,C224,'Market Listing'!$D$2:$D$4054,"Tier 1")</f>
        <v>1</v>
      </c>
      <c r="G224" s="5" t="n">
        <f aca="false">COUNTIFS('Market Listing'!$A$2:$A$4054,B224,'Market Listing'!$B$2:$B$4054,C224,'Market Listing'!$D$2:$D$4054,"Tier 2")</f>
        <v>0</v>
      </c>
      <c r="H224" s="5" t="n">
        <f aca="false">COUNTIFS('Market Listing'!$A$2:$A$4054,B224,'Market Listing'!$B$2:$B$4054,C224,'Market Listing'!$D$2:$D$4054,"Tier 3")</f>
        <v>0</v>
      </c>
      <c r="I224" s="5" t="n">
        <f aca="false">SUMIFS('Market Listing'!$E$2:$E$4054,'Market Listing'!$A$2:$A$4054,B224,'Market Listing'!$B$2:$B$4054,C224)</f>
        <v>3</v>
      </c>
      <c r="J224" s="5" t="n">
        <f aca="false">COUNTIFS('Product Rows'!$A$2:$A$696,B224,'Product Rows'!$B$2:$B$696,C224)</f>
        <v>2</v>
      </c>
      <c r="K224" s="5" t="n">
        <f aca="false">COUNTIFS('Product Rows'!$A$2:$A$696,B224,'Product Rows'!$B$2:$B$696,C224,'Product Rows'!$G$2:$G$696,"Vial")</f>
        <v>2</v>
      </c>
      <c r="L224" s="5" t="n">
        <f aca="false">COUNTIFS('Product Rows'!$A$2:$A$696,B224,'Product Rows'!$B$2:$B$696,C224,'Product Rows'!$G$2:$G$696,"Ampoule")</f>
        <v>0</v>
      </c>
      <c r="M224" s="5" t="n">
        <f aca="false">COUNTIFS('Product Rows'!$A$2:$A$696,B224,'Product Rows'!$B$2:$B$696,C224,'Product Rows'!$G$2:$G$696,"Prefilled syringe/pen")</f>
        <v>0</v>
      </c>
      <c r="N224" s="6" t="n">
        <f aca="false">IFERROR(AVERAGEIFS('Product Rows'!$H$2:$H$696,'Product Rows'!$A$2:$A$696,B224,'Product Rows'!$B$2:$B$696,C224),"")</f>
        <v>7.9765</v>
      </c>
      <c r="O224" s="7" t="n">
        <f aca="false">INDEX('API Data'!$E$2:$E$152,MATCH(B224,'API Data'!$A$2:$A$152,0))</f>
        <v>1830.45843406593</v>
      </c>
      <c r="P224" s="5" t="n">
        <f aca="false">COUNTIF($B$5:$B$337,B224)</f>
        <v>2</v>
      </c>
      <c r="Q224" s="8" t="n">
        <f aca="false">IF(ISNUMBER(I224),PERCENTRANK($I$5:$I$337,I224),"")</f>
        <v>0.157</v>
      </c>
      <c r="R224" s="8" t="n">
        <f aca="false">IF(ISNUMBER(N224),PERCENTRANK($N$5:$N$337,N224),"")</f>
        <v>0.151</v>
      </c>
      <c r="S224" s="8" t="n">
        <f aca="false">IF(ISNUMBER(O224),PERCENTRANK($O$5:$O$337,O224),"")</f>
        <v>0.235</v>
      </c>
      <c r="T224" s="8" t="n">
        <f aca="false">IF(ISNUMBER(P224),PERCENTRANK($P$5:$P$337,P224),"")</f>
        <v>0.235</v>
      </c>
      <c r="U224" s="9" t="n">
        <f aca="false">IF((IF(ISNUMBER(Q224),Inputs!$B$4,0)+IF(ISNUMBER(R224),Inputs!$B$5,0)+IF(ISNUMBER(S224),Inputs!$B$6,0)+IF(ISNUMBER(T224),Inputs!$B$7,0))=0,"",(IF(ISNUMBER(Q224),Inputs!$B$4*Q224,0)+IF(ISNUMBER(R224),Inputs!$B$5*R224,0)+IF(ISNUMBER(S224),Inputs!$B$6*S224,0)+IF(ISNUMBER(T224),Inputs!$B$7*T224,0))/(IF(ISNUMBER(Q224),Inputs!$B$4,0)+IF(ISNUMBER(R224),Inputs!$B$5,0)+IF(ISNUMBER(S224),Inputs!$B$6,0)+IF(ISNUMBER(T224),Inputs!$B$7,0)))</f>
        <v>0.193</v>
      </c>
      <c r="V224" s="5" t="str">
        <f aca="false">IF(F224&gt;0,"Yes","No")</f>
        <v>Yes</v>
      </c>
      <c r="W224" s="5" t="str">
        <f aca="false">IF(ISNUMBER(N224),IF(N224&gt;=Inputs!$D$18,"Yes","No"),"No price")</f>
        <v>Yes</v>
      </c>
      <c r="X224" s="5" t="str">
        <f aca="false">IF(K224+L224&gt;0,"Yes",IF(M224&gt;0,"No","Unclear"))</f>
        <v>Yes</v>
      </c>
      <c r="Y224" s="5" t="str">
        <f aca="false">INDEX('API Data'!$H$2:$H$152,MATCH(B224,'API Data'!$A$2:$A$152,0))</f>
        <v>No</v>
      </c>
      <c r="Z224" s="5" t="str">
        <f aca="false">IF(COUNTIFS('Product Rows'!$A$2:$A$696,B224,'Product Rows'!$B$2:$B$696,C224,'Product Rows'!$I$2:$I$696,"Yes")&gt;0,"Yes","No")</f>
        <v>No</v>
      </c>
      <c r="AA224" s="5" t="str">
        <f aca="false">IF(P224&gt;=Inputs!$D$22,"Yes","No")</f>
        <v>No</v>
      </c>
      <c r="AB224" s="10" t="b">
        <f aca="false">AND(OR(Inputs!$B$17&lt;&gt;"Exclude",V224="Yes"),OR(Inputs!$B$18&lt;&gt;"Exclude",W224&lt;&gt;"No"),OR(Inputs!$B$19&lt;&gt;"Exclude",X224&lt;&gt;"No"),OR(Inputs!$B$20&lt;&gt;"Exclude",Y224="No"),OR(Inputs!$B$21&lt;&gt;"Exclude",Z224="No"),OR(Inputs!$B$22&lt;&gt;"Exclude",AA224="Yes"),ISNUMBER(U224))</f>
        <v>1</v>
      </c>
      <c r="AC224" s="5" t="n">
        <f aca="false">IF(AB224,COUNTIFS($C$5:$C$337,C224,$AB$5:$AB$337,TRUE(),$U$5:$U$337,"&gt;"&amp;U224)+COUNTIFS($C$5:C224,C224,$AB$5:AB224,TRUE(),$U$5:U224,U224),"")</f>
        <v>20</v>
      </c>
      <c r="AD224" s="5" t="str">
        <f aca="false">IF(AC224="","Not eligible",IF(AC224&lt;=Inputs!$B$25,"Lead",IF(AC224&lt;=Inputs!$B$25+Inputs!$B$26,"Next wave","Long list")))</f>
        <v>Long list</v>
      </c>
      <c r="AE224" s="5" t="str">
        <f aca="false">IF(AND(K224+L224=0,M224&gt;0),"Safety upgrade of existing prefilled syringe",IF(K224+L224+M224=0,"Confirm presentation (not stated in source)",IF(AA224="Yes","Differentiation in crowded generic market","Safety-device mandate compliance")))</f>
        <v>Safety-device mandate compliance</v>
      </c>
      <c r="AF224" s="5" t="str">
        <f aca="false">IF(AC224="","",C224&amp;"|"&amp;AC224)</f>
        <v>Emcure Pharmaceuticals|20</v>
      </c>
    </row>
    <row r="225" customFormat="false" ht="15" hidden="false" customHeight="false" outlineLevel="0" collapsed="false">
      <c r="A225" s="5" t="n">
        <f aca="false">IF(ISNUMBER(U225),RANK(U225,$U$5:$U$337),"")</f>
        <v>166</v>
      </c>
      <c r="B225" s="5" t="s">
        <v>154</v>
      </c>
      <c r="C225" s="5" t="s">
        <v>50</v>
      </c>
      <c r="D225" s="5" t="str">
        <f aca="false">INDEX('API Data'!$B$2:$B$152,MATCH(B225,'API Data'!$A$2:$A$152,0))</f>
        <v>Endocrinology / Oncology – acromegaly; carcinoid &amp; neuroendocrine tumours</v>
      </c>
      <c r="E225" s="5" t="n">
        <f aca="false">COUNTIFS('Market Listing'!$A$2:$A$4054,B225,'Market Listing'!$B$2:$B$4054,C225)</f>
        <v>1</v>
      </c>
      <c r="F225" s="5" t="n">
        <f aca="false">COUNTIFS('Market Listing'!$A$2:$A$4054,B225,'Market Listing'!$B$2:$B$4054,C225,'Market Listing'!$D$2:$D$4054,"Tier 1")</f>
        <v>0</v>
      </c>
      <c r="G225" s="5" t="n">
        <f aca="false">COUNTIFS('Market Listing'!$A$2:$A$4054,B225,'Market Listing'!$B$2:$B$4054,C225,'Market Listing'!$D$2:$D$4054,"Tier 2")</f>
        <v>1</v>
      </c>
      <c r="H225" s="5" t="n">
        <f aca="false">COUNTIFS('Market Listing'!$A$2:$A$4054,B225,'Market Listing'!$B$2:$B$4054,C225,'Market Listing'!$D$2:$D$4054,"Tier 3")</f>
        <v>0</v>
      </c>
      <c r="I225" s="5" t="n">
        <f aca="false">SUMIFS('Market Listing'!$E$2:$E$4054,'Market Listing'!$A$2:$A$4054,B225,'Market Listing'!$B$2:$B$4054,C225)</f>
        <v>2</v>
      </c>
      <c r="J225" s="5" t="n">
        <f aca="false">COUNTIFS('Product Rows'!$A$2:$A$696,B225,'Product Rows'!$B$2:$B$696,C225)</f>
        <v>1</v>
      </c>
      <c r="K225" s="5" t="n">
        <f aca="false">COUNTIFS('Product Rows'!$A$2:$A$696,B225,'Product Rows'!$B$2:$B$696,C225,'Product Rows'!$G$2:$G$696,"Vial")</f>
        <v>0</v>
      </c>
      <c r="L225" s="5" t="n">
        <f aca="false">COUNTIFS('Product Rows'!$A$2:$A$696,B225,'Product Rows'!$B$2:$B$696,C225,'Product Rows'!$G$2:$G$696,"Ampoule")</f>
        <v>1</v>
      </c>
      <c r="M225" s="5" t="n">
        <f aca="false">COUNTIFS('Product Rows'!$A$2:$A$696,B225,'Product Rows'!$B$2:$B$696,C225,'Product Rows'!$G$2:$G$696,"Prefilled syringe/pen")</f>
        <v>0</v>
      </c>
      <c r="N225" s="6" t="n">
        <f aca="false">IFERROR(AVERAGEIFS('Product Rows'!$H$2:$H$696,'Product Rows'!$A$2:$A$696,B225,'Product Rows'!$B$2:$B$696,C225),"")</f>
        <v>14.546</v>
      </c>
      <c r="O225" s="7" t="n">
        <f aca="false">INDEX('API Data'!$E$2:$E$152,MATCH(B225,'API Data'!$A$2:$A$152,0))</f>
        <v>8594.25327792208</v>
      </c>
      <c r="P225" s="5" t="n">
        <f aca="false">COUNTIF($B$5:$B$337,B225)</f>
        <v>1</v>
      </c>
      <c r="Q225" s="8" t="n">
        <f aca="false">IF(ISNUMBER(I225),PERCENTRANK($I$5:$I$337,I225),"")</f>
        <v>0</v>
      </c>
      <c r="R225" s="8" t="n">
        <f aca="false">IF(ISNUMBER(N225),PERCENTRANK($N$5:$N$337,N225),"")</f>
        <v>0.287</v>
      </c>
      <c r="S225" s="8" t="n">
        <f aca="false">IF(ISNUMBER(O225),PERCENTRANK($O$5:$O$337,O225),"")</f>
        <v>0.681</v>
      </c>
      <c r="T225" s="8" t="n">
        <f aca="false">IF(ISNUMBER(P225),PERCENTRANK($P$5:$P$337,P225),"")</f>
        <v>0</v>
      </c>
      <c r="U225" s="9" t="n">
        <f aca="false">IF((IF(ISNUMBER(Q225),Inputs!$B$4,0)+IF(ISNUMBER(R225),Inputs!$B$5,0)+IF(ISNUMBER(S225),Inputs!$B$6,0)+IF(ISNUMBER(T225),Inputs!$B$7,0))=0,"",(IF(ISNUMBER(Q225),Inputs!$B$4*Q225,0)+IF(ISNUMBER(R225),Inputs!$B$5*R225,0)+IF(ISNUMBER(S225),Inputs!$B$6*S225,0)+IF(ISNUMBER(T225),Inputs!$B$7*T225,0))/(IF(ISNUMBER(Q225),Inputs!$B$4,0)+IF(ISNUMBER(R225),Inputs!$B$5,0)+IF(ISNUMBER(S225),Inputs!$B$6,0)+IF(ISNUMBER(T225),Inputs!$B$7,0)))</f>
        <v>0.484</v>
      </c>
      <c r="V225" s="5" t="str">
        <f aca="false">IF(F225&gt;0,"Yes","No")</f>
        <v>No</v>
      </c>
      <c r="W225" s="5" t="str">
        <f aca="false">IF(ISNUMBER(N225),IF(N225&gt;=Inputs!$D$18,"Yes","No"),"No price")</f>
        <v>Yes</v>
      </c>
      <c r="X225" s="5" t="str">
        <f aca="false">IF(K225+L225&gt;0,"Yes",IF(M225&gt;0,"No","Unclear"))</f>
        <v>Yes</v>
      </c>
      <c r="Y225" s="5" t="str">
        <f aca="false">INDEX('API Data'!$H$2:$H$152,MATCH(B225,'API Data'!$A$2:$A$152,0))</f>
        <v>No</v>
      </c>
      <c r="Z225" s="5" t="str">
        <f aca="false">IF(COUNTIFS('Product Rows'!$A$2:$A$696,B225,'Product Rows'!$B$2:$B$696,C225,'Product Rows'!$I$2:$I$696,"Yes")&gt;0,"Yes","No")</f>
        <v>No</v>
      </c>
      <c r="AA225" s="5" t="str">
        <f aca="false">IF(P225&gt;=Inputs!$D$22,"Yes","No")</f>
        <v>No</v>
      </c>
      <c r="AB225" s="10" t="b">
        <f aca="false">AND(OR(Inputs!$B$17&lt;&gt;"Exclude",V225="Yes"),OR(Inputs!$B$18&lt;&gt;"Exclude",W225&lt;&gt;"No"),OR(Inputs!$B$19&lt;&gt;"Exclude",X225&lt;&gt;"No"),OR(Inputs!$B$20&lt;&gt;"Exclude",Y225="No"),OR(Inputs!$B$21&lt;&gt;"Exclude",Z225="No"),OR(Inputs!$B$22&lt;&gt;"Exclude",AA225="Yes"),ISNUMBER(U225))</f>
        <v>0</v>
      </c>
      <c r="AC225" s="5" t="str">
        <f aca="false">IF(AB225,COUNTIFS($C$5:$C$337,C225,$AB$5:$AB$337,TRUE(),$U$5:$U$337,"&gt;"&amp;U225)+COUNTIFS($C$5:C225,C225,$AB$5:AB225,TRUE(),$U$5:U225,U225),"")</f>
        <v/>
      </c>
      <c r="AD225" s="5" t="str">
        <f aca="false">IF(AC225="","Not eligible",IF(AC225&lt;=Inputs!$B$25,"Lead",IF(AC225&lt;=Inputs!$B$25+Inputs!$B$26,"Next wave","Long list")))</f>
        <v>Not eligible</v>
      </c>
      <c r="AE225" s="5" t="str">
        <f aca="false">IF(AND(K225+L225=0,M225&gt;0),"Safety upgrade of existing prefilled syringe",IF(K225+L225+M225=0,"Confirm presentation (not stated in source)",IF(AA225="Yes","Differentiation in crowded generic market","Safety-device mandate compliance")))</f>
        <v>Safety-device mandate compliance</v>
      </c>
      <c r="AF225" s="5" t="str">
        <f aca="false">IF(AC225="","",C225&amp;"|"&amp;AC225)</f>
        <v/>
      </c>
    </row>
    <row r="226" customFormat="false" ht="15" hidden="false" customHeight="false" outlineLevel="0" collapsed="false">
      <c r="A226" s="5" t="n">
        <f aca="false">IF(ISNUMBER(U226),RANK(U226,$U$5:$U$337),"")</f>
        <v>284</v>
      </c>
      <c r="B226" s="5" t="s">
        <v>155</v>
      </c>
      <c r="C226" s="5" t="s">
        <v>40</v>
      </c>
      <c r="D226" s="5" t="str">
        <f aca="false">INDEX('API Data'!$B$2:$B$152,MATCH(B226,'API Data'!$A$2:$A$152,0))</f>
        <v>Psychiatry – acute agitation in schizophrenia / bipolar mania</v>
      </c>
      <c r="E226" s="5" t="n">
        <f aca="false">COUNTIFS('Market Listing'!$A$2:$A$4054,B226,'Market Listing'!$B$2:$B$4054,C226)</f>
        <v>1</v>
      </c>
      <c r="F226" s="5" t="n">
        <f aca="false">COUNTIFS('Market Listing'!$A$2:$A$4054,B226,'Market Listing'!$B$2:$B$4054,C226,'Market Listing'!$D$2:$D$4054,"Tier 1")</f>
        <v>0</v>
      </c>
      <c r="G226" s="5" t="n">
        <f aca="false">COUNTIFS('Market Listing'!$A$2:$A$4054,B226,'Market Listing'!$B$2:$B$4054,C226,'Market Listing'!$D$2:$D$4054,"Tier 2")</f>
        <v>1</v>
      </c>
      <c r="H226" s="5" t="n">
        <f aca="false">COUNTIFS('Market Listing'!$A$2:$A$4054,B226,'Market Listing'!$B$2:$B$4054,C226,'Market Listing'!$D$2:$D$4054,"Tier 3")</f>
        <v>0</v>
      </c>
      <c r="I226" s="5" t="n">
        <f aca="false">SUMIFS('Market Listing'!$E$2:$E$4054,'Market Listing'!$A$2:$A$4054,B226,'Market Listing'!$B$2:$B$4054,C226)</f>
        <v>2</v>
      </c>
      <c r="J226" s="5" t="n">
        <f aca="false">COUNTIFS('Product Rows'!$A$2:$A$696,B226,'Product Rows'!$B$2:$B$696,C226)</f>
        <v>1</v>
      </c>
      <c r="K226" s="5" t="n">
        <f aca="false">COUNTIFS('Product Rows'!$A$2:$A$696,B226,'Product Rows'!$B$2:$B$696,C226,'Product Rows'!$G$2:$G$696,"Vial")</f>
        <v>1</v>
      </c>
      <c r="L226" s="5" t="n">
        <f aca="false">COUNTIFS('Product Rows'!$A$2:$A$696,B226,'Product Rows'!$B$2:$B$696,C226,'Product Rows'!$G$2:$G$696,"Ampoule")</f>
        <v>0</v>
      </c>
      <c r="M226" s="5" t="n">
        <f aca="false">COUNTIFS('Product Rows'!$A$2:$A$696,B226,'Product Rows'!$B$2:$B$696,C226,'Product Rows'!$G$2:$G$696,"Prefilled syringe/pen")</f>
        <v>0</v>
      </c>
      <c r="N226" s="6" t="n">
        <f aca="false">IFERROR(AVERAGEIFS('Product Rows'!$H$2:$H$696,'Product Rows'!$A$2:$A$696,B226,'Product Rows'!$B$2:$B$696,C226),"")</f>
        <v>18.277</v>
      </c>
      <c r="O226" s="7" t="n">
        <f aca="false">INDEX('API Data'!$E$2:$E$152,MATCH(B226,'API Data'!$A$2:$A$152,0))</f>
        <v>1223.19702594759</v>
      </c>
      <c r="P226" s="5" t="n">
        <f aca="false">COUNTIF($B$5:$B$337,B226)</f>
        <v>1</v>
      </c>
      <c r="Q226" s="8" t="n">
        <f aca="false">IF(ISNUMBER(I226),PERCENTRANK($I$5:$I$337,I226),"")</f>
        <v>0</v>
      </c>
      <c r="R226" s="8" t="n">
        <f aca="false">IF(ISNUMBER(N226),PERCENTRANK($N$5:$N$337,N226),"")</f>
        <v>0.348</v>
      </c>
      <c r="S226" s="8" t="n">
        <f aca="false">IF(ISNUMBER(O226),PERCENTRANK($O$5:$O$337,O226),"")</f>
        <v>0.175</v>
      </c>
      <c r="T226" s="8" t="n">
        <f aca="false">IF(ISNUMBER(P226),PERCENTRANK($P$5:$P$337,P226),"")</f>
        <v>0</v>
      </c>
      <c r="U226" s="9" t="n">
        <f aca="false">IF((IF(ISNUMBER(Q226),Inputs!$B$4,0)+IF(ISNUMBER(R226),Inputs!$B$5,0)+IF(ISNUMBER(S226),Inputs!$B$6,0)+IF(ISNUMBER(T226),Inputs!$B$7,0))=0,"",(IF(ISNUMBER(Q226),Inputs!$B$4*Q226,0)+IF(ISNUMBER(R226),Inputs!$B$5*R226,0)+IF(ISNUMBER(S226),Inputs!$B$6*S226,0)+IF(ISNUMBER(T226),Inputs!$B$7*T226,0))/(IF(ISNUMBER(Q226),Inputs!$B$4,0)+IF(ISNUMBER(R226),Inputs!$B$5,0)+IF(ISNUMBER(S226),Inputs!$B$6,0)+IF(ISNUMBER(T226),Inputs!$B$7,0)))</f>
        <v>0.2615</v>
      </c>
      <c r="V226" s="5" t="str">
        <f aca="false">IF(F226&gt;0,"Yes","No")</f>
        <v>No</v>
      </c>
      <c r="W226" s="5" t="str">
        <f aca="false">IF(ISNUMBER(N226),IF(N226&gt;=Inputs!$D$18,"Yes","No"),"No price")</f>
        <v>Yes</v>
      </c>
      <c r="X226" s="5" t="str">
        <f aca="false">IF(K226+L226&gt;0,"Yes",IF(M226&gt;0,"No","Unclear"))</f>
        <v>Yes</v>
      </c>
      <c r="Y226" s="5" t="str">
        <f aca="false">INDEX('API Data'!$H$2:$H$152,MATCH(B226,'API Data'!$A$2:$A$152,0))</f>
        <v>No</v>
      </c>
      <c r="Z226" s="5" t="str">
        <f aca="false">IF(COUNTIFS('Product Rows'!$A$2:$A$696,B226,'Product Rows'!$B$2:$B$696,C226,'Product Rows'!$I$2:$I$696,"Yes")&gt;0,"Yes","No")</f>
        <v>Yes</v>
      </c>
      <c r="AA226" s="5" t="str">
        <f aca="false">IF(P226&gt;=Inputs!$D$22,"Yes","No")</f>
        <v>No</v>
      </c>
      <c r="AB226" s="10" t="b">
        <f aca="false">AND(OR(Inputs!$B$17&lt;&gt;"Exclude",V226="Yes"),OR(Inputs!$B$18&lt;&gt;"Exclude",W226&lt;&gt;"No"),OR(Inputs!$B$19&lt;&gt;"Exclude",X226&lt;&gt;"No"),OR(Inputs!$B$20&lt;&gt;"Exclude",Y226="No"),OR(Inputs!$B$21&lt;&gt;"Exclude",Z226="No"),OR(Inputs!$B$22&lt;&gt;"Exclude",AA226="Yes"),ISNUMBER(U226))</f>
        <v>0</v>
      </c>
      <c r="AC226" s="5" t="str">
        <f aca="false">IF(AB226,COUNTIFS($C$5:$C$337,C226,$AB$5:$AB$337,TRUE(),$U$5:$U$337,"&gt;"&amp;U226)+COUNTIFS($C$5:C226,C226,$AB$5:AB226,TRUE(),$U$5:U226,U226),"")</f>
        <v/>
      </c>
      <c r="AD226" s="5" t="str">
        <f aca="false">IF(AC226="","Not eligible",IF(AC226&lt;=Inputs!$B$25,"Lead",IF(AC226&lt;=Inputs!$B$25+Inputs!$B$26,"Next wave","Long list")))</f>
        <v>Not eligible</v>
      </c>
      <c r="AE226" s="5" t="str">
        <f aca="false">IF(AND(K226+L226=0,M226&gt;0),"Safety upgrade of existing prefilled syringe",IF(K226+L226+M226=0,"Confirm presentation (not stated in source)",IF(AA226="Yes","Differentiation in crowded generic market","Safety-device mandate compliance")))</f>
        <v>Safety-device mandate compliance</v>
      </c>
      <c r="AF226" s="5" t="str">
        <f aca="false">IF(AC226="","",C226&amp;"|"&amp;AC226)</f>
        <v/>
      </c>
    </row>
    <row r="227" customFormat="false" ht="15" hidden="false" customHeight="false" outlineLevel="0" collapsed="false">
      <c r="A227" s="5" t="n">
        <f aca="false">IF(ISNUMBER(U227),RANK(U227,$U$5:$U$337),"")</f>
        <v>168</v>
      </c>
      <c r="B227" s="5" t="s">
        <v>156</v>
      </c>
      <c r="C227" s="5" t="s">
        <v>47</v>
      </c>
      <c r="D227" s="5" t="str">
        <f aca="false">INDEX('API Data'!$B$2:$B$152,MATCH(B227,'API Data'!$A$2:$A$152,0))</f>
        <v>Oncology supportive – chemotherapy &amp; post-op nausea/vomiting</v>
      </c>
      <c r="E227" s="5" t="n">
        <f aca="false">COUNTIFS('Market Listing'!$A$2:$A$4054,B227,'Market Listing'!$B$2:$B$4054,C227)</f>
        <v>32</v>
      </c>
      <c r="F227" s="5" t="n">
        <f aca="false">COUNTIFS('Market Listing'!$A$2:$A$4054,B227,'Market Listing'!$B$2:$B$4054,C227,'Market Listing'!$D$2:$D$4054,"Tier 1")</f>
        <v>7</v>
      </c>
      <c r="G227" s="5" t="n">
        <f aca="false">COUNTIFS('Market Listing'!$A$2:$A$4054,B227,'Market Listing'!$B$2:$B$4054,C227,'Market Listing'!$D$2:$D$4054,"Tier 2")</f>
        <v>3</v>
      </c>
      <c r="H227" s="5" t="n">
        <f aca="false">COUNTIFS('Market Listing'!$A$2:$A$4054,B227,'Market Listing'!$B$2:$B$4054,C227,'Market Listing'!$D$2:$D$4054,"Tier 3")</f>
        <v>22</v>
      </c>
      <c r="I227" s="5" t="n">
        <f aca="false">SUMIFS('Market Listing'!$E$2:$E$4054,'Market Listing'!$A$2:$A$4054,B227,'Market Listing'!$B$2:$B$4054,C227)</f>
        <v>49</v>
      </c>
      <c r="J227" s="5" t="n">
        <f aca="false">COUNTIFS('Product Rows'!$A$2:$A$696,B227,'Product Rows'!$B$2:$B$696,C227)</f>
        <v>5</v>
      </c>
      <c r="K227" s="5" t="n">
        <f aca="false">COUNTIFS('Product Rows'!$A$2:$A$696,B227,'Product Rows'!$B$2:$B$696,C227,'Product Rows'!$G$2:$G$696,"Vial")</f>
        <v>3</v>
      </c>
      <c r="L227" s="5" t="n">
        <f aca="false">COUNTIFS('Product Rows'!$A$2:$A$696,B227,'Product Rows'!$B$2:$B$696,C227,'Product Rows'!$G$2:$G$696,"Ampoule")</f>
        <v>2</v>
      </c>
      <c r="M227" s="5" t="n">
        <f aca="false">COUNTIFS('Product Rows'!$A$2:$A$696,B227,'Product Rows'!$B$2:$B$696,C227,'Product Rows'!$G$2:$G$696,"Prefilled syringe/pen")</f>
        <v>0</v>
      </c>
      <c r="N227" s="6" t="n">
        <f aca="false">IFERROR(AVERAGEIFS('Product Rows'!$H$2:$H$696,'Product Rows'!$A$2:$A$696,B227,'Product Rows'!$B$2:$B$696,C227),"")</f>
        <v>9.818932</v>
      </c>
      <c r="O227" s="7" t="n">
        <f aca="false">INDEX('API Data'!$E$2:$E$152,MATCH(B227,'API Data'!$A$2:$A$152,0))</f>
        <v>17590.5015252859</v>
      </c>
      <c r="P227" s="5" t="n">
        <f aca="false">COUNTIF($B$5:$B$337,B227)</f>
        <v>5</v>
      </c>
      <c r="Q227" s="8" t="n">
        <f aca="false">IF(ISNUMBER(I227),PERCENTRANK($I$5:$I$337,I227),"")</f>
        <v>0.934</v>
      </c>
      <c r="R227" s="8" t="n">
        <f aca="false">IF(ISNUMBER(N227),PERCENTRANK($N$5:$N$337,N227),"")</f>
        <v>0.201</v>
      </c>
      <c r="S227" s="8" t="n">
        <f aca="false">IF(ISNUMBER(O227),PERCENTRANK($O$5:$O$337,O227),"")</f>
        <v>0.747</v>
      </c>
      <c r="T227" s="8" t="n">
        <f aca="false">IF(ISNUMBER(P227),PERCENTRANK($P$5:$P$337,P227),"")</f>
        <v>0.702</v>
      </c>
      <c r="U227" s="9" t="n">
        <f aca="false">IF((IF(ISNUMBER(Q227),Inputs!$B$4,0)+IF(ISNUMBER(R227),Inputs!$B$5,0)+IF(ISNUMBER(S227),Inputs!$B$6,0)+IF(ISNUMBER(T227),Inputs!$B$7,0))=0,"",(IF(ISNUMBER(Q227),Inputs!$B$4*Q227,0)+IF(ISNUMBER(R227),Inputs!$B$5*R227,0)+IF(ISNUMBER(S227),Inputs!$B$6*S227,0)+IF(ISNUMBER(T227),Inputs!$B$7*T227,0))/(IF(ISNUMBER(Q227),Inputs!$B$4,0)+IF(ISNUMBER(R227),Inputs!$B$5,0)+IF(ISNUMBER(S227),Inputs!$B$6,0)+IF(ISNUMBER(T227),Inputs!$B$7,0)))</f>
        <v>0.474</v>
      </c>
      <c r="V227" s="5" t="str">
        <f aca="false">IF(F227&gt;0,"Yes","No")</f>
        <v>Yes</v>
      </c>
      <c r="W227" s="5" t="str">
        <f aca="false">IF(ISNUMBER(N227),IF(N227&gt;=Inputs!$D$18,"Yes","No"),"No price")</f>
        <v>Yes</v>
      </c>
      <c r="X227" s="5" t="str">
        <f aca="false">IF(K227+L227&gt;0,"Yes",IF(M227&gt;0,"No","Unclear"))</f>
        <v>Yes</v>
      </c>
      <c r="Y227" s="5" t="str">
        <f aca="false">INDEX('API Data'!$H$2:$H$152,MATCH(B227,'API Data'!$A$2:$A$152,0))</f>
        <v>No</v>
      </c>
      <c r="Z227" s="5" t="str">
        <f aca="false">IF(COUNTIFS('Product Rows'!$A$2:$A$696,B227,'Product Rows'!$B$2:$B$696,C227,'Product Rows'!$I$2:$I$696,"Yes")&gt;0,"Yes","No")</f>
        <v>No</v>
      </c>
      <c r="AA227" s="5" t="str">
        <f aca="false">IF(P227&gt;=Inputs!$D$22,"Yes","No")</f>
        <v>Yes</v>
      </c>
      <c r="AB227" s="10" t="b">
        <f aca="false">AND(OR(Inputs!$B$17&lt;&gt;"Exclude",V227="Yes"),OR(Inputs!$B$18&lt;&gt;"Exclude",W227&lt;&gt;"No"),OR(Inputs!$B$19&lt;&gt;"Exclude",X227&lt;&gt;"No"),OR(Inputs!$B$20&lt;&gt;"Exclude",Y227="No"),OR(Inputs!$B$21&lt;&gt;"Exclude",Z227="No"),OR(Inputs!$B$22&lt;&gt;"Exclude",AA227="Yes"),ISNUMBER(U227))</f>
        <v>1</v>
      </c>
      <c r="AC227" s="5" t="n">
        <f aca="false">IF(AB227,COUNTIFS($C$5:$C$337,C227,$AB$5:$AB$337,TRUE(),$U$5:$U$337,"&gt;"&amp;U227)+COUNTIFS($C$5:C227,C227,$AB$5:AB227,TRUE(),$U$5:U227,U227),"")</f>
        <v>28</v>
      </c>
      <c r="AD227" s="5" t="str">
        <f aca="false">IF(AC227="","Not eligible",IF(AC227&lt;=Inputs!$B$25,"Lead",IF(AC227&lt;=Inputs!$B$25+Inputs!$B$26,"Next wave","Long list")))</f>
        <v>Long list</v>
      </c>
      <c r="AE227" s="5" t="str">
        <f aca="false">IF(AND(K227+L227=0,M227&gt;0),"Safety upgrade of existing prefilled syringe",IF(K227+L227+M227=0,"Confirm presentation (not stated in source)",IF(AA227="Yes","Differentiation in crowded generic market","Safety-device mandate compliance")))</f>
        <v>Differentiation in crowded generic market</v>
      </c>
      <c r="AF227" s="5" t="str">
        <f aca="false">IF(AC227="","",C227&amp;"|"&amp;AC227)</f>
        <v>Aurobindo Pharma|28</v>
      </c>
    </row>
    <row r="228" customFormat="false" ht="15" hidden="false" customHeight="false" outlineLevel="0" collapsed="false">
      <c r="A228" s="5" t="n">
        <f aca="false">IF(ISNUMBER(U228),RANK(U228,$U$5:$U$337),"")</f>
        <v>230</v>
      </c>
      <c r="B228" s="5" t="s">
        <v>156</v>
      </c>
      <c r="C228" s="5" t="s">
        <v>35</v>
      </c>
      <c r="D228" s="5" t="str">
        <f aca="false">INDEX('API Data'!$B$2:$B$152,MATCH(B228,'API Data'!$A$2:$A$152,0))</f>
        <v>Oncology supportive – chemotherapy &amp; post-op nausea/vomiting</v>
      </c>
      <c r="E228" s="5" t="n">
        <f aca="false">COUNTIFS('Market Listing'!$A$2:$A$4054,B228,'Market Listing'!$B$2:$B$4054,C228)</f>
        <v>28</v>
      </c>
      <c r="F228" s="5" t="n">
        <f aca="false">COUNTIFS('Market Listing'!$A$2:$A$4054,B228,'Market Listing'!$B$2:$B$4054,C228,'Market Listing'!$D$2:$D$4054,"Tier 1")</f>
        <v>5</v>
      </c>
      <c r="G228" s="5" t="n">
        <f aca="false">COUNTIFS('Market Listing'!$A$2:$A$4054,B228,'Market Listing'!$B$2:$B$4054,C228,'Market Listing'!$D$2:$D$4054,"Tier 2")</f>
        <v>3</v>
      </c>
      <c r="H228" s="5" t="n">
        <f aca="false">COUNTIFS('Market Listing'!$A$2:$A$4054,B228,'Market Listing'!$B$2:$B$4054,C228,'Market Listing'!$D$2:$D$4054,"Tier 3")</f>
        <v>20</v>
      </c>
      <c r="I228" s="5" t="n">
        <f aca="false">SUMIFS('Market Listing'!$E$2:$E$4054,'Market Listing'!$A$2:$A$4054,B228,'Market Listing'!$B$2:$B$4054,C228)</f>
        <v>41</v>
      </c>
      <c r="J228" s="5" t="n">
        <f aca="false">COUNTIFS('Product Rows'!$A$2:$A$696,B228,'Product Rows'!$B$2:$B$696,C228)</f>
        <v>1</v>
      </c>
      <c r="K228" s="5" t="n">
        <f aca="false">COUNTIFS('Product Rows'!$A$2:$A$696,B228,'Product Rows'!$B$2:$B$696,C228,'Product Rows'!$G$2:$G$696,"Vial")</f>
        <v>0</v>
      </c>
      <c r="L228" s="5" t="n">
        <f aca="false">COUNTIFS('Product Rows'!$A$2:$A$696,B228,'Product Rows'!$B$2:$B$696,C228,'Product Rows'!$G$2:$G$696,"Ampoule")</f>
        <v>1</v>
      </c>
      <c r="M228" s="5" t="n">
        <f aca="false">COUNTIFS('Product Rows'!$A$2:$A$696,B228,'Product Rows'!$B$2:$B$696,C228,'Product Rows'!$G$2:$G$696,"Prefilled syringe/pen")</f>
        <v>0</v>
      </c>
      <c r="N228" s="6" t="n">
        <f aca="false">IFERROR(AVERAGEIFS('Product Rows'!$H$2:$H$696,'Product Rows'!$A$2:$A$696,B228,'Product Rows'!$B$2:$B$696,C228),"")</f>
        <v>5.3223</v>
      </c>
      <c r="O228" s="7" t="n">
        <f aca="false">INDEX('API Data'!$E$2:$E$152,MATCH(B228,'API Data'!$A$2:$A$152,0))</f>
        <v>17590.5015252859</v>
      </c>
      <c r="P228" s="5" t="n">
        <f aca="false">COUNTIF($B$5:$B$337,B228)</f>
        <v>5</v>
      </c>
      <c r="Q228" s="8" t="n">
        <f aca="false">IF(ISNUMBER(I228),PERCENTRANK($I$5:$I$337,I228),"")</f>
        <v>0.711</v>
      </c>
      <c r="R228" s="8" t="n">
        <f aca="false">IF(ISNUMBER(N228),PERCENTRANK($N$5:$N$337,N228),"")</f>
        <v>0.00717</v>
      </c>
      <c r="S228" s="8" t="n">
        <f aca="false">IF(ISNUMBER(O228),PERCENTRANK($O$5:$O$337,O228),"")</f>
        <v>0.747</v>
      </c>
      <c r="T228" s="8" t="n">
        <f aca="false">IF(ISNUMBER(P228),PERCENTRANK($P$5:$P$337,P228),"")</f>
        <v>0.702</v>
      </c>
      <c r="U228" s="9" t="n">
        <f aca="false">IF((IF(ISNUMBER(Q228),Inputs!$B$4,0)+IF(ISNUMBER(R228),Inputs!$B$5,0)+IF(ISNUMBER(S228),Inputs!$B$6,0)+IF(ISNUMBER(T228),Inputs!$B$7,0))=0,"",(IF(ISNUMBER(Q228),Inputs!$B$4*Q228,0)+IF(ISNUMBER(R228),Inputs!$B$5*R228,0)+IF(ISNUMBER(S228),Inputs!$B$6*S228,0)+IF(ISNUMBER(T228),Inputs!$B$7*T228,0))/(IF(ISNUMBER(Q228),Inputs!$B$4,0)+IF(ISNUMBER(R228),Inputs!$B$5,0)+IF(ISNUMBER(S228),Inputs!$B$6,0)+IF(ISNUMBER(T228),Inputs!$B$7,0)))</f>
        <v>0.377085</v>
      </c>
      <c r="V228" s="5" t="str">
        <f aca="false">IF(F228&gt;0,"Yes","No")</f>
        <v>Yes</v>
      </c>
      <c r="W228" s="5" t="str">
        <f aca="false">IF(ISNUMBER(N228),IF(N228&gt;=Inputs!$D$18,"Yes","No"),"No price")</f>
        <v>Yes</v>
      </c>
      <c r="X228" s="5" t="str">
        <f aca="false">IF(K228+L228&gt;0,"Yes",IF(M228&gt;0,"No","Unclear"))</f>
        <v>Yes</v>
      </c>
      <c r="Y228" s="5" t="str">
        <f aca="false">INDEX('API Data'!$H$2:$H$152,MATCH(B228,'API Data'!$A$2:$A$152,0))</f>
        <v>No</v>
      </c>
      <c r="Z228" s="5" t="str">
        <f aca="false">IF(COUNTIFS('Product Rows'!$A$2:$A$696,B228,'Product Rows'!$B$2:$B$696,C228,'Product Rows'!$I$2:$I$696,"Yes")&gt;0,"Yes","No")</f>
        <v>No</v>
      </c>
      <c r="AA228" s="5" t="str">
        <f aca="false">IF(P228&gt;=Inputs!$D$22,"Yes","No")</f>
        <v>Yes</v>
      </c>
      <c r="AB228" s="10" t="b">
        <f aca="false">AND(OR(Inputs!$B$17&lt;&gt;"Exclude",V228="Yes"),OR(Inputs!$B$18&lt;&gt;"Exclude",W228&lt;&gt;"No"),OR(Inputs!$B$19&lt;&gt;"Exclude",X228&lt;&gt;"No"),OR(Inputs!$B$20&lt;&gt;"Exclude",Y228="No"),OR(Inputs!$B$21&lt;&gt;"Exclude",Z228="No"),OR(Inputs!$B$22&lt;&gt;"Exclude",AA228="Yes"),ISNUMBER(U228))</f>
        <v>1</v>
      </c>
      <c r="AC228" s="5" t="n">
        <f aca="false">IF(AB228,COUNTIFS($C$5:$C$337,C228,$AB$5:$AB$337,TRUE(),$U$5:$U$337,"&gt;"&amp;U228)+COUNTIFS($C$5:C228,C228,$AB$5:AB228,TRUE(),$U$5:U228,U228),"")</f>
        <v>17</v>
      </c>
      <c r="AD228" s="5" t="str">
        <f aca="false">IF(AC228="","Not eligible",IF(AC228&lt;=Inputs!$B$25,"Lead",IF(AC228&lt;=Inputs!$B$25+Inputs!$B$26,"Next wave","Long list")))</f>
        <v>Long list</v>
      </c>
      <c r="AE228" s="5" t="str">
        <f aca="false">IF(AND(K228+L228=0,M228&gt;0),"Safety upgrade of existing prefilled syringe",IF(K228+L228+M228=0,"Confirm presentation (not stated in source)",IF(AA228="Yes","Differentiation in crowded generic market","Safety-device mandate compliance")))</f>
        <v>Differentiation in crowded generic market</v>
      </c>
      <c r="AF228" s="5" t="str">
        <f aca="false">IF(AC228="","",C228&amp;"|"&amp;AC228)</f>
        <v>Emcure Pharmaceuticals|17</v>
      </c>
    </row>
    <row r="229" customFormat="false" ht="15" hidden="false" customHeight="false" outlineLevel="0" collapsed="false">
      <c r="A229" s="5" t="n">
        <f aca="false">IF(ISNUMBER(U229),RANK(U229,$U$5:$U$337),"")</f>
        <v>105</v>
      </c>
      <c r="B229" s="5" t="s">
        <v>156</v>
      </c>
      <c r="C229" s="5" t="s">
        <v>44</v>
      </c>
      <c r="D229" s="5" t="str">
        <f aca="false">INDEX('API Data'!$B$2:$B$152,MATCH(B229,'API Data'!$A$2:$A$152,0))</f>
        <v>Oncology supportive – chemotherapy &amp; post-op nausea/vomiting</v>
      </c>
      <c r="E229" s="5" t="n">
        <f aca="false">COUNTIFS('Market Listing'!$A$2:$A$4054,B229,'Market Listing'!$B$2:$B$4054,C229)</f>
        <v>33</v>
      </c>
      <c r="F229" s="5" t="n">
        <f aca="false">COUNTIFS('Market Listing'!$A$2:$A$4054,B229,'Market Listing'!$B$2:$B$4054,C229,'Market Listing'!$D$2:$D$4054,"Tier 1")</f>
        <v>7</v>
      </c>
      <c r="G229" s="5" t="n">
        <f aca="false">COUNTIFS('Market Listing'!$A$2:$A$4054,B229,'Market Listing'!$B$2:$B$4054,C229,'Market Listing'!$D$2:$D$4054,"Tier 2")</f>
        <v>4</v>
      </c>
      <c r="H229" s="5" t="n">
        <f aca="false">COUNTIFS('Market Listing'!$A$2:$A$4054,B229,'Market Listing'!$B$2:$B$4054,C229,'Market Listing'!$D$2:$D$4054,"Tier 3")</f>
        <v>22</v>
      </c>
      <c r="I229" s="5" t="n">
        <f aca="false">SUMIFS('Market Listing'!$E$2:$E$4054,'Market Listing'!$A$2:$A$4054,B229,'Market Listing'!$B$2:$B$4054,C229)</f>
        <v>51</v>
      </c>
      <c r="J229" s="5" t="n">
        <f aca="false">COUNTIFS('Product Rows'!$A$2:$A$696,B229,'Product Rows'!$B$2:$B$696,C229)</f>
        <v>6</v>
      </c>
      <c r="K229" s="5" t="n">
        <f aca="false">COUNTIFS('Product Rows'!$A$2:$A$696,B229,'Product Rows'!$B$2:$B$696,C229,'Product Rows'!$G$2:$G$696,"Vial")</f>
        <v>1</v>
      </c>
      <c r="L229" s="5" t="n">
        <f aca="false">COUNTIFS('Product Rows'!$A$2:$A$696,B229,'Product Rows'!$B$2:$B$696,C229,'Product Rows'!$G$2:$G$696,"Ampoule")</f>
        <v>2</v>
      </c>
      <c r="M229" s="5" t="n">
        <f aca="false">COUNTIFS('Product Rows'!$A$2:$A$696,B229,'Product Rows'!$B$2:$B$696,C229,'Product Rows'!$G$2:$G$696,"Prefilled syringe/pen")</f>
        <v>3</v>
      </c>
      <c r="N229" s="6" t="n">
        <f aca="false">IFERROR(AVERAGEIFS('Product Rows'!$H$2:$H$696,'Product Rows'!$A$2:$A$696,B229,'Product Rows'!$B$2:$B$696,C229),"")</f>
        <v>24.05365</v>
      </c>
      <c r="O229" s="7" t="n">
        <f aca="false">INDEX('API Data'!$E$2:$E$152,MATCH(B229,'API Data'!$A$2:$A$152,0))</f>
        <v>17590.5015252859</v>
      </c>
      <c r="P229" s="5" t="n">
        <f aca="false">COUNTIF($B$5:$B$337,B229)</f>
        <v>5</v>
      </c>
      <c r="Q229" s="8" t="n">
        <f aca="false">IF(ISNUMBER(I229),PERCENTRANK($I$5:$I$337,I229),"")</f>
        <v>0.97</v>
      </c>
      <c r="R229" s="8" t="n">
        <f aca="false">IF(ISNUMBER(N229),PERCENTRANK($N$5:$N$337,N229),"")</f>
        <v>0.419</v>
      </c>
      <c r="S229" s="8" t="n">
        <f aca="false">IF(ISNUMBER(O229),PERCENTRANK($O$5:$O$337,O229),"")</f>
        <v>0.747</v>
      </c>
      <c r="T229" s="8" t="n">
        <f aca="false">IF(ISNUMBER(P229),PERCENTRANK($P$5:$P$337,P229),"")</f>
        <v>0.702</v>
      </c>
      <c r="U229" s="9" t="n">
        <f aca="false">IF((IF(ISNUMBER(Q229),Inputs!$B$4,0)+IF(ISNUMBER(R229),Inputs!$B$5,0)+IF(ISNUMBER(S229),Inputs!$B$6,0)+IF(ISNUMBER(T229),Inputs!$B$7,0))=0,"",(IF(ISNUMBER(Q229),Inputs!$B$4*Q229,0)+IF(ISNUMBER(R229),Inputs!$B$5*R229,0)+IF(ISNUMBER(S229),Inputs!$B$6*S229,0)+IF(ISNUMBER(T229),Inputs!$B$7*T229,0))/(IF(ISNUMBER(Q229),Inputs!$B$4,0)+IF(ISNUMBER(R229),Inputs!$B$5,0)+IF(ISNUMBER(S229),Inputs!$B$6,0)+IF(ISNUMBER(T229),Inputs!$B$7,0)))</f>
        <v>0.583</v>
      </c>
      <c r="V229" s="5" t="str">
        <f aca="false">IF(F229&gt;0,"Yes","No")</f>
        <v>Yes</v>
      </c>
      <c r="W229" s="5" t="str">
        <f aca="false">IF(ISNUMBER(N229),IF(N229&gt;=Inputs!$D$18,"Yes","No"),"No price")</f>
        <v>Yes</v>
      </c>
      <c r="X229" s="5" t="str">
        <f aca="false">IF(K229+L229&gt;0,"Yes",IF(M229&gt;0,"No","Unclear"))</f>
        <v>Yes</v>
      </c>
      <c r="Y229" s="5" t="str">
        <f aca="false">INDEX('API Data'!$H$2:$H$152,MATCH(B229,'API Data'!$A$2:$A$152,0))</f>
        <v>No</v>
      </c>
      <c r="Z229" s="5" t="str">
        <f aca="false">IF(COUNTIFS('Product Rows'!$A$2:$A$696,B229,'Product Rows'!$B$2:$B$696,C229,'Product Rows'!$I$2:$I$696,"Yes")&gt;0,"Yes","No")</f>
        <v>No</v>
      </c>
      <c r="AA229" s="5" t="str">
        <f aca="false">IF(P229&gt;=Inputs!$D$22,"Yes","No")</f>
        <v>Yes</v>
      </c>
      <c r="AB229" s="10" t="b">
        <f aca="false">AND(OR(Inputs!$B$17&lt;&gt;"Exclude",V229="Yes"),OR(Inputs!$B$18&lt;&gt;"Exclude",W229&lt;&gt;"No"),OR(Inputs!$B$19&lt;&gt;"Exclude",X229&lt;&gt;"No"),OR(Inputs!$B$20&lt;&gt;"Exclude",Y229="No"),OR(Inputs!$B$21&lt;&gt;"Exclude",Z229="No"),OR(Inputs!$B$22&lt;&gt;"Exclude",AA229="Yes"),ISNUMBER(U229))</f>
        <v>1</v>
      </c>
      <c r="AC229" s="5" t="n">
        <f aca="false">IF(AB229,COUNTIFS($C$5:$C$337,C229,$AB$5:$AB$337,TRUE(),$U$5:$U$337,"&gt;"&amp;U229)+COUNTIFS($C$5:C229,C229,$AB$5:AB229,TRUE(),$U$5:U229,U229),"")</f>
        <v>22</v>
      </c>
      <c r="AD229" s="5" t="str">
        <f aca="false">IF(AC229="","Not eligible",IF(AC229&lt;=Inputs!$B$25,"Lead",IF(AC229&lt;=Inputs!$B$25+Inputs!$B$26,"Next wave","Long list")))</f>
        <v>Long list</v>
      </c>
      <c r="AE229" s="5" t="str">
        <f aca="false">IF(AND(K229+L229=0,M229&gt;0),"Safety upgrade of existing prefilled syringe",IF(K229+L229+M229=0,"Confirm presentation (not stated in source)",IF(AA229="Yes","Differentiation in crowded generic market","Safety-device mandate compliance")))</f>
        <v>Differentiation in crowded generic market</v>
      </c>
      <c r="AF229" s="5" t="str">
        <f aca="false">IF(AC229="","",C229&amp;"|"&amp;AC229)</f>
        <v>Intas Pharmaceuticals|22</v>
      </c>
    </row>
    <row r="230" customFormat="false" ht="15" hidden="false" customHeight="false" outlineLevel="0" collapsed="false">
      <c r="A230" s="5" t="n">
        <f aca="false">IF(ISNUMBER(U230),RANK(U230,$U$5:$U$337),"")</f>
        <v>230</v>
      </c>
      <c r="B230" s="5" t="s">
        <v>156</v>
      </c>
      <c r="C230" s="5" t="s">
        <v>38</v>
      </c>
      <c r="D230" s="5" t="str">
        <f aca="false">INDEX('API Data'!$B$2:$B$152,MATCH(B230,'API Data'!$A$2:$A$152,0))</f>
        <v>Oncology supportive – chemotherapy &amp; post-op nausea/vomiting</v>
      </c>
      <c r="E230" s="5" t="n">
        <f aca="false">COUNTIFS('Market Listing'!$A$2:$A$4054,B230,'Market Listing'!$B$2:$B$4054,C230)</f>
        <v>28</v>
      </c>
      <c r="F230" s="5" t="n">
        <f aca="false">COUNTIFS('Market Listing'!$A$2:$A$4054,B230,'Market Listing'!$B$2:$B$4054,C230,'Market Listing'!$D$2:$D$4054,"Tier 1")</f>
        <v>5</v>
      </c>
      <c r="G230" s="5" t="n">
        <f aca="false">COUNTIFS('Market Listing'!$A$2:$A$4054,B230,'Market Listing'!$B$2:$B$4054,C230,'Market Listing'!$D$2:$D$4054,"Tier 2")</f>
        <v>3</v>
      </c>
      <c r="H230" s="5" t="n">
        <f aca="false">COUNTIFS('Market Listing'!$A$2:$A$4054,B230,'Market Listing'!$B$2:$B$4054,C230,'Market Listing'!$D$2:$D$4054,"Tier 3")</f>
        <v>20</v>
      </c>
      <c r="I230" s="5" t="n">
        <f aca="false">SUMIFS('Market Listing'!$E$2:$E$4054,'Market Listing'!$A$2:$A$4054,B230,'Market Listing'!$B$2:$B$4054,C230)</f>
        <v>41</v>
      </c>
      <c r="J230" s="5" t="n">
        <f aca="false">COUNTIFS('Product Rows'!$A$2:$A$696,B230,'Product Rows'!$B$2:$B$696,C230)</f>
        <v>1</v>
      </c>
      <c r="K230" s="5" t="n">
        <f aca="false">COUNTIFS('Product Rows'!$A$2:$A$696,B230,'Product Rows'!$B$2:$B$696,C230,'Product Rows'!$G$2:$G$696,"Vial")</f>
        <v>0</v>
      </c>
      <c r="L230" s="5" t="n">
        <f aca="false">COUNTIFS('Product Rows'!$A$2:$A$696,B230,'Product Rows'!$B$2:$B$696,C230,'Product Rows'!$G$2:$G$696,"Ampoule")</f>
        <v>1</v>
      </c>
      <c r="M230" s="5" t="n">
        <f aca="false">COUNTIFS('Product Rows'!$A$2:$A$696,B230,'Product Rows'!$B$2:$B$696,C230,'Product Rows'!$G$2:$G$696,"Prefilled syringe/pen")</f>
        <v>0</v>
      </c>
      <c r="N230" s="6" t="n">
        <f aca="false">IFERROR(AVERAGEIFS('Product Rows'!$H$2:$H$696,'Product Rows'!$A$2:$A$696,B230,'Product Rows'!$B$2:$B$696,C230),"")</f>
        <v>5.3223</v>
      </c>
      <c r="O230" s="7" t="n">
        <f aca="false">INDEX('API Data'!$E$2:$E$152,MATCH(B230,'API Data'!$A$2:$A$152,0))</f>
        <v>17590.5015252859</v>
      </c>
      <c r="P230" s="5" t="n">
        <f aca="false">COUNTIF($B$5:$B$337,B230)</f>
        <v>5</v>
      </c>
      <c r="Q230" s="8" t="n">
        <f aca="false">IF(ISNUMBER(I230),PERCENTRANK($I$5:$I$337,I230),"")</f>
        <v>0.711</v>
      </c>
      <c r="R230" s="8" t="n">
        <f aca="false">IF(ISNUMBER(N230),PERCENTRANK($N$5:$N$337,N230),"")</f>
        <v>0.00717</v>
      </c>
      <c r="S230" s="8" t="n">
        <f aca="false">IF(ISNUMBER(O230),PERCENTRANK($O$5:$O$337,O230),"")</f>
        <v>0.747</v>
      </c>
      <c r="T230" s="8" t="n">
        <f aca="false">IF(ISNUMBER(P230),PERCENTRANK($P$5:$P$337,P230),"")</f>
        <v>0.702</v>
      </c>
      <c r="U230" s="9" t="n">
        <f aca="false">IF((IF(ISNUMBER(Q230),Inputs!$B$4,0)+IF(ISNUMBER(R230),Inputs!$B$5,0)+IF(ISNUMBER(S230),Inputs!$B$6,0)+IF(ISNUMBER(T230),Inputs!$B$7,0))=0,"",(IF(ISNUMBER(Q230),Inputs!$B$4*Q230,0)+IF(ISNUMBER(R230),Inputs!$B$5*R230,0)+IF(ISNUMBER(S230),Inputs!$B$6*S230,0)+IF(ISNUMBER(T230),Inputs!$B$7*T230,0))/(IF(ISNUMBER(Q230),Inputs!$B$4,0)+IF(ISNUMBER(R230),Inputs!$B$5,0)+IF(ISNUMBER(S230),Inputs!$B$6,0)+IF(ISNUMBER(T230),Inputs!$B$7,0)))</f>
        <v>0.377085</v>
      </c>
      <c r="V230" s="5" t="str">
        <f aca="false">IF(F230&gt;0,"Yes","No")</f>
        <v>Yes</v>
      </c>
      <c r="W230" s="5" t="str">
        <f aca="false">IF(ISNUMBER(N230),IF(N230&gt;=Inputs!$D$18,"Yes","No"),"No price")</f>
        <v>Yes</v>
      </c>
      <c r="X230" s="5" t="str">
        <f aca="false">IF(K230+L230&gt;0,"Yes",IF(M230&gt;0,"No","Unclear"))</f>
        <v>Yes</v>
      </c>
      <c r="Y230" s="5" t="str">
        <f aca="false">INDEX('API Data'!$H$2:$H$152,MATCH(B230,'API Data'!$A$2:$A$152,0))</f>
        <v>No</v>
      </c>
      <c r="Z230" s="5" t="str">
        <f aca="false">IF(COUNTIFS('Product Rows'!$A$2:$A$696,B230,'Product Rows'!$B$2:$B$696,C230,'Product Rows'!$I$2:$I$696,"Yes")&gt;0,"Yes","No")</f>
        <v>No</v>
      </c>
      <c r="AA230" s="5" t="str">
        <f aca="false">IF(P230&gt;=Inputs!$D$22,"Yes","No")</f>
        <v>Yes</v>
      </c>
      <c r="AB230" s="10" t="b">
        <f aca="false">AND(OR(Inputs!$B$17&lt;&gt;"Exclude",V230="Yes"),OR(Inputs!$B$18&lt;&gt;"Exclude",W230&lt;&gt;"No"),OR(Inputs!$B$19&lt;&gt;"Exclude",X230&lt;&gt;"No"),OR(Inputs!$B$20&lt;&gt;"Exclude",Y230="No"),OR(Inputs!$B$21&lt;&gt;"Exclude",Z230="No"),OR(Inputs!$B$22&lt;&gt;"Exclude",AA230="Yes"),ISNUMBER(U230))</f>
        <v>1</v>
      </c>
      <c r="AC230" s="5" t="n">
        <f aca="false">IF(AB230,COUNTIFS($C$5:$C$337,C230,$AB$5:$AB$337,TRUE(),$U$5:$U$337,"&gt;"&amp;U230)+COUNTIFS($C$5:C230,C230,$AB$5:AB230,TRUE(),$U$5:U230,U230),"")</f>
        <v>8</v>
      </c>
      <c r="AD230" s="5" t="str">
        <f aca="false">IF(AC230="","Not eligible",IF(AC230&lt;=Inputs!$B$25,"Lead",IF(AC230&lt;=Inputs!$B$25+Inputs!$B$26,"Next wave","Long list")))</f>
        <v>Next wave</v>
      </c>
      <c r="AE230" s="5" t="str">
        <f aca="false">IF(AND(K230+L230=0,M230&gt;0),"Safety upgrade of existing prefilled syringe",IF(K230+L230+M230=0,"Confirm presentation (not stated in source)",IF(AA230="Yes","Differentiation in crowded generic market","Safety-device mandate compliance")))</f>
        <v>Differentiation in crowded generic market</v>
      </c>
      <c r="AF230" s="5" t="str">
        <f aca="false">IF(AC230="","",C230&amp;"|"&amp;AC230)</f>
        <v>Wockhardt|8</v>
      </c>
    </row>
    <row r="231" customFormat="false" ht="15" hidden="false" customHeight="false" outlineLevel="0" collapsed="false">
      <c r="A231" s="5" t="n">
        <f aca="false">IF(ISNUMBER(U231),RANK(U231,$U$5:$U$337),"")</f>
        <v>217</v>
      </c>
      <c r="B231" s="5" t="s">
        <v>156</v>
      </c>
      <c r="C231" s="5" t="s">
        <v>36</v>
      </c>
      <c r="D231" s="5" t="str">
        <f aca="false">INDEX('API Data'!$B$2:$B$152,MATCH(B231,'API Data'!$A$2:$A$152,0))</f>
        <v>Oncology supportive – chemotherapy &amp; post-op nausea/vomiting</v>
      </c>
      <c r="E231" s="5" t="n">
        <f aca="false">COUNTIFS('Market Listing'!$A$2:$A$4054,B231,'Market Listing'!$B$2:$B$4054,C231)</f>
        <v>1</v>
      </c>
      <c r="F231" s="5" t="n">
        <f aca="false">COUNTIFS('Market Listing'!$A$2:$A$4054,B231,'Market Listing'!$B$2:$B$4054,C231,'Market Listing'!$D$2:$D$4054,"Tier 1")</f>
        <v>0</v>
      </c>
      <c r="G231" s="5" t="n">
        <f aca="false">COUNTIFS('Market Listing'!$A$2:$A$4054,B231,'Market Listing'!$B$2:$B$4054,C231,'Market Listing'!$D$2:$D$4054,"Tier 2")</f>
        <v>1</v>
      </c>
      <c r="H231" s="5" t="n">
        <f aca="false">COUNTIFS('Market Listing'!$A$2:$A$4054,B231,'Market Listing'!$B$2:$B$4054,C231,'Market Listing'!$D$2:$D$4054,"Tier 3")</f>
        <v>0</v>
      </c>
      <c r="I231" s="5" t="n">
        <f aca="false">SUMIFS('Market Listing'!$E$2:$E$4054,'Market Listing'!$A$2:$A$4054,B231,'Market Listing'!$B$2:$B$4054,C231)</f>
        <v>2</v>
      </c>
      <c r="J231" s="5" t="n">
        <f aca="false">COUNTIFS('Product Rows'!$A$2:$A$696,B231,'Product Rows'!$B$2:$B$696,C231)</f>
        <v>1</v>
      </c>
      <c r="K231" s="5" t="n">
        <f aca="false">COUNTIFS('Product Rows'!$A$2:$A$696,B231,'Product Rows'!$B$2:$B$696,C231,'Product Rows'!$G$2:$G$696,"Vial")</f>
        <v>0</v>
      </c>
      <c r="L231" s="5" t="n">
        <f aca="false">COUNTIFS('Product Rows'!$A$2:$A$696,B231,'Product Rows'!$B$2:$B$696,C231,'Product Rows'!$G$2:$G$696,"Ampoule")</f>
        <v>1</v>
      </c>
      <c r="M231" s="5" t="n">
        <f aca="false">COUNTIFS('Product Rows'!$A$2:$A$696,B231,'Product Rows'!$B$2:$B$696,C231,'Product Rows'!$G$2:$G$696,"Prefilled syringe/pen")</f>
        <v>0</v>
      </c>
      <c r="N231" s="6" t="n">
        <f aca="false">IFERROR(AVERAGEIFS('Product Rows'!$H$2:$H$696,'Product Rows'!$A$2:$A$696,B231,'Product Rows'!$B$2:$B$696,C231),"")</f>
        <v>6.29</v>
      </c>
      <c r="O231" s="7" t="n">
        <f aca="false">INDEX('API Data'!$E$2:$E$152,MATCH(B231,'API Data'!$A$2:$A$152,0))</f>
        <v>17590.5015252859</v>
      </c>
      <c r="P231" s="5" t="n">
        <f aca="false">COUNTIF($B$5:$B$337,B231)</f>
        <v>5</v>
      </c>
      <c r="Q231" s="8" t="n">
        <f aca="false">IF(ISNUMBER(I231),PERCENTRANK($I$5:$I$337,I231),"")</f>
        <v>0</v>
      </c>
      <c r="R231" s="8" t="n">
        <f aca="false">IF(ISNUMBER(N231),PERCENTRANK($N$5:$N$337,N231),"")</f>
        <v>0.0538</v>
      </c>
      <c r="S231" s="8" t="n">
        <f aca="false">IF(ISNUMBER(O231),PERCENTRANK($O$5:$O$337,O231),"")</f>
        <v>0.747</v>
      </c>
      <c r="T231" s="8" t="n">
        <f aca="false">IF(ISNUMBER(P231),PERCENTRANK($P$5:$P$337,P231),"")</f>
        <v>0.702</v>
      </c>
      <c r="U231" s="9" t="n">
        <f aca="false">IF((IF(ISNUMBER(Q231),Inputs!$B$4,0)+IF(ISNUMBER(R231),Inputs!$B$5,0)+IF(ISNUMBER(S231),Inputs!$B$6,0)+IF(ISNUMBER(T231),Inputs!$B$7,0))=0,"",(IF(ISNUMBER(Q231),Inputs!$B$4*Q231,0)+IF(ISNUMBER(R231),Inputs!$B$5*R231,0)+IF(ISNUMBER(S231),Inputs!$B$6*S231,0)+IF(ISNUMBER(T231),Inputs!$B$7*T231,0))/(IF(ISNUMBER(Q231),Inputs!$B$4,0)+IF(ISNUMBER(R231),Inputs!$B$5,0)+IF(ISNUMBER(S231),Inputs!$B$6,0)+IF(ISNUMBER(T231),Inputs!$B$7,0)))</f>
        <v>0.4004</v>
      </c>
      <c r="V231" s="5" t="str">
        <f aca="false">IF(F231&gt;0,"Yes","No")</f>
        <v>No</v>
      </c>
      <c r="W231" s="5" t="str">
        <f aca="false">IF(ISNUMBER(N231),IF(N231&gt;=Inputs!$D$18,"Yes","No"),"No price")</f>
        <v>Yes</v>
      </c>
      <c r="X231" s="5" t="str">
        <f aca="false">IF(K231+L231&gt;0,"Yes",IF(M231&gt;0,"No","Unclear"))</f>
        <v>Yes</v>
      </c>
      <c r="Y231" s="5" t="str">
        <f aca="false">INDEX('API Data'!$H$2:$H$152,MATCH(B231,'API Data'!$A$2:$A$152,0))</f>
        <v>No</v>
      </c>
      <c r="Z231" s="5" t="str">
        <f aca="false">IF(COUNTIFS('Product Rows'!$A$2:$A$696,B231,'Product Rows'!$B$2:$B$696,C231,'Product Rows'!$I$2:$I$696,"Yes")&gt;0,"Yes","No")</f>
        <v>No</v>
      </c>
      <c r="AA231" s="5" t="str">
        <f aca="false">IF(P231&gt;=Inputs!$D$22,"Yes","No")</f>
        <v>Yes</v>
      </c>
      <c r="AB231" s="10" t="b">
        <f aca="false">AND(OR(Inputs!$B$17&lt;&gt;"Exclude",V231="Yes"),OR(Inputs!$B$18&lt;&gt;"Exclude",W231&lt;&gt;"No"),OR(Inputs!$B$19&lt;&gt;"Exclude",X231&lt;&gt;"No"),OR(Inputs!$B$20&lt;&gt;"Exclude",Y231="No"),OR(Inputs!$B$21&lt;&gt;"Exclude",Z231="No"),OR(Inputs!$B$22&lt;&gt;"Exclude",AA231="Yes"),ISNUMBER(U231))</f>
        <v>0</v>
      </c>
      <c r="AC231" s="5" t="str">
        <f aca="false">IF(AB231,COUNTIFS($C$5:$C$337,C231,$AB$5:$AB$337,TRUE(),$U$5:$U$337,"&gt;"&amp;U231)+COUNTIFS($C$5:C231,C231,$AB$5:AB231,TRUE(),$U$5:U231,U231),"")</f>
        <v/>
      </c>
      <c r="AD231" s="5" t="str">
        <f aca="false">IF(AC231="","Not eligible",IF(AC231&lt;=Inputs!$B$25,"Lead",IF(AC231&lt;=Inputs!$B$25+Inputs!$B$26,"Next wave","Long list")))</f>
        <v>Not eligible</v>
      </c>
      <c r="AE231" s="5" t="str">
        <f aca="false">IF(AND(K231+L231=0,M231&gt;0),"Safety upgrade of existing prefilled syringe",IF(K231+L231+M231=0,"Confirm presentation (not stated in source)",IF(AA231="Yes","Differentiation in crowded generic market","Safety-device mandate compliance")))</f>
        <v>Differentiation in crowded generic market</v>
      </c>
      <c r="AF231" s="5" t="str">
        <f aca="false">IF(AC231="","",C231&amp;"|"&amp;AC231)</f>
        <v/>
      </c>
    </row>
    <row r="232" customFormat="false" ht="15" hidden="false" customHeight="false" outlineLevel="0" collapsed="false">
      <c r="A232" s="5" t="n">
        <f aca="false">IF(ISNUMBER(U232),RANK(U232,$U$5:$U$337),"")</f>
        <v>322</v>
      </c>
      <c r="B232" s="5" t="s">
        <v>157</v>
      </c>
      <c r="C232" s="5" t="s">
        <v>47</v>
      </c>
      <c r="D232" s="5" t="str">
        <f aca="false">INDEX('API Data'!$B$2:$B$152,MATCH(B232,'API Data'!$A$2:$A$152,0))</f>
        <v>Anti-infective – staphylococcal (MSSA) infections</v>
      </c>
      <c r="E232" s="5" t="n">
        <f aca="false">COUNTIFS('Market Listing'!$A$2:$A$4054,B232,'Market Listing'!$B$2:$B$4054,C232)</f>
        <v>1</v>
      </c>
      <c r="F232" s="5" t="n">
        <f aca="false">COUNTIFS('Market Listing'!$A$2:$A$4054,B232,'Market Listing'!$B$2:$B$4054,C232,'Market Listing'!$D$2:$D$4054,"Tier 1")</f>
        <v>1</v>
      </c>
      <c r="G232" s="5" t="n">
        <f aca="false">COUNTIFS('Market Listing'!$A$2:$A$4054,B232,'Market Listing'!$B$2:$B$4054,C232,'Market Listing'!$D$2:$D$4054,"Tier 2")</f>
        <v>0</v>
      </c>
      <c r="H232" s="5" t="n">
        <f aca="false">COUNTIFS('Market Listing'!$A$2:$A$4054,B232,'Market Listing'!$B$2:$B$4054,C232,'Market Listing'!$D$2:$D$4054,"Tier 3")</f>
        <v>0</v>
      </c>
      <c r="I232" s="5" t="n">
        <f aca="false">SUMIFS('Market Listing'!$E$2:$E$4054,'Market Listing'!$A$2:$A$4054,B232,'Market Listing'!$B$2:$B$4054,C232)</f>
        <v>3</v>
      </c>
      <c r="J232" s="5" t="n">
        <f aca="false">COUNTIFS('Product Rows'!$A$2:$A$696,B232,'Product Rows'!$B$2:$B$696,C232)</f>
        <v>1</v>
      </c>
      <c r="K232" s="5" t="n">
        <f aca="false">COUNTIFS('Product Rows'!$A$2:$A$696,B232,'Product Rows'!$B$2:$B$696,C232,'Product Rows'!$G$2:$G$696,"Vial")</f>
        <v>1</v>
      </c>
      <c r="L232" s="5" t="n">
        <f aca="false">COUNTIFS('Product Rows'!$A$2:$A$696,B232,'Product Rows'!$B$2:$B$696,C232,'Product Rows'!$G$2:$G$696,"Ampoule")</f>
        <v>0</v>
      </c>
      <c r="M232" s="5" t="n">
        <f aca="false">COUNTIFS('Product Rows'!$A$2:$A$696,B232,'Product Rows'!$B$2:$B$696,C232,'Product Rows'!$G$2:$G$696,"Prefilled syringe/pen")</f>
        <v>0</v>
      </c>
      <c r="N232" s="6" t="n">
        <f aca="false">IFERROR(AVERAGEIFS('Product Rows'!$H$2:$H$696,'Product Rows'!$A$2:$A$696,B232,'Product Rows'!$B$2:$B$696,C232),"")</f>
        <v>10.93</v>
      </c>
      <c r="O232" s="7" t="n">
        <f aca="false">INDEX('API Data'!$E$2:$E$152,MATCH(B232,'API Data'!$A$2:$A$152,0))</f>
        <v>260.91</v>
      </c>
      <c r="P232" s="5" t="n">
        <f aca="false">COUNTIF($B$5:$B$337,B232)</f>
        <v>2</v>
      </c>
      <c r="Q232" s="8" t="n">
        <f aca="false">IF(ISNUMBER(I232),PERCENTRANK($I$5:$I$337,I232),"")</f>
        <v>0.157</v>
      </c>
      <c r="R232" s="8" t="n">
        <f aca="false">IF(ISNUMBER(N232),PERCENTRANK($N$5:$N$337,N232),"")</f>
        <v>0.222</v>
      </c>
      <c r="S232" s="8" t="n">
        <f aca="false">IF(ISNUMBER(O232),PERCENTRANK($O$5:$O$337,O232),"")</f>
        <v>0.0693</v>
      </c>
      <c r="T232" s="8" t="n">
        <f aca="false">IF(ISNUMBER(P232),PERCENTRANK($P$5:$P$337,P232),"")</f>
        <v>0.235</v>
      </c>
      <c r="U232" s="9" t="n">
        <f aca="false">IF((IF(ISNUMBER(Q232),Inputs!$B$4,0)+IF(ISNUMBER(R232),Inputs!$B$5,0)+IF(ISNUMBER(S232),Inputs!$B$6,0)+IF(ISNUMBER(T232),Inputs!$B$7,0))=0,"",(IF(ISNUMBER(Q232),Inputs!$B$4*Q232,0)+IF(ISNUMBER(R232),Inputs!$B$5*R232,0)+IF(ISNUMBER(S232),Inputs!$B$6*S232,0)+IF(ISNUMBER(T232),Inputs!$B$7*T232,0))/(IF(ISNUMBER(Q232),Inputs!$B$4,0)+IF(ISNUMBER(R232),Inputs!$B$5,0)+IF(ISNUMBER(S232),Inputs!$B$6,0)+IF(ISNUMBER(T232),Inputs!$B$7,0)))</f>
        <v>0.14565</v>
      </c>
      <c r="V232" s="5" t="str">
        <f aca="false">IF(F232&gt;0,"Yes","No")</f>
        <v>Yes</v>
      </c>
      <c r="W232" s="5" t="str">
        <f aca="false">IF(ISNUMBER(N232),IF(N232&gt;=Inputs!$D$18,"Yes","No"),"No price")</f>
        <v>Yes</v>
      </c>
      <c r="X232" s="5" t="str">
        <f aca="false">IF(K232+L232&gt;0,"Yes",IF(M232&gt;0,"No","Unclear"))</f>
        <v>Yes</v>
      </c>
      <c r="Y232" s="5" t="str">
        <f aca="false">INDEX('API Data'!$H$2:$H$152,MATCH(B232,'API Data'!$A$2:$A$152,0))</f>
        <v>No</v>
      </c>
      <c r="Z232" s="5" t="str">
        <f aca="false">IF(COUNTIFS('Product Rows'!$A$2:$A$696,B232,'Product Rows'!$B$2:$B$696,C232,'Product Rows'!$I$2:$I$696,"Yes")&gt;0,"Yes","No")</f>
        <v>Yes</v>
      </c>
      <c r="AA232" s="5" t="str">
        <f aca="false">IF(P232&gt;=Inputs!$D$22,"Yes","No")</f>
        <v>No</v>
      </c>
      <c r="AB232" s="10" t="b">
        <f aca="false">AND(OR(Inputs!$B$17&lt;&gt;"Exclude",V232="Yes"),OR(Inputs!$B$18&lt;&gt;"Exclude",W232&lt;&gt;"No"),OR(Inputs!$B$19&lt;&gt;"Exclude",X232&lt;&gt;"No"),OR(Inputs!$B$20&lt;&gt;"Exclude",Y232="No"),OR(Inputs!$B$21&lt;&gt;"Exclude",Z232="No"),OR(Inputs!$B$22&lt;&gt;"Exclude",AA232="Yes"),ISNUMBER(U232))</f>
        <v>1</v>
      </c>
      <c r="AC232" s="5" t="n">
        <f aca="false">IF(AB232,COUNTIFS($C$5:$C$337,C232,$AB$5:$AB$337,TRUE(),$U$5:$U$337,"&gt;"&amp;U232)+COUNTIFS($C$5:C232,C232,$AB$5:AB232,TRUE(),$U$5:U232,U232),"")</f>
        <v>49</v>
      </c>
      <c r="AD232" s="5" t="str">
        <f aca="false">IF(AC232="","Not eligible",IF(AC232&lt;=Inputs!$B$25,"Lead",IF(AC232&lt;=Inputs!$B$25+Inputs!$B$26,"Next wave","Long list")))</f>
        <v>Long list</v>
      </c>
      <c r="AE232" s="5" t="str">
        <f aca="false">IF(AND(K232+L232=0,M232&gt;0),"Safety upgrade of existing prefilled syringe",IF(K232+L232+M232=0,"Confirm presentation (not stated in source)",IF(AA232="Yes","Differentiation in crowded generic market","Safety-device mandate compliance")))</f>
        <v>Safety-device mandate compliance</v>
      </c>
      <c r="AF232" s="5" t="str">
        <f aca="false">IF(AC232="","",C232&amp;"|"&amp;AC232)</f>
        <v>Aurobindo Pharma|49</v>
      </c>
    </row>
    <row r="233" customFormat="false" ht="15" hidden="false" customHeight="false" outlineLevel="0" collapsed="false">
      <c r="A233" s="5" t="n">
        <f aca="false">IF(ISNUMBER(U233),RANK(U233,$U$5:$U$337),"")</f>
        <v>322</v>
      </c>
      <c r="B233" s="5" t="s">
        <v>157</v>
      </c>
      <c r="C233" s="5" t="s">
        <v>38</v>
      </c>
      <c r="D233" s="5" t="str">
        <f aca="false">INDEX('API Data'!$B$2:$B$152,MATCH(B233,'API Data'!$A$2:$A$152,0))</f>
        <v>Anti-infective – staphylococcal (MSSA) infections</v>
      </c>
      <c r="E233" s="5" t="n">
        <f aca="false">COUNTIFS('Market Listing'!$A$2:$A$4054,B233,'Market Listing'!$B$2:$B$4054,C233)</f>
        <v>1</v>
      </c>
      <c r="F233" s="5" t="n">
        <f aca="false">COUNTIFS('Market Listing'!$A$2:$A$4054,B233,'Market Listing'!$B$2:$B$4054,C233,'Market Listing'!$D$2:$D$4054,"Tier 1")</f>
        <v>1</v>
      </c>
      <c r="G233" s="5" t="n">
        <f aca="false">COUNTIFS('Market Listing'!$A$2:$A$4054,B233,'Market Listing'!$B$2:$B$4054,C233,'Market Listing'!$D$2:$D$4054,"Tier 2")</f>
        <v>0</v>
      </c>
      <c r="H233" s="5" t="n">
        <f aca="false">COUNTIFS('Market Listing'!$A$2:$A$4054,B233,'Market Listing'!$B$2:$B$4054,C233,'Market Listing'!$D$2:$D$4054,"Tier 3")</f>
        <v>0</v>
      </c>
      <c r="I233" s="5" t="n">
        <f aca="false">SUMIFS('Market Listing'!$E$2:$E$4054,'Market Listing'!$A$2:$A$4054,B233,'Market Listing'!$B$2:$B$4054,C233)</f>
        <v>3</v>
      </c>
      <c r="J233" s="5" t="n">
        <f aca="false">COUNTIFS('Product Rows'!$A$2:$A$696,B233,'Product Rows'!$B$2:$B$696,C233)</f>
        <v>2</v>
      </c>
      <c r="K233" s="5" t="n">
        <f aca="false">COUNTIFS('Product Rows'!$A$2:$A$696,B233,'Product Rows'!$B$2:$B$696,C233,'Product Rows'!$G$2:$G$696,"Vial")</f>
        <v>2</v>
      </c>
      <c r="L233" s="5" t="n">
        <f aca="false">COUNTIFS('Product Rows'!$A$2:$A$696,B233,'Product Rows'!$B$2:$B$696,C233,'Product Rows'!$G$2:$G$696,"Ampoule")</f>
        <v>0</v>
      </c>
      <c r="M233" s="5" t="n">
        <f aca="false">COUNTIFS('Product Rows'!$A$2:$A$696,B233,'Product Rows'!$B$2:$B$696,C233,'Product Rows'!$G$2:$G$696,"Prefilled syringe/pen")</f>
        <v>0</v>
      </c>
      <c r="N233" s="6" t="n">
        <f aca="false">IFERROR(AVERAGEIFS('Product Rows'!$H$2:$H$696,'Product Rows'!$A$2:$A$696,B233,'Product Rows'!$B$2:$B$696,C233),"")</f>
        <v>10.93</v>
      </c>
      <c r="O233" s="7" t="n">
        <f aca="false">INDEX('API Data'!$E$2:$E$152,MATCH(B233,'API Data'!$A$2:$A$152,0))</f>
        <v>260.91</v>
      </c>
      <c r="P233" s="5" t="n">
        <f aca="false">COUNTIF($B$5:$B$337,B233)</f>
        <v>2</v>
      </c>
      <c r="Q233" s="8" t="n">
        <f aca="false">IF(ISNUMBER(I233),PERCENTRANK($I$5:$I$337,I233),"")</f>
        <v>0.157</v>
      </c>
      <c r="R233" s="8" t="n">
        <f aca="false">IF(ISNUMBER(N233),PERCENTRANK($N$5:$N$337,N233),"")</f>
        <v>0.222</v>
      </c>
      <c r="S233" s="8" t="n">
        <f aca="false">IF(ISNUMBER(O233),PERCENTRANK($O$5:$O$337,O233),"")</f>
        <v>0.0693</v>
      </c>
      <c r="T233" s="8" t="n">
        <f aca="false">IF(ISNUMBER(P233),PERCENTRANK($P$5:$P$337,P233),"")</f>
        <v>0.235</v>
      </c>
      <c r="U233" s="9" t="n">
        <f aca="false">IF((IF(ISNUMBER(Q233),Inputs!$B$4,0)+IF(ISNUMBER(R233),Inputs!$B$5,0)+IF(ISNUMBER(S233),Inputs!$B$6,0)+IF(ISNUMBER(T233),Inputs!$B$7,0))=0,"",(IF(ISNUMBER(Q233),Inputs!$B$4*Q233,0)+IF(ISNUMBER(R233),Inputs!$B$5*R233,0)+IF(ISNUMBER(S233),Inputs!$B$6*S233,0)+IF(ISNUMBER(T233),Inputs!$B$7*T233,0))/(IF(ISNUMBER(Q233),Inputs!$B$4,0)+IF(ISNUMBER(R233),Inputs!$B$5,0)+IF(ISNUMBER(S233),Inputs!$B$6,0)+IF(ISNUMBER(T233),Inputs!$B$7,0)))</f>
        <v>0.14565</v>
      </c>
      <c r="V233" s="5" t="str">
        <f aca="false">IF(F233&gt;0,"Yes","No")</f>
        <v>Yes</v>
      </c>
      <c r="W233" s="5" t="str">
        <f aca="false">IF(ISNUMBER(N233),IF(N233&gt;=Inputs!$D$18,"Yes","No"),"No price")</f>
        <v>Yes</v>
      </c>
      <c r="X233" s="5" t="str">
        <f aca="false">IF(K233+L233&gt;0,"Yes",IF(M233&gt;0,"No","Unclear"))</f>
        <v>Yes</v>
      </c>
      <c r="Y233" s="5" t="str">
        <f aca="false">INDEX('API Data'!$H$2:$H$152,MATCH(B233,'API Data'!$A$2:$A$152,0))</f>
        <v>No</v>
      </c>
      <c r="Z233" s="5" t="str">
        <f aca="false">IF(COUNTIFS('Product Rows'!$A$2:$A$696,B233,'Product Rows'!$B$2:$B$696,C233,'Product Rows'!$I$2:$I$696,"Yes")&gt;0,"Yes","No")</f>
        <v>Yes</v>
      </c>
      <c r="AA233" s="5" t="str">
        <f aca="false">IF(P233&gt;=Inputs!$D$22,"Yes","No")</f>
        <v>No</v>
      </c>
      <c r="AB233" s="10" t="b">
        <f aca="false">AND(OR(Inputs!$B$17&lt;&gt;"Exclude",V233="Yes"),OR(Inputs!$B$18&lt;&gt;"Exclude",W233&lt;&gt;"No"),OR(Inputs!$B$19&lt;&gt;"Exclude",X233&lt;&gt;"No"),OR(Inputs!$B$20&lt;&gt;"Exclude",Y233="No"),OR(Inputs!$B$21&lt;&gt;"Exclude",Z233="No"),OR(Inputs!$B$22&lt;&gt;"Exclude",AA233="Yes"),ISNUMBER(U233))</f>
        <v>1</v>
      </c>
      <c r="AC233" s="5" t="n">
        <f aca="false">IF(AB233,COUNTIFS($C$5:$C$337,C233,$AB$5:$AB$337,TRUE(),$U$5:$U$337,"&gt;"&amp;U233)+COUNTIFS($C$5:C233,C233,$AB$5:AB233,TRUE(),$U$5:U233,U233),"")</f>
        <v>17</v>
      </c>
      <c r="AD233" s="5" t="str">
        <f aca="false">IF(AC233="","Not eligible",IF(AC233&lt;=Inputs!$B$25,"Lead",IF(AC233&lt;=Inputs!$B$25+Inputs!$B$26,"Next wave","Long list")))</f>
        <v>Long list</v>
      </c>
      <c r="AE233" s="5" t="str">
        <f aca="false">IF(AND(K233+L233=0,M233&gt;0),"Safety upgrade of existing prefilled syringe",IF(K233+L233+M233=0,"Confirm presentation (not stated in source)",IF(AA233="Yes","Differentiation in crowded generic market","Safety-device mandate compliance")))</f>
        <v>Safety-device mandate compliance</v>
      </c>
      <c r="AF233" s="5" t="str">
        <f aca="false">IF(AC233="","",C233&amp;"|"&amp;AC233)</f>
        <v>Wockhardt|17</v>
      </c>
    </row>
    <row r="234" customFormat="false" ht="15" hidden="false" customHeight="false" outlineLevel="0" collapsed="false">
      <c r="A234" s="5" t="n">
        <f aca="false">IF(ISNUMBER(U234),RANK(U234,$U$5:$U$337),"")</f>
        <v>220</v>
      </c>
      <c r="B234" s="5" t="s">
        <v>158</v>
      </c>
      <c r="C234" s="5" t="s">
        <v>40</v>
      </c>
      <c r="D234" s="5" t="str">
        <f aca="false">INDEX('API Data'!$B$2:$B$152,MATCH(B234,'API Data'!$A$2:$A$152,0))</f>
        <v>Women's health – labour induction; postpartum haemorrhage</v>
      </c>
      <c r="E234" s="5" t="n">
        <f aca="false">COUNTIFS('Market Listing'!$A$2:$A$4054,B234,'Market Listing'!$B$2:$B$4054,C234)</f>
        <v>1</v>
      </c>
      <c r="F234" s="5" t="n">
        <f aca="false">COUNTIFS('Market Listing'!$A$2:$A$4054,B234,'Market Listing'!$B$2:$B$4054,C234,'Market Listing'!$D$2:$D$4054,"Tier 1")</f>
        <v>0</v>
      </c>
      <c r="G234" s="5" t="n">
        <f aca="false">COUNTIFS('Market Listing'!$A$2:$A$4054,B234,'Market Listing'!$B$2:$B$4054,C234,'Market Listing'!$D$2:$D$4054,"Tier 2")</f>
        <v>1</v>
      </c>
      <c r="H234" s="5" t="n">
        <f aca="false">COUNTIFS('Market Listing'!$A$2:$A$4054,B234,'Market Listing'!$B$2:$B$4054,C234,'Market Listing'!$D$2:$D$4054,"Tier 3")</f>
        <v>0</v>
      </c>
      <c r="I234" s="5" t="n">
        <f aca="false">SUMIFS('Market Listing'!$E$2:$E$4054,'Market Listing'!$A$2:$A$4054,B234,'Market Listing'!$B$2:$B$4054,C234)</f>
        <v>2</v>
      </c>
      <c r="J234" s="5" t="n">
        <f aca="false">COUNTIFS('Product Rows'!$A$2:$A$696,B234,'Product Rows'!$B$2:$B$696,C234)</f>
        <v>1</v>
      </c>
      <c r="K234" s="5" t="n">
        <f aca="false">COUNTIFS('Product Rows'!$A$2:$A$696,B234,'Product Rows'!$B$2:$B$696,C234,'Product Rows'!$G$2:$G$696,"Vial")</f>
        <v>0</v>
      </c>
      <c r="L234" s="5" t="n">
        <f aca="false">COUNTIFS('Product Rows'!$A$2:$A$696,B234,'Product Rows'!$B$2:$B$696,C234,'Product Rows'!$G$2:$G$696,"Ampoule")</f>
        <v>1</v>
      </c>
      <c r="M234" s="5" t="n">
        <f aca="false">COUNTIFS('Product Rows'!$A$2:$A$696,B234,'Product Rows'!$B$2:$B$696,C234,'Product Rows'!$G$2:$G$696,"Prefilled syringe/pen")</f>
        <v>0</v>
      </c>
      <c r="N234" s="6" t="n">
        <f aca="false">IFERROR(AVERAGEIFS('Product Rows'!$H$2:$H$696,'Product Rows'!$A$2:$A$696,B234,'Product Rows'!$B$2:$B$696,C234),"")</f>
        <v>8.113</v>
      </c>
      <c r="O234" s="7" t="n">
        <f aca="false">INDEX('API Data'!$E$2:$E$152,MATCH(B234,'API Data'!$A$2:$A$152,0))</f>
        <v>7218.2154358059</v>
      </c>
      <c r="P234" s="5" t="n">
        <f aca="false">COUNTIF($B$5:$B$337,B234)</f>
        <v>1</v>
      </c>
      <c r="Q234" s="8" t="n">
        <f aca="false">IF(ISNUMBER(I234),PERCENTRANK($I$5:$I$337,I234),"")</f>
        <v>0</v>
      </c>
      <c r="R234" s="8" t="n">
        <f aca="false">IF(ISNUMBER(N234),PERCENTRANK($N$5:$N$337,N234),"")</f>
        <v>0.154</v>
      </c>
      <c r="S234" s="8" t="n">
        <f aca="false">IF(ISNUMBER(O234),PERCENTRANK($O$5:$O$337,O234),"")</f>
        <v>0.642</v>
      </c>
      <c r="T234" s="8" t="n">
        <f aca="false">IF(ISNUMBER(P234),PERCENTRANK($P$5:$P$337,P234),"")</f>
        <v>0</v>
      </c>
      <c r="U234" s="9" t="n">
        <f aca="false">IF((IF(ISNUMBER(Q234),Inputs!$B$4,0)+IF(ISNUMBER(R234),Inputs!$B$5,0)+IF(ISNUMBER(S234),Inputs!$B$6,0)+IF(ISNUMBER(T234),Inputs!$B$7,0))=0,"",(IF(ISNUMBER(Q234),Inputs!$B$4*Q234,0)+IF(ISNUMBER(R234),Inputs!$B$5*R234,0)+IF(ISNUMBER(S234),Inputs!$B$6*S234,0)+IF(ISNUMBER(T234),Inputs!$B$7*T234,0))/(IF(ISNUMBER(Q234),Inputs!$B$4,0)+IF(ISNUMBER(R234),Inputs!$B$5,0)+IF(ISNUMBER(S234),Inputs!$B$6,0)+IF(ISNUMBER(T234),Inputs!$B$7,0)))</f>
        <v>0.398</v>
      </c>
      <c r="V234" s="5" t="str">
        <f aca="false">IF(F234&gt;0,"Yes","No")</f>
        <v>No</v>
      </c>
      <c r="W234" s="5" t="str">
        <f aca="false">IF(ISNUMBER(N234),IF(N234&gt;=Inputs!$D$18,"Yes","No"),"No price")</f>
        <v>Yes</v>
      </c>
      <c r="X234" s="5" t="str">
        <f aca="false">IF(K234+L234&gt;0,"Yes",IF(M234&gt;0,"No","Unclear"))</f>
        <v>Yes</v>
      </c>
      <c r="Y234" s="5" t="str">
        <f aca="false">INDEX('API Data'!$H$2:$H$152,MATCH(B234,'API Data'!$A$2:$A$152,0))</f>
        <v>No</v>
      </c>
      <c r="Z234" s="5" t="str">
        <f aca="false">IF(COUNTIFS('Product Rows'!$A$2:$A$696,B234,'Product Rows'!$B$2:$B$696,C234,'Product Rows'!$I$2:$I$696,"Yes")&gt;0,"Yes","No")</f>
        <v>No</v>
      </c>
      <c r="AA234" s="5" t="str">
        <f aca="false">IF(P234&gt;=Inputs!$D$22,"Yes","No")</f>
        <v>No</v>
      </c>
      <c r="AB234" s="10" t="b">
        <f aca="false">AND(OR(Inputs!$B$17&lt;&gt;"Exclude",V234="Yes"),OR(Inputs!$B$18&lt;&gt;"Exclude",W234&lt;&gt;"No"),OR(Inputs!$B$19&lt;&gt;"Exclude",X234&lt;&gt;"No"),OR(Inputs!$B$20&lt;&gt;"Exclude",Y234="No"),OR(Inputs!$B$21&lt;&gt;"Exclude",Z234="No"),OR(Inputs!$B$22&lt;&gt;"Exclude",AA234="Yes"),ISNUMBER(U234))</f>
        <v>0</v>
      </c>
      <c r="AC234" s="5" t="str">
        <f aca="false">IF(AB234,COUNTIFS($C$5:$C$337,C234,$AB$5:$AB$337,TRUE(),$U$5:$U$337,"&gt;"&amp;U234)+COUNTIFS($C$5:C234,C234,$AB$5:AB234,TRUE(),$U$5:U234,U234),"")</f>
        <v/>
      </c>
      <c r="AD234" s="5" t="str">
        <f aca="false">IF(AC234="","Not eligible",IF(AC234&lt;=Inputs!$B$25,"Lead",IF(AC234&lt;=Inputs!$B$25+Inputs!$B$26,"Next wave","Long list")))</f>
        <v>Not eligible</v>
      </c>
      <c r="AE234" s="5" t="str">
        <f aca="false">IF(AND(K234+L234=0,M234&gt;0),"Safety upgrade of existing prefilled syringe",IF(K234+L234+M234=0,"Confirm presentation (not stated in source)",IF(AA234="Yes","Differentiation in crowded generic market","Safety-device mandate compliance")))</f>
        <v>Safety-device mandate compliance</v>
      </c>
      <c r="AF234" s="5" t="str">
        <f aca="false">IF(AC234="","",C234&amp;"|"&amp;AC234)</f>
        <v/>
      </c>
    </row>
    <row r="235" customFormat="false" ht="15" hidden="false" customHeight="false" outlineLevel="0" collapsed="false">
      <c r="A235" s="5" t="n">
        <f aca="false">IF(ISNUMBER(U235),RANK(U235,$U$5:$U$337),"")</f>
        <v>26</v>
      </c>
      <c r="B235" s="5" t="s">
        <v>159</v>
      </c>
      <c r="C235" s="5" t="s">
        <v>44</v>
      </c>
      <c r="D235" s="5" t="str">
        <f aca="false">INDEX('API Data'!$B$2:$B$152,MATCH(B235,'API Data'!$A$2:$A$152,0))</f>
        <v>Oncology – breast, ovarian &amp; lung cancers</v>
      </c>
      <c r="E235" s="5" t="n">
        <f aca="false">COUNTIFS('Market Listing'!$A$2:$A$4054,B235,'Market Listing'!$B$2:$B$4054,C235)</f>
        <v>1</v>
      </c>
      <c r="F235" s="5" t="n">
        <f aca="false">COUNTIFS('Market Listing'!$A$2:$A$4054,B235,'Market Listing'!$B$2:$B$4054,C235,'Market Listing'!$D$2:$D$4054,"Tier 1")</f>
        <v>1</v>
      </c>
      <c r="G235" s="5" t="n">
        <f aca="false">COUNTIFS('Market Listing'!$A$2:$A$4054,B235,'Market Listing'!$B$2:$B$4054,C235,'Market Listing'!$D$2:$D$4054,"Tier 2")</f>
        <v>0</v>
      </c>
      <c r="H235" s="5" t="n">
        <f aca="false">COUNTIFS('Market Listing'!$A$2:$A$4054,B235,'Market Listing'!$B$2:$B$4054,C235,'Market Listing'!$D$2:$D$4054,"Tier 3")</f>
        <v>0</v>
      </c>
      <c r="I235" s="5" t="n">
        <f aca="false">SUMIFS('Market Listing'!$E$2:$E$4054,'Market Listing'!$A$2:$A$4054,B235,'Market Listing'!$B$2:$B$4054,C235)</f>
        <v>3</v>
      </c>
      <c r="J235" s="5" t="n">
        <f aca="false">COUNTIFS('Product Rows'!$A$2:$A$696,B235,'Product Rows'!$B$2:$B$696,C235)</f>
        <v>1</v>
      </c>
      <c r="K235" s="5" t="n">
        <f aca="false">COUNTIFS('Product Rows'!$A$2:$A$696,B235,'Product Rows'!$B$2:$B$696,C235,'Product Rows'!$G$2:$G$696,"Vial")</f>
        <v>1</v>
      </c>
      <c r="L235" s="5" t="n">
        <f aca="false">COUNTIFS('Product Rows'!$A$2:$A$696,B235,'Product Rows'!$B$2:$B$696,C235,'Product Rows'!$G$2:$G$696,"Ampoule")</f>
        <v>0</v>
      </c>
      <c r="M235" s="5" t="n">
        <f aca="false">COUNTIFS('Product Rows'!$A$2:$A$696,B235,'Product Rows'!$B$2:$B$696,C235,'Product Rows'!$G$2:$G$696,"Prefilled syringe/pen")</f>
        <v>0</v>
      </c>
      <c r="N235" s="6" t="n">
        <f aca="false">IFERROR(AVERAGEIFS('Product Rows'!$H$2:$H$696,'Product Rows'!$A$2:$A$696,B235,'Product Rows'!$B$2:$B$696,C235),"")</f>
        <v>261.8</v>
      </c>
      <c r="O235" s="7" t="n">
        <f aca="false">INDEX('API Data'!$E$2:$E$152,MATCH(B235,'API Data'!$A$2:$A$152,0))</f>
        <v>26948.7929464286</v>
      </c>
      <c r="P235" s="5" t="n">
        <f aca="false">COUNTIF($B$5:$B$337,B235)</f>
        <v>1</v>
      </c>
      <c r="Q235" s="8" t="n">
        <f aca="false">IF(ISNUMBER(I235),PERCENTRANK($I$5:$I$337,I235),"")</f>
        <v>0.157</v>
      </c>
      <c r="R235" s="8" t="n">
        <f aca="false">IF(ISNUMBER(N235),PERCENTRANK($N$5:$N$337,N235),"")</f>
        <v>0.875</v>
      </c>
      <c r="S235" s="8" t="n">
        <f aca="false">IF(ISNUMBER(O235),PERCENTRANK($O$5:$O$337,O235),"")</f>
        <v>0.789</v>
      </c>
      <c r="T235" s="8" t="n">
        <f aca="false">IF(ISNUMBER(P235),PERCENTRANK($P$5:$P$337,P235),"")</f>
        <v>0</v>
      </c>
      <c r="U235" s="9" t="n">
        <f aca="false">IF((IF(ISNUMBER(Q235),Inputs!$B$4,0)+IF(ISNUMBER(R235),Inputs!$B$5,0)+IF(ISNUMBER(S235),Inputs!$B$6,0)+IF(ISNUMBER(T235),Inputs!$B$7,0))=0,"",(IF(ISNUMBER(Q235),Inputs!$B$4*Q235,0)+IF(ISNUMBER(R235),Inputs!$B$5*R235,0)+IF(ISNUMBER(S235),Inputs!$B$6*S235,0)+IF(ISNUMBER(T235),Inputs!$B$7*T235,0))/(IF(ISNUMBER(Q235),Inputs!$B$4,0)+IF(ISNUMBER(R235),Inputs!$B$5,0)+IF(ISNUMBER(S235),Inputs!$B$6,0)+IF(ISNUMBER(T235),Inputs!$B$7,0)))</f>
        <v>0.832</v>
      </c>
      <c r="V235" s="5" t="str">
        <f aca="false">IF(F235&gt;0,"Yes","No")</f>
        <v>Yes</v>
      </c>
      <c r="W235" s="5" t="str">
        <f aca="false">IF(ISNUMBER(N235),IF(N235&gt;=Inputs!$D$18,"Yes","No"),"No price")</f>
        <v>Yes</v>
      </c>
      <c r="X235" s="5" t="str">
        <f aca="false">IF(K235+L235&gt;0,"Yes",IF(M235&gt;0,"No","Unclear"))</f>
        <v>Yes</v>
      </c>
      <c r="Y235" s="5" t="str">
        <f aca="false">INDEX('API Data'!$H$2:$H$152,MATCH(B235,'API Data'!$A$2:$A$152,0))</f>
        <v>Yes</v>
      </c>
      <c r="Z235" s="5" t="str">
        <f aca="false">IF(COUNTIFS('Product Rows'!$A$2:$A$696,B235,'Product Rows'!$B$2:$B$696,C235,'Product Rows'!$I$2:$I$696,"Yes")&gt;0,"Yes","No")</f>
        <v>No</v>
      </c>
      <c r="AA235" s="5" t="str">
        <f aca="false">IF(P235&gt;=Inputs!$D$22,"Yes","No")</f>
        <v>No</v>
      </c>
      <c r="AB235" s="10" t="b">
        <f aca="false">AND(OR(Inputs!$B$17&lt;&gt;"Exclude",V235="Yes"),OR(Inputs!$B$18&lt;&gt;"Exclude",W235&lt;&gt;"No"),OR(Inputs!$B$19&lt;&gt;"Exclude",X235&lt;&gt;"No"),OR(Inputs!$B$20&lt;&gt;"Exclude",Y235="No"),OR(Inputs!$B$21&lt;&gt;"Exclude",Z235="No"),OR(Inputs!$B$22&lt;&gt;"Exclude",AA235="Yes"),ISNUMBER(U235))</f>
        <v>1</v>
      </c>
      <c r="AC235" s="5" t="n">
        <f aca="false">IF(AB235,COUNTIFS($C$5:$C$337,C235,$AB$5:$AB$337,TRUE(),$U$5:$U$337,"&gt;"&amp;U235)+COUNTIFS($C$5:C235,C235,$AB$5:AB235,TRUE(),$U$5:U235,U235),"")</f>
        <v>6</v>
      </c>
      <c r="AD235" s="5" t="str">
        <f aca="false">IF(AC235="","Not eligible",IF(AC235&lt;=Inputs!$B$25,"Lead",IF(AC235&lt;=Inputs!$B$25+Inputs!$B$26,"Next wave","Long list")))</f>
        <v>Next wave</v>
      </c>
      <c r="AE235" s="5" t="str">
        <f aca="false">IF(AND(K235+L235=0,M235&gt;0),"Safety upgrade of existing prefilled syringe",IF(K235+L235+M235=0,"Confirm presentation (not stated in source)",IF(AA235="Yes","Differentiation in crowded generic market","Safety-device mandate compliance")))</f>
        <v>Safety-device mandate compliance</v>
      </c>
      <c r="AF235" s="5" t="str">
        <f aca="false">IF(AC235="","",C235&amp;"|"&amp;AC235)</f>
        <v>Intas Pharmaceuticals|6</v>
      </c>
    </row>
    <row r="236" customFormat="false" ht="15" hidden="false" customHeight="false" outlineLevel="0" collapsed="false">
      <c r="A236" s="5" t="n">
        <f aca="false">IF(ISNUMBER(U236),RANK(U236,$U$5:$U$337),"")</f>
        <v>71</v>
      </c>
      <c r="B236" s="5" t="s">
        <v>160</v>
      </c>
      <c r="C236" s="5" t="s">
        <v>115</v>
      </c>
      <c r="D236" s="5" t="str">
        <f aca="false">INDEX('API Data'!$B$2:$B$152,MATCH(B236,'API Data'!$A$2:$A$152,0))</f>
        <v>Psychiatry – schizophrenia (long-acting injectable)</v>
      </c>
      <c r="E236" s="5" t="n">
        <f aca="false">COUNTIFS('Market Listing'!$A$2:$A$4054,B236,'Market Listing'!$B$2:$B$4054,C236)</f>
        <v>31</v>
      </c>
      <c r="F236" s="5" t="n">
        <f aca="false">COUNTIFS('Market Listing'!$A$2:$A$4054,B236,'Market Listing'!$B$2:$B$4054,C236,'Market Listing'!$D$2:$D$4054,"Tier 1")</f>
        <v>5</v>
      </c>
      <c r="G236" s="5" t="n">
        <f aca="false">COUNTIFS('Market Listing'!$A$2:$A$4054,B236,'Market Listing'!$B$2:$B$4054,C236,'Market Listing'!$D$2:$D$4054,"Tier 2")</f>
        <v>3</v>
      </c>
      <c r="H236" s="5" t="n">
        <f aca="false">COUNTIFS('Market Listing'!$A$2:$A$4054,B236,'Market Listing'!$B$2:$B$4054,C236,'Market Listing'!$D$2:$D$4054,"Tier 3")</f>
        <v>23</v>
      </c>
      <c r="I236" s="5" t="n">
        <f aca="false">SUMIFS('Market Listing'!$E$2:$E$4054,'Market Listing'!$A$2:$A$4054,B236,'Market Listing'!$B$2:$B$4054,C236)</f>
        <v>44</v>
      </c>
      <c r="J236" s="5" t="n">
        <f aca="false">COUNTIFS('Product Rows'!$A$2:$A$696,B236,'Product Rows'!$B$2:$B$696,C236)</f>
        <v>1</v>
      </c>
      <c r="K236" s="5" t="n">
        <f aca="false">COUNTIFS('Product Rows'!$A$2:$A$696,B236,'Product Rows'!$B$2:$B$696,C236,'Product Rows'!$G$2:$G$696,"Vial")</f>
        <v>0</v>
      </c>
      <c r="L236" s="5" t="n">
        <f aca="false">COUNTIFS('Product Rows'!$A$2:$A$696,B236,'Product Rows'!$B$2:$B$696,C236,'Product Rows'!$G$2:$G$696,"Ampoule")</f>
        <v>0</v>
      </c>
      <c r="M236" s="5" t="n">
        <f aca="false">COUNTIFS('Product Rows'!$A$2:$A$696,B236,'Product Rows'!$B$2:$B$696,C236,'Product Rows'!$G$2:$G$696,"Prefilled syringe/pen")</f>
        <v>1</v>
      </c>
      <c r="N236" s="6" t="n">
        <f aca="false">IFERROR(AVERAGEIFS('Product Rows'!$H$2:$H$696,'Product Rows'!$A$2:$A$696,B236,'Product Rows'!$B$2:$B$696,C236),"")</f>
        <v>118.3449</v>
      </c>
      <c r="O236" s="7" t="n">
        <f aca="false">INDEX('API Data'!$E$2:$E$152,MATCH(B236,'API Data'!$A$2:$A$152,0))</f>
        <v>6183.15856927111</v>
      </c>
      <c r="P236" s="5" t="n">
        <f aca="false">COUNTIF($B$5:$B$337,B236)</f>
        <v>1</v>
      </c>
      <c r="Q236" s="8" t="n">
        <f aca="false">IF(ISNUMBER(I236),PERCENTRANK($I$5:$I$337,I236),"")</f>
        <v>0.798</v>
      </c>
      <c r="R236" s="8" t="n">
        <f aca="false">IF(ISNUMBER(N236),PERCENTRANK($N$5:$N$337,N236),"")</f>
        <v>0.763</v>
      </c>
      <c r="S236" s="8" t="n">
        <f aca="false">IF(ISNUMBER(O236),PERCENTRANK($O$5:$O$337,O236),"")</f>
        <v>0.584</v>
      </c>
      <c r="T236" s="8" t="n">
        <f aca="false">IF(ISNUMBER(P236),PERCENTRANK($P$5:$P$337,P236),"")</f>
        <v>0</v>
      </c>
      <c r="U236" s="9" t="n">
        <f aca="false">IF((IF(ISNUMBER(Q236),Inputs!$B$4,0)+IF(ISNUMBER(R236),Inputs!$B$5,0)+IF(ISNUMBER(S236),Inputs!$B$6,0)+IF(ISNUMBER(T236),Inputs!$B$7,0))=0,"",(IF(ISNUMBER(Q236),Inputs!$B$4*Q236,0)+IF(ISNUMBER(R236),Inputs!$B$5*R236,0)+IF(ISNUMBER(S236),Inputs!$B$6*S236,0)+IF(ISNUMBER(T236),Inputs!$B$7*T236,0))/(IF(ISNUMBER(Q236),Inputs!$B$4,0)+IF(ISNUMBER(R236),Inputs!$B$5,0)+IF(ISNUMBER(S236),Inputs!$B$6,0)+IF(ISNUMBER(T236),Inputs!$B$7,0)))</f>
        <v>0.6735</v>
      </c>
      <c r="V236" s="5" t="str">
        <f aca="false">IF(F236&gt;0,"Yes","No")</f>
        <v>Yes</v>
      </c>
      <c r="W236" s="5" t="str">
        <f aca="false">IF(ISNUMBER(N236),IF(N236&gt;=Inputs!$D$18,"Yes","No"),"No price")</f>
        <v>Yes</v>
      </c>
      <c r="X236" s="5" t="str">
        <f aca="false">IF(K236+L236&gt;0,"Yes",IF(M236&gt;0,"No","Unclear"))</f>
        <v>No</v>
      </c>
      <c r="Y236" s="5" t="str">
        <f aca="false">INDEX('API Data'!$H$2:$H$152,MATCH(B236,'API Data'!$A$2:$A$152,0))</f>
        <v>No</v>
      </c>
      <c r="Z236" s="5" t="str">
        <f aca="false">IF(COUNTIFS('Product Rows'!$A$2:$A$696,B236,'Product Rows'!$B$2:$B$696,C236,'Product Rows'!$I$2:$I$696,"Yes")&gt;0,"Yes","No")</f>
        <v>No</v>
      </c>
      <c r="AA236" s="5" t="str">
        <f aca="false">IF(P236&gt;=Inputs!$D$22,"Yes","No")</f>
        <v>No</v>
      </c>
      <c r="AB236" s="10" t="b">
        <f aca="false">AND(OR(Inputs!$B$17&lt;&gt;"Exclude",V236="Yes"),OR(Inputs!$B$18&lt;&gt;"Exclude",W236&lt;&gt;"No"),OR(Inputs!$B$19&lt;&gt;"Exclude",X236&lt;&gt;"No"),OR(Inputs!$B$20&lt;&gt;"Exclude",Y236="No"),OR(Inputs!$B$21&lt;&gt;"Exclude",Z236="No"),OR(Inputs!$B$22&lt;&gt;"Exclude",AA236="Yes"),ISNUMBER(U236))</f>
        <v>1</v>
      </c>
      <c r="AC236" s="5" t="n">
        <f aca="false">IF(AB236,COUNTIFS($C$5:$C$337,C236,$AB$5:$AB$337,TRUE(),$U$5:$U$337,"&gt;"&amp;U236)+COUNTIFS($C$5:C236,C236,$AB$5:AB236,TRUE(),$U$5:U236,U236),"")</f>
        <v>3</v>
      </c>
      <c r="AD236" s="5" t="str">
        <f aca="false">IF(AC236="","Not eligible",IF(AC236&lt;=Inputs!$B$25,"Lead",IF(AC236&lt;=Inputs!$B$25+Inputs!$B$26,"Next wave","Long list")))</f>
        <v>Lead</v>
      </c>
      <c r="AE236" s="5" t="str">
        <f aca="false">IF(AND(K236+L236=0,M236&gt;0),"Safety upgrade of existing prefilled syringe",IF(K236+L236+M236=0,"Confirm presentation (not stated in source)",IF(AA236="Yes","Differentiation in crowded generic market","Safety-device mandate compliance")))</f>
        <v>Safety upgrade of existing prefilled syringe</v>
      </c>
      <c r="AF236" s="5" t="str">
        <f aca="false">IF(AC236="","",C236&amp;"|"&amp;AC236)</f>
        <v>Torrent Pharmaceuticals|3</v>
      </c>
    </row>
    <row r="237" customFormat="false" ht="15" hidden="false" customHeight="false" outlineLevel="0" collapsed="false">
      <c r="A237" s="5" t="n">
        <f aca="false">IF(ISNUMBER(U237),RANK(U237,$U$5:$U$337),"")</f>
        <v>279</v>
      </c>
      <c r="B237" s="5" t="s">
        <v>161</v>
      </c>
      <c r="C237" s="5" t="s">
        <v>47</v>
      </c>
      <c r="D237" s="5" t="str">
        <f aca="false">INDEX('API Data'!$B$2:$B$152,MATCH(B237,'API Data'!$A$2:$A$152,0))</f>
        <v>Oncology supportive – chemotherapy-induced nausea/vomiting</v>
      </c>
      <c r="E237" s="5" t="n">
        <f aca="false">COUNTIFS('Market Listing'!$A$2:$A$4054,B237,'Market Listing'!$B$2:$B$4054,C237)</f>
        <v>1</v>
      </c>
      <c r="F237" s="5" t="n">
        <f aca="false">COUNTIFS('Market Listing'!$A$2:$A$4054,B237,'Market Listing'!$B$2:$B$4054,C237,'Market Listing'!$D$2:$D$4054,"Tier 1")</f>
        <v>1</v>
      </c>
      <c r="G237" s="5" t="n">
        <f aca="false">COUNTIFS('Market Listing'!$A$2:$A$4054,B237,'Market Listing'!$B$2:$B$4054,C237,'Market Listing'!$D$2:$D$4054,"Tier 2")</f>
        <v>0</v>
      </c>
      <c r="H237" s="5" t="n">
        <f aca="false">COUNTIFS('Market Listing'!$A$2:$A$4054,B237,'Market Listing'!$B$2:$B$4054,C237,'Market Listing'!$D$2:$D$4054,"Tier 3")</f>
        <v>0</v>
      </c>
      <c r="I237" s="5" t="n">
        <f aca="false">SUMIFS('Market Listing'!$E$2:$E$4054,'Market Listing'!$A$2:$A$4054,B237,'Market Listing'!$B$2:$B$4054,C237)</f>
        <v>3</v>
      </c>
      <c r="J237" s="5" t="n">
        <f aca="false">COUNTIFS('Product Rows'!$A$2:$A$696,B237,'Product Rows'!$B$2:$B$696,C237)</f>
        <v>1</v>
      </c>
      <c r="K237" s="5" t="n">
        <f aca="false">COUNTIFS('Product Rows'!$A$2:$A$696,B237,'Product Rows'!$B$2:$B$696,C237,'Product Rows'!$G$2:$G$696,"Vial")</f>
        <v>1</v>
      </c>
      <c r="L237" s="5" t="n">
        <f aca="false">COUNTIFS('Product Rows'!$A$2:$A$696,B237,'Product Rows'!$B$2:$B$696,C237,'Product Rows'!$G$2:$G$696,"Ampoule")</f>
        <v>0</v>
      </c>
      <c r="M237" s="5" t="n">
        <f aca="false">COUNTIFS('Product Rows'!$A$2:$A$696,B237,'Product Rows'!$B$2:$B$696,C237,'Product Rows'!$G$2:$G$696,"Prefilled syringe/pen")</f>
        <v>0</v>
      </c>
      <c r="N237" s="6" t="n">
        <f aca="false">IFERROR(AVERAGEIFS('Product Rows'!$H$2:$H$696,'Product Rows'!$A$2:$A$696,B237,'Product Rows'!$B$2:$B$696,C237),"")</f>
        <v>9.74</v>
      </c>
      <c r="O237" s="7" t="n">
        <f aca="false">INDEX('API Data'!$E$2:$E$152,MATCH(B237,'API Data'!$A$2:$A$152,0))</f>
        <v>2802.08660300926</v>
      </c>
      <c r="P237" s="5" t="n">
        <f aca="false">COUNTIF($B$5:$B$337,B237)</f>
        <v>5</v>
      </c>
      <c r="Q237" s="8" t="n">
        <f aca="false">IF(ISNUMBER(I237),PERCENTRANK($I$5:$I$337,I237),"")</f>
        <v>0.157</v>
      </c>
      <c r="R237" s="8" t="n">
        <f aca="false">IF(ISNUMBER(N237),PERCENTRANK($N$5:$N$337,N237),"")</f>
        <v>0.186</v>
      </c>
      <c r="S237" s="8" t="n">
        <f aca="false">IF(ISNUMBER(O237),PERCENTRANK($O$5:$O$337,O237),"")</f>
        <v>0.352</v>
      </c>
      <c r="T237" s="8" t="n">
        <f aca="false">IF(ISNUMBER(P237),PERCENTRANK($P$5:$P$337,P237),"")</f>
        <v>0.702</v>
      </c>
      <c r="U237" s="9" t="n">
        <f aca="false">IF((IF(ISNUMBER(Q237),Inputs!$B$4,0)+IF(ISNUMBER(R237),Inputs!$B$5,0)+IF(ISNUMBER(S237),Inputs!$B$6,0)+IF(ISNUMBER(T237),Inputs!$B$7,0))=0,"",(IF(ISNUMBER(Q237),Inputs!$B$4*Q237,0)+IF(ISNUMBER(R237),Inputs!$B$5*R237,0)+IF(ISNUMBER(S237),Inputs!$B$6*S237,0)+IF(ISNUMBER(T237),Inputs!$B$7*T237,0))/(IF(ISNUMBER(Q237),Inputs!$B$4,0)+IF(ISNUMBER(R237),Inputs!$B$5,0)+IF(ISNUMBER(S237),Inputs!$B$6,0)+IF(ISNUMBER(T237),Inputs!$B$7,0)))</f>
        <v>0.269</v>
      </c>
      <c r="V237" s="5" t="str">
        <f aca="false">IF(F237&gt;0,"Yes","No")</f>
        <v>Yes</v>
      </c>
      <c r="W237" s="5" t="str">
        <f aca="false">IF(ISNUMBER(N237),IF(N237&gt;=Inputs!$D$18,"Yes","No"),"No price")</f>
        <v>Yes</v>
      </c>
      <c r="X237" s="5" t="str">
        <f aca="false">IF(K237+L237&gt;0,"Yes",IF(M237&gt;0,"No","Unclear"))</f>
        <v>Yes</v>
      </c>
      <c r="Y237" s="5" t="str">
        <f aca="false">INDEX('API Data'!$H$2:$H$152,MATCH(B237,'API Data'!$A$2:$A$152,0))</f>
        <v>No</v>
      </c>
      <c r="Z237" s="5" t="str">
        <f aca="false">IF(COUNTIFS('Product Rows'!$A$2:$A$696,B237,'Product Rows'!$B$2:$B$696,C237,'Product Rows'!$I$2:$I$696,"Yes")&gt;0,"Yes","No")</f>
        <v>No</v>
      </c>
      <c r="AA237" s="5" t="str">
        <f aca="false">IF(P237&gt;=Inputs!$D$22,"Yes","No")</f>
        <v>Yes</v>
      </c>
      <c r="AB237" s="10" t="b">
        <f aca="false">AND(OR(Inputs!$B$17&lt;&gt;"Exclude",V237="Yes"),OR(Inputs!$B$18&lt;&gt;"Exclude",W237&lt;&gt;"No"),OR(Inputs!$B$19&lt;&gt;"Exclude",X237&lt;&gt;"No"),OR(Inputs!$B$20&lt;&gt;"Exclude",Y237="No"),OR(Inputs!$B$21&lt;&gt;"Exclude",Z237="No"),OR(Inputs!$B$22&lt;&gt;"Exclude",AA237="Yes"),ISNUMBER(U237))</f>
        <v>1</v>
      </c>
      <c r="AC237" s="5" t="n">
        <f aca="false">IF(AB237,COUNTIFS($C$5:$C$337,C237,$AB$5:$AB$337,TRUE(),$U$5:$U$337,"&gt;"&amp;U237)+COUNTIFS($C$5:C237,C237,$AB$5:AB237,TRUE(),$U$5:U237,U237),"")</f>
        <v>43</v>
      </c>
      <c r="AD237" s="5" t="str">
        <f aca="false">IF(AC237="","Not eligible",IF(AC237&lt;=Inputs!$B$25,"Lead",IF(AC237&lt;=Inputs!$B$25+Inputs!$B$26,"Next wave","Long list")))</f>
        <v>Long list</v>
      </c>
      <c r="AE237" s="5" t="str">
        <f aca="false">IF(AND(K237+L237=0,M237&gt;0),"Safety upgrade of existing prefilled syringe",IF(K237+L237+M237=0,"Confirm presentation (not stated in source)",IF(AA237="Yes","Differentiation in crowded generic market","Safety-device mandate compliance")))</f>
        <v>Differentiation in crowded generic market</v>
      </c>
      <c r="AF237" s="5" t="str">
        <f aca="false">IF(AC237="","",C237&amp;"|"&amp;AC237)</f>
        <v>Aurobindo Pharma|43</v>
      </c>
    </row>
    <row r="238" customFormat="false" ht="15" hidden="false" customHeight="false" outlineLevel="0" collapsed="false">
      <c r="A238" s="5" t="n">
        <f aca="false">IF(ISNUMBER(U238),RANK(U238,$U$5:$U$337),"")</f>
        <v>301</v>
      </c>
      <c r="B238" s="5" t="s">
        <v>161</v>
      </c>
      <c r="C238" s="5" t="s">
        <v>54</v>
      </c>
      <c r="D238" s="5" t="str">
        <f aca="false">INDEX('API Data'!$B$2:$B$152,MATCH(B238,'API Data'!$A$2:$A$152,0))</f>
        <v>Oncology supportive – chemotherapy-induced nausea/vomiting</v>
      </c>
      <c r="E238" s="5" t="n">
        <f aca="false">COUNTIFS('Market Listing'!$A$2:$A$4054,B238,'Market Listing'!$B$2:$B$4054,C238)</f>
        <v>1</v>
      </c>
      <c r="F238" s="5" t="n">
        <f aca="false">COUNTIFS('Market Listing'!$A$2:$A$4054,B238,'Market Listing'!$B$2:$B$4054,C238,'Market Listing'!$D$2:$D$4054,"Tier 1")</f>
        <v>0</v>
      </c>
      <c r="G238" s="5" t="n">
        <f aca="false">COUNTIFS('Market Listing'!$A$2:$A$4054,B238,'Market Listing'!$B$2:$B$4054,C238,'Market Listing'!$D$2:$D$4054,"Tier 2")</f>
        <v>1</v>
      </c>
      <c r="H238" s="5" t="n">
        <f aca="false">COUNTIFS('Market Listing'!$A$2:$A$4054,B238,'Market Listing'!$B$2:$B$4054,C238,'Market Listing'!$D$2:$D$4054,"Tier 3")</f>
        <v>0</v>
      </c>
      <c r="I238" s="5" t="n">
        <f aca="false">SUMIFS('Market Listing'!$E$2:$E$4054,'Market Listing'!$A$2:$A$4054,B238,'Market Listing'!$B$2:$B$4054,C238)</f>
        <v>2</v>
      </c>
      <c r="J238" s="5" t="n">
        <f aca="false">COUNTIFS('Product Rows'!$A$2:$A$696,B238,'Product Rows'!$B$2:$B$696,C238)</f>
        <v>1</v>
      </c>
      <c r="K238" s="5" t="n">
        <f aca="false">COUNTIFS('Product Rows'!$A$2:$A$696,B238,'Product Rows'!$B$2:$B$696,C238,'Product Rows'!$G$2:$G$696,"Vial")</f>
        <v>1</v>
      </c>
      <c r="L238" s="5" t="n">
        <f aca="false">COUNTIFS('Product Rows'!$A$2:$A$696,B238,'Product Rows'!$B$2:$B$696,C238,'Product Rows'!$G$2:$G$696,"Ampoule")</f>
        <v>0</v>
      </c>
      <c r="M238" s="5" t="n">
        <f aca="false">COUNTIFS('Product Rows'!$A$2:$A$696,B238,'Product Rows'!$B$2:$B$696,C238,'Product Rows'!$G$2:$G$696,"Prefilled syringe/pen")</f>
        <v>0</v>
      </c>
      <c r="N238" s="6" t="n">
        <f aca="false">IFERROR(AVERAGEIFS('Product Rows'!$H$2:$H$696,'Product Rows'!$A$2:$A$696,B238,'Product Rows'!$B$2:$B$696,C238),"")</f>
        <v>6.937</v>
      </c>
      <c r="O238" s="7" t="n">
        <f aca="false">INDEX('API Data'!$E$2:$E$152,MATCH(B238,'API Data'!$A$2:$A$152,0))</f>
        <v>2802.08660300926</v>
      </c>
      <c r="P238" s="5" t="n">
        <f aca="false">COUNTIF($B$5:$B$337,B238)</f>
        <v>5</v>
      </c>
      <c r="Q238" s="8" t="n">
        <f aca="false">IF(ISNUMBER(I238),PERCENTRANK($I$5:$I$337,I238),"")</f>
        <v>0</v>
      </c>
      <c r="R238" s="8" t="n">
        <f aca="false">IF(ISNUMBER(N238),PERCENTRANK($N$5:$N$337,N238),"")</f>
        <v>0.0968</v>
      </c>
      <c r="S238" s="8" t="n">
        <f aca="false">IF(ISNUMBER(O238),PERCENTRANK($O$5:$O$337,O238),"")</f>
        <v>0.352</v>
      </c>
      <c r="T238" s="8" t="n">
        <f aca="false">IF(ISNUMBER(P238),PERCENTRANK($P$5:$P$337,P238),"")</f>
        <v>0.702</v>
      </c>
      <c r="U238" s="9" t="n">
        <f aca="false">IF((IF(ISNUMBER(Q238),Inputs!$B$4,0)+IF(ISNUMBER(R238),Inputs!$B$5,0)+IF(ISNUMBER(S238),Inputs!$B$6,0)+IF(ISNUMBER(T238),Inputs!$B$7,0))=0,"",(IF(ISNUMBER(Q238),Inputs!$B$4*Q238,0)+IF(ISNUMBER(R238),Inputs!$B$5*R238,0)+IF(ISNUMBER(S238),Inputs!$B$6*S238,0)+IF(ISNUMBER(T238),Inputs!$B$7*T238,0))/(IF(ISNUMBER(Q238),Inputs!$B$4,0)+IF(ISNUMBER(R238),Inputs!$B$5,0)+IF(ISNUMBER(S238),Inputs!$B$6,0)+IF(ISNUMBER(T238),Inputs!$B$7,0)))</f>
        <v>0.2244</v>
      </c>
      <c r="V238" s="5" t="str">
        <f aca="false">IF(F238&gt;0,"Yes","No")</f>
        <v>No</v>
      </c>
      <c r="W238" s="5" t="str">
        <f aca="false">IF(ISNUMBER(N238),IF(N238&gt;=Inputs!$D$18,"Yes","No"),"No price")</f>
        <v>Yes</v>
      </c>
      <c r="X238" s="5" t="str">
        <f aca="false">IF(K238+L238&gt;0,"Yes",IF(M238&gt;0,"No","Unclear"))</f>
        <v>Yes</v>
      </c>
      <c r="Y238" s="5" t="str">
        <f aca="false">INDEX('API Data'!$H$2:$H$152,MATCH(B238,'API Data'!$A$2:$A$152,0))</f>
        <v>No</v>
      </c>
      <c r="Z238" s="5" t="str">
        <f aca="false">IF(COUNTIFS('Product Rows'!$A$2:$A$696,B238,'Product Rows'!$B$2:$B$696,C238,'Product Rows'!$I$2:$I$696,"Yes")&gt;0,"Yes","No")</f>
        <v>No</v>
      </c>
      <c r="AA238" s="5" t="str">
        <f aca="false">IF(P238&gt;=Inputs!$D$22,"Yes","No")</f>
        <v>Yes</v>
      </c>
      <c r="AB238" s="10" t="b">
        <f aca="false">AND(OR(Inputs!$B$17&lt;&gt;"Exclude",V238="Yes"),OR(Inputs!$B$18&lt;&gt;"Exclude",W238&lt;&gt;"No"),OR(Inputs!$B$19&lt;&gt;"Exclude",X238&lt;&gt;"No"),OR(Inputs!$B$20&lt;&gt;"Exclude",Y238="No"),OR(Inputs!$B$21&lt;&gt;"Exclude",Z238="No"),OR(Inputs!$B$22&lt;&gt;"Exclude",AA238="Yes"),ISNUMBER(U238))</f>
        <v>0</v>
      </c>
      <c r="AC238" s="5" t="str">
        <f aca="false">IF(AB238,COUNTIFS($C$5:$C$337,C238,$AB$5:$AB$337,TRUE(),$U$5:$U$337,"&gt;"&amp;U238)+COUNTIFS($C$5:C238,C238,$AB$5:AB238,TRUE(),$U$5:U238,U238),"")</f>
        <v/>
      </c>
      <c r="AD238" s="5" t="str">
        <f aca="false">IF(AC238="","Not eligible",IF(AC238&lt;=Inputs!$B$25,"Lead",IF(AC238&lt;=Inputs!$B$25+Inputs!$B$26,"Next wave","Long list")))</f>
        <v>Not eligible</v>
      </c>
      <c r="AE238" s="5" t="str">
        <f aca="false">IF(AND(K238+L238=0,M238&gt;0),"Safety upgrade of existing prefilled syringe",IF(K238+L238+M238=0,"Confirm presentation (not stated in source)",IF(AA238="Yes","Differentiation in crowded generic market","Safety-device mandate compliance")))</f>
        <v>Differentiation in crowded generic market</v>
      </c>
      <c r="AF238" s="5" t="str">
        <f aca="false">IF(AC238="","",C238&amp;"|"&amp;AC238)</f>
        <v/>
      </c>
    </row>
    <row r="239" customFormat="false" ht="15" hidden="false" customHeight="false" outlineLevel="0" collapsed="false">
      <c r="A239" s="5" t="n">
        <f aca="false">IF(ISNUMBER(U239),RANK(U239,$U$5:$U$337),"")</f>
        <v>181</v>
      </c>
      <c r="B239" s="5" t="s">
        <v>161</v>
      </c>
      <c r="C239" s="5" t="s">
        <v>55</v>
      </c>
      <c r="D239" s="5" t="str">
        <f aca="false">INDEX('API Data'!$B$2:$B$152,MATCH(B239,'API Data'!$A$2:$A$152,0))</f>
        <v>Oncology supportive – chemotherapy-induced nausea/vomiting</v>
      </c>
      <c r="E239" s="5" t="n">
        <f aca="false">COUNTIFS('Market Listing'!$A$2:$A$4054,B239,'Market Listing'!$B$2:$B$4054,C239)</f>
        <v>29</v>
      </c>
      <c r="F239" s="5" t="n">
        <f aca="false">COUNTIFS('Market Listing'!$A$2:$A$4054,B239,'Market Listing'!$B$2:$B$4054,C239,'Market Listing'!$D$2:$D$4054,"Tier 1")</f>
        <v>5</v>
      </c>
      <c r="G239" s="5" t="n">
        <f aca="false">COUNTIFS('Market Listing'!$A$2:$A$4054,B239,'Market Listing'!$B$2:$B$4054,C239,'Market Listing'!$D$2:$D$4054,"Tier 2")</f>
        <v>4</v>
      </c>
      <c r="H239" s="5" t="n">
        <f aca="false">COUNTIFS('Market Listing'!$A$2:$A$4054,B239,'Market Listing'!$B$2:$B$4054,C239,'Market Listing'!$D$2:$D$4054,"Tier 3")</f>
        <v>20</v>
      </c>
      <c r="I239" s="5" t="n">
        <f aca="false">SUMIFS('Market Listing'!$E$2:$E$4054,'Market Listing'!$A$2:$A$4054,B239,'Market Listing'!$B$2:$B$4054,C239)</f>
        <v>43</v>
      </c>
      <c r="J239" s="5" t="n">
        <f aca="false">COUNTIFS('Product Rows'!$A$2:$A$696,B239,'Product Rows'!$B$2:$B$696,C239)</f>
        <v>3</v>
      </c>
      <c r="K239" s="5" t="n">
        <f aca="false">COUNTIFS('Product Rows'!$A$2:$A$696,B239,'Product Rows'!$B$2:$B$696,C239,'Product Rows'!$G$2:$G$696,"Vial")</f>
        <v>3</v>
      </c>
      <c r="L239" s="5" t="n">
        <f aca="false">COUNTIFS('Product Rows'!$A$2:$A$696,B239,'Product Rows'!$B$2:$B$696,C239,'Product Rows'!$G$2:$G$696,"Ampoule")</f>
        <v>0</v>
      </c>
      <c r="M239" s="5" t="n">
        <f aca="false">COUNTIFS('Product Rows'!$A$2:$A$696,B239,'Product Rows'!$B$2:$B$696,C239,'Product Rows'!$G$2:$G$696,"Prefilled syringe/pen")</f>
        <v>0</v>
      </c>
      <c r="N239" s="6" t="n">
        <f aca="false">IFERROR(AVERAGEIFS('Product Rows'!$H$2:$H$696,'Product Rows'!$A$2:$A$696,B239,'Product Rows'!$B$2:$B$696,C239),"")</f>
        <v>37.8732333333333</v>
      </c>
      <c r="O239" s="7" t="n">
        <f aca="false">INDEX('API Data'!$E$2:$E$152,MATCH(B239,'API Data'!$A$2:$A$152,0))</f>
        <v>2802.08660300926</v>
      </c>
      <c r="P239" s="5" t="n">
        <f aca="false">COUNTIF($B$5:$B$337,B239)</f>
        <v>5</v>
      </c>
      <c r="Q239" s="8" t="n">
        <f aca="false">IF(ISNUMBER(I239),PERCENTRANK($I$5:$I$337,I239),"")</f>
        <v>0.75</v>
      </c>
      <c r="R239" s="8" t="n">
        <f aca="false">IF(ISNUMBER(N239),PERCENTRANK($N$5:$N$337,N239),"")</f>
        <v>0.559</v>
      </c>
      <c r="S239" s="8" t="n">
        <f aca="false">IF(ISNUMBER(O239),PERCENTRANK($O$5:$O$337,O239),"")</f>
        <v>0.352</v>
      </c>
      <c r="T239" s="8" t="n">
        <f aca="false">IF(ISNUMBER(P239),PERCENTRANK($P$5:$P$337,P239),"")</f>
        <v>0.702</v>
      </c>
      <c r="U239" s="9" t="n">
        <f aca="false">IF((IF(ISNUMBER(Q239),Inputs!$B$4,0)+IF(ISNUMBER(R239),Inputs!$B$5,0)+IF(ISNUMBER(S239),Inputs!$B$6,0)+IF(ISNUMBER(T239),Inputs!$B$7,0))=0,"",(IF(ISNUMBER(Q239),Inputs!$B$4*Q239,0)+IF(ISNUMBER(R239),Inputs!$B$5*R239,0)+IF(ISNUMBER(S239),Inputs!$B$6*S239,0)+IF(ISNUMBER(T239),Inputs!$B$7*T239,0))/(IF(ISNUMBER(Q239),Inputs!$B$4,0)+IF(ISNUMBER(R239),Inputs!$B$5,0)+IF(ISNUMBER(S239),Inputs!$B$6,0)+IF(ISNUMBER(T239),Inputs!$B$7,0)))</f>
        <v>0.4555</v>
      </c>
      <c r="V239" s="5" t="str">
        <f aca="false">IF(F239&gt;0,"Yes","No")</f>
        <v>Yes</v>
      </c>
      <c r="W239" s="5" t="str">
        <f aca="false">IF(ISNUMBER(N239),IF(N239&gt;=Inputs!$D$18,"Yes","No"),"No price")</f>
        <v>Yes</v>
      </c>
      <c r="X239" s="5" t="str">
        <f aca="false">IF(K239+L239&gt;0,"Yes",IF(M239&gt;0,"No","Unclear"))</f>
        <v>Yes</v>
      </c>
      <c r="Y239" s="5" t="str">
        <f aca="false">INDEX('API Data'!$H$2:$H$152,MATCH(B239,'API Data'!$A$2:$A$152,0))</f>
        <v>No</v>
      </c>
      <c r="Z239" s="5" t="str">
        <f aca="false">IF(COUNTIFS('Product Rows'!$A$2:$A$696,B239,'Product Rows'!$B$2:$B$696,C239,'Product Rows'!$I$2:$I$696,"Yes")&gt;0,"Yes","No")</f>
        <v>No</v>
      </c>
      <c r="AA239" s="5" t="str">
        <f aca="false">IF(P239&gt;=Inputs!$D$22,"Yes","No")</f>
        <v>Yes</v>
      </c>
      <c r="AB239" s="10" t="b">
        <f aca="false">AND(OR(Inputs!$B$17&lt;&gt;"Exclude",V239="Yes"),OR(Inputs!$B$18&lt;&gt;"Exclude",W239&lt;&gt;"No"),OR(Inputs!$B$19&lt;&gt;"Exclude",X239&lt;&gt;"No"),OR(Inputs!$B$20&lt;&gt;"Exclude",Y239="No"),OR(Inputs!$B$21&lt;&gt;"Exclude",Z239="No"),OR(Inputs!$B$22&lt;&gt;"Exclude",AA239="Yes"),ISNUMBER(U239))</f>
        <v>1</v>
      </c>
      <c r="AC239" s="5" t="n">
        <f aca="false">IF(AB239,COUNTIFS($C$5:$C$337,C239,$AB$5:$AB$337,TRUE(),$U$5:$U$337,"&gt;"&amp;U239)+COUNTIFS($C$5:C239,C239,$AB$5:AB239,TRUE(),$U$5:U239,U239),"")</f>
        <v>12</v>
      </c>
      <c r="AD239" s="5" t="str">
        <f aca="false">IF(AC239="","Not eligible",IF(AC239&lt;=Inputs!$B$25,"Lead",IF(AC239&lt;=Inputs!$B$25+Inputs!$B$26,"Next wave","Long list")))</f>
        <v>Long list</v>
      </c>
      <c r="AE239" s="5" t="str">
        <f aca="false">IF(AND(K239+L239=0,M239&gt;0),"Safety upgrade of existing prefilled syringe",IF(K239+L239+M239=0,"Confirm presentation (not stated in source)",IF(AA239="Yes","Differentiation in crowded generic market","Safety-device mandate compliance")))</f>
        <v>Differentiation in crowded generic market</v>
      </c>
      <c r="AF239" s="5" t="str">
        <f aca="false">IF(AC239="","",C239&amp;"|"&amp;AC239)</f>
        <v>Dr. Reddy's Laboratories|12</v>
      </c>
    </row>
    <row r="240" customFormat="false" ht="15" hidden="false" customHeight="false" outlineLevel="0" collapsed="false">
      <c r="A240" s="5" t="n">
        <f aca="false">IF(ISNUMBER(U240),RANK(U240,$U$5:$U$337),"")</f>
        <v>259</v>
      </c>
      <c r="B240" s="5" t="s">
        <v>161</v>
      </c>
      <c r="C240" s="5" t="s">
        <v>57</v>
      </c>
      <c r="D240" s="5" t="str">
        <f aca="false">INDEX('API Data'!$B$2:$B$152,MATCH(B240,'API Data'!$A$2:$A$152,0))</f>
        <v>Oncology supportive – chemotherapy-induced nausea/vomiting</v>
      </c>
      <c r="E240" s="5" t="n">
        <f aca="false">COUNTIFS('Market Listing'!$A$2:$A$4054,B240,'Market Listing'!$B$2:$B$4054,C240)</f>
        <v>1</v>
      </c>
      <c r="F240" s="5" t="n">
        <f aca="false">COUNTIFS('Market Listing'!$A$2:$A$4054,B240,'Market Listing'!$B$2:$B$4054,C240,'Market Listing'!$D$2:$D$4054,"Tier 1")</f>
        <v>0</v>
      </c>
      <c r="G240" s="5" t="n">
        <f aca="false">COUNTIFS('Market Listing'!$A$2:$A$4054,B240,'Market Listing'!$B$2:$B$4054,C240,'Market Listing'!$D$2:$D$4054,"Tier 2")</f>
        <v>1</v>
      </c>
      <c r="H240" s="5" t="n">
        <f aca="false">COUNTIFS('Market Listing'!$A$2:$A$4054,B240,'Market Listing'!$B$2:$B$4054,C240,'Market Listing'!$D$2:$D$4054,"Tier 3")</f>
        <v>0</v>
      </c>
      <c r="I240" s="5" t="n">
        <f aca="false">SUMIFS('Market Listing'!$E$2:$E$4054,'Market Listing'!$A$2:$A$4054,B240,'Market Listing'!$B$2:$B$4054,C240)</f>
        <v>2</v>
      </c>
      <c r="J240" s="5" t="n">
        <f aca="false">COUNTIFS('Product Rows'!$A$2:$A$696,B240,'Product Rows'!$B$2:$B$696,C240)</f>
        <v>1</v>
      </c>
      <c r="K240" s="5" t="n">
        <f aca="false">COUNTIFS('Product Rows'!$A$2:$A$696,B240,'Product Rows'!$B$2:$B$696,C240,'Product Rows'!$G$2:$G$696,"Vial")</f>
        <v>1</v>
      </c>
      <c r="L240" s="5" t="n">
        <f aca="false">COUNTIFS('Product Rows'!$A$2:$A$696,B240,'Product Rows'!$B$2:$B$696,C240,'Product Rows'!$G$2:$G$696,"Ampoule")</f>
        <v>0</v>
      </c>
      <c r="M240" s="5" t="n">
        <f aca="false">COUNTIFS('Product Rows'!$A$2:$A$696,B240,'Product Rows'!$B$2:$B$696,C240,'Product Rows'!$G$2:$G$696,"Prefilled syringe/pen")</f>
        <v>0</v>
      </c>
      <c r="N240" s="6" t="n">
        <f aca="false">IFERROR(AVERAGEIFS('Product Rows'!$H$2:$H$696,'Product Rows'!$A$2:$A$696,B240,'Product Rows'!$B$2:$B$696,C240),"")</f>
        <v>13.99</v>
      </c>
      <c r="O240" s="7" t="n">
        <f aca="false">INDEX('API Data'!$E$2:$E$152,MATCH(B240,'API Data'!$A$2:$A$152,0))</f>
        <v>2802.08660300926</v>
      </c>
      <c r="P240" s="5" t="n">
        <f aca="false">COUNTIF($B$5:$B$337,B240)</f>
        <v>5</v>
      </c>
      <c r="Q240" s="8" t="n">
        <f aca="false">IF(ISNUMBER(I240),PERCENTRANK($I$5:$I$337,I240),"")</f>
        <v>0</v>
      </c>
      <c r="R240" s="8" t="n">
        <f aca="false">IF(ISNUMBER(N240),PERCENTRANK($N$5:$N$337,N240),"")</f>
        <v>0.283</v>
      </c>
      <c r="S240" s="8" t="n">
        <f aca="false">IF(ISNUMBER(O240),PERCENTRANK($O$5:$O$337,O240),"")</f>
        <v>0.352</v>
      </c>
      <c r="T240" s="8" t="n">
        <f aca="false">IF(ISNUMBER(P240),PERCENTRANK($P$5:$P$337,P240),"")</f>
        <v>0.702</v>
      </c>
      <c r="U240" s="9" t="n">
        <f aca="false">IF((IF(ISNUMBER(Q240),Inputs!$B$4,0)+IF(ISNUMBER(R240),Inputs!$B$5,0)+IF(ISNUMBER(S240),Inputs!$B$6,0)+IF(ISNUMBER(T240),Inputs!$B$7,0))=0,"",(IF(ISNUMBER(Q240),Inputs!$B$4*Q240,0)+IF(ISNUMBER(R240),Inputs!$B$5*R240,0)+IF(ISNUMBER(S240),Inputs!$B$6*S240,0)+IF(ISNUMBER(T240),Inputs!$B$7*T240,0))/(IF(ISNUMBER(Q240),Inputs!$B$4,0)+IF(ISNUMBER(R240),Inputs!$B$5,0)+IF(ISNUMBER(S240),Inputs!$B$6,0)+IF(ISNUMBER(T240),Inputs!$B$7,0)))</f>
        <v>0.3175</v>
      </c>
      <c r="V240" s="5" t="str">
        <f aca="false">IF(F240&gt;0,"Yes","No")</f>
        <v>No</v>
      </c>
      <c r="W240" s="5" t="str">
        <f aca="false">IF(ISNUMBER(N240),IF(N240&gt;=Inputs!$D$18,"Yes","No"),"No price")</f>
        <v>Yes</v>
      </c>
      <c r="X240" s="5" t="str">
        <f aca="false">IF(K240+L240&gt;0,"Yes",IF(M240&gt;0,"No","Unclear"))</f>
        <v>Yes</v>
      </c>
      <c r="Y240" s="5" t="str">
        <f aca="false">INDEX('API Data'!$H$2:$H$152,MATCH(B240,'API Data'!$A$2:$A$152,0))</f>
        <v>No</v>
      </c>
      <c r="Z240" s="5" t="str">
        <f aca="false">IF(COUNTIFS('Product Rows'!$A$2:$A$696,B240,'Product Rows'!$B$2:$B$696,C240,'Product Rows'!$I$2:$I$696,"Yes")&gt;0,"Yes","No")</f>
        <v>No</v>
      </c>
      <c r="AA240" s="5" t="str">
        <f aca="false">IF(P240&gt;=Inputs!$D$22,"Yes","No")</f>
        <v>Yes</v>
      </c>
      <c r="AB240" s="10" t="b">
        <f aca="false">AND(OR(Inputs!$B$17&lt;&gt;"Exclude",V240="Yes"),OR(Inputs!$B$18&lt;&gt;"Exclude",W240&lt;&gt;"No"),OR(Inputs!$B$19&lt;&gt;"Exclude",X240&lt;&gt;"No"),OR(Inputs!$B$20&lt;&gt;"Exclude",Y240="No"),OR(Inputs!$B$21&lt;&gt;"Exclude",Z240="No"),OR(Inputs!$B$22&lt;&gt;"Exclude",AA240="Yes"),ISNUMBER(U240))</f>
        <v>0</v>
      </c>
      <c r="AC240" s="5" t="str">
        <f aca="false">IF(AB240,COUNTIFS($C$5:$C$337,C240,$AB$5:$AB$337,TRUE(),$U$5:$U$337,"&gt;"&amp;U240)+COUNTIFS($C$5:C240,C240,$AB$5:AB240,TRUE(),$U$5:U240,U240),"")</f>
        <v/>
      </c>
      <c r="AD240" s="5" t="str">
        <f aca="false">IF(AC240="","Not eligible",IF(AC240&lt;=Inputs!$B$25,"Lead",IF(AC240&lt;=Inputs!$B$25+Inputs!$B$26,"Next wave","Long list")))</f>
        <v>Not eligible</v>
      </c>
      <c r="AE240" s="5" t="str">
        <f aca="false">IF(AND(K240+L240=0,M240&gt;0),"Safety upgrade of existing prefilled syringe",IF(K240+L240+M240=0,"Confirm presentation (not stated in source)",IF(AA240="Yes","Differentiation in crowded generic market","Safety-device mandate compliance")))</f>
        <v>Differentiation in crowded generic market</v>
      </c>
      <c r="AF240" s="5" t="str">
        <f aca="false">IF(AC240="","",C240&amp;"|"&amp;AC240)</f>
        <v/>
      </c>
    </row>
    <row r="241" customFormat="false" ht="15" hidden="false" customHeight="false" outlineLevel="0" collapsed="false">
      <c r="A241" s="5" t="n">
        <f aca="false">IF(ISNUMBER(U241),RANK(U241,$U$5:$U$337),"")</f>
        <v>154</v>
      </c>
      <c r="B241" s="5" t="s">
        <v>161</v>
      </c>
      <c r="C241" s="5" t="s">
        <v>44</v>
      </c>
      <c r="D241" s="5" t="str">
        <f aca="false">INDEX('API Data'!$B$2:$B$152,MATCH(B241,'API Data'!$A$2:$A$152,0))</f>
        <v>Oncology supportive – chemotherapy-induced nausea/vomiting</v>
      </c>
      <c r="E241" s="5" t="n">
        <f aca="false">COUNTIFS('Market Listing'!$A$2:$A$4054,B241,'Market Listing'!$B$2:$B$4054,C241)</f>
        <v>29</v>
      </c>
      <c r="F241" s="5" t="n">
        <f aca="false">COUNTIFS('Market Listing'!$A$2:$A$4054,B241,'Market Listing'!$B$2:$B$4054,C241,'Market Listing'!$D$2:$D$4054,"Tier 1")</f>
        <v>5</v>
      </c>
      <c r="G241" s="5" t="n">
        <f aca="false">COUNTIFS('Market Listing'!$A$2:$A$4054,B241,'Market Listing'!$B$2:$B$4054,C241,'Market Listing'!$D$2:$D$4054,"Tier 2")</f>
        <v>4</v>
      </c>
      <c r="H241" s="5" t="n">
        <f aca="false">COUNTIFS('Market Listing'!$A$2:$A$4054,B241,'Market Listing'!$B$2:$B$4054,C241,'Market Listing'!$D$2:$D$4054,"Tier 3")</f>
        <v>20</v>
      </c>
      <c r="I241" s="5" t="n">
        <f aca="false">SUMIFS('Market Listing'!$E$2:$E$4054,'Market Listing'!$A$2:$A$4054,B241,'Market Listing'!$B$2:$B$4054,C241)</f>
        <v>43</v>
      </c>
      <c r="J241" s="5" t="n">
        <f aca="false">COUNTIFS('Product Rows'!$A$2:$A$696,B241,'Product Rows'!$B$2:$B$696,C241)</f>
        <v>3</v>
      </c>
      <c r="K241" s="5" t="n">
        <f aca="false">COUNTIFS('Product Rows'!$A$2:$A$696,B241,'Product Rows'!$B$2:$B$696,C241,'Product Rows'!$G$2:$G$696,"Vial")</f>
        <v>3</v>
      </c>
      <c r="L241" s="5" t="n">
        <f aca="false">COUNTIFS('Product Rows'!$A$2:$A$696,B241,'Product Rows'!$B$2:$B$696,C241,'Product Rows'!$G$2:$G$696,"Ampoule")</f>
        <v>0</v>
      </c>
      <c r="M241" s="5" t="n">
        <f aca="false">COUNTIFS('Product Rows'!$A$2:$A$696,B241,'Product Rows'!$B$2:$B$696,C241,'Product Rows'!$G$2:$G$696,"Prefilled syringe/pen")</f>
        <v>0</v>
      </c>
      <c r="N241" s="6" t="n">
        <f aca="false">IFERROR(AVERAGEIFS('Product Rows'!$H$2:$H$696,'Product Rows'!$A$2:$A$696,B241,'Product Rows'!$B$2:$B$696,C241),"")</f>
        <v>60.8442333333333</v>
      </c>
      <c r="O241" s="7" t="n">
        <f aca="false">INDEX('API Data'!$E$2:$E$152,MATCH(B241,'API Data'!$A$2:$A$152,0))</f>
        <v>2802.08660300926</v>
      </c>
      <c r="P241" s="5" t="n">
        <f aca="false">COUNTIF($B$5:$B$337,B241)</f>
        <v>5</v>
      </c>
      <c r="Q241" s="8" t="n">
        <f aca="false">IF(ISNUMBER(I241),PERCENTRANK($I$5:$I$337,I241),"")</f>
        <v>0.75</v>
      </c>
      <c r="R241" s="8" t="n">
        <f aca="false">IF(ISNUMBER(N241),PERCENTRANK($N$5:$N$337,N241),"")</f>
        <v>0.652</v>
      </c>
      <c r="S241" s="8" t="n">
        <f aca="false">IF(ISNUMBER(O241),PERCENTRANK($O$5:$O$337,O241),"")</f>
        <v>0.352</v>
      </c>
      <c r="T241" s="8" t="n">
        <f aca="false">IF(ISNUMBER(P241),PERCENTRANK($P$5:$P$337,P241),"")</f>
        <v>0.702</v>
      </c>
      <c r="U241" s="9" t="n">
        <f aca="false">IF((IF(ISNUMBER(Q241),Inputs!$B$4,0)+IF(ISNUMBER(R241),Inputs!$B$5,0)+IF(ISNUMBER(S241),Inputs!$B$6,0)+IF(ISNUMBER(T241),Inputs!$B$7,0))=0,"",(IF(ISNUMBER(Q241),Inputs!$B$4*Q241,0)+IF(ISNUMBER(R241),Inputs!$B$5*R241,0)+IF(ISNUMBER(S241),Inputs!$B$6*S241,0)+IF(ISNUMBER(T241),Inputs!$B$7*T241,0))/(IF(ISNUMBER(Q241),Inputs!$B$4,0)+IF(ISNUMBER(R241),Inputs!$B$5,0)+IF(ISNUMBER(S241),Inputs!$B$6,0)+IF(ISNUMBER(T241),Inputs!$B$7,0)))</f>
        <v>0.502</v>
      </c>
      <c r="V241" s="5" t="str">
        <f aca="false">IF(F241&gt;0,"Yes","No")</f>
        <v>Yes</v>
      </c>
      <c r="W241" s="5" t="str">
        <f aca="false">IF(ISNUMBER(N241),IF(N241&gt;=Inputs!$D$18,"Yes","No"),"No price")</f>
        <v>Yes</v>
      </c>
      <c r="X241" s="5" t="str">
        <f aca="false">IF(K241+L241&gt;0,"Yes",IF(M241&gt;0,"No","Unclear"))</f>
        <v>Yes</v>
      </c>
      <c r="Y241" s="5" t="str">
        <f aca="false">INDEX('API Data'!$H$2:$H$152,MATCH(B241,'API Data'!$A$2:$A$152,0))</f>
        <v>No</v>
      </c>
      <c r="Z241" s="5" t="str">
        <f aca="false">IF(COUNTIFS('Product Rows'!$A$2:$A$696,B241,'Product Rows'!$B$2:$B$696,C241,'Product Rows'!$I$2:$I$696,"Yes")&gt;0,"Yes","No")</f>
        <v>No</v>
      </c>
      <c r="AA241" s="5" t="str">
        <f aca="false">IF(P241&gt;=Inputs!$D$22,"Yes","No")</f>
        <v>Yes</v>
      </c>
      <c r="AB241" s="10" t="b">
        <f aca="false">AND(OR(Inputs!$B$17&lt;&gt;"Exclude",V241="Yes"),OR(Inputs!$B$18&lt;&gt;"Exclude",W241&lt;&gt;"No"),OR(Inputs!$B$19&lt;&gt;"Exclude",X241&lt;&gt;"No"),OR(Inputs!$B$20&lt;&gt;"Exclude",Y241="No"),OR(Inputs!$B$21&lt;&gt;"Exclude",Z241="No"),OR(Inputs!$B$22&lt;&gt;"Exclude",AA241="Yes"),ISNUMBER(U241))</f>
        <v>1</v>
      </c>
      <c r="AC241" s="5" t="n">
        <f aca="false">IF(AB241,COUNTIFS($C$5:$C$337,C241,$AB$5:$AB$337,TRUE(),$U$5:$U$337,"&gt;"&amp;U241)+COUNTIFS($C$5:C241,C241,$AB$5:AB241,TRUE(),$U$5:U241,U241),"")</f>
        <v>28</v>
      </c>
      <c r="AD241" s="5" t="str">
        <f aca="false">IF(AC241="","Not eligible",IF(AC241&lt;=Inputs!$B$25,"Lead",IF(AC241&lt;=Inputs!$B$25+Inputs!$B$26,"Next wave","Long list")))</f>
        <v>Long list</v>
      </c>
      <c r="AE241" s="5" t="str">
        <f aca="false">IF(AND(K241+L241=0,M241&gt;0),"Safety upgrade of existing prefilled syringe",IF(K241+L241+M241=0,"Confirm presentation (not stated in source)",IF(AA241="Yes","Differentiation in crowded generic market","Safety-device mandate compliance")))</f>
        <v>Differentiation in crowded generic market</v>
      </c>
      <c r="AF241" s="5" t="str">
        <f aca="false">IF(AC241="","",C241&amp;"|"&amp;AC241)</f>
        <v>Intas Pharmaceuticals|28</v>
      </c>
    </row>
    <row r="242" customFormat="false" ht="15" hidden="false" customHeight="false" outlineLevel="0" collapsed="false">
      <c r="A242" s="5" t="n">
        <f aca="false">IF(ISNUMBER(U242),RANK(U242,$U$5:$U$337),"")</f>
        <v>150</v>
      </c>
      <c r="B242" s="5" t="s">
        <v>162</v>
      </c>
      <c r="C242" s="5" t="s">
        <v>47</v>
      </c>
      <c r="D242" s="5" t="str">
        <f aca="false">INDEX('API Data'!$B$2:$B$152,MATCH(B242,'API Data'!$A$2:$A$152,0))</f>
        <v>Gastroenterology – GERD, GI bleeding, stress-ulcer prophylaxis (IV PPI)</v>
      </c>
      <c r="E242" s="5" t="n">
        <f aca="false">COUNTIFS('Market Listing'!$A$2:$A$4054,B242,'Market Listing'!$B$2:$B$4054,C242)</f>
        <v>2</v>
      </c>
      <c r="F242" s="5" t="n">
        <f aca="false">COUNTIFS('Market Listing'!$A$2:$A$4054,B242,'Market Listing'!$B$2:$B$4054,C242,'Market Listing'!$D$2:$D$4054,"Tier 1")</f>
        <v>2</v>
      </c>
      <c r="G242" s="5" t="n">
        <f aca="false">COUNTIFS('Market Listing'!$A$2:$A$4054,B242,'Market Listing'!$B$2:$B$4054,C242,'Market Listing'!$D$2:$D$4054,"Tier 2")</f>
        <v>0</v>
      </c>
      <c r="H242" s="5" t="n">
        <f aca="false">COUNTIFS('Market Listing'!$A$2:$A$4054,B242,'Market Listing'!$B$2:$B$4054,C242,'Market Listing'!$D$2:$D$4054,"Tier 3")</f>
        <v>0</v>
      </c>
      <c r="I242" s="5" t="n">
        <f aca="false">SUMIFS('Market Listing'!$E$2:$E$4054,'Market Listing'!$A$2:$A$4054,B242,'Market Listing'!$B$2:$B$4054,C242)</f>
        <v>6</v>
      </c>
      <c r="J242" s="5" t="n">
        <f aca="false">COUNTIFS('Product Rows'!$A$2:$A$696,B242,'Product Rows'!$B$2:$B$696,C242)</f>
        <v>3</v>
      </c>
      <c r="K242" s="5" t="n">
        <f aca="false">COUNTIFS('Product Rows'!$A$2:$A$696,B242,'Product Rows'!$B$2:$B$696,C242,'Product Rows'!$G$2:$G$696,"Vial")</f>
        <v>3</v>
      </c>
      <c r="L242" s="5" t="n">
        <f aca="false">COUNTIFS('Product Rows'!$A$2:$A$696,B242,'Product Rows'!$B$2:$B$696,C242,'Product Rows'!$G$2:$G$696,"Ampoule")</f>
        <v>0</v>
      </c>
      <c r="M242" s="5" t="n">
        <f aca="false">COUNTIFS('Product Rows'!$A$2:$A$696,B242,'Product Rows'!$B$2:$B$696,C242,'Product Rows'!$G$2:$G$696,"Prefilled syringe/pen")</f>
        <v>0</v>
      </c>
      <c r="N242" s="6" t="n">
        <f aca="false">IFERROR(AVERAGEIFS('Product Rows'!$H$2:$H$696,'Product Rows'!$A$2:$A$696,B242,'Product Rows'!$B$2:$B$696,C242),"")</f>
        <v>7.7016</v>
      </c>
      <c r="O242" s="7" t="n">
        <f aca="false">INDEX('API Data'!$E$2:$E$152,MATCH(B242,'API Data'!$A$2:$A$152,0))</f>
        <v>35276.7259256388</v>
      </c>
      <c r="P242" s="5" t="n">
        <f aca="false">COUNTIF($B$5:$B$337,B242)</f>
        <v>5</v>
      </c>
      <c r="Q242" s="8" t="n">
        <f aca="false">IF(ISNUMBER(I242),PERCENTRANK($I$5:$I$337,I242),"")</f>
        <v>0.551</v>
      </c>
      <c r="R242" s="8" t="n">
        <f aca="false">IF(ISNUMBER(N242),PERCENTRANK($N$5:$N$337,N242),"")</f>
        <v>0.136</v>
      </c>
      <c r="S242" s="8" t="n">
        <f aca="false">IF(ISNUMBER(O242),PERCENTRANK($O$5:$O$337,O242),"")</f>
        <v>0.87</v>
      </c>
      <c r="T242" s="8" t="n">
        <f aca="false">IF(ISNUMBER(P242),PERCENTRANK($P$5:$P$337,P242),"")</f>
        <v>0.702</v>
      </c>
      <c r="U242" s="9" t="n">
        <f aca="false">IF((IF(ISNUMBER(Q242),Inputs!$B$4,0)+IF(ISNUMBER(R242),Inputs!$B$5,0)+IF(ISNUMBER(S242),Inputs!$B$6,0)+IF(ISNUMBER(T242),Inputs!$B$7,0))=0,"",(IF(ISNUMBER(Q242),Inputs!$B$4*Q242,0)+IF(ISNUMBER(R242),Inputs!$B$5*R242,0)+IF(ISNUMBER(S242),Inputs!$B$6*S242,0)+IF(ISNUMBER(T242),Inputs!$B$7*T242,0))/(IF(ISNUMBER(Q242),Inputs!$B$4,0)+IF(ISNUMBER(R242),Inputs!$B$5,0)+IF(ISNUMBER(S242),Inputs!$B$6,0)+IF(ISNUMBER(T242),Inputs!$B$7,0)))</f>
        <v>0.503</v>
      </c>
      <c r="V242" s="5" t="str">
        <f aca="false">IF(F242&gt;0,"Yes","No")</f>
        <v>Yes</v>
      </c>
      <c r="W242" s="5" t="str">
        <f aca="false">IF(ISNUMBER(N242),IF(N242&gt;=Inputs!$D$18,"Yes","No"),"No price")</f>
        <v>Yes</v>
      </c>
      <c r="X242" s="5" t="str">
        <f aca="false">IF(K242+L242&gt;0,"Yes",IF(M242&gt;0,"No","Unclear"))</f>
        <v>Yes</v>
      </c>
      <c r="Y242" s="5" t="str">
        <f aca="false">INDEX('API Data'!$H$2:$H$152,MATCH(B242,'API Data'!$A$2:$A$152,0))</f>
        <v>No</v>
      </c>
      <c r="Z242" s="5" t="str">
        <f aca="false">IF(COUNTIFS('Product Rows'!$A$2:$A$696,B242,'Product Rows'!$B$2:$B$696,C242,'Product Rows'!$I$2:$I$696,"Yes")&gt;0,"Yes","No")</f>
        <v>No</v>
      </c>
      <c r="AA242" s="5" t="str">
        <f aca="false">IF(P242&gt;=Inputs!$D$22,"Yes","No")</f>
        <v>Yes</v>
      </c>
      <c r="AB242" s="10" t="b">
        <f aca="false">AND(OR(Inputs!$B$17&lt;&gt;"Exclude",V242="Yes"),OR(Inputs!$B$18&lt;&gt;"Exclude",W242&lt;&gt;"No"),OR(Inputs!$B$19&lt;&gt;"Exclude",X242&lt;&gt;"No"),OR(Inputs!$B$20&lt;&gt;"Exclude",Y242="No"),OR(Inputs!$B$21&lt;&gt;"Exclude",Z242="No"),OR(Inputs!$B$22&lt;&gt;"Exclude",AA242="Yes"),ISNUMBER(U242))</f>
        <v>1</v>
      </c>
      <c r="AC242" s="5" t="n">
        <f aca="false">IF(AB242,COUNTIFS($C$5:$C$337,C242,$AB$5:$AB$337,TRUE(),$U$5:$U$337,"&gt;"&amp;U242)+COUNTIFS($C$5:C242,C242,$AB$5:AB242,TRUE(),$U$5:U242,U242),"")</f>
        <v>24</v>
      </c>
      <c r="AD242" s="5" t="str">
        <f aca="false">IF(AC242="","Not eligible",IF(AC242&lt;=Inputs!$B$25,"Lead",IF(AC242&lt;=Inputs!$B$25+Inputs!$B$26,"Next wave","Long list")))</f>
        <v>Long list</v>
      </c>
      <c r="AE242" s="5" t="str">
        <f aca="false">IF(AND(K242+L242=0,M242&gt;0),"Safety upgrade of existing prefilled syringe",IF(K242+L242+M242=0,"Confirm presentation (not stated in source)",IF(AA242="Yes","Differentiation in crowded generic market","Safety-device mandate compliance")))</f>
        <v>Differentiation in crowded generic market</v>
      </c>
      <c r="AF242" s="5" t="str">
        <f aca="false">IF(AC242="","",C242&amp;"|"&amp;AC242)</f>
        <v>Aurobindo Pharma|24</v>
      </c>
    </row>
    <row r="243" customFormat="false" ht="15" hidden="false" customHeight="false" outlineLevel="0" collapsed="false">
      <c r="A243" s="5" t="n">
        <f aca="false">IF(ISNUMBER(U243),RANK(U243,$U$5:$U$337),"")</f>
        <v>167</v>
      </c>
      <c r="B243" s="5" t="s">
        <v>162</v>
      </c>
      <c r="C243" s="5" t="s">
        <v>35</v>
      </c>
      <c r="D243" s="5" t="str">
        <f aca="false">INDEX('API Data'!$B$2:$B$152,MATCH(B243,'API Data'!$A$2:$A$152,0))</f>
        <v>Gastroenterology – GERD, GI bleeding, stress-ulcer prophylaxis (IV PPI)</v>
      </c>
      <c r="E243" s="5" t="n">
        <f aca="false">COUNTIFS('Market Listing'!$A$2:$A$4054,B243,'Market Listing'!$B$2:$B$4054,C243)</f>
        <v>1</v>
      </c>
      <c r="F243" s="5" t="n">
        <f aca="false">COUNTIFS('Market Listing'!$A$2:$A$4054,B243,'Market Listing'!$B$2:$B$4054,C243,'Market Listing'!$D$2:$D$4054,"Tier 1")</f>
        <v>1</v>
      </c>
      <c r="G243" s="5" t="n">
        <f aca="false">COUNTIFS('Market Listing'!$A$2:$A$4054,B243,'Market Listing'!$B$2:$B$4054,C243,'Market Listing'!$D$2:$D$4054,"Tier 2")</f>
        <v>0</v>
      </c>
      <c r="H243" s="5" t="n">
        <f aca="false">COUNTIFS('Market Listing'!$A$2:$A$4054,B243,'Market Listing'!$B$2:$B$4054,C243,'Market Listing'!$D$2:$D$4054,"Tier 3")</f>
        <v>0</v>
      </c>
      <c r="I243" s="5" t="n">
        <f aca="false">SUMIFS('Market Listing'!$E$2:$E$4054,'Market Listing'!$A$2:$A$4054,B243,'Market Listing'!$B$2:$B$4054,C243)</f>
        <v>3</v>
      </c>
      <c r="J243" s="5" t="n">
        <f aca="false">COUNTIFS('Product Rows'!$A$2:$A$696,B243,'Product Rows'!$B$2:$B$696,C243)</f>
        <v>1</v>
      </c>
      <c r="K243" s="5" t="n">
        <f aca="false">COUNTIFS('Product Rows'!$A$2:$A$696,B243,'Product Rows'!$B$2:$B$696,C243,'Product Rows'!$G$2:$G$696,"Vial")</f>
        <v>1</v>
      </c>
      <c r="L243" s="5" t="n">
        <f aca="false">COUNTIFS('Product Rows'!$A$2:$A$696,B243,'Product Rows'!$B$2:$B$696,C243,'Product Rows'!$G$2:$G$696,"Ampoule")</f>
        <v>0</v>
      </c>
      <c r="M243" s="5" t="n">
        <f aca="false">COUNTIFS('Product Rows'!$A$2:$A$696,B243,'Product Rows'!$B$2:$B$696,C243,'Product Rows'!$G$2:$G$696,"Prefilled syringe/pen")</f>
        <v>0</v>
      </c>
      <c r="N243" s="6" t="n">
        <f aca="false">IFERROR(AVERAGEIFS('Product Rows'!$H$2:$H$696,'Product Rows'!$A$2:$A$696,B243,'Product Rows'!$B$2:$B$696,C243),"")</f>
        <v>6.61</v>
      </c>
      <c r="O243" s="7" t="n">
        <f aca="false">INDEX('API Data'!$E$2:$E$152,MATCH(B243,'API Data'!$A$2:$A$152,0))</f>
        <v>35276.7259256388</v>
      </c>
      <c r="P243" s="5" t="n">
        <f aca="false">COUNTIF($B$5:$B$337,B243)</f>
        <v>5</v>
      </c>
      <c r="Q243" s="8" t="n">
        <f aca="false">IF(ISNUMBER(I243),PERCENTRANK($I$5:$I$337,I243),"")</f>
        <v>0.157</v>
      </c>
      <c r="R243" s="8" t="n">
        <f aca="false">IF(ISNUMBER(N243),PERCENTRANK($N$5:$N$337,N243),"")</f>
        <v>0.0789</v>
      </c>
      <c r="S243" s="8" t="n">
        <f aca="false">IF(ISNUMBER(O243),PERCENTRANK($O$5:$O$337,O243),"")</f>
        <v>0.87</v>
      </c>
      <c r="T243" s="8" t="n">
        <f aca="false">IF(ISNUMBER(P243),PERCENTRANK($P$5:$P$337,P243),"")</f>
        <v>0.702</v>
      </c>
      <c r="U243" s="9" t="n">
        <f aca="false">IF((IF(ISNUMBER(Q243),Inputs!$B$4,0)+IF(ISNUMBER(R243),Inputs!$B$5,0)+IF(ISNUMBER(S243),Inputs!$B$6,0)+IF(ISNUMBER(T243),Inputs!$B$7,0))=0,"",(IF(ISNUMBER(Q243),Inputs!$B$4*Q243,0)+IF(ISNUMBER(R243),Inputs!$B$5*R243,0)+IF(ISNUMBER(S243),Inputs!$B$6*S243,0)+IF(ISNUMBER(T243),Inputs!$B$7*T243,0))/(IF(ISNUMBER(Q243),Inputs!$B$4,0)+IF(ISNUMBER(R243),Inputs!$B$5,0)+IF(ISNUMBER(S243),Inputs!$B$6,0)+IF(ISNUMBER(T243),Inputs!$B$7,0)))</f>
        <v>0.47445</v>
      </c>
      <c r="V243" s="5" t="str">
        <f aca="false">IF(F243&gt;0,"Yes","No")</f>
        <v>Yes</v>
      </c>
      <c r="W243" s="5" t="str">
        <f aca="false">IF(ISNUMBER(N243),IF(N243&gt;=Inputs!$D$18,"Yes","No"),"No price")</f>
        <v>Yes</v>
      </c>
      <c r="X243" s="5" t="str">
        <f aca="false">IF(K243+L243&gt;0,"Yes",IF(M243&gt;0,"No","Unclear"))</f>
        <v>Yes</v>
      </c>
      <c r="Y243" s="5" t="str">
        <f aca="false">INDEX('API Data'!$H$2:$H$152,MATCH(B243,'API Data'!$A$2:$A$152,0))</f>
        <v>No</v>
      </c>
      <c r="Z243" s="5" t="str">
        <f aca="false">IF(COUNTIFS('Product Rows'!$A$2:$A$696,B243,'Product Rows'!$B$2:$B$696,C243,'Product Rows'!$I$2:$I$696,"Yes")&gt;0,"Yes","No")</f>
        <v>Yes</v>
      </c>
      <c r="AA243" s="5" t="str">
        <f aca="false">IF(P243&gt;=Inputs!$D$22,"Yes","No")</f>
        <v>Yes</v>
      </c>
      <c r="AB243" s="10" t="b">
        <f aca="false">AND(OR(Inputs!$B$17&lt;&gt;"Exclude",V243="Yes"),OR(Inputs!$B$18&lt;&gt;"Exclude",W243&lt;&gt;"No"),OR(Inputs!$B$19&lt;&gt;"Exclude",X243&lt;&gt;"No"),OR(Inputs!$B$20&lt;&gt;"Exclude",Y243="No"),OR(Inputs!$B$21&lt;&gt;"Exclude",Z243="No"),OR(Inputs!$B$22&lt;&gt;"Exclude",AA243="Yes"),ISNUMBER(U243))</f>
        <v>1</v>
      </c>
      <c r="AC243" s="5" t="n">
        <f aca="false">IF(AB243,COUNTIFS($C$5:$C$337,C243,$AB$5:$AB$337,TRUE(),$U$5:$U$337,"&gt;"&amp;U243)+COUNTIFS($C$5:C243,C243,$AB$5:AB243,TRUE(),$U$5:U243,U243),"")</f>
        <v>13</v>
      </c>
      <c r="AD243" s="5" t="str">
        <f aca="false">IF(AC243="","Not eligible",IF(AC243&lt;=Inputs!$B$25,"Lead",IF(AC243&lt;=Inputs!$B$25+Inputs!$B$26,"Next wave","Long list")))</f>
        <v>Long list</v>
      </c>
      <c r="AE243" s="5" t="str">
        <f aca="false">IF(AND(K243+L243=0,M243&gt;0),"Safety upgrade of existing prefilled syringe",IF(K243+L243+M243=0,"Confirm presentation (not stated in source)",IF(AA243="Yes","Differentiation in crowded generic market","Safety-device mandate compliance")))</f>
        <v>Differentiation in crowded generic market</v>
      </c>
      <c r="AF243" s="5" t="str">
        <f aca="false">IF(AC243="","",C243&amp;"|"&amp;AC243)</f>
        <v>Emcure Pharmaceuticals|13</v>
      </c>
    </row>
    <row r="244" customFormat="false" ht="15" hidden="false" customHeight="false" outlineLevel="0" collapsed="false">
      <c r="A244" s="5" t="n">
        <f aca="false">IF(ISNUMBER(U244),RANK(U244,$U$5:$U$337),"")</f>
        <v>183</v>
      </c>
      <c r="B244" s="5" t="s">
        <v>162</v>
      </c>
      <c r="C244" s="5" t="s">
        <v>57</v>
      </c>
      <c r="D244" s="5" t="str">
        <f aca="false">INDEX('API Data'!$B$2:$B$152,MATCH(B244,'API Data'!$A$2:$A$152,0))</f>
        <v>Gastroenterology – GERD, GI bleeding, stress-ulcer prophylaxis (IV PPI)</v>
      </c>
      <c r="E244" s="5" t="n">
        <f aca="false">COUNTIFS('Market Listing'!$A$2:$A$4054,B244,'Market Listing'!$B$2:$B$4054,C244)</f>
        <v>32</v>
      </c>
      <c r="F244" s="5" t="n">
        <f aca="false">COUNTIFS('Market Listing'!$A$2:$A$4054,B244,'Market Listing'!$B$2:$B$4054,C244,'Market Listing'!$D$2:$D$4054,"Tier 1")</f>
        <v>6</v>
      </c>
      <c r="G244" s="5" t="n">
        <f aca="false">COUNTIFS('Market Listing'!$A$2:$A$4054,B244,'Market Listing'!$B$2:$B$4054,C244,'Market Listing'!$D$2:$D$4054,"Tier 2")</f>
        <v>3</v>
      </c>
      <c r="H244" s="5" t="n">
        <f aca="false">COUNTIFS('Market Listing'!$A$2:$A$4054,B244,'Market Listing'!$B$2:$B$4054,C244,'Market Listing'!$D$2:$D$4054,"Tier 3")</f>
        <v>23</v>
      </c>
      <c r="I244" s="5" t="n">
        <f aca="false">SUMIFS('Market Listing'!$E$2:$E$4054,'Market Listing'!$A$2:$A$4054,B244,'Market Listing'!$B$2:$B$4054,C244)</f>
        <v>47</v>
      </c>
      <c r="J244" s="5" t="n">
        <f aca="false">COUNTIFS('Product Rows'!$A$2:$A$696,B244,'Product Rows'!$B$2:$B$696,C244)</f>
        <v>2</v>
      </c>
      <c r="K244" s="5" t="n">
        <f aca="false">COUNTIFS('Product Rows'!$A$2:$A$696,B244,'Product Rows'!$B$2:$B$696,C244,'Product Rows'!$G$2:$G$696,"Vial")</f>
        <v>2</v>
      </c>
      <c r="L244" s="5" t="n">
        <f aca="false">COUNTIFS('Product Rows'!$A$2:$A$696,B244,'Product Rows'!$B$2:$B$696,C244,'Product Rows'!$G$2:$G$696,"Ampoule")</f>
        <v>0</v>
      </c>
      <c r="M244" s="5" t="n">
        <f aca="false">COUNTIFS('Product Rows'!$A$2:$A$696,B244,'Product Rows'!$B$2:$B$696,C244,'Product Rows'!$G$2:$G$696,"Prefilled syringe/pen")</f>
        <v>0</v>
      </c>
      <c r="N244" s="6" t="n">
        <f aca="false">IFERROR(AVERAGEIFS('Product Rows'!$H$2:$H$696,'Product Rows'!$A$2:$A$696,B244,'Product Rows'!$B$2:$B$696,C244),"")</f>
        <v>6.0848</v>
      </c>
      <c r="O244" s="7" t="n">
        <f aca="false">INDEX('API Data'!$E$2:$E$152,MATCH(B244,'API Data'!$A$2:$A$152,0))</f>
        <v>35276.7259256388</v>
      </c>
      <c r="P244" s="5" t="n">
        <f aca="false">COUNTIF($B$5:$B$337,B244)</f>
        <v>5</v>
      </c>
      <c r="Q244" s="8" t="n">
        <f aca="false">IF(ISNUMBER(I244),PERCENTRANK($I$5:$I$337,I244),"")</f>
        <v>0.892</v>
      </c>
      <c r="R244" s="8" t="n">
        <f aca="false">IF(ISNUMBER(N244),PERCENTRANK($N$5:$N$337,N244),"")</f>
        <v>0.0394</v>
      </c>
      <c r="S244" s="8" t="n">
        <f aca="false">IF(ISNUMBER(O244),PERCENTRANK($O$5:$O$337,O244),"")</f>
        <v>0.87</v>
      </c>
      <c r="T244" s="8" t="n">
        <f aca="false">IF(ISNUMBER(P244),PERCENTRANK($P$5:$P$337,P244),"")</f>
        <v>0.702</v>
      </c>
      <c r="U244" s="9" t="n">
        <f aca="false">IF((IF(ISNUMBER(Q244),Inputs!$B$4,0)+IF(ISNUMBER(R244),Inputs!$B$5,0)+IF(ISNUMBER(S244),Inputs!$B$6,0)+IF(ISNUMBER(T244),Inputs!$B$7,0))=0,"",(IF(ISNUMBER(Q244),Inputs!$B$4*Q244,0)+IF(ISNUMBER(R244),Inputs!$B$5*R244,0)+IF(ISNUMBER(S244),Inputs!$B$6*S244,0)+IF(ISNUMBER(T244),Inputs!$B$7*T244,0))/(IF(ISNUMBER(Q244),Inputs!$B$4,0)+IF(ISNUMBER(R244),Inputs!$B$5,0)+IF(ISNUMBER(S244),Inputs!$B$6,0)+IF(ISNUMBER(T244),Inputs!$B$7,0)))</f>
        <v>0.4547</v>
      </c>
      <c r="V244" s="5" t="str">
        <f aca="false">IF(F244&gt;0,"Yes","No")</f>
        <v>Yes</v>
      </c>
      <c r="W244" s="5" t="str">
        <f aca="false">IF(ISNUMBER(N244),IF(N244&gt;=Inputs!$D$18,"Yes","No"),"No price")</f>
        <v>Yes</v>
      </c>
      <c r="X244" s="5" t="str">
        <f aca="false">IF(K244+L244&gt;0,"Yes",IF(M244&gt;0,"No","Unclear"))</f>
        <v>Yes</v>
      </c>
      <c r="Y244" s="5" t="str">
        <f aca="false">INDEX('API Data'!$H$2:$H$152,MATCH(B244,'API Data'!$A$2:$A$152,0))</f>
        <v>No</v>
      </c>
      <c r="Z244" s="5" t="str">
        <f aca="false">IF(COUNTIFS('Product Rows'!$A$2:$A$696,B244,'Product Rows'!$B$2:$B$696,C244,'Product Rows'!$I$2:$I$696,"Yes")&gt;0,"Yes","No")</f>
        <v>Yes</v>
      </c>
      <c r="AA244" s="5" t="str">
        <f aca="false">IF(P244&gt;=Inputs!$D$22,"Yes","No")</f>
        <v>Yes</v>
      </c>
      <c r="AB244" s="10" t="b">
        <f aca="false">AND(OR(Inputs!$B$17&lt;&gt;"Exclude",V244="Yes"),OR(Inputs!$B$18&lt;&gt;"Exclude",W244&lt;&gt;"No"),OR(Inputs!$B$19&lt;&gt;"Exclude",X244&lt;&gt;"No"),OR(Inputs!$B$20&lt;&gt;"Exclude",Y244="No"),OR(Inputs!$B$21&lt;&gt;"Exclude",Z244="No"),OR(Inputs!$B$22&lt;&gt;"Exclude",AA244="Yes"),ISNUMBER(U244))</f>
        <v>1</v>
      </c>
      <c r="AC244" s="5" t="n">
        <f aca="false">IF(AB244,COUNTIFS($C$5:$C$337,C244,$AB$5:$AB$337,TRUE(),$U$5:$U$337,"&gt;"&amp;U244)+COUNTIFS($C$5:C244,C244,$AB$5:AB244,TRUE(),$U$5:U244,U244),"")</f>
        <v>10</v>
      </c>
      <c r="AD244" s="5" t="str">
        <f aca="false">IF(AC244="","Not eligible",IF(AC244&lt;=Inputs!$B$25,"Lead",IF(AC244&lt;=Inputs!$B$25+Inputs!$B$26,"Next wave","Long list")))</f>
        <v>Next wave</v>
      </c>
      <c r="AE244" s="5" t="str">
        <f aca="false">IF(AND(K244+L244=0,M244&gt;0),"Safety upgrade of existing prefilled syringe",IF(K244+L244+M244=0,"Confirm presentation (not stated in source)",IF(AA244="Yes","Differentiation in crowded generic market","Safety-device mandate compliance")))</f>
        <v>Differentiation in crowded generic market</v>
      </c>
      <c r="AF244" s="5" t="str">
        <f aca="false">IF(AC244="","",C244&amp;"|"&amp;AC244)</f>
        <v>Hetero Labs|10</v>
      </c>
    </row>
    <row r="245" customFormat="false" ht="15" hidden="false" customHeight="false" outlineLevel="0" collapsed="false">
      <c r="A245" s="5" t="n">
        <f aca="false">IF(ISNUMBER(U245),RANK(U245,$U$5:$U$337),"")</f>
        <v>183</v>
      </c>
      <c r="B245" s="5" t="s">
        <v>162</v>
      </c>
      <c r="C245" s="5" t="s">
        <v>44</v>
      </c>
      <c r="D245" s="5" t="str">
        <f aca="false">INDEX('API Data'!$B$2:$B$152,MATCH(B245,'API Data'!$A$2:$A$152,0))</f>
        <v>Gastroenterology – GERD, GI bleeding, stress-ulcer prophylaxis (IV PPI)</v>
      </c>
      <c r="E245" s="5" t="n">
        <f aca="false">COUNTIFS('Market Listing'!$A$2:$A$4054,B245,'Market Listing'!$B$2:$B$4054,C245)</f>
        <v>32</v>
      </c>
      <c r="F245" s="5" t="n">
        <f aca="false">COUNTIFS('Market Listing'!$A$2:$A$4054,B245,'Market Listing'!$B$2:$B$4054,C245,'Market Listing'!$D$2:$D$4054,"Tier 1")</f>
        <v>6</v>
      </c>
      <c r="G245" s="5" t="n">
        <f aca="false">COUNTIFS('Market Listing'!$A$2:$A$4054,B245,'Market Listing'!$B$2:$B$4054,C245,'Market Listing'!$D$2:$D$4054,"Tier 2")</f>
        <v>3</v>
      </c>
      <c r="H245" s="5" t="n">
        <f aca="false">COUNTIFS('Market Listing'!$A$2:$A$4054,B245,'Market Listing'!$B$2:$B$4054,C245,'Market Listing'!$D$2:$D$4054,"Tier 3")</f>
        <v>23</v>
      </c>
      <c r="I245" s="5" t="n">
        <f aca="false">SUMIFS('Market Listing'!$E$2:$E$4054,'Market Listing'!$A$2:$A$4054,B245,'Market Listing'!$B$2:$B$4054,C245)</f>
        <v>47</v>
      </c>
      <c r="J245" s="5" t="n">
        <f aca="false">COUNTIFS('Product Rows'!$A$2:$A$696,B245,'Product Rows'!$B$2:$B$696,C245)</f>
        <v>2</v>
      </c>
      <c r="K245" s="5" t="n">
        <f aca="false">COUNTIFS('Product Rows'!$A$2:$A$696,B245,'Product Rows'!$B$2:$B$696,C245,'Product Rows'!$G$2:$G$696,"Vial")</f>
        <v>2</v>
      </c>
      <c r="L245" s="5" t="n">
        <f aca="false">COUNTIFS('Product Rows'!$A$2:$A$696,B245,'Product Rows'!$B$2:$B$696,C245,'Product Rows'!$G$2:$G$696,"Ampoule")</f>
        <v>0</v>
      </c>
      <c r="M245" s="5" t="n">
        <f aca="false">COUNTIFS('Product Rows'!$A$2:$A$696,B245,'Product Rows'!$B$2:$B$696,C245,'Product Rows'!$G$2:$G$696,"Prefilled syringe/pen")</f>
        <v>0</v>
      </c>
      <c r="N245" s="6" t="n">
        <f aca="false">IFERROR(AVERAGEIFS('Product Rows'!$H$2:$H$696,'Product Rows'!$A$2:$A$696,B245,'Product Rows'!$B$2:$B$696,C245),"")</f>
        <v>6.0848</v>
      </c>
      <c r="O245" s="7" t="n">
        <f aca="false">INDEX('API Data'!$E$2:$E$152,MATCH(B245,'API Data'!$A$2:$A$152,0))</f>
        <v>35276.7259256388</v>
      </c>
      <c r="P245" s="5" t="n">
        <f aca="false">COUNTIF($B$5:$B$337,B245)</f>
        <v>5</v>
      </c>
      <c r="Q245" s="8" t="n">
        <f aca="false">IF(ISNUMBER(I245),PERCENTRANK($I$5:$I$337,I245),"")</f>
        <v>0.892</v>
      </c>
      <c r="R245" s="8" t="n">
        <f aca="false">IF(ISNUMBER(N245),PERCENTRANK($N$5:$N$337,N245),"")</f>
        <v>0.0394</v>
      </c>
      <c r="S245" s="8" t="n">
        <f aca="false">IF(ISNUMBER(O245),PERCENTRANK($O$5:$O$337,O245),"")</f>
        <v>0.87</v>
      </c>
      <c r="T245" s="8" t="n">
        <f aca="false">IF(ISNUMBER(P245),PERCENTRANK($P$5:$P$337,P245),"")</f>
        <v>0.702</v>
      </c>
      <c r="U245" s="9" t="n">
        <f aca="false">IF((IF(ISNUMBER(Q245),Inputs!$B$4,0)+IF(ISNUMBER(R245),Inputs!$B$5,0)+IF(ISNUMBER(S245),Inputs!$B$6,0)+IF(ISNUMBER(T245),Inputs!$B$7,0))=0,"",(IF(ISNUMBER(Q245),Inputs!$B$4*Q245,0)+IF(ISNUMBER(R245),Inputs!$B$5*R245,0)+IF(ISNUMBER(S245),Inputs!$B$6*S245,0)+IF(ISNUMBER(T245),Inputs!$B$7*T245,0))/(IF(ISNUMBER(Q245),Inputs!$B$4,0)+IF(ISNUMBER(R245),Inputs!$B$5,0)+IF(ISNUMBER(S245),Inputs!$B$6,0)+IF(ISNUMBER(T245),Inputs!$B$7,0)))</f>
        <v>0.4547</v>
      </c>
      <c r="V245" s="5" t="str">
        <f aca="false">IF(F245&gt;0,"Yes","No")</f>
        <v>Yes</v>
      </c>
      <c r="W245" s="5" t="str">
        <f aca="false">IF(ISNUMBER(N245),IF(N245&gt;=Inputs!$D$18,"Yes","No"),"No price")</f>
        <v>Yes</v>
      </c>
      <c r="X245" s="5" t="str">
        <f aca="false">IF(K245+L245&gt;0,"Yes",IF(M245&gt;0,"No","Unclear"))</f>
        <v>Yes</v>
      </c>
      <c r="Y245" s="5" t="str">
        <f aca="false">INDEX('API Data'!$H$2:$H$152,MATCH(B245,'API Data'!$A$2:$A$152,0))</f>
        <v>No</v>
      </c>
      <c r="Z245" s="5" t="str">
        <f aca="false">IF(COUNTIFS('Product Rows'!$A$2:$A$696,B245,'Product Rows'!$B$2:$B$696,C245,'Product Rows'!$I$2:$I$696,"Yes")&gt;0,"Yes","No")</f>
        <v>Yes</v>
      </c>
      <c r="AA245" s="5" t="str">
        <f aca="false">IF(P245&gt;=Inputs!$D$22,"Yes","No")</f>
        <v>Yes</v>
      </c>
      <c r="AB245" s="10" t="b">
        <f aca="false">AND(OR(Inputs!$B$17&lt;&gt;"Exclude",V245="Yes"),OR(Inputs!$B$18&lt;&gt;"Exclude",W245&lt;&gt;"No"),OR(Inputs!$B$19&lt;&gt;"Exclude",X245&lt;&gt;"No"),OR(Inputs!$B$20&lt;&gt;"Exclude",Y245="No"),OR(Inputs!$B$21&lt;&gt;"Exclude",Z245="No"),OR(Inputs!$B$22&lt;&gt;"Exclude",AA245="Yes"),ISNUMBER(U245))</f>
        <v>1</v>
      </c>
      <c r="AC245" s="5" t="n">
        <f aca="false">IF(AB245,COUNTIFS($C$5:$C$337,C245,$AB$5:$AB$337,TRUE(),$U$5:$U$337,"&gt;"&amp;U245)+COUNTIFS($C$5:C245,C245,$AB$5:AB245,TRUE(),$U$5:U245,U245),"")</f>
        <v>33</v>
      </c>
      <c r="AD245" s="5" t="str">
        <f aca="false">IF(AC245="","Not eligible",IF(AC245&lt;=Inputs!$B$25,"Lead",IF(AC245&lt;=Inputs!$B$25+Inputs!$B$26,"Next wave","Long list")))</f>
        <v>Long list</v>
      </c>
      <c r="AE245" s="5" t="str">
        <f aca="false">IF(AND(K245+L245=0,M245&gt;0),"Safety upgrade of existing prefilled syringe",IF(K245+L245+M245=0,"Confirm presentation (not stated in source)",IF(AA245="Yes","Differentiation in crowded generic market","Safety-device mandate compliance")))</f>
        <v>Differentiation in crowded generic market</v>
      </c>
      <c r="AF245" s="5" t="str">
        <f aca="false">IF(AC245="","",C245&amp;"|"&amp;AC245)</f>
        <v>Intas Pharmaceuticals|33</v>
      </c>
    </row>
    <row r="246" customFormat="false" ht="15" hidden="false" customHeight="false" outlineLevel="0" collapsed="false">
      <c r="A246" s="5" t="n">
        <f aca="false">IF(ISNUMBER(U246),RANK(U246,$U$5:$U$337),"")</f>
        <v>183</v>
      </c>
      <c r="B246" s="5" t="s">
        <v>162</v>
      </c>
      <c r="C246" s="5" t="s">
        <v>50</v>
      </c>
      <c r="D246" s="5" t="str">
        <f aca="false">INDEX('API Data'!$B$2:$B$152,MATCH(B246,'API Data'!$A$2:$A$152,0))</f>
        <v>Gastroenterology – GERD, GI bleeding, stress-ulcer prophylaxis (IV PPI)</v>
      </c>
      <c r="E246" s="5" t="n">
        <f aca="false">COUNTIFS('Market Listing'!$A$2:$A$4054,B246,'Market Listing'!$B$2:$B$4054,C246)</f>
        <v>32</v>
      </c>
      <c r="F246" s="5" t="n">
        <f aca="false">COUNTIFS('Market Listing'!$A$2:$A$4054,B246,'Market Listing'!$B$2:$B$4054,C246,'Market Listing'!$D$2:$D$4054,"Tier 1")</f>
        <v>6</v>
      </c>
      <c r="G246" s="5" t="n">
        <f aca="false">COUNTIFS('Market Listing'!$A$2:$A$4054,B246,'Market Listing'!$B$2:$B$4054,C246,'Market Listing'!$D$2:$D$4054,"Tier 2")</f>
        <v>3</v>
      </c>
      <c r="H246" s="5" t="n">
        <f aca="false">COUNTIFS('Market Listing'!$A$2:$A$4054,B246,'Market Listing'!$B$2:$B$4054,C246,'Market Listing'!$D$2:$D$4054,"Tier 3")</f>
        <v>23</v>
      </c>
      <c r="I246" s="5" t="n">
        <f aca="false">SUMIFS('Market Listing'!$E$2:$E$4054,'Market Listing'!$A$2:$A$4054,B246,'Market Listing'!$B$2:$B$4054,C246)</f>
        <v>47</v>
      </c>
      <c r="J246" s="5" t="n">
        <f aca="false">COUNTIFS('Product Rows'!$A$2:$A$696,B246,'Product Rows'!$B$2:$B$696,C246)</f>
        <v>2</v>
      </c>
      <c r="K246" s="5" t="n">
        <f aca="false">COUNTIFS('Product Rows'!$A$2:$A$696,B246,'Product Rows'!$B$2:$B$696,C246,'Product Rows'!$G$2:$G$696,"Vial")</f>
        <v>2</v>
      </c>
      <c r="L246" s="5" t="n">
        <f aca="false">COUNTIFS('Product Rows'!$A$2:$A$696,B246,'Product Rows'!$B$2:$B$696,C246,'Product Rows'!$G$2:$G$696,"Ampoule")</f>
        <v>0</v>
      </c>
      <c r="M246" s="5" t="n">
        <f aca="false">COUNTIFS('Product Rows'!$A$2:$A$696,B246,'Product Rows'!$B$2:$B$696,C246,'Product Rows'!$G$2:$G$696,"Prefilled syringe/pen")</f>
        <v>0</v>
      </c>
      <c r="N246" s="6" t="n">
        <f aca="false">IFERROR(AVERAGEIFS('Product Rows'!$H$2:$H$696,'Product Rows'!$A$2:$A$696,B246,'Product Rows'!$B$2:$B$696,C246),"")</f>
        <v>6.0848</v>
      </c>
      <c r="O246" s="7" t="n">
        <f aca="false">INDEX('API Data'!$E$2:$E$152,MATCH(B246,'API Data'!$A$2:$A$152,0))</f>
        <v>35276.7259256388</v>
      </c>
      <c r="P246" s="5" t="n">
        <f aca="false">COUNTIF($B$5:$B$337,B246)</f>
        <v>5</v>
      </c>
      <c r="Q246" s="8" t="n">
        <f aca="false">IF(ISNUMBER(I246),PERCENTRANK($I$5:$I$337,I246),"")</f>
        <v>0.892</v>
      </c>
      <c r="R246" s="8" t="n">
        <f aca="false">IF(ISNUMBER(N246),PERCENTRANK($N$5:$N$337,N246),"")</f>
        <v>0.0394</v>
      </c>
      <c r="S246" s="8" t="n">
        <f aca="false">IF(ISNUMBER(O246),PERCENTRANK($O$5:$O$337,O246),"")</f>
        <v>0.87</v>
      </c>
      <c r="T246" s="8" t="n">
        <f aca="false">IF(ISNUMBER(P246),PERCENTRANK($P$5:$P$337,P246),"")</f>
        <v>0.702</v>
      </c>
      <c r="U246" s="9" t="n">
        <f aca="false">IF((IF(ISNUMBER(Q246),Inputs!$B$4,0)+IF(ISNUMBER(R246),Inputs!$B$5,0)+IF(ISNUMBER(S246),Inputs!$B$6,0)+IF(ISNUMBER(T246),Inputs!$B$7,0))=0,"",(IF(ISNUMBER(Q246),Inputs!$B$4*Q246,0)+IF(ISNUMBER(R246),Inputs!$B$5*R246,0)+IF(ISNUMBER(S246),Inputs!$B$6*S246,0)+IF(ISNUMBER(T246),Inputs!$B$7*T246,0))/(IF(ISNUMBER(Q246),Inputs!$B$4,0)+IF(ISNUMBER(R246),Inputs!$B$5,0)+IF(ISNUMBER(S246),Inputs!$B$6,0)+IF(ISNUMBER(T246),Inputs!$B$7,0)))</f>
        <v>0.4547</v>
      </c>
      <c r="V246" s="5" t="str">
        <f aca="false">IF(F246&gt;0,"Yes","No")</f>
        <v>Yes</v>
      </c>
      <c r="W246" s="5" t="str">
        <f aca="false">IF(ISNUMBER(N246),IF(N246&gt;=Inputs!$D$18,"Yes","No"),"No price")</f>
        <v>Yes</v>
      </c>
      <c r="X246" s="5" t="str">
        <f aca="false">IF(K246+L246&gt;0,"Yes",IF(M246&gt;0,"No","Unclear"))</f>
        <v>Yes</v>
      </c>
      <c r="Y246" s="5" t="str">
        <f aca="false">INDEX('API Data'!$H$2:$H$152,MATCH(B246,'API Data'!$A$2:$A$152,0))</f>
        <v>No</v>
      </c>
      <c r="Z246" s="5" t="str">
        <f aca="false">IF(COUNTIFS('Product Rows'!$A$2:$A$696,B246,'Product Rows'!$B$2:$B$696,C246,'Product Rows'!$I$2:$I$696,"Yes")&gt;0,"Yes","No")</f>
        <v>Yes</v>
      </c>
      <c r="AA246" s="5" t="str">
        <f aca="false">IF(P246&gt;=Inputs!$D$22,"Yes","No")</f>
        <v>Yes</v>
      </c>
      <c r="AB246" s="10" t="b">
        <f aca="false">AND(OR(Inputs!$B$17&lt;&gt;"Exclude",V246="Yes"),OR(Inputs!$B$18&lt;&gt;"Exclude",W246&lt;&gt;"No"),OR(Inputs!$B$19&lt;&gt;"Exclude",X246&lt;&gt;"No"),OR(Inputs!$B$20&lt;&gt;"Exclude",Y246="No"),OR(Inputs!$B$21&lt;&gt;"Exclude",Z246="No"),OR(Inputs!$B$22&lt;&gt;"Exclude",AA246="Yes"),ISNUMBER(U246))</f>
        <v>1</v>
      </c>
      <c r="AC246" s="5" t="n">
        <f aca="false">IF(AB246,COUNTIFS($C$5:$C$337,C246,$AB$5:$AB$337,TRUE(),$U$5:$U$337,"&gt;"&amp;U246)+COUNTIFS($C$5:C246,C246,$AB$5:AB246,TRUE(),$U$5:U246,U246),"")</f>
        <v>10</v>
      </c>
      <c r="AD246" s="5" t="str">
        <f aca="false">IF(AC246="","Not eligible",IF(AC246&lt;=Inputs!$B$25,"Lead",IF(AC246&lt;=Inputs!$B$25+Inputs!$B$26,"Next wave","Long list")))</f>
        <v>Next wave</v>
      </c>
      <c r="AE246" s="5" t="str">
        <f aca="false">IF(AND(K246+L246=0,M246&gt;0),"Safety upgrade of existing prefilled syringe",IF(K246+L246+M246=0,"Confirm presentation (not stated in source)",IF(AA246="Yes","Differentiation in crowded generic market","Safety-device mandate compliance")))</f>
        <v>Differentiation in crowded generic market</v>
      </c>
      <c r="AF246" s="5" t="str">
        <f aca="false">IF(AC246="","",C246&amp;"|"&amp;AC246)</f>
        <v>Sun Pharma|10</v>
      </c>
    </row>
    <row r="247" customFormat="false" ht="15" hidden="false" customHeight="false" outlineLevel="0" collapsed="false">
      <c r="A247" s="5" t="n">
        <f aca="false">IF(ISNUMBER(U247),RANK(U247,$U$5:$U$337),"")</f>
        <v>256</v>
      </c>
      <c r="B247" s="5" t="s">
        <v>163</v>
      </c>
      <c r="C247" s="5" t="s">
        <v>44</v>
      </c>
      <c r="D247" s="5" t="str">
        <f aca="false">INDEX('API Data'!$B$2:$B$152,MATCH(B247,'API Data'!$A$2:$A$152,0))</f>
        <v>Nephrology – secondary hyperparathyroidism in dialysis patients</v>
      </c>
      <c r="E247" s="5" t="n">
        <f aca="false">COUNTIFS('Market Listing'!$A$2:$A$4054,B247,'Market Listing'!$B$2:$B$4054,C247)</f>
        <v>1</v>
      </c>
      <c r="F247" s="5" t="n">
        <f aca="false">COUNTIFS('Market Listing'!$A$2:$A$4054,B247,'Market Listing'!$B$2:$B$4054,C247,'Market Listing'!$D$2:$D$4054,"Tier 1")</f>
        <v>1</v>
      </c>
      <c r="G247" s="5" t="n">
        <f aca="false">COUNTIFS('Market Listing'!$A$2:$A$4054,B247,'Market Listing'!$B$2:$B$4054,C247,'Market Listing'!$D$2:$D$4054,"Tier 2")</f>
        <v>0</v>
      </c>
      <c r="H247" s="5" t="n">
        <f aca="false">COUNTIFS('Market Listing'!$A$2:$A$4054,B247,'Market Listing'!$B$2:$B$4054,C247,'Market Listing'!$D$2:$D$4054,"Tier 3")</f>
        <v>0</v>
      </c>
      <c r="I247" s="5" t="n">
        <f aca="false">SUMIFS('Market Listing'!$E$2:$E$4054,'Market Listing'!$A$2:$A$4054,B247,'Market Listing'!$B$2:$B$4054,C247)</f>
        <v>3</v>
      </c>
      <c r="J247" s="5" t="n">
        <f aca="false">COUNTIFS('Product Rows'!$A$2:$A$696,B247,'Product Rows'!$B$2:$B$696,C247)</f>
        <v>2</v>
      </c>
      <c r="K247" s="5" t="n">
        <f aca="false">COUNTIFS('Product Rows'!$A$2:$A$696,B247,'Product Rows'!$B$2:$B$696,C247,'Product Rows'!$G$2:$G$696,"Vial")</f>
        <v>2</v>
      </c>
      <c r="L247" s="5" t="n">
        <f aca="false">COUNTIFS('Product Rows'!$A$2:$A$696,B247,'Product Rows'!$B$2:$B$696,C247,'Product Rows'!$G$2:$G$696,"Ampoule")</f>
        <v>0</v>
      </c>
      <c r="M247" s="5" t="n">
        <f aca="false">COUNTIFS('Product Rows'!$A$2:$A$696,B247,'Product Rows'!$B$2:$B$696,C247,'Product Rows'!$G$2:$G$696,"Prefilled syringe/pen")</f>
        <v>0</v>
      </c>
      <c r="N247" s="6" t="n">
        <f aca="false">IFERROR(AVERAGEIFS('Product Rows'!$H$2:$H$696,'Product Rows'!$A$2:$A$696,B247,'Product Rows'!$B$2:$B$696,C247),"")</f>
        <v>13.54</v>
      </c>
      <c r="O247" s="7" t="n">
        <f aca="false">INDEX('API Data'!$E$2:$E$152,MATCH(B247,'API Data'!$A$2:$A$152,0))</f>
        <v>2902.07760389037</v>
      </c>
      <c r="P247" s="5" t="n">
        <f aca="false">COUNTIF($B$5:$B$337,B247)</f>
        <v>2</v>
      </c>
      <c r="Q247" s="8" t="n">
        <f aca="false">IF(ISNUMBER(I247),PERCENTRANK($I$5:$I$337,I247),"")</f>
        <v>0.157</v>
      </c>
      <c r="R247" s="8" t="n">
        <f aca="false">IF(ISNUMBER(N247),PERCENTRANK($N$5:$N$337,N247),"")</f>
        <v>0.265</v>
      </c>
      <c r="S247" s="8" t="n">
        <f aca="false">IF(ISNUMBER(O247),PERCENTRANK($O$5:$O$337,O247),"")</f>
        <v>0.389</v>
      </c>
      <c r="T247" s="8" t="n">
        <f aca="false">IF(ISNUMBER(P247),PERCENTRANK($P$5:$P$337,P247),"")</f>
        <v>0.235</v>
      </c>
      <c r="U247" s="9" t="n">
        <f aca="false">IF((IF(ISNUMBER(Q247),Inputs!$B$4,0)+IF(ISNUMBER(R247),Inputs!$B$5,0)+IF(ISNUMBER(S247),Inputs!$B$6,0)+IF(ISNUMBER(T247),Inputs!$B$7,0))=0,"",(IF(ISNUMBER(Q247),Inputs!$B$4*Q247,0)+IF(ISNUMBER(R247),Inputs!$B$5*R247,0)+IF(ISNUMBER(S247),Inputs!$B$6*S247,0)+IF(ISNUMBER(T247),Inputs!$B$7*T247,0))/(IF(ISNUMBER(Q247),Inputs!$B$4,0)+IF(ISNUMBER(R247),Inputs!$B$5,0)+IF(ISNUMBER(S247),Inputs!$B$6,0)+IF(ISNUMBER(T247),Inputs!$B$7,0)))</f>
        <v>0.327</v>
      </c>
      <c r="V247" s="5" t="str">
        <f aca="false">IF(F247&gt;0,"Yes","No")</f>
        <v>Yes</v>
      </c>
      <c r="W247" s="5" t="str">
        <f aca="false">IF(ISNUMBER(N247),IF(N247&gt;=Inputs!$D$18,"Yes","No"),"No price")</f>
        <v>Yes</v>
      </c>
      <c r="X247" s="5" t="str">
        <f aca="false">IF(K247+L247&gt;0,"Yes",IF(M247&gt;0,"No","Unclear"))</f>
        <v>Yes</v>
      </c>
      <c r="Y247" s="5" t="str">
        <f aca="false">INDEX('API Data'!$H$2:$H$152,MATCH(B247,'API Data'!$A$2:$A$152,0))</f>
        <v>No</v>
      </c>
      <c r="Z247" s="5" t="str">
        <f aca="false">IF(COUNTIFS('Product Rows'!$A$2:$A$696,B247,'Product Rows'!$B$2:$B$696,C247,'Product Rows'!$I$2:$I$696,"Yes")&gt;0,"Yes","No")</f>
        <v>No</v>
      </c>
      <c r="AA247" s="5" t="str">
        <f aca="false">IF(P247&gt;=Inputs!$D$22,"Yes","No")</f>
        <v>No</v>
      </c>
      <c r="AB247" s="10" t="b">
        <f aca="false">AND(OR(Inputs!$B$17&lt;&gt;"Exclude",V247="Yes"),OR(Inputs!$B$18&lt;&gt;"Exclude",W247&lt;&gt;"No"),OR(Inputs!$B$19&lt;&gt;"Exclude",X247&lt;&gt;"No"),OR(Inputs!$B$20&lt;&gt;"Exclude",Y247="No"),OR(Inputs!$B$21&lt;&gt;"Exclude",Z247="No"),OR(Inputs!$B$22&lt;&gt;"Exclude",AA247="Yes"),ISNUMBER(U247))</f>
        <v>1</v>
      </c>
      <c r="AC247" s="5" t="n">
        <f aca="false">IF(AB247,COUNTIFS($C$5:$C$337,C247,$AB$5:$AB$337,TRUE(),$U$5:$U$337,"&gt;"&amp;U247)+COUNTIFS($C$5:C247,C247,$AB$5:AB247,TRUE(),$U$5:U247,U247),"")</f>
        <v>45</v>
      </c>
      <c r="AD247" s="5" t="str">
        <f aca="false">IF(AC247="","Not eligible",IF(AC247&lt;=Inputs!$B$25,"Lead",IF(AC247&lt;=Inputs!$B$25+Inputs!$B$26,"Next wave","Long list")))</f>
        <v>Long list</v>
      </c>
      <c r="AE247" s="5" t="str">
        <f aca="false">IF(AND(K247+L247=0,M247&gt;0),"Safety upgrade of existing prefilled syringe",IF(K247+L247+M247=0,"Confirm presentation (not stated in source)",IF(AA247="Yes","Differentiation in crowded generic market","Safety-device mandate compliance")))</f>
        <v>Safety-device mandate compliance</v>
      </c>
      <c r="AF247" s="5" t="str">
        <f aca="false">IF(AC247="","",C247&amp;"|"&amp;AC247)</f>
        <v>Intas Pharmaceuticals|45</v>
      </c>
    </row>
    <row r="248" customFormat="false" ht="15" hidden="false" customHeight="false" outlineLevel="0" collapsed="false">
      <c r="A248" s="5" t="n">
        <f aca="false">IF(ISNUMBER(U248),RANK(U248,$U$5:$U$337),"")</f>
        <v>237</v>
      </c>
      <c r="B248" s="5" t="s">
        <v>163</v>
      </c>
      <c r="C248" s="5" t="s">
        <v>50</v>
      </c>
      <c r="D248" s="5" t="str">
        <f aca="false">INDEX('API Data'!$B$2:$B$152,MATCH(B248,'API Data'!$A$2:$A$152,0))</f>
        <v>Nephrology – secondary hyperparathyroidism in dialysis patients</v>
      </c>
      <c r="E248" s="5" t="n">
        <f aca="false">COUNTIFS('Market Listing'!$A$2:$A$4054,B248,'Market Listing'!$B$2:$B$4054,C248)</f>
        <v>23</v>
      </c>
      <c r="F248" s="5" t="n">
        <f aca="false">COUNTIFS('Market Listing'!$A$2:$A$4054,B248,'Market Listing'!$B$2:$B$4054,C248,'Market Listing'!$D$2:$D$4054,"Tier 1")</f>
        <v>3</v>
      </c>
      <c r="G248" s="5" t="n">
        <f aca="false">COUNTIFS('Market Listing'!$A$2:$A$4054,B248,'Market Listing'!$B$2:$B$4054,C248,'Market Listing'!$D$2:$D$4054,"Tier 2")</f>
        <v>2</v>
      </c>
      <c r="H248" s="5" t="n">
        <f aca="false">COUNTIFS('Market Listing'!$A$2:$A$4054,B248,'Market Listing'!$B$2:$B$4054,C248,'Market Listing'!$D$2:$D$4054,"Tier 3")</f>
        <v>18</v>
      </c>
      <c r="I248" s="5" t="n">
        <f aca="false">SUMIFS('Market Listing'!$E$2:$E$4054,'Market Listing'!$A$2:$A$4054,B248,'Market Listing'!$B$2:$B$4054,C248)</f>
        <v>31</v>
      </c>
      <c r="J248" s="5" t="n">
        <f aca="false">COUNTIFS('Product Rows'!$A$2:$A$696,B248,'Product Rows'!$B$2:$B$696,C248)</f>
        <v>1</v>
      </c>
      <c r="K248" s="5" t="n">
        <f aca="false">COUNTIFS('Product Rows'!$A$2:$A$696,B248,'Product Rows'!$B$2:$B$696,C248,'Product Rows'!$G$2:$G$696,"Vial")</f>
        <v>1</v>
      </c>
      <c r="L248" s="5" t="n">
        <f aca="false">COUNTIFS('Product Rows'!$A$2:$A$696,B248,'Product Rows'!$B$2:$B$696,C248,'Product Rows'!$G$2:$G$696,"Ampoule")</f>
        <v>0</v>
      </c>
      <c r="M248" s="5" t="n">
        <f aca="false">COUNTIFS('Product Rows'!$A$2:$A$696,B248,'Product Rows'!$B$2:$B$696,C248,'Product Rows'!$G$2:$G$696,"Prefilled syringe/pen")</f>
        <v>0</v>
      </c>
      <c r="N248" s="6" t="n">
        <f aca="false">IFERROR(AVERAGEIFS('Product Rows'!$H$2:$H$696,'Product Rows'!$A$2:$A$696,B248,'Product Rows'!$B$2:$B$696,C248),"")</f>
        <v>17.628</v>
      </c>
      <c r="O248" s="7" t="n">
        <f aca="false">INDEX('API Data'!$E$2:$E$152,MATCH(B248,'API Data'!$A$2:$A$152,0))</f>
        <v>2902.07760389037</v>
      </c>
      <c r="P248" s="5" t="n">
        <f aca="false">COUNTIF($B$5:$B$337,B248)</f>
        <v>2</v>
      </c>
      <c r="Q248" s="8" t="n">
        <f aca="false">IF(ISNUMBER(I248),PERCENTRANK($I$5:$I$337,I248),"")</f>
        <v>0.617</v>
      </c>
      <c r="R248" s="8" t="n">
        <f aca="false">IF(ISNUMBER(N248),PERCENTRANK($N$5:$N$337,N248),"")</f>
        <v>0.333</v>
      </c>
      <c r="S248" s="8" t="n">
        <f aca="false">IF(ISNUMBER(O248),PERCENTRANK($O$5:$O$337,O248),"")</f>
        <v>0.389</v>
      </c>
      <c r="T248" s="8" t="n">
        <f aca="false">IF(ISNUMBER(P248),PERCENTRANK($P$5:$P$337,P248),"")</f>
        <v>0.235</v>
      </c>
      <c r="U248" s="9" t="n">
        <f aca="false">IF((IF(ISNUMBER(Q248),Inputs!$B$4,0)+IF(ISNUMBER(R248),Inputs!$B$5,0)+IF(ISNUMBER(S248),Inputs!$B$6,0)+IF(ISNUMBER(T248),Inputs!$B$7,0))=0,"",(IF(ISNUMBER(Q248),Inputs!$B$4*Q248,0)+IF(ISNUMBER(R248),Inputs!$B$5*R248,0)+IF(ISNUMBER(S248),Inputs!$B$6*S248,0)+IF(ISNUMBER(T248),Inputs!$B$7*T248,0))/(IF(ISNUMBER(Q248),Inputs!$B$4,0)+IF(ISNUMBER(R248),Inputs!$B$5,0)+IF(ISNUMBER(S248),Inputs!$B$6,0)+IF(ISNUMBER(T248),Inputs!$B$7,0)))</f>
        <v>0.361</v>
      </c>
      <c r="V248" s="5" t="str">
        <f aca="false">IF(F248&gt;0,"Yes","No")</f>
        <v>Yes</v>
      </c>
      <c r="W248" s="5" t="str">
        <f aca="false">IF(ISNUMBER(N248),IF(N248&gt;=Inputs!$D$18,"Yes","No"),"No price")</f>
        <v>Yes</v>
      </c>
      <c r="X248" s="5" t="str">
        <f aca="false">IF(K248+L248&gt;0,"Yes",IF(M248&gt;0,"No","Unclear"))</f>
        <v>Yes</v>
      </c>
      <c r="Y248" s="5" t="str">
        <f aca="false">INDEX('API Data'!$H$2:$H$152,MATCH(B248,'API Data'!$A$2:$A$152,0))</f>
        <v>No</v>
      </c>
      <c r="Z248" s="5" t="str">
        <f aca="false">IF(COUNTIFS('Product Rows'!$A$2:$A$696,B248,'Product Rows'!$B$2:$B$696,C248,'Product Rows'!$I$2:$I$696,"Yes")&gt;0,"Yes","No")</f>
        <v>No</v>
      </c>
      <c r="AA248" s="5" t="str">
        <f aca="false">IF(P248&gt;=Inputs!$D$22,"Yes","No")</f>
        <v>No</v>
      </c>
      <c r="AB248" s="10" t="b">
        <f aca="false">AND(OR(Inputs!$B$17&lt;&gt;"Exclude",V248="Yes"),OR(Inputs!$B$18&lt;&gt;"Exclude",W248&lt;&gt;"No"),OR(Inputs!$B$19&lt;&gt;"Exclude",X248&lt;&gt;"No"),OR(Inputs!$B$20&lt;&gt;"Exclude",Y248="No"),OR(Inputs!$B$21&lt;&gt;"Exclude",Z248="No"),OR(Inputs!$B$22&lt;&gt;"Exclude",AA248="Yes"),ISNUMBER(U248))</f>
        <v>1</v>
      </c>
      <c r="AC248" s="5" t="n">
        <f aca="false">IF(AB248,COUNTIFS($C$5:$C$337,C248,$AB$5:$AB$337,TRUE(),$U$5:$U$337,"&gt;"&amp;U248)+COUNTIFS($C$5:C248,C248,$AB$5:AB248,TRUE(),$U$5:U248,U248),"")</f>
        <v>13</v>
      </c>
      <c r="AD248" s="5" t="str">
        <f aca="false">IF(AC248="","Not eligible",IF(AC248&lt;=Inputs!$B$25,"Lead",IF(AC248&lt;=Inputs!$B$25+Inputs!$B$26,"Next wave","Long list")))</f>
        <v>Long list</v>
      </c>
      <c r="AE248" s="5" t="str">
        <f aca="false">IF(AND(K248+L248=0,M248&gt;0),"Safety upgrade of existing prefilled syringe",IF(K248+L248+M248=0,"Confirm presentation (not stated in source)",IF(AA248="Yes","Differentiation in crowded generic market","Safety-device mandate compliance")))</f>
        <v>Safety-device mandate compliance</v>
      </c>
      <c r="AF248" s="5" t="str">
        <f aca="false">IF(AC248="","",C248&amp;"|"&amp;AC248)</f>
        <v>Sun Pharma|13</v>
      </c>
    </row>
    <row r="249" customFormat="false" ht="15" hidden="false" customHeight="false" outlineLevel="0" collapsed="false">
      <c r="A249" s="5" t="n">
        <f aca="false">IF(ISNUMBER(U249),RANK(U249,$U$5:$U$337),"")</f>
        <v>14</v>
      </c>
      <c r="B249" s="5" t="s">
        <v>164</v>
      </c>
      <c r="C249" s="5" t="s">
        <v>44</v>
      </c>
      <c r="D249" s="5" t="str">
        <f aca="false">INDEX('API Data'!$B$2:$B$152,MATCH(B249,'API Data'!$A$2:$A$152,0))</f>
        <v>Oncology supportive – prevents chemotherapy-induced neutropenia</v>
      </c>
      <c r="E249" s="5" t="n">
        <f aca="false">COUNTIFS('Market Listing'!$A$2:$A$4054,B249,'Market Listing'!$B$2:$B$4054,C249)</f>
        <v>1</v>
      </c>
      <c r="F249" s="5" t="n">
        <f aca="false">COUNTIFS('Market Listing'!$A$2:$A$4054,B249,'Market Listing'!$B$2:$B$4054,C249,'Market Listing'!$D$2:$D$4054,"Tier 1")</f>
        <v>1</v>
      </c>
      <c r="G249" s="5" t="n">
        <f aca="false">COUNTIFS('Market Listing'!$A$2:$A$4054,B249,'Market Listing'!$B$2:$B$4054,C249,'Market Listing'!$D$2:$D$4054,"Tier 2")</f>
        <v>0</v>
      </c>
      <c r="H249" s="5" t="n">
        <f aca="false">COUNTIFS('Market Listing'!$A$2:$A$4054,B249,'Market Listing'!$B$2:$B$4054,C249,'Market Listing'!$D$2:$D$4054,"Tier 3")</f>
        <v>0</v>
      </c>
      <c r="I249" s="5" t="n">
        <f aca="false">SUMIFS('Market Listing'!$E$2:$E$4054,'Market Listing'!$A$2:$A$4054,B249,'Market Listing'!$B$2:$B$4054,C249)</f>
        <v>3</v>
      </c>
      <c r="J249" s="5" t="n">
        <f aca="false">COUNTIFS('Product Rows'!$A$2:$A$696,B249,'Product Rows'!$B$2:$B$696,C249)</f>
        <v>1</v>
      </c>
      <c r="K249" s="5" t="n">
        <f aca="false">COUNTIFS('Product Rows'!$A$2:$A$696,B249,'Product Rows'!$B$2:$B$696,C249,'Product Rows'!$G$2:$G$696,"Vial")</f>
        <v>0</v>
      </c>
      <c r="L249" s="5" t="n">
        <f aca="false">COUNTIFS('Product Rows'!$A$2:$A$696,B249,'Product Rows'!$B$2:$B$696,C249,'Product Rows'!$G$2:$G$696,"Ampoule")</f>
        <v>0</v>
      </c>
      <c r="M249" s="5" t="n">
        <f aca="false">COUNTIFS('Product Rows'!$A$2:$A$696,B249,'Product Rows'!$B$2:$B$696,C249,'Product Rows'!$G$2:$G$696,"Prefilled syringe/pen")</f>
        <v>1</v>
      </c>
      <c r="N249" s="6" t="n">
        <f aca="false">IFERROR(AVERAGEIFS('Product Rows'!$H$2:$H$696,'Product Rows'!$A$2:$A$696,B249,'Product Rows'!$B$2:$B$696,C249),"")</f>
        <v>907.38</v>
      </c>
      <c r="O249" s="7" t="n">
        <f aca="false">INDEX('API Data'!$E$2:$E$152,MATCH(B249,'API Data'!$A$2:$A$152,0))</f>
        <v>22036.0962857143</v>
      </c>
      <c r="P249" s="5" t="n">
        <f aca="false">COUNTIF($B$5:$B$337,B249)</f>
        <v>1</v>
      </c>
      <c r="Q249" s="8" t="n">
        <f aca="false">IF(ISNUMBER(I249),PERCENTRANK($I$5:$I$337,I249),"")</f>
        <v>0.157</v>
      </c>
      <c r="R249" s="8" t="n">
        <f aca="false">IF(ISNUMBER(N249),PERCENTRANK($N$5:$N$337,N249),"")</f>
        <v>0.968</v>
      </c>
      <c r="S249" s="8" t="n">
        <f aca="false">IF(ISNUMBER(O249),PERCENTRANK($O$5:$O$337,O249),"")</f>
        <v>0.783</v>
      </c>
      <c r="T249" s="8" t="n">
        <f aca="false">IF(ISNUMBER(P249),PERCENTRANK($P$5:$P$337,P249),"")</f>
        <v>0</v>
      </c>
      <c r="U249" s="9" t="n">
        <f aca="false">IF((IF(ISNUMBER(Q249),Inputs!$B$4,0)+IF(ISNUMBER(R249),Inputs!$B$5,0)+IF(ISNUMBER(S249),Inputs!$B$6,0)+IF(ISNUMBER(T249),Inputs!$B$7,0))=0,"",(IF(ISNUMBER(Q249),Inputs!$B$4*Q249,0)+IF(ISNUMBER(R249),Inputs!$B$5*R249,0)+IF(ISNUMBER(S249),Inputs!$B$6*S249,0)+IF(ISNUMBER(T249),Inputs!$B$7*T249,0))/(IF(ISNUMBER(Q249),Inputs!$B$4,0)+IF(ISNUMBER(R249),Inputs!$B$5,0)+IF(ISNUMBER(S249),Inputs!$B$6,0)+IF(ISNUMBER(T249),Inputs!$B$7,0)))</f>
        <v>0.8755</v>
      </c>
      <c r="V249" s="5" t="str">
        <f aca="false">IF(F249&gt;0,"Yes","No")</f>
        <v>Yes</v>
      </c>
      <c r="W249" s="5" t="str">
        <f aca="false">IF(ISNUMBER(N249),IF(N249&gt;=Inputs!$D$18,"Yes","No"),"No price")</f>
        <v>Yes</v>
      </c>
      <c r="X249" s="5" t="str">
        <f aca="false">IF(K249+L249&gt;0,"Yes",IF(M249&gt;0,"No","Unclear"))</f>
        <v>No</v>
      </c>
      <c r="Y249" s="5" t="str">
        <f aca="false">INDEX('API Data'!$H$2:$H$152,MATCH(B249,'API Data'!$A$2:$A$152,0))</f>
        <v>No</v>
      </c>
      <c r="Z249" s="5" t="str">
        <f aca="false">IF(COUNTIFS('Product Rows'!$A$2:$A$696,B249,'Product Rows'!$B$2:$B$696,C249,'Product Rows'!$I$2:$I$696,"Yes")&gt;0,"Yes","No")</f>
        <v>No</v>
      </c>
      <c r="AA249" s="5" t="str">
        <f aca="false">IF(P249&gt;=Inputs!$D$22,"Yes","No")</f>
        <v>No</v>
      </c>
      <c r="AB249" s="10" t="b">
        <f aca="false">AND(OR(Inputs!$B$17&lt;&gt;"Exclude",V249="Yes"),OR(Inputs!$B$18&lt;&gt;"Exclude",W249&lt;&gt;"No"),OR(Inputs!$B$19&lt;&gt;"Exclude",X249&lt;&gt;"No"),OR(Inputs!$B$20&lt;&gt;"Exclude",Y249="No"),OR(Inputs!$B$21&lt;&gt;"Exclude",Z249="No"),OR(Inputs!$B$22&lt;&gt;"Exclude",AA249="Yes"),ISNUMBER(U249))</f>
        <v>1</v>
      </c>
      <c r="AC249" s="5" t="n">
        <f aca="false">IF(AB249,COUNTIFS($C$5:$C$337,C249,$AB$5:$AB$337,TRUE(),$U$5:$U$337,"&gt;"&amp;U249)+COUNTIFS($C$5:C249,C249,$AB$5:AB249,TRUE(),$U$5:U249,U249),"")</f>
        <v>3</v>
      </c>
      <c r="AD249" s="5" t="str">
        <f aca="false">IF(AC249="","Not eligible",IF(AC249&lt;=Inputs!$B$25,"Lead",IF(AC249&lt;=Inputs!$B$25+Inputs!$B$26,"Next wave","Long list")))</f>
        <v>Lead</v>
      </c>
      <c r="AE249" s="5" t="str">
        <f aca="false">IF(AND(K249+L249=0,M249&gt;0),"Safety upgrade of existing prefilled syringe",IF(K249+L249+M249=0,"Confirm presentation (not stated in source)",IF(AA249="Yes","Differentiation in crowded generic market","Safety-device mandate compliance")))</f>
        <v>Safety upgrade of existing prefilled syringe</v>
      </c>
      <c r="AF249" s="5" t="str">
        <f aca="false">IF(AC249="","",C249&amp;"|"&amp;AC249)</f>
        <v>Intas Pharmaceuticals|3</v>
      </c>
    </row>
    <row r="250" customFormat="false" ht="15" hidden="false" customHeight="false" outlineLevel="0" collapsed="false">
      <c r="A250" s="5" t="n">
        <f aca="false">IF(ISNUMBER(U250),RANK(U250,$U$5:$U$337),"")</f>
        <v>139</v>
      </c>
      <c r="B250" s="5" t="s">
        <v>165</v>
      </c>
      <c r="C250" s="5" t="s">
        <v>35</v>
      </c>
      <c r="D250" s="5" t="str">
        <f aca="false">INDEX('API Data'!$B$2:$B$152,MATCH(B250,'API Data'!$A$2:$A$152,0))</f>
        <v>Anti-infective – Pneumocystis pneumonia; leishmaniasis</v>
      </c>
      <c r="E250" s="5" t="n">
        <f aca="false">COUNTIFS('Market Listing'!$A$2:$A$4054,B250,'Market Listing'!$B$2:$B$4054,C250)</f>
        <v>16</v>
      </c>
      <c r="F250" s="5" t="n">
        <f aca="false">COUNTIFS('Market Listing'!$A$2:$A$4054,B250,'Market Listing'!$B$2:$B$4054,C250,'Market Listing'!$D$2:$D$4054,"Tier 1")</f>
        <v>7</v>
      </c>
      <c r="G250" s="5" t="n">
        <f aca="false">COUNTIFS('Market Listing'!$A$2:$A$4054,B250,'Market Listing'!$B$2:$B$4054,C250,'Market Listing'!$D$2:$D$4054,"Tier 2")</f>
        <v>3</v>
      </c>
      <c r="H250" s="5" t="n">
        <f aca="false">COUNTIFS('Market Listing'!$A$2:$A$4054,B250,'Market Listing'!$B$2:$B$4054,C250,'Market Listing'!$D$2:$D$4054,"Tier 3")</f>
        <v>6</v>
      </c>
      <c r="I250" s="5" t="n">
        <f aca="false">SUMIFS('Market Listing'!$E$2:$E$4054,'Market Listing'!$A$2:$A$4054,B250,'Market Listing'!$B$2:$B$4054,C250)</f>
        <v>33</v>
      </c>
      <c r="J250" s="5" t="n">
        <f aca="false">COUNTIFS('Product Rows'!$A$2:$A$696,B250,'Product Rows'!$B$2:$B$696,C250)</f>
        <v>4</v>
      </c>
      <c r="K250" s="5" t="n">
        <f aca="false">COUNTIFS('Product Rows'!$A$2:$A$696,B250,'Product Rows'!$B$2:$B$696,C250,'Product Rows'!$G$2:$G$696,"Vial")</f>
        <v>4</v>
      </c>
      <c r="L250" s="5" t="n">
        <f aca="false">COUNTIFS('Product Rows'!$A$2:$A$696,B250,'Product Rows'!$B$2:$B$696,C250,'Product Rows'!$G$2:$G$696,"Ampoule")</f>
        <v>0</v>
      </c>
      <c r="M250" s="5" t="n">
        <f aca="false">COUNTIFS('Product Rows'!$A$2:$A$696,B250,'Product Rows'!$B$2:$B$696,C250,'Product Rows'!$G$2:$G$696,"Prefilled syringe/pen")</f>
        <v>0</v>
      </c>
      <c r="N250" s="6" t="n">
        <f aca="false">IFERROR(AVERAGEIFS('Product Rows'!$H$2:$H$696,'Product Rows'!$A$2:$A$696,B250,'Product Rows'!$B$2:$B$696,C250),"")</f>
        <v>186.042133333333</v>
      </c>
      <c r="O250" s="7" t="n">
        <f aca="false">INDEX('API Data'!$E$2:$E$152,MATCH(B250,'API Data'!$A$2:$A$152,0))</f>
        <v>1651.98</v>
      </c>
      <c r="P250" s="5" t="n">
        <f aca="false">COUNTIF($B$5:$B$337,B250)</f>
        <v>1</v>
      </c>
      <c r="Q250" s="8" t="n">
        <f aca="false">IF(ISNUMBER(I250),PERCENTRANK($I$5:$I$337,I250),"")</f>
        <v>0.642</v>
      </c>
      <c r="R250" s="8" t="n">
        <f aca="false">IF(ISNUMBER(N250),PERCENTRANK($N$5:$N$337,N250),"")</f>
        <v>0.835</v>
      </c>
      <c r="S250" s="8" t="n">
        <f aca="false">IF(ISNUMBER(O250),PERCENTRANK($O$5:$O$337,O250),"")</f>
        <v>0.223</v>
      </c>
      <c r="T250" s="8" t="n">
        <f aca="false">IF(ISNUMBER(P250),PERCENTRANK($P$5:$P$337,P250),"")</f>
        <v>0</v>
      </c>
      <c r="U250" s="9" t="n">
        <f aca="false">IF((IF(ISNUMBER(Q250),Inputs!$B$4,0)+IF(ISNUMBER(R250),Inputs!$B$5,0)+IF(ISNUMBER(S250),Inputs!$B$6,0)+IF(ISNUMBER(T250),Inputs!$B$7,0))=0,"",(IF(ISNUMBER(Q250),Inputs!$B$4*Q250,0)+IF(ISNUMBER(R250),Inputs!$B$5*R250,0)+IF(ISNUMBER(S250),Inputs!$B$6*S250,0)+IF(ISNUMBER(T250),Inputs!$B$7*T250,0))/(IF(ISNUMBER(Q250),Inputs!$B$4,0)+IF(ISNUMBER(R250),Inputs!$B$5,0)+IF(ISNUMBER(S250),Inputs!$B$6,0)+IF(ISNUMBER(T250),Inputs!$B$7,0)))</f>
        <v>0.529</v>
      </c>
      <c r="V250" s="5" t="str">
        <f aca="false">IF(F250&gt;0,"Yes","No")</f>
        <v>Yes</v>
      </c>
      <c r="W250" s="5" t="str">
        <f aca="false">IF(ISNUMBER(N250),IF(N250&gt;=Inputs!$D$18,"Yes","No"),"No price")</f>
        <v>Yes</v>
      </c>
      <c r="X250" s="5" t="str">
        <f aca="false">IF(K250+L250&gt;0,"Yes",IF(M250&gt;0,"No","Unclear"))</f>
        <v>Yes</v>
      </c>
      <c r="Y250" s="5" t="str">
        <f aca="false">INDEX('API Data'!$H$2:$H$152,MATCH(B250,'API Data'!$A$2:$A$152,0))</f>
        <v>No</v>
      </c>
      <c r="Z250" s="5" t="str">
        <f aca="false">IF(COUNTIFS('Product Rows'!$A$2:$A$696,B250,'Product Rows'!$B$2:$B$696,C250,'Product Rows'!$I$2:$I$696,"Yes")&gt;0,"Yes","No")</f>
        <v>Yes</v>
      </c>
      <c r="AA250" s="5" t="str">
        <f aca="false">IF(P250&gt;=Inputs!$D$22,"Yes","No")</f>
        <v>No</v>
      </c>
      <c r="AB250" s="10" t="b">
        <f aca="false">AND(OR(Inputs!$B$17&lt;&gt;"Exclude",V250="Yes"),OR(Inputs!$B$18&lt;&gt;"Exclude",W250&lt;&gt;"No"),OR(Inputs!$B$19&lt;&gt;"Exclude",X250&lt;&gt;"No"),OR(Inputs!$B$20&lt;&gt;"Exclude",Y250="No"),OR(Inputs!$B$21&lt;&gt;"Exclude",Z250="No"),OR(Inputs!$B$22&lt;&gt;"Exclude",AA250="Yes"),ISNUMBER(U250))</f>
        <v>1</v>
      </c>
      <c r="AC250" s="5" t="n">
        <f aca="false">IF(AB250,COUNTIFS($C$5:$C$337,C250,$AB$5:$AB$337,TRUE(),$U$5:$U$337,"&gt;"&amp;U250)+COUNTIFS($C$5:C250,C250,$AB$5:AB250,TRUE(),$U$5:U250,U250),"")</f>
        <v>10</v>
      </c>
      <c r="AD250" s="5" t="str">
        <f aca="false">IF(AC250="","Not eligible",IF(AC250&lt;=Inputs!$B$25,"Lead",IF(AC250&lt;=Inputs!$B$25+Inputs!$B$26,"Next wave","Long list")))</f>
        <v>Next wave</v>
      </c>
      <c r="AE250" s="5" t="str">
        <f aca="false">IF(AND(K250+L250=0,M250&gt;0),"Safety upgrade of existing prefilled syringe",IF(K250+L250+M250=0,"Confirm presentation (not stated in source)",IF(AA250="Yes","Differentiation in crowded generic market","Safety-device mandate compliance")))</f>
        <v>Safety-device mandate compliance</v>
      </c>
      <c r="AF250" s="5" t="str">
        <f aca="false">IF(AC250="","",C250&amp;"|"&amp;AC250)</f>
        <v>Emcure Pharmaceuticals|10</v>
      </c>
    </row>
    <row r="251" customFormat="false" ht="15" hidden="false" customHeight="false" outlineLevel="0" collapsed="false">
      <c r="A251" s="5" t="n">
        <f aca="false">IF(ISNUMBER(U251),RANK(U251,$U$5:$U$337),"")</f>
        <v>118</v>
      </c>
      <c r="B251" s="5" t="s">
        <v>166</v>
      </c>
      <c r="C251" s="5" t="s">
        <v>54</v>
      </c>
      <c r="D251" s="5" t="str">
        <f aca="false">INDEX('API Data'!$B$2:$B$152,MATCH(B251,'API Data'!$A$2:$A$152,0))</f>
        <v>Anaesthesia – hypotension during anaesthesia (vasopressor)</v>
      </c>
      <c r="E251" s="5" t="n">
        <f aca="false">COUNTIFS('Market Listing'!$A$2:$A$4054,B251,'Market Listing'!$B$2:$B$4054,C251)</f>
        <v>1</v>
      </c>
      <c r="F251" s="5" t="n">
        <f aca="false">COUNTIFS('Market Listing'!$A$2:$A$4054,B251,'Market Listing'!$B$2:$B$4054,C251,'Market Listing'!$D$2:$D$4054,"Tier 1")</f>
        <v>0</v>
      </c>
      <c r="G251" s="5" t="n">
        <f aca="false">COUNTIFS('Market Listing'!$A$2:$A$4054,B251,'Market Listing'!$B$2:$B$4054,C251,'Market Listing'!$D$2:$D$4054,"Tier 2")</f>
        <v>1</v>
      </c>
      <c r="H251" s="5" t="n">
        <f aca="false">COUNTIFS('Market Listing'!$A$2:$A$4054,B251,'Market Listing'!$B$2:$B$4054,C251,'Market Listing'!$D$2:$D$4054,"Tier 3")</f>
        <v>0</v>
      </c>
      <c r="I251" s="5" t="n">
        <f aca="false">SUMIFS('Market Listing'!$E$2:$E$4054,'Market Listing'!$A$2:$A$4054,B251,'Market Listing'!$B$2:$B$4054,C251)</f>
        <v>2</v>
      </c>
      <c r="J251" s="5" t="n">
        <f aca="false">COUNTIFS('Product Rows'!$A$2:$A$696,B251,'Product Rows'!$B$2:$B$696,C251)</f>
        <v>1</v>
      </c>
      <c r="K251" s="5" t="n">
        <f aca="false">COUNTIFS('Product Rows'!$A$2:$A$696,B251,'Product Rows'!$B$2:$B$696,C251,'Product Rows'!$G$2:$G$696,"Vial")</f>
        <v>1</v>
      </c>
      <c r="L251" s="5" t="n">
        <f aca="false">COUNTIFS('Product Rows'!$A$2:$A$696,B251,'Product Rows'!$B$2:$B$696,C251,'Product Rows'!$G$2:$G$696,"Ampoule")</f>
        <v>0</v>
      </c>
      <c r="M251" s="5" t="n">
        <f aca="false">COUNTIFS('Product Rows'!$A$2:$A$696,B251,'Product Rows'!$B$2:$B$696,C251,'Product Rows'!$G$2:$G$696,"Prefilled syringe/pen")</f>
        <v>0</v>
      </c>
      <c r="N251" s="6" t="str">
        <f aca="false">IFERROR(AVERAGEIFS('Product Rows'!$H$2:$H$696,'Product Rows'!$A$2:$A$696,B251,'Product Rows'!$B$2:$B$696,C251),"")</f>
        <v/>
      </c>
      <c r="O251" s="7" t="n">
        <f aca="false">INDEX('API Data'!$E$2:$E$152,MATCH(B251,'API Data'!$A$2:$A$152,0))</f>
        <v>5695.18453989521</v>
      </c>
      <c r="P251" s="5" t="n">
        <f aca="false">COUNTIF($B$5:$B$337,B251)</f>
        <v>2</v>
      </c>
      <c r="Q251" s="8" t="n">
        <f aca="false">IF(ISNUMBER(I251),PERCENTRANK($I$5:$I$337,I251),"")</f>
        <v>0</v>
      </c>
      <c r="R251" s="8" t="str">
        <f aca="false">IF(ISNUMBER(N251),PERCENTRANK($N$5:$N$337,N251),"")</f>
        <v/>
      </c>
      <c r="S251" s="8" t="n">
        <f aca="false">IF(ISNUMBER(O251),PERCENTRANK($O$5:$O$337,O251),"")</f>
        <v>0.563</v>
      </c>
      <c r="T251" s="8" t="n">
        <f aca="false">IF(ISNUMBER(P251),PERCENTRANK($P$5:$P$337,P251),"")</f>
        <v>0.235</v>
      </c>
      <c r="U251" s="9" t="n">
        <f aca="false">IF((IF(ISNUMBER(Q251),Inputs!$B$4,0)+IF(ISNUMBER(R251),Inputs!$B$5,0)+IF(ISNUMBER(S251),Inputs!$B$6,0)+IF(ISNUMBER(T251),Inputs!$B$7,0))=0,"",(IF(ISNUMBER(Q251),Inputs!$B$4*Q251,0)+IF(ISNUMBER(R251),Inputs!$B$5*R251,0)+IF(ISNUMBER(S251),Inputs!$B$6*S251,0)+IF(ISNUMBER(T251),Inputs!$B$7*T251,0))/(IF(ISNUMBER(Q251),Inputs!$B$4,0)+IF(ISNUMBER(R251),Inputs!$B$5,0)+IF(ISNUMBER(S251),Inputs!$B$6,0)+IF(ISNUMBER(T251),Inputs!$B$7,0)))</f>
        <v>0.563</v>
      </c>
      <c r="V251" s="5" t="str">
        <f aca="false">IF(F251&gt;0,"Yes","No")</f>
        <v>No</v>
      </c>
      <c r="W251" s="5" t="str">
        <f aca="false">IF(ISNUMBER(N251),IF(N251&gt;=Inputs!$D$18,"Yes","No"),"No price")</f>
        <v>No price</v>
      </c>
      <c r="X251" s="5" t="str">
        <f aca="false">IF(K251+L251&gt;0,"Yes",IF(M251&gt;0,"No","Unclear"))</f>
        <v>Yes</v>
      </c>
      <c r="Y251" s="5" t="str">
        <f aca="false">INDEX('API Data'!$H$2:$H$152,MATCH(B251,'API Data'!$A$2:$A$152,0))</f>
        <v>No</v>
      </c>
      <c r="Z251" s="5" t="str">
        <f aca="false">IF(COUNTIFS('Product Rows'!$A$2:$A$696,B251,'Product Rows'!$B$2:$B$696,C251,'Product Rows'!$I$2:$I$696,"Yes")&gt;0,"Yes","No")</f>
        <v>No</v>
      </c>
      <c r="AA251" s="5" t="str">
        <f aca="false">IF(P251&gt;=Inputs!$D$22,"Yes","No")</f>
        <v>No</v>
      </c>
      <c r="AB251" s="10" t="b">
        <f aca="false">AND(OR(Inputs!$B$17&lt;&gt;"Exclude",V251="Yes"),OR(Inputs!$B$18&lt;&gt;"Exclude",W251&lt;&gt;"No"),OR(Inputs!$B$19&lt;&gt;"Exclude",X251&lt;&gt;"No"),OR(Inputs!$B$20&lt;&gt;"Exclude",Y251="No"),OR(Inputs!$B$21&lt;&gt;"Exclude",Z251="No"),OR(Inputs!$B$22&lt;&gt;"Exclude",AA251="Yes"),ISNUMBER(U251))</f>
        <v>0</v>
      </c>
      <c r="AC251" s="5" t="str">
        <f aca="false">IF(AB251,COUNTIFS($C$5:$C$337,C251,$AB$5:$AB$337,TRUE(),$U$5:$U$337,"&gt;"&amp;U251)+COUNTIFS($C$5:C251,C251,$AB$5:AB251,TRUE(),$U$5:U251,U251),"")</f>
        <v/>
      </c>
      <c r="AD251" s="5" t="str">
        <f aca="false">IF(AC251="","Not eligible",IF(AC251&lt;=Inputs!$B$25,"Lead",IF(AC251&lt;=Inputs!$B$25+Inputs!$B$26,"Next wave","Long list")))</f>
        <v>Not eligible</v>
      </c>
      <c r="AE251" s="5" t="str">
        <f aca="false">IF(AND(K251+L251=0,M251&gt;0),"Safety upgrade of existing prefilled syringe",IF(K251+L251+M251=0,"Confirm presentation (not stated in source)",IF(AA251="Yes","Differentiation in crowded generic market","Safety-device mandate compliance")))</f>
        <v>Safety-device mandate compliance</v>
      </c>
      <c r="AF251" s="5" t="str">
        <f aca="false">IF(AC251="","",C251&amp;"|"&amp;AC251)</f>
        <v/>
      </c>
    </row>
    <row r="252" customFormat="false" ht="15" hidden="false" customHeight="false" outlineLevel="0" collapsed="false">
      <c r="A252" s="5" t="n">
        <f aca="false">IF(ISNUMBER(U252),RANK(U252,$U$5:$U$337),"")</f>
        <v>130</v>
      </c>
      <c r="B252" s="5" t="s">
        <v>166</v>
      </c>
      <c r="C252" s="5" t="s">
        <v>44</v>
      </c>
      <c r="D252" s="5" t="str">
        <f aca="false">INDEX('API Data'!$B$2:$B$152,MATCH(B252,'API Data'!$A$2:$A$152,0))</f>
        <v>Anaesthesia – hypotension during anaesthesia (vasopressor)</v>
      </c>
      <c r="E252" s="5" t="n">
        <f aca="false">COUNTIFS('Market Listing'!$A$2:$A$4054,B252,'Market Listing'!$B$2:$B$4054,C252)</f>
        <v>2</v>
      </c>
      <c r="F252" s="5" t="n">
        <f aca="false">COUNTIFS('Market Listing'!$A$2:$A$4054,B252,'Market Listing'!$B$2:$B$4054,C252,'Market Listing'!$D$2:$D$4054,"Tier 1")</f>
        <v>0</v>
      </c>
      <c r="G252" s="5" t="n">
        <f aca="false">COUNTIFS('Market Listing'!$A$2:$A$4054,B252,'Market Listing'!$B$2:$B$4054,C252,'Market Listing'!$D$2:$D$4054,"Tier 2")</f>
        <v>2</v>
      </c>
      <c r="H252" s="5" t="n">
        <f aca="false">COUNTIFS('Market Listing'!$A$2:$A$4054,B252,'Market Listing'!$B$2:$B$4054,C252,'Market Listing'!$D$2:$D$4054,"Tier 3")</f>
        <v>0</v>
      </c>
      <c r="I252" s="5" t="n">
        <f aca="false">SUMIFS('Market Listing'!$E$2:$E$4054,'Market Listing'!$A$2:$A$4054,B252,'Market Listing'!$B$2:$B$4054,C252)</f>
        <v>4</v>
      </c>
      <c r="J252" s="5" t="n">
        <f aca="false">COUNTIFS('Product Rows'!$A$2:$A$696,B252,'Product Rows'!$B$2:$B$696,C252)</f>
        <v>2</v>
      </c>
      <c r="K252" s="5" t="n">
        <f aca="false">COUNTIFS('Product Rows'!$A$2:$A$696,B252,'Product Rows'!$B$2:$B$696,C252,'Product Rows'!$G$2:$G$696,"Vial")</f>
        <v>2</v>
      </c>
      <c r="L252" s="5" t="n">
        <f aca="false">COUNTIFS('Product Rows'!$A$2:$A$696,B252,'Product Rows'!$B$2:$B$696,C252,'Product Rows'!$G$2:$G$696,"Ampoule")</f>
        <v>0</v>
      </c>
      <c r="M252" s="5" t="n">
        <f aca="false">COUNTIFS('Product Rows'!$A$2:$A$696,B252,'Product Rows'!$B$2:$B$696,C252,'Product Rows'!$G$2:$G$696,"Prefilled syringe/pen")</f>
        <v>0</v>
      </c>
      <c r="N252" s="6" t="n">
        <f aca="false">IFERROR(AVERAGEIFS('Product Rows'!$H$2:$H$696,'Product Rows'!$A$2:$A$696,B252,'Product Rows'!$B$2:$B$696,C252),"")</f>
        <v>32.6</v>
      </c>
      <c r="O252" s="7" t="n">
        <f aca="false">INDEX('API Data'!$E$2:$E$152,MATCH(B252,'API Data'!$A$2:$A$152,0))</f>
        <v>5695.18453989521</v>
      </c>
      <c r="P252" s="5" t="n">
        <f aca="false">COUNTIF($B$5:$B$337,B252)</f>
        <v>2</v>
      </c>
      <c r="Q252" s="8" t="n">
        <f aca="false">IF(ISNUMBER(I252),PERCENTRANK($I$5:$I$337,I252),"")</f>
        <v>0.509</v>
      </c>
      <c r="R252" s="8" t="n">
        <f aca="false">IF(ISNUMBER(N252),PERCENTRANK($N$5:$N$337,N252),"")</f>
        <v>0.516</v>
      </c>
      <c r="S252" s="8" t="n">
        <f aca="false">IF(ISNUMBER(O252),PERCENTRANK($O$5:$O$337,O252),"")</f>
        <v>0.563</v>
      </c>
      <c r="T252" s="8" t="n">
        <f aca="false">IF(ISNUMBER(P252),PERCENTRANK($P$5:$P$337,P252),"")</f>
        <v>0.235</v>
      </c>
      <c r="U252" s="9" t="n">
        <f aca="false">IF((IF(ISNUMBER(Q252),Inputs!$B$4,0)+IF(ISNUMBER(R252),Inputs!$B$5,0)+IF(ISNUMBER(S252),Inputs!$B$6,0)+IF(ISNUMBER(T252),Inputs!$B$7,0))=0,"",(IF(ISNUMBER(Q252),Inputs!$B$4*Q252,0)+IF(ISNUMBER(R252),Inputs!$B$5*R252,0)+IF(ISNUMBER(S252),Inputs!$B$6*S252,0)+IF(ISNUMBER(T252),Inputs!$B$7*T252,0))/(IF(ISNUMBER(Q252),Inputs!$B$4,0)+IF(ISNUMBER(R252),Inputs!$B$5,0)+IF(ISNUMBER(S252),Inputs!$B$6,0)+IF(ISNUMBER(T252),Inputs!$B$7,0)))</f>
        <v>0.5395</v>
      </c>
      <c r="V252" s="5" t="str">
        <f aca="false">IF(F252&gt;0,"Yes","No")</f>
        <v>No</v>
      </c>
      <c r="W252" s="5" t="str">
        <f aca="false">IF(ISNUMBER(N252),IF(N252&gt;=Inputs!$D$18,"Yes","No"),"No price")</f>
        <v>Yes</v>
      </c>
      <c r="X252" s="5" t="str">
        <f aca="false">IF(K252+L252&gt;0,"Yes",IF(M252&gt;0,"No","Unclear"))</f>
        <v>Yes</v>
      </c>
      <c r="Y252" s="5" t="str">
        <f aca="false">INDEX('API Data'!$H$2:$H$152,MATCH(B252,'API Data'!$A$2:$A$152,0))</f>
        <v>No</v>
      </c>
      <c r="Z252" s="5" t="str">
        <f aca="false">IF(COUNTIFS('Product Rows'!$A$2:$A$696,B252,'Product Rows'!$B$2:$B$696,C252,'Product Rows'!$I$2:$I$696,"Yes")&gt;0,"Yes","No")</f>
        <v>No</v>
      </c>
      <c r="AA252" s="5" t="str">
        <f aca="false">IF(P252&gt;=Inputs!$D$22,"Yes","No")</f>
        <v>No</v>
      </c>
      <c r="AB252" s="10" t="b">
        <f aca="false">AND(OR(Inputs!$B$17&lt;&gt;"Exclude",V252="Yes"),OR(Inputs!$B$18&lt;&gt;"Exclude",W252&lt;&gt;"No"),OR(Inputs!$B$19&lt;&gt;"Exclude",X252&lt;&gt;"No"),OR(Inputs!$B$20&lt;&gt;"Exclude",Y252="No"),OR(Inputs!$B$21&lt;&gt;"Exclude",Z252="No"),OR(Inputs!$B$22&lt;&gt;"Exclude",AA252="Yes"),ISNUMBER(U252))</f>
        <v>0</v>
      </c>
      <c r="AC252" s="5" t="str">
        <f aca="false">IF(AB252,COUNTIFS($C$5:$C$337,C252,$AB$5:$AB$337,TRUE(),$U$5:$U$337,"&gt;"&amp;U252)+COUNTIFS($C$5:C252,C252,$AB$5:AB252,TRUE(),$U$5:U252,U252),"")</f>
        <v/>
      </c>
      <c r="AD252" s="5" t="str">
        <f aca="false">IF(AC252="","Not eligible",IF(AC252&lt;=Inputs!$B$25,"Lead",IF(AC252&lt;=Inputs!$B$25+Inputs!$B$26,"Next wave","Long list")))</f>
        <v>Not eligible</v>
      </c>
      <c r="AE252" s="5" t="str">
        <f aca="false">IF(AND(K252+L252=0,M252&gt;0),"Safety upgrade of existing prefilled syringe",IF(K252+L252+M252=0,"Confirm presentation (not stated in source)",IF(AA252="Yes","Differentiation in crowded generic market","Safety-device mandate compliance")))</f>
        <v>Safety-device mandate compliance</v>
      </c>
      <c r="AF252" s="5" t="str">
        <f aca="false">IF(AC252="","",C252&amp;"|"&amp;AC252)</f>
        <v/>
      </c>
    </row>
    <row r="253" customFormat="false" ht="15" hidden="false" customHeight="false" outlineLevel="0" collapsed="false">
      <c r="A253" s="5" t="n">
        <f aca="false">IF(ISNUMBER(U253),RANK(U253,$U$5:$U$337),"")</f>
        <v>281</v>
      </c>
      <c r="B253" s="5" t="s">
        <v>167</v>
      </c>
      <c r="C253" s="5" t="s">
        <v>44</v>
      </c>
      <c r="D253" s="5" t="str">
        <f aca="false">INDEX('API Data'!$B$2:$B$152,MATCH(B253,'API Data'!$A$2:$A$152,0))</f>
        <v>Neurology – status epilepticus; seizure prevention</v>
      </c>
      <c r="E253" s="5" t="n">
        <f aca="false">COUNTIFS('Market Listing'!$A$2:$A$4054,B253,'Market Listing'!$B$2:$B$4054,C253)</f>
        <v>20</v>
      </c>
      <c r="F253" s="5" t="n">
        <f aca="false">COUNTIFS('Market Listing'!$A$2:$A$4054,B253,'Market Listing'!$B$2:$B$4054,C253,'Market Listing'!$D$2:$D$4054,"Tier 1")</f>
        <v>5</v>
      </c>
      <c r="G253" s="5" t="n">
        <f aca="false">COUNTIFS('Market Listing'!$A$2:$A$4054,B253,'Market Listing'!$B$2:$B$4054,C253,'Market Listing'!$D$2:$D$4054,"Tier 2")</f>
        <v>3</v>
      </c>
      <c r="H253" s="5" t="n">
        <f aca="false">COUNTIFS('Market Listing'!$A$2:$A$4054,B253,'Market Listing'!$B$2:$B$4054,C253,'Market Listing'!$D$2:$D$4054,"Tier 3")</f>
        <v>12</v>
      </c>
      <c r="I253" s="5" t="n">
        <f aca="false">SUMIFS('Market Listing'!$E$2:$E$4054,'Market Listing'!$A$2:$A$4054,B253,'Market Listing'!$B$2:$B$4054,C253)</f>
        <v>33</v>
      </c>
      <c r="J253" s="5" t="n">
        <f aca="false">COUNTIFS('Product Rows'!$A$2:$A$696,B253,'Product Rows'!$B$2:$B$696,C253)</f>
        <v>1</v>
      </c>
      <c r="K253" s="5" t="n">
        <f aca="false">COUNTIFS('Product Rows'!$A$2:$A$696,B253,'Product Rows'!$B$2:$B$696,C253,'Product Rows'!$G$2:$G$696,"Vial")</f>
        <v>0</v>
      </c>
      <c r="L253" s="5" t="n">
        <f aca="false">COUNTIFS('Product Rows'!$A$2:$A$696,B253,'Product Rows'!$B$2:$B$696,C253,'Product Rows'!$G$2:$G$696,"Ampoule")</f>
        <v>0</v>
      </c>
      <c r="M253" s="5" t="n">
        <f aca="false">COUNTIFS('Product Rows'!$A$2:$A$696,B253,'Product Rows'!$B$2:$B$696,C253,'Product Rows'!$G$2:$G$696,"Prefilled syringe/pen")</f>
        <v>0</v>
      </c>
      <c r="N253" s="6" t="str">
        <f aca="false">IFERROR(AVERAGEIFS('Product Rows'!$H$2:$H$696,'Product Rows'!$A$2:$A$696,B253,'Product Rows'!$B$2:$B$696,C253),"")</f>
        <v/>
      </c>
      <c r="O253" s="7" t="n">
        <f aca="false">INDEX('API Data'!$E$2:$E$152,MATCH(B253,'API Data'!$A$2:$A$152,0))</f>
        <v>2009.50532919749</v>
      </c>
      <c r="P253" s="5" t="n">
        <f aca="false">COUNTIF($B$5:$B$337,B253)</f>
        <v>1</v>
      </c>
      <c r="Q253" s="8" t="n">
        <f aca="false">IF(ISNUMBER(I253),PERCENTRANK($I$5:$I$337,I253),"")</f>
        <v>0.642</v>
      </c>
      <c r="R253" s="8" t="str">
        <f aca="false">IF(ISNUMBER(N253),PERCENTRANK($N$5:$N$337,N253),"")</f>
        <v/>
      </c>
      <c r="S253" s="8" t="n">
        <f aca="false">IF(ISNUMBER(O253),PERCENTRANK($O$5:$O$337,O253),"")</f>
        <v>0.265</v>
      </c>
      <c r="T253" s="8" t="n">
        <f aca="false">IF(ISNUMBER(P253),PERCENTRANK($P$5:$P$337,P253),"")</f>
        <v>0</v>
      </c>
      <c r="U253" s="9" t="n">
        <f aca="false">IF((IF(ISNUMBER(Q253),Inputs!$B$4,0)+IF(ISNUMBER(R253),Inputs!$B$5,0)+IF(ISNUMBER(S253),Inputs!$B$6,0)+IF(ISNUMBER(T253),Inputs!$B$7,0))=0,"",(IF(ISNUMBER(Q253),Inputs!$B$4*Q253,0)+IF(ISNUMBER(R253),Inputs!$B$5*R253,0)+IF(ISNUMBER(S253),Inputs!$B$6*S253,0)+IF(ISNUMBER(T253),Inputs!$B$7*T253,0))/(IF(ISNUMBER(Q253),Inputs!$B$4,0)+IF(ISNUMBER(R253),Inputs!$B$5,0)+IF(ISNUMBER(S253),Inputs!$B$6,0)+IF(ISNUMBER(T253),Inputs!$B$7,0)))</f>
        <v>0.265</v>
      </c>
      <c r="V253" s="5" t="str">
        <f aca="false">IF(F253&gt;0,"Yes","No")</f>
        <v>Yes</v>
      </c>
      <c r="W253" s="5" t="str">
        <f aca="false">IF(ISNUMBER(N253),IF(N253&gt;=Inputs!$D$18,"Yes","No"),"No price")</f>
        <v>No price</v>
      </c>
      <c r="X253" s="5" t="str">
        <f aca="false">IF(K253+L253&gt;0,"Yes",IF(M253&gt;0,"No","Unclear"))</f>
        <v>Unclear</v>
      </c>
      <c r="Y253" s="5" t="str">
        <f aca="false">INDEX('API Data'!$H$2:$H$152,MATCH(B253,'API Data'!$A$2:$A$152,0))</f>
        <v>No</v>
      </c>
      <c r="Z253" s="5" t="str">
        <f aca="false">IF(COUNTIFS('Product Rows'!$A$2:$A$696,B253,'Product Rows'!$B$2:$B$696,C253,'Product Rows'!$I$2:$I$696,"Yes")&gt;0,"Yes","No")</f>
        <v>No</v>
      </c>
      <c r="AA253" s="5" t="str">
        <f aca="false">IF(P253&gt;=Inputs!$D$22,"Yes","No")</f>
        <v>No</v>
      </c>
      <c r="AB253" s="10" t="b">
        <f aca="false">AND(OR(Inputs!$B$17&lt;&gt;"Exclude",V253="Yes"),OR(Inputs!$B$18&lt;&gt;"Exclude",W253&lt;&gt;"No"),OR(Inputs!$B$19&lt;&gt;"Exclude",X253&lt;&gt;"No"),OR(Inputs!$B$20&lt;&gt;"Exclude",Y253="No"),OR(Inputs!$B$21&lt;&gt;"Exclude",Z253="No"),OR(Inputs!$B$22&lt;&gt;"Exclude",AA253="Yes"),ISNUMBER(U253))</f>
        <v>1</v>
      </c>
      <c r="AC253" s="5" t="n">
        <f aca="false">IF(AB253,COUNTIFS($C$5:$C$337,C253,$AB$5:$AB$337,TRUE(),$U$5:$U$337,"&gt;"&amp;U253)+COUNTIFS($C$5:C253,C253,$AB$5:AB253,TRUE(),$U$5:U253,U253),"")</f>
        <v>48</v>
      </c>
      <c r="AD253" s="5" t="str">
        <f aca="false">IF(AC253="","Not eligible",IF(AC253&lt;=Inputs!$B$25,"Lead",IF(AC253&lt;=Inputs!$B$25+Inputs!$B$26,"Next wave","Long list")))</f>
        <v>Long list</v>
      </c>
      <c r="AE253" s="5" t="str">
        <f aca="false">IF(AND(K253+L253=0,M253&gt;0),"Safety upgrade of existing prefilled syringe",IF(K253+L253+M253=0,"Confirm presentation (not stated in source)",IF(AA253="Yes","Differentiation in crowded generic market","Safety-device mandate compliance")))</f>
        <v>Confirm presentation (not stated in source)</v>
      </c>
      <c r="AF253" s="5" t="str">
        <f aca="false">IF(AC253="","",C253&amp;"|"&amp;AC253)</f>
        <v>Intas Pharmaceuticals|48</v>
      </c>
    </row>
    <row r="254" customFormat="false" ht="15" hidden="false" customHeight="false" outlineLevel="0" collapsed="false">
      <c r="A254" s="5" t="n">
        <f aca="false">IF(ISNUMBER(U254),RANK(U254,$U$5:$U$337),"")</f>
        <v>253</v>
      </c>
      <c r="B254" s="5" t="s">
        <v>168</v>
      </c>
      <c r="C254" s="5" t="s">
        <v>70</v>
      </c>
      <c r="D254" s="5" t="str">
        <f aca="false">INDEX('API Data'!$B$2:$B$152,MATCH(B254,'API Data'!$A$2:$A$152,0))</f>
        <v>Haematology – newborn vitamin K bleeding prophylaxis; warfarin reversal</v>
      </c>
      <c r="E254" s="5" t="n">
        <f aca="false">COUNTIFS('Market Listing'!$A$2:$A$4054,B254,'Market Listing'!$B$2:$B$4054,C254)</f>
        <v>1</v>
      </c>
      <c r="F254" s="5" t="n">
        <f aca="false">COUNTIFS('Market Listing'!$A$2:$A$4054,B254,'Market Listing'!$B$2:$B$4054,C254,'Market Listing'!$D$2:$D$4054,"Tier 1")</f>
        <v>1</v>
      </c>
      <c r="G254" s="5" t="n">
        <f aca="false">COUNTIFS('Market Listing'!$A$2:$A$4054,B254,'Market Listing'!$B$2:$B$4054,C254,'Market Listing'!$D$2:$D$4054,"Tier 2")</f>
        <v>0</v>
      </c>
      <c r="H254" s="5" t="n">
        <f aca="false">COUNTIFS('Market Listing'!$A$2:$A$4054,B254,'Market Listing'!$B$2:$B$4054,C254,'Market Listing'!$D$2:$D$4054,"Tier 3")</f>
        <v>0</v>
      </c>
      <c r="I254" s="5" t="n">
        <f aca="false">SUMIFS('Market Listing'!$E$2:$E$4054,'Market Listing'!$A$2:$A$4054,B254,'Market Listing'!$B$2:$B$4054,C254)</f>
        <v>3</v>
      </c>
      <c r="J254" s="5" t="n">
        <f aca="false">COUNTIFS('Product Rows'!$A$2:$A$696,B254,'Product Rows'!$B$2:$B$696,C254)</f>
        <v>1</v>
      </c>
      <c r="K254" s="5" t="n">
        <f aca="false">COUNTIFS('Product Rows'!$A$2:$A$696,B254,'Product Rows'!$B$2:$B$696,C254,'Product Rows'!$G$2:$G$696,"Vial")</f>
        <v>0</v>
      </c>
      <c r="L254" s="5" t="n">
        <f aca="false">COUNTIFS('Product Rows'!$A$2:$A$696,B254,'Product Rows'!$B$2:$B$696,C254,'Product Rows'!$G$2:$G$696,"Ampoule")</f>
        <v>0</v>
      </c>
      <c r="M254" s="5" t="n">
        <f aca="false">COUNTIFS('Product Rows'!$A$2:$A$696,B254,'Product Rows'!$B$2:$B$696,C254,'Product Rows'!$G$2:$G$696,"Prefilled syringe/pen")</f>
        <v>1</v>
      </c>
      <c r="N254" s="6" t="str">
        <f aca="false">IFERROR(AVERAGEIFS('Product Rows'!$H$2:$H$696,'Product Rows'!$A$2:$A$696,B254,'Product Rows'!$B$2:$B$696,C254),"")</f>
        <v/>
      </c>
      <c r="O254" s="7" t="n">
        <f aca="false">INDEX('API Data'!$E$2:$E$152,MATCH(B254,'API Data'!$A$2:$A$152,0))</f>
        <v>2630.04591921222</v>
      </c>
      <c r="P254" s="5" t="n">
        <f aca="false">COUNTIF($B$5:$B$337,B254)</f>
        <v>3</v>
      </c>
      <c r="Q254" s="8" t="n">
        <f aca="false">IF(ISNUMBER(I254),PERCENTRANK($I$5:$I$337,I254),"")</f>
        <v>0.157</v>
      </c>
      <c r="R254" s="8" t="str">
        <f aca="false">IF(ISNUMBER(N254),PERCENTRANK($N$5:$N$337,N254),"")</f>
        <v/>
      </c>
      <c r="S254" s="8" t="n">
        <f aca="false">IF(ISNUMBER(O254),PERCENTRANK($O$5:$O$337,O254),"")</f>
        <v>0.331</v>
      </c>
      <c r="T254" s="8" t="n">
        <f aca="false">IF(ISNUMBER(P254),PERCENTRANK($P$5:$P$337,P254),"")</f>
        <v>0.416</v>
      </c>
      <c r="U254" s="9" t="n">
        <f aca="false">IF((IF(ISNUMBER(Q254),Inputs!$B$4,0)+IF(ISNUMBER(R254),Inputs!$B$5,0)+IF(ISNUMBER(S254),Inputs!$B$6,0)+IF(ISNUMBER(T254),Inputs!$B$7,0))=0,"",(IF(ISNUMBER(Q254),Inputs!$B$4*Q254,0)+IF(ISNUMBER(R254),Inputs!$B$5*R254,0)+IF(ISNUMBER(S254),Inputs!$B$6*S254,0)+IF(ISNUMBER(T254),Inputs!$B$7*T254,0))/(IF(ISNUMBER(Q254),Inputs!$B$4,0)+IF(ISNUMBER(R254),Inputs!$B$5,0)+IF(ISNUMBER(S254),Inputs!$B$6,0)+IF(ISNUMBER(T254),Inputs!$B$7,0)))</f>
        <v>0.331</v>
      </c>
      <c r="V254" s="5" t="str">
        <f aca="false">IF(F254&gt;0,"Yes","No")</f>
        <v>Yes</v>
      </c>
      <c r="W254" s="5" t="str">
        <f aca="false">IF(ISNUMBER(N254),IF(N254&gt;=Inputs!$D$18,"Yes","No"),"No price")</f>
        <v>No price</v>
      </c>
      <c r="X254" s="5" t="str">
        <f aca="false">IF(K254+L254&gt;0,"Yes",IF(M254&gt;0,"No","Unclear"))</f>
        <v>No</v>
      </c>
      <c r="Y254" s="5" t="str">
        <f aca="false">INDEX('API Data'!$H$2:$H$152,MATCH(B254,'API Data'!$A$2:$A$152,0))</f>
        <v>No</v>
      </c>
      <c r="Z254" s="5" t="str">
        <f aca="false">IF(COUNTIFS('Product Rows'!$A$2:$A$696,B254,'Product Rows'!$B$2:$B$696,C254,'Product Rows'!$I$2:$I$696,"Yes")&gt;0,"Yes","No")</f>
        <v>No</v>
      </c>
      <c r="AA254" s="5" t="str">
        <f aca="false">IF(P254&gt;=Inputs!$D$22,"Yes","No")</f>
        <v>Yes</v>
      </c>
      <c r="AB254" s="10" t="b">
        <f aca="false">AND(OR(Inputs!$B$17&lt;&gt;"Exclude",V254="Yes"),OR(Inputs!$B$18&lt;&gt;"Exclude",W254&lt;&gt;"No"),OR(Inputs!$B$19&lt;&gt;"Exclude",X254&lt;&gt;"No"),OR(Inputs!$B$20&lt;&gt;"Exclude",Y254="No"),OR(Inputs!$B$21&lt;&gt;"Exclude",Z254="No"),OR(Inputs!$B$22&lt;&gt;"Exclude",AA254="Yes"),ISNUMBER(U254))</f>
        <v>1</v>
      </c>
      <c r="AC254" s="5" t="n">
        <f aca="false">IF(AB254,COUNTIFS($C$5:$C$337,C254,$AB$5:$AB$337,TRUE(),$U$5:$U$337,"&gt;"&amp;U254)+COUNTIFS($C$5:C254,C254,$AB$5:AB254,TRUE(),$U$5:U254,U254),"")</f>
        <v>5</v>
      </c>
      <c r="AD254" s="5" t="str">
        <f aca="false">IF(AC254="","Not eligible",IF(AC254&lt;=Inputs!$B$25,"Lead",IF(AC254&lt;=Inputs!$B$25+Inputs!$B$26,"Next wave","Long list")))</f>
        <v>Lead</v>
      </c>
      <c r="AE254" s="5" t="str">
        <f aca="false">IF(AND(K254+L254=0,M254&gt;0),"Safety upgrade of existing prefilled syringe",IF(K254+L254+M254=0,"Confirm presentation (not stated in source)",IF(AA254="Yes","Differentiation in crowded generic market","Safety-device mandate compliance")))</f>
        <v>Safety upgrade of existing prefilled syringe</v>
      </c>
      <c r="AF254" s="5" t="str">
        <f aca="false">IF(AC254="","",C254&amp;"|"&amp;AC254)</f>
        <v>Alembic Pharmaceuticals|5</v>
      </c>
    </row>
    <row r="255" customFormat="false" ht="15" hidden="false" customHeight="false" outlineLevel="0" collapsed="false">
      <c r="A255" s="5" t="n">
        <f aca="false">IF(ISNUMBER(U255),RANK(U255,$U$5:$U$337),"")</f>
        <v>253</v>
      </c>
      <c r="B255" s="5" t="s">
        <v>168</v>
      </c>
      <c r="C255" s="5" t="s">
        <v>54</v>
      </c>
      <c r="D255" s="5" t="str">
        <f aca="false">INDEX('API Data'!$B$2:$B$152,MATCH(B255,'API Data'!$A$2:$A$152,0))</f>
        <v>Haematology – newborn vitamin K bleeding prophylaxis; warfarin reversal</v>
      </c>
      <c r="E255" s="5" t="n">
        <f aca="false">COUNTIFS('Market Listing'!$A$2:$A$4054,B255,'Market Listing'!$B$2:$B$4054,C255)</f>
        <v>1</v>
      </c>
      <c r="F255" s="5" t="n">
        <f aca="false">COUNTIFS('Market Listing'!$A$2:$A$4054,B255,'Market Listing'!$B$2:$B$4054,C255,'Market Listing'!$D$2:$D$4054,"Tier 1")</f>
        <v>1</v>
      </c>
      <c r="G255" s="5" t="n">
        <f aca="false">COUNTIFS('Market Listing'!$A$2:$A$4054,B255,'Market Listing'!$B$2:$B$4054,C255,'Market Listing'!$D$2:$D$4054,"Tier 2")</f>
        <v>0</v>
      </c>
      <c r="H255" s="5" t="n">
        <f aca="false">COUNTIFS('Market Listing'!$A$2:$A$4054,B255,'Market Listing'!$B$2:$B$4054,C255,'Market Listing'!$D$2:$D$4054,"Tier 3")</f>
        <v>0</v>
      </c>
      <c r="I255" s="5" t="n">
        <f aca="false">SUMIFS('Market Listing'!$E$2:$E$4054,'Market Listing'!$A$2:$A$4054,B255,'Market Listing'!$B$2:$B$4054,C255)</f>
        <v>3</v>
      </c>
      <c r="J255" s="5" t="n">
        <f aca="false">COUNTIFS('Product Rows'!$A$2:$A$696,B255,'Product Rows'!$B$2:$B$696,C255)</f>
        <v>2</v>
      </c>
      <c r="K255" s="5" t="n">
        <f aca="false">COUNTIFS('Product Rows'!$A$2:$A$696,B255,'Product Rows'!$B$2:$B$696,C255,'Product Rows'!$G$2:$G$696,"Vial")</f>
        <v>1</v>
      </c>
      <c r="L255" s="5" t="n">
        <f aca="false">COUNTIFS('Product Rows'!$A$2:$A$696,B255,'Product Rows'!$B$2:$B$696,C255,'Product Rows'!$G$2:$G$696,"Ampoule")</f>
        <v>0</v>
      </c>
      <c r="M255" s="5" t="n">
        <f aca="false">COUNTIFS('Product Rows'!$A$2:$A$696,B255,'Product Rows'!$B$2:$B$696,C255,'Product Rows'!$G$2:$G$696,"Prefilled syringe/pen")</f>
        <v>1</v>
      </c>
      <c r="N255" s="6" t="str">
        <f aca="false">IFERROR(AVERAGEIFS('Product Rows'!$H$2:$H$696,'Product Rows'!$A$2:$A$696,B255,'Product Rows'!$B$2:$B$696,C255),"")</f>
        <v/>
      </c>
      <c r="O255" s="7" t="n">
        <f aca="false">INDEX('API Data'!$E$2:$E$152,MATCH(B255,'API Data'!$A$2:$A$152,0))</f>
        <v>2630.04591921222</v>
      </c>
      <c r="P255" s="5" t="n">
        <f aca="false">COUNTIF($B$5:$B$337,B255)</f>
        <v>3</v>
      </c>
      <c r="Q255" s="8" t="n">
        <f aca="false">IF(ISNUMBER(I255),PERCENTRANK($I$5:$I$337,I255),"")</f>
        <v>0.157</v>
      </c>
      <c r="R255" s="8" t="str">
        <f aca="false">IF(ISNUMBER(N255),PERCENTRANK($N$5:$N$337,N255),"")</f>
        <v/>
      </c>
      <c r="S255" s="8" t="n">
        <f aca="false">IF(ISNUMBER(O255),PERCENTRANK($O$5:$O$337,O255),"")</f>
        <v>0.331</v>
      </c>
      <c r="T255" s="8" t="n">
        <f aca="false">IF(ISNUMBER(P255),PERCENTRANK($P$5:$P$337,P255),"")</f>
        <v>0.416</v>
      </c>
      <c r="U255" s="9" t="n">
        <f aca="false">IF((IF(ISNUMBER(Q255),Inputs!$B$4,0)+IF(ISNUMBER(R255),Inputs!$B$5,0)+IF(ISNUMBER(S255),Inputs!$B$6,0)+IF(ISNUMBER(T255),Inputs!$B$7,0))=0,"",(IF(ISNUMBER(Q255),Inputs!$B$4*Q255,0)+IF(ISNUMBER(R255),Inputs!$B$5*R255,0)+IF(ISNUMBER(S255),Inputs!$B$6*S255,0)+IF(ISNUMBER(T255),Inputs!$B$7*T255,0))/(IF(ISNUMBER(Q255),Inputs!$B$4,0)+IF(ISNUMBER(R255),Inputs!$B$5,0)+IF(ISNUMBER(S255),Inputs!$B$6,0)+IF(ISNUMBER(T255),Inputs!$B$7,0)))</f>
        <v>0.331</v>
      </c>
      <c r="V255" s="5" t="str">
        <f aca="false">IF(F255&gt;0,"Yes","No")</f>
        <v>Yes</v>
      </c>
      <c r="W255" s="5" t="str">
        <f aca="false">IF(ISNUMBER(N255),IF(N255&gt;=Inputs!$D$18,"Yes","No"),"No price")</f>
        <v>No price</v>
      </c>
      <c r="X255" s="5" t="str">
        <f aca="false">IF(K255+L255&gt;0,"Yes",IF(M255&gt;0,"No","Unclear"))</f>
        <v>Yes</v>
      </c>
      <c r="Y255" s="5" t="str">
        <f aca="false">INDEX('API Data'!$H$2:$H$152,MATCH(B255,'API Data'!$A$2:$A$152,0))</f>
        <v>No</v>
      </c>
      <c r="Z255" s="5" t="str">
        <f aca="false">IF(COUNTIFS('Product Rows'!$A$2:$A$696,B255,'Product Rows'!$B$2:$B$696,C255,'Product Rows'!$I$2:$I$696,"Yes")&gt;0,"Yes","No")</f>
        <v>No</v>
      </c>
      <c r="AA255" s="5" t="str">
        <f aca="false">IF(P255&gt;=Inputs!$D$22,"Yes","No")</f>
        <v>Yes</v>
      </c>
      <c r="AB255" s="10" t="b">
        <f aca="false">AND(OR(Inputs!$B$17&lt;&gt;"Exclude",V255="Yes"),OR(Inputs!$B$18&lt;&gt;"Exclude",W255&lt;&gt;"No"),OR(Inputs!$B$19&lt;&gt;"Exclude",X255&lt;&gt;"No"),OR(Inputs!$B$20&lt;&gt;"Exclude",Y255="No"),OR(Inputs!$B$21&lt;&gt;"Exclude",Z255="No"),OR(Inputs!$B$22&lt;&gt;"Exclude",AA255="Yes"),ISNUMBER(U255))</f>
        <v>1</v>
      </c>
      <c r="AC255" s="5" t="n">
        <f aca="false">IF(AB255,COUNTIFS($C$5:$C$337,C255,$AB$5:$AB$337,TRUE(),$U$5:$U$337,"&gt;"&amp;U255)+COUNTIFS($C$5:C255,C255,$AB$5:AB255,TRUE(),$U$5:U255,U255),"")</f>
        <v>7</v>
      </c>
      <c r="AD255" s="5" t="str">
        <f aca="false">IF(AC255="","Not eligible",IF(AC255&lt;=Inputs!$B$25,"Lead",IF(AC255&lt;=Inputs!$B$25+Inputs!$B$26,"Next wave","Long list")))</f>
        <v>Next wave</v>
      </c>
      <c r="AE255" s="5" t="str">
        <f aca="false">IF(AND(K255+L255=0,M255&gt;0),"Safety upgrade of existing prefilled syringe",IF(K255+L255+M255=0,"Confirm presentation (not stated in source)",IF(AA255="Yes","Differentiation in crowded generic market","Safety-device mandate compliance")))</f>
        <v>Differentiation in crowded generic market</v>
      </c>
      <c r="AF255" s="5" t="str">
        <f aca="false">IF(AC255="","",C255&amp;"|"&amp;AC255)</f>
        <v>Cipla|7</v>
      </c>
    </row>
    <row r="256" customFormat="false" ht="15" hidden="false" customHeight="false" outlineLevel="0" collapsed="false">
      <c r="A256" s="5" t="n">
        <f aca="false">IF(ISNUMBER(U256),RANK(U256,$U$5:$U$337),"")</f>
        <v>255</v>
      </c>
      <c r="B256" s="5" t="s">
        <v>168</v>
      </c>
      <c r="C256" s="5" t="s">
        <v>55</v>
      </c>
      <c r="D256" s="5" t="str">
        <f aca="false">INDEX('API Data'!$B$2:$B$152,MATCH(B256,'API Data'!$A$2:$A$152,0))</f>
        <v>Haematology – newborn vitamin K bleeding prophylaxis; warfarin reversal</v>
      </c>
      <c r="E256" s="5" t="n">
        <f aca="false">COUNTIFS('Market Listing'!$A$2:$A$4054,B256,'Market Listing'!$B$2:$B$4054,C256)</f>
        <v>1</v>
      </c>
      <c r="F256" s="5" t="n">
        <f aca="false">COUNTIFS('Market Listing'!$A$2:$A$4054,B256,'Market Listing'!$B$2:$B$4054,C256,'Market Listing'!$D$2:$D$4054,"Tier 1")</f>
        <v>1</v>
      </c>
      <c r="G256" s="5" t="n">
        <f aca="false">COUNTIFS('Market Listing'!$A$2:$A$4054,B256,'Market Listing'!$B$2:$B$4054,C256,'Market Listing'!$D$2:$D$4054,"Tier 2")</f>
        <v>0</v>
      </c>
      <c r="H256" s="5" t="n">
        <f aca="false">COUNTIFS('Market Listing'!$A$2:$A$4054,B256,'Market Listing'!$B$2:$B$4054,C256,'Market Listing'!$D$2:$D$4054,"Tier 3")</f>
        <v>0</v>
      </c>
      <c r="I256" s="5" t="n">
        <f aca="false">SUMIFS('Market Listing'!$E$2:$E$4054,'Market Listing'!$A$2:$A$4054,B256,'Market Listing'!$B$2:$B$4054,C256)</f>
        <v>3</v>
      </c>
      <c r="J256" s="5" t="n">
        <f aca="false">COUNTIFS('Product Rows'!$A$2:$A$696,B256,'Product Rows'!$B$2:$B$696,C256)</f>
        <v>2</v>
      </c>
      <c r="K256" s="5" t="n">
        <f aca="false">COUNTIFS('Product Rows'!$A$2:$A$696,B256,'Product Rows'!$B$2:$B$696,C256,'Product Rows'!$G$2:$G$696,"Vial")</f>
        <v>0</v>
      </c>
      <c r="L256" s="5" t="n">
        <f aca="false">COUNTIFS('Product Rows'!$A$2:$A$696,B256,'Product Rows'!$B$2:$B$696,C256,'Product Rows'!$G$2:$G$696,"Ampoule")</f>
        <v>0</v>
      </c>
      <c r="M256" s="5" t="n">
        <f aca="false">COUNTIFS('Product Rows'!$A$2:$A$696,B256,'Product Rows'!$B$2:$B$696,C256,'Product Rows'!$G$2:$G$696,"Prefilled syringe/pen")</f>
        <v>0</v>
      </c>
      <c r="N256" s="6" t="n">
        <f aca="false">IFERROR(AVERAGEIFS('Product Rows'!$H$2:$H$696,'Product Rows'!$A$2:$A$696,B256,'Product Rows'!$B$2:$B$696,C256),"")</f>
        <v>16.96</v>
      </c>
      <c r="O256" s="7" t="n">
        <f aca="false">INDEX('API Data'!$E$2:$E$152,MATCH(B256,'API Data'!$A$2:$A$152,0))</f>
        <v>2630.04591921222</v>
      </c>
      <c r="P256" s="5" t="n">
        <f aca="false">COUNTIF($B$5:$B$337,B256)</f>
        <v>3</v>
      </c>
      <c r="Q256" s="8" t="n">
        <f aca="false">IF(ISNUMBER(I256),PERCENTRANK($I$5:$I$337,I256),"")</f>
        <v>0.157</v>
      </c>
      <c r="R256" s="8" t="n">
        <f aca="false">IF(ISNUMBER(N256),PERCENTRANK($N$5:$N$337,N256),"")</f>
        <v>0.326</v>
      </c>
      <c r="S256" s="8" t="n">
        <f aca="false">IF(ISNUMBER(O256),PERCENTRANK($O$5:$O$337,O256),"")</f>
        <v>0.331</v>
      </c>
      <c r="T256" s="8" t="n">
        <f aca="false">IF(ISNUMBER(P256),PERCENTRANK($P$5:$P$337,P256),"")</f>
        <v>0.416</v>
      </c>
      <c r="U256" s="9" t="n">
        <f aca="false">IF((IF(ISNUMBER(Q256),Inputs!$B$4,0)+IF(ISNUMBER(R256),Inputs!$B$5,0)+IF(ISNUMBER(S256),Inputs!$B$6,0)+IF(ISNUMBER(T256),Inputs!$B$7,0))=0,"",(IF(ISNUMBER(Q256),Inputs!$B$4*Q256,0)+IF(ISNUMBER(R256),Inputs!$B$5*R256,0)+IF(ISNUMBER(S256),Inputs!$B$6*S256,0)+IF(ISNUMBER(T256),Inputs!$B$7*T256,0))/(IF(ISNUMBER(Q256),Inputs!$B$4,0)+IF(ISNUMBER(R256),Inputs!$B$5,0)+IF(ISNUMBER(S256),Inputs!$B$6,0)+IF(ISNUMBER(T256),Inputs!$B$7,0)))</f>
        <v>0.3285</v>
      </c>
      <c r="V256" s="5" t="str">
        <f aca="false">IF(F256&gt;0,"Yes","No")</f>
        <v>Yes</v>
      </c>
      <c r="W256" s="5" t="str">
        <f aca="false">IF(ISNUMBER(N256),IF(N256&gt;=Inputs!$D$18,"Yes","No"),"No price")</f>
        <v>Yes</v>
      </c>
      <c r="X256" s="5" t="str">
        <f aca="false">IF(K256+L256&gt;0,"Yes",IF(M256&gt;0,"No","Unclear"))</f>
        <v>Unclear</v>
      </c>
      <c r="Y256" s="5" t="str">
        <f aca="false">INDEX('API Data'!$H$2:$H$152,MATCH(B256,'API Data'!$A$2:$A$152,0))</f>
        <v>No</v>
      </c>
      <c r="Z256" s="5" t="str">
        <f aca="false">IF(COUNTIFS('Product Rows'!$A$2:$A$696,B256,'Product Rows'!$B$2:$B$696,C256,'Product Rows'!$I$2:$I$696,"Yes")&gt;0,"Yes","No")</f>
        <v>No</v>
      </c>
      <c r="AA256" s="5" t="str">
        <f aca="false">IF(P256&gt;=Inputs!$D$22,"Yes","No")</f>
        <v>Yes</v>
      </c>
      <c r="AB256" s="10" t="b">
        <f aca="false">AND(OR(Inputs!$B$17&lt;&gt;"Exclude",V256="Yes"),OR(Inputs!$B$18&lt;&gt;"Exclude",W256&lt;&gt;"No"),OR(Inputs!$B$19&lt;&gt;"Exclude",X256&lt;&gt;"No"),OR(Inputs!$B$20&lt;&gt;"Exclude",Y256="No"),OR(Inputs!$B$21&lt;&gt;"Exclude",Z256="No"),OR(Inputs!$B$22&lt;&gt;"Exclude",AA256="Yes"),ISNUMBER(U256))</f>
        <v>1</v>
      </c>
      <c r="AC256" s="5" t="n">
        <f aca="false">IF(AB256,COUNTIFS($C$5:$C$337,C256,$AB$5:$AB$337,TRUE(),$U$5:$U$337,"&gt;"&amp;U256)+COUNTIFS($C$5:C256,C256,$AB$5:AB256,TRUE(),$U$5:U256,U256),"")</f>
        <v>17</v>
      </c>
      <c r="AD256" s="5" t="str">
        <f aca="false">IF(AC256="","Not eligible",IF(AC256&lt;=Inputs!$B$25,"Lead",IF(AC256&lt;=Inputs!$B$25+Inputs!$B$26,"Next wave","Long list")))</f>
        <v>Long list</v>
      </c>
      <c r="AE256" s="5" t="str">
        <f aca="false">IF(AND(K256+L256=0,M256&gt;0),"Safety upgrade of existing prefilled syringe",IF(K256+L256+M256=0,"Confirm presentation (not stated in source)",IF(AA256="Yes","Differentiation in crowded generic market","Safety-device mandate compliance")))</f>
        <v>Confirm presentation (not stated in source)</v>
      </c>
      <c r="AF256" s="5" t="str">
        <f aca="false">IF(AC256="","",C256&amp;"|"&amp;AC256)</f>
        <v>Dr. Reddy's Laboratories|17</v>
      </c>
    </row>
    <row r="257" customFormat="false" ht="15" hidden="false" customHeight="false" outlineLevel="0" collapsed="false">
      <c r="A257" s="5" t="n">
        <f aca="false">IF(ISNUMBER(U257),RANK(U257,$U$5:$U$337),"")</f>
        <v>97</v>
      </c>
      <c r="B257" s="5" t="s">
        <v>169</v>
      </c>
      <c r="C257" s="5" t="s">
        <v>73</v>
      </c>
      <c r="D257" s="5" t="str">
        <f aca="false">INDEX('API Data'!$B$2:$B$152,MATCH(B257,'API Data'!$A$2:$A$152,0))</f>
        <v>Anti-infective – broad-spectrum hospital infections (pneumonia, sepsis, intra-abdominal)</v>
      </c>
      <c r="E257" s="5" t="n">
        <f aca="false">COUNTIFS('Market Listing'!$A$2:$A$4054,B257,'Market Listing'!$B$2:$B$4054,C257)</f>
        <v>1</v>
      </c>
      <c r="F257" s="5" t="n">
        <f aca="false">COUNTIFS('Market Listing'!$A$2:$A$4054,B257,'Market Listing'!$B$2:$B$4054,C257,'Market Listing'!$D$2:$D$4054,"Tier 1")</f>
        <v>0</v>
      </c>
      <c r="G257" s="5" t="n">
        <f aca="false">COUNTIFS('Market Listing'!$A$2:$A$4054,B257,'Market Listing'!$B$2:$B$4054,C257,'Market Listing'!$D$2:$D$4054,"Tier 2")</f>
        <v>1</v>
      </c>
      <c r="H257" s="5" t="n">
        <f aca="false">COUNTIFS('Market Listing'!$A$2:$A$4054,B257,'Market Listing'!$B$2:$B$4054,C257,'Market Listing'!$D$2:$D$4054,"Tier 3")</f>
        <v>0</v>
      </c>
      <c r="I257" s="5" t="n">
        <f aca="false">SUMIFS('Market Listing'!$E$2:$E$4054,'Market Listing'!$A$2:$A$4054,B257,'Market Listing'!$B$2:$B$4054,C257)</f>
        <v>2</v>
      </c>
      <c r="J257" s="5" t="n">
        <f aca="false">COUNTIFS('Product Rows'!$A$2:$A$696,B257,'Product Rows'!$B$2:$B$696,C257)</f>
        <v>2</v>
      </c>
      <c r="K257" s="5" t="n">
        <f aca="false">COUNTIFS('Product Rows'!$A$2:$A$696,B257,'Product Rows'!$B$2:$B$696,C257,'Product Rows'!$G$2:$G$696,"Vial")</f>
        <v>2</v>
      </c>
      <c r="L257" s="5" t="n">
        <f aca="false">COUNTIFS('Product Rows'!$A$2:$A$696,B257,'Product Rows'!$B$2:$B$696,C257,'Product Rows'!$G$2:$G$696,"Ampoule")</f>
        <v>0</v>
      </c>
      <c r="M257" s="5" t="n">
        <f aca="false">COUNTIFS('Product Rows'!$A$2:$A$696,B257,'Product Rows'!$B$2:$B$696,C257,'Product Rows'!$G$2:$G$696,"Prefilled syringe/pen")</f>
        <v>0</v>
      </c>
      <c r="N257" s="6" t="n">
        <f aca="false">IFERROR(AVERAGEIFS('Product Rows'!$H$2:$H$696,'Product Rows'!$A$2:$A$696,B257,'Product Rows'!$B$2:$B$696,C257),"")</f>
        <v>20.23</v>
      </c>
      <c r="O257" s="7" t="n">
        <f aca="false">INDEX('API Data'!$E$2:$E$152,MATCH(B257,'API Data'!$A$2:$A$152,0))</f>
        <v>32204.47</v>
      </c>
      <c r="P257" s="5" t="n">
        <f aca="false">COUNTIF($B$5:$B$337,B257)</f>
        <v>1</v>
      </c>
      <c r="Q257" s="8" t="n">
        <f aca="false">IF(ISNUMBER(I257),PERCENTRANK($I$5:$I$337,I257),"")</f>
        <v>0</v>
      </c>
      <c r="R257" s="8" t="n">
        <f aca="false">IF(ISNUMBER(N257),PERCENTRANK($N$5:$N$337,N257),"")</f>
        <v>0.362</v>
      </c>
      <c r="S257" s="8" t="n">
        <f aca="false">IF(ISNUMBER(O257),PERCENTRANK($O$5:$O$337,O257),"")</f>
        <v>0.822</v>
      </c>
      <c r="T257" s="8" t="n">
        <f aca="false">IF(ISNUMBER(P257),PERCENTRANK($P$5:$P$337,P257),"")</f>
        <v>0</v>
      </c>
      <c r="U257" s="9" t="n">
        <f aca="false">IF((IF(ISNUMBER(Q257),Inputs!$B$4,0)+IF(ISNUMBER(R257),Inputs!$B$5,0)+IF(ISNUMBER(S257),Inputs!$B$6,0)+IF(ISNUMBER(T257),Inputs!$B$7,0))=0,"",(IF(ISNUMBER(Q257),Inputs!$B$4*Q257,0)+IF(ISNUMBER(R257),Inputs!$B$5*R257,0)+IF(ISNUMBER(S257),Inputs!$B$6*S257,0)+IF(ISNUMBER(T257),Inputs!$B$7*T257,0))/(IF(ISNUMBER(Q257),Inputs!$B$4,0)+IF(ISNUMBER(R257),Inputs!$B$5,0)+IF(ISNUMBER(S257),Inputs!$B$6,0)+IF(ISNUMBER(T257),Inputs!$B$7,0)))</f>
        <v>0.592</v>
      </c>
      <c r="V257" s="5" t="str">
        <f aca="false">IF(F257&gt;0,"Yes","No")</f>
        <v>No</v>
      </c>
      <c r="W257" s="5" t="str">
        <f aca="false">IF(ISNUMBER(N257),IF(N257&gt;=Inputs!$D$18,"Yes","No"),"No price")</f>
        <v>Yes</v>
      </c>
      <c r="X257" s="5" t="str">
        <f aca="false">IF(K257+L257&gt;0,"Yes",IF(M257&gt;0,"No","Unclear"))</f>
        <v>Yes</v>
      </c>
      <c r="Y257" s="5" t="str">
        <f aca="false">INDEX('API Data'!$H$2:$H$152,MATCH(B257,'API Data'!$A$2:$A$152,0))</f>
        <v>No</v>
      </c>
      <c r="Z257" s="5" t="str">
        <f aca="false">IF(COUNTIFS('Product Rows'!$A$2:$A$696,B257,'Product Rows'!$B$2:$B$696,C257,'Product Rows'!$I$2:$I$696,"Yes")&gt;0,"Yes","No")</f>
        <v>Yes</v>
      </c>
      <c r="AA257" s="5" t="str">
        <f aca="false">IF(P257&gt;=Inputs!$D$22,"Yes","No")</f>
        <v>No</v>
      </c>
      <c r="AB257" s="10" t="b">
        <f aca="false">AND(OR(Inputs!$B$17&lt;&gt;"Exclude",V257="Yes"),OR(Inputs!$B$18&lt;&gt;"Exclude",W257&lt;&gt;"No"),OR(Inputs!$B$19&lt;&gt;"Exclude",X257&lt;&gt;"No"),OR(Inputs!$B$20&lt;&gt;"Exclude",Y257="No"),OR(Inputs!$B$21&lt;&gt;"Exclude",Z257="No"),OR(Inputs!$B$22&lt;&gt;"Exclude",AA257="Yes"),ISNUMBER(U257))</f>
        <v>0</v>
      </c>
      <c r="AC257" s="5" t="str">
        <f aca="false">IF(AB257,COUNTIFS($C$5:$C$337,C257,$AB$5:$AB$337,TRUE(),$U$5:$U$337,"&gt;"&amp;U257)+COUNTIFS($C$5:C257,C257,$AB$5:AB257,TRUE(),$U$5:U257,U257),"")</f>
        <v/>
      </c>
      <c r="AD257" s="5" t="str">
        <f aca="false">IF(AC257="","Not eligible",IF(AC257&lt;=Inputs!$B$25,"Lead",IF(AC257&lt;=Inputs!$B$25+Inputs!$B$26,"Next wave","Long list")))</f>
        <v>Not eligible</v>
      </c>
      <c r="AE257" s="5" t="str">
        <f aca="false">IF(AND(K257+L257=0,M257&gt;0),"Safety upgrade of existing prefilled syringe",IF(K257+L257+M257=0,"Confirm presentation (not stated in source)",IF(AA257="Yes","Differentiation in crowded generic market","Safety-device mandate compliance")))</f>
        <v>Safety-device mandate compliance</v>
      </c>
      <c r="AF257" s="5" t="str">
        <f aca="false">IF(AC257="","",C257&amp;"|"&amp;AC257)</f>
        <v/>
      </c>
    </row>
    <row r="258" customFormat="false" ht="15" hidden="false" customHeight="false" outlineLevel="0" collapsed="false">
      <c r="A258" s="5" t="n">
        <f aca="false">IF(ISNUMBER(U258),RANK(U258,$U$5:$U$337),"")</f>
        <v>33</v>
      </c>
      <c r="B258" s="5" t="s">
        <v>170</v>
      </c>
      <c r="C258" s="5" t="s">
        <v>47</v>
      </c>
      <c r="D258" s="5" t="str">
        <f aca="false">INDEX('API Data'!$B$2:$B$152,MATCH(B258,'API Data'!$A$2:$A$152,0))</f>
        <v>Oncology supportive – stem-cell mobilisation (myeloma, lymphoma)</v>
      </c>
      <c r="E258" s="5" t="n">
        <f aca="false">COUNTIFS('Market Listing'!$A$2:$A$4054,B258,'Market Listing'!$B$2:$B$4054,C258)</f>
        <v>29</v>
      </c>
      <c r="F258" s="5" t="n">
        <f aca="false">COUNTIFS('Market Listing'!$A$2:$A$4054,B258,'Market Listing'!$B$2:$B$4054,C258,'Market Listing'!$D$2:$D$4054,"Tier 1")</f>
        <v>7</v>
      </c>
      <c r="G258" s="5" t="n">
        <f aca="false">COUNTIFS('Market Listing'!$A$2:$A$4054,B258,'Market Listing'!$B$2:$B$4054,C258,'Market Listing'!$D$2:$D$4054,"Tier 2")</f>
        <v>3</v>
      </c>
      <c r="H258" s="5" t="n">
        <f aca="false">COUNTIFS('Market Listing'!$A$2:$A$4054,B258,'Market Listing'!$B$2:$B$4054,C258,'Market Listing'!$D$2:$D$4054,"Tier 3")</f>
        <v>19</v>
      </c>
      <c r="I258" s="5" t="n">
        <f aca="false">SUMIFS('Market Listing'!$E$2:$E$4054,'Market Listing'!$A$2:$A$4054,B258,'Market Listing'!$B$2:$B$4054,C258)</f>
        <v>46</v>
      </c>
      <c r="J258" s="5" t="n">
        <f aca="false">COUNTIFS('Product Rows'!$A$2:$A$696,B258,'Product Rows'!$B$2:$B$696,C258)</f>
        <v>5</v>
      </c>
      <c r="K258" s="5" t="n">
        <f aca="false">COUNTIFS('Product Rows'!$A$2:$A$696,B258,'Product Rows'!$B$2:$B$696,C258,'Product Rows'!$G$2:$G$696,"Vial")</f>
        <v>5</v>
      </c>
      <c r="L258" s="5" t="n">
        <f aca="false">COUNTIFS('Product Rows'!$A$2:$A$696,B258,'Product Rows'!$B$2:$B$696,C258,'Product Rows'!$G$2:$G$696,"Ampoule")</f>
        <v>0</v>
      </c>
      <c r="M258" s="5" t="n">
        <f aca="false">COUNTIFS('Product Rows'!$A$2:$A$696,B258,'Product Rows'!$B$2:$B$696,C258,'Product Rows'!$G$2:$G$696,"Prefilled syringe/pen")</f>
        <v>0</v>
      </c>
      <c r="N258" s="6" t="n">
        <f aca="false">IFERROR(AVERAGEIFS('Product Rows'!$H$2:$H$696,'Product Rows'!$A$2:$A$696,B258,'Product Rows'!$B$2:$B$696,C258),"")</f>
        <v>3710.19732</v>
      </c>
      <c r="O258" s="7" t="n">
        <f aca="false">INDEX('API Data'!$E$2:$E$152,MATCH(B258,'API Data'!$A$2:$A$152,0))</f>
        <v>7904.67</v>
      </c>
      <c r="P258" s="5" t="n">
        <f aca="false">COUNTIF($B$5:$B$337,B258)</f>
        <v>7</v>
      </c>
      <c r="Q258" s="8" t="n">
        <f aca="false">IF(ISNUMBER(I258),PERCENTRANK($I$5:$I$337,I258),"")</f>
        <v>0.846</v>
      </c>
      <c r="R258" s="8" t="n">
        <f aca="false">IF(ISNUMBER(N258),PERCENTRANK($N$5:$N$337,N258),"")</f>
        <v>0.978</v>
      </c>
      <c r="S258" s="8" t="n">
        <f aca="false">IF(ISNUMBER(O258),PERCENTRANK($O$5:$O$337,O258),"")</f>
        <v>0.651</v>
      </c>
      <c r="T258" s="8" t="n">
        <f aca="false">IF(ISNUMBER(P258),PERCENTRANK($P$5:$P$337,P258),"")</f>
        <v>0.822</v>
      </c>
      <c r="U258" s="9" t="n">
        <f aca="false">IF((IF(ISNUMBER(Q258),Inputs!$B$4,0)+IF(ISNUMBER(R258),Inputs!$B$5,0)+IF(ISNUMBER(S258),Inputs!$B$6,0)+IF(ISNUMBER(T258),Inputs!$B$7,0))=0,"",(IF(ISNUMBER(Q258),Inputs!$B$4*Q258,0)+IF(ISNUMBER(R258),Inputs!$B$5*R258,0)+IF(ISNUMBER(S258),Inputs!$B$6*S258,0)+IF(ISNUMBER(T258),Inputs!$B$7*T258,0))/(IF(ISNUMBER(Q258),Inputs!$B$4,0)+IF(ISNUMBER(R258),Inputs!$B$5,0)+IF(ISNUMBER(S258),Inputs!$B$6,0)+IF(ISNUMBER(T258),Inputs!$B$7,0)))</f>
        <v>0.8145</v>
      </c>
      <c r="V258" s="5" t="str">
        <f aca="false">IF(F258&gt;0,"Yes","No")</f>
        <v>Yes</v>
      </c>
      <c r="W258" s="5" t="str">
        <f aca="false">IF(ISNUMBER(N258),IF(N258&gt;=Inputs!$D$18,"Yes","No"),"No price")</f>
        <v>Yes</v>
      </c>
      <c r="X258" s="5" t="str">
        <f aca="false">IF(K258+L258&gt;0,"Yes",IF(M258&gt;0,"No","Unclear"))</f>
        <v>Yes</v>
      </c>
      <c r="Y258" s="5" t="str">
        <f aca="false">INDEX('API Data'!$H$2:$H$152,MATCH(B258,'API Data'!$A$2:$A$152,0))</f>
        <v>No</v>
      </c>
      <c r="Z258" s="5" t="str">
        <f aca="false">IF(COUNTIFS('Product Rows'!$A$2:$A$696,B258,'Product Rows'!$B$2:$B$696,C258,'Product Rows'!$I$2:$I$696,"Yes")&gt;0,"Yes","No")</f>
        <v>No</v>
      </c>
      <c r="AA258" s="5" t="str">
        <f aca="false">IF(P258&gt;=Inputs!$D$22,"Yes","No")</f>
        <v>Yes</v>
      </c>
      <c r="AB258" s="10" t="b">
        <f aca="false">AND(OR(Inputs!$B$17&lt;&gt;"Exclude",V258="Yes"),OR(Inputs!$B$18&lt;&gt;"Exclude",W258&lt;&gt;"No"),OR(Inputs!$B$19&lt;&gt;"Exclude",X258&lt;&gt;"No"),OR(Inputs!$B$20&lt;&gt;"Exclude",Y258="No"),OR(Inputs!$B$21&lt;&gt;"Exclude",Z258="No"),OR(Inputs!$B$22&lt;&gt;"Exclude",AA258="Yes"),ISNUMBER(U258))</f>
        <v>1</v>
      </c>
      <c r="AC258" s="5" t="n">
        <f aca="false">IF(AB258,COUNTIFS($C$5:$C$337,C258,$AB$5:$AB$337,TRUE(),$U$5:$U$337,"&gt;"&amp;U258)+COUNTIFS($C$5:C258,C258,$AB$5:AB258,TRUE(),$U$5:U258,U258),"")</f>
        <v>4</v>
      </c>
      <c r="AD258" s="5" t="str">
        <f aca="false">IF(AC258="","Not eligible",IF(AC258&lt;=Inputs!$B$25,"Lead",IF(AC258&lt;=Inputs!$B$25+Inputs!$B$26,"Next wave","Long list")))</f>
        <v>Lead</v>
      </c>
      <c r="AE258" s="5" t="str">
        <f aca="false">IF(AND(K258+L258=0,M258&gt;0),"Safety upgrade of existing prefilled syringe",IF(K258+L258+M258=0,"Confirm presentation (not stated in source)",IF(AA258="Yes","Differentiation in crowded generic market","Safety-device mandate compliance")))</f>
        <v>Differentiation in crowded generic market</v>
      </c>
      <c r="AF258" s="5" t="str">
        <f aca="false">IF(AC258="","",C258&amp;"|"&amp;AC258)</f>
        <v>Aurobindo Pharma|4</v>
      </c>
    </row>
    <row r="259" customFormat="false" ht="15" hidden="false" customHeight="false" outlineLevel="0" collapsed="false">
      <c r="A259" s="5" t="n">
        <f aca="false">IF(ISNUMBER(U259),RANK(U259,$U$5:$U$337),"")</f>
        <v>43</v>
      </c>
      <c r="B259" s="5" t="s">
        <v>170</v>
      </c>
      <c r="C259" s="5" t="s">
        <v>55</v>
      </c>
      <c r="D259" s="5" t="str">
        <f aca="false">INDEX('API Data'!$B$2:$B$152,MATCH(B259,'API Data'!$A$2:$A$152,0))</f>
        <v>Oncology supportive – stem-cell mobilisation (myeloma, lymphoma)</v>
      </c>
      <c r="E259" s="5" t="n">
        <f aca="false">COUNTIFS('Market Listing'!$A$2:$A$4054,B259,'Market Listing'!$B$2:$B$4054,C259)</f>
        <v>1</v>
      </c>
      <c r="F259" s="5" t="n">
        <f aca="false">COUNTIFS('Market Listing'!$A$2:$A$4054,B259,'Market Listing'!$B$2:$B$4054,C259,'Market Listing'!$D$2:$D$4054,"Tier 1")</f>
        <v>1</v>
      </c>
      <c r="G259" s="5" t="n">
        <f aca="false">COUNTIFS('Market Listing'!$A$2:$A$4054,B259,'Market Listing'!$B$2:$B$4054,C259,'Market Listing'!$D$2:$D$4054,"Tier 2")</f>
        <v>0</v>
      </c>
      <c r="H259" s="5" t="n">
        <f aca="false">COUNTIFS('Market Listing'!$A$2:$A$4054,B259,'Market Listing'!$B$2:$B$4054,C259,'Market Listing'!$D$2:$D$4054,"Tier 3")</f>
        <v>0</v>
      </c>
      <c r="I259" s="5" t="n">
        <f aca="false">SUMIFS('Market Listing'!$E$2:$E$4054,'Market Listing'!$A$2:$A$4054,B259,'Market Listing'!$B$2:$B$4054,C259)</f>
        <v>3</v>
      </c>
      <c r="J259" s="5" t="n">
        <f aca="false">COUNTIFS('Product Rows'!$A$2:$A$696,B259,'Product Rows'!$B$2:$B$696,C259)</f>
        <v>1</v>
      </c>
      <c r="K259" s="5" t="n">
        <f aca="false">COUNTIFS('Product Rows'!$A$2:$A$696,B259,'Product Rows'!$B$2:$B$696,C259,'Product Rows'!$G$2:$G$696,"Vial")</f>
        <v>1</v>
      </c>
      <c r="L259" s="5" t="n">
        <f aca="false">COUNTIFS('Product Rows'!$A$2:$A$696,B259,'Product Rows'!$B$2:$B$696,C259,'Product Rows'!$G$2:$G$696,"Ampoule")</f>
        <v>0</v>
      </c>
      <c r="M259" s="5" t="n">
        <f aca="false">COUNTIFS('Product Rows'!$A$2:$A$696,B259,'Product Rows'!$B$2:$B$696,C259,'Product Rows'!$G$2:$G$696,"Prefilled syringe/pen")</f>
        <v>0</v>
      </c>
      <c r="N259" s="6" t="n">
        <f aca="false">IFERROR(AVERAGEIFS('Product Rows'!$H$2:$H$696,'Product Rows'!$A$2:$A$696,B259,'Product Rows'!$B$2:$B$696,C259),"")</f>
        <v>343.8</v>
      </c>
      <c r="O259" s="7" t="n">
        <f aca="false">INDEX('API Data'!$E$2:$E$152,MATCH(B259,'API Data'!$A$2:$A$152,0))</f>
        <v>7904.67</v>
      </c>
      <c r="P259" s="5" t="n">
        <f aca="false">COUNTIF($B$5:$B$337,B259)</f>
        <v>7</v>
      </c>
      <c r="Q259" s="8" t="n">
        <f aca="false">IF(ISNUMBER(I259),PERCENTRANK($I$5:$I$337,I259),"")</f>
        <v>0.157</v>
      </c>
      <c r="R259" s="8" t="n">
        <f aca="false">IF(ISNUMBER(N259),PERCENTRANK($N$5:$N$337,N259),"")</f>
        <v>0.892</v>
      </c>
      <c r="S259" s="8" t="n">
        <f aca="false">IF(ISNUMBER(O259),PERCENTRANK($O$5:$O$337,O259),"")</f>
        <v>0.651</v>
      </c>
      <c r="T259" s="8" t="n">
        <f aca="false">IF(ISNUMBER(P259),PERCENTRANK($P$5:$P$337,P259),"")</f>
        <v>0.822</v>
      </c>
      <c r="U259" s="9" t="n">
        <f aca="false">IF((IF(ISNUMBER(Q259),Inputs!$B$4,0)+IF(ISNUMBER(R259),Inputs!$B$5,0)+IF(ISNUMBER(S259),Inputs!$B$6,0)+IF(ISNUMBER(T259),Inputs!$B$7,0))=0,"",(IF(ISNUMBER(Q259),Inputs!$B$4*Q259,0)+IF(ISNUMBER(R259),Inputs!$B$5*R259,0)+IF(ISNUMBER(S259),Inputs!$B$6*S259,0)+IF(ISNUMBER(T259),Inputs!$B$7*T259,0))/(IF(ISNUMBER(Q259),Inputs!$B$4,0)+IF(ISNUMBER(R259),Inputs!$B$5,0)+IF(ISNUMBER(S259),Inputs!$B$6,0)+IF(ISNUMBER(T259),Inputs!$B$7,0)))</f>
        <v>0.7715</v>
      </c>
      <c r="V259" s="5" t="str">
        <f aca="false">IF(F259&gt;0,"Yes","No")</f>
        <v>Yes</v>
      </c>
      <c r="W259" s="5" t="str">
        <f aca="false">IF(ISNUMBER(N259),IF(N259&gt;=Inputs!$D$18,"Yes","No"),"No price")</f>
        <v>Yes</v>
      </c>
      <c r="X259" s="5" t="str">
        <f aca="false">IF(K259+L259&gt;0,"Yes",IF(M259&gt;0,"No","Unclear"))</f>
        <v>Yes</v>
      </c>
      <c r="Y259" s="5" t="str">
        <f aca="false">INDEX('API Data'!$H$2:$H$152,MATCH(B259,'API Data'!$A$2:$A$152,0))</f>
        <v>No</v>
      </c>
      <c r="Z259" s="5" t="str">
        <f aca="false">IF(COUNTIFS('Product Rows'!$A$2:$A$696,B259,'Product Rows'!$B$2:$B$696,C259,'Product Rows'!$I$2:$I$696,"Yes")&gt;0,"Yes","No")</f>
        <v>No</v>
      </c>
      <c r="AA259" s="5" t="str">
        <f aca="false">IF(P259&gt;=Inputs!$D$22,"Yes","No")</f>
        <v>Yes</v>
      </c>
      <c r="AB259" s="10" t="b">
        <f aca="false">AND(OR(Inputs!$B$17&lt;&gt;"Exclude",V259="Yes"),OR(Inputs!$B$18&lt;&gt;"Exclude",W259&lt;&gt;"No"),OR(Inputs!$B$19&lt;&gt;"Exclude",X259&lt;&gt;"No"),OR(Inputs!$B$20&lt;&gt;"Exclude",Y259="No"),OR(Inputs!$B$21&lt;&gt;"Exclude",Z259="No"),OR(Inputs!$B$22&lt;&gt;"Exclude",AA259="Yes"),ISNUMBER(U259))</f>
        <v>1</v>
      </c>
      <c r="AC259" s="5" t="n">
        <f aca="false">IF(AB259,COUNTIFS($C$5:$C$337,C259,$AB$5:$AB$337,TRUE(),$U$5:$U$337,"&gt;"&amp;U259)+COUNTIFS($C$5:C259,C259,$AB$5:AB259,TRUE(),$U$5:U259,U259),"")</f>
        <v>5</v>
      </c>
      <c r="AD259" s="5" t="str">
        <f aca="false">IF(AC259="","Not eligible",IF(AC259&lt;=Inputs!$B$25,"Lead",IF(AC259&lt;=Inputs!$B$25+Inputs!$B$26,"Next wave","Long list")))</f>
        <v>Lead</v>
      </c>
      <c r="AE259" s="5" t="str">
        <f aca="false">IF(AND(K259+L259=0,M259&gt;0),"Safety upgrade of existing prefilled syringe",IF(K259+L259+M259=0,"Confirm presentation (not stated in source)",IF(AA259="Yes","Differentiation in crowded generic market","Safety-device mandate compliance")))</f>
        <v>Differentiation in crowded generic market</v>
      </c>
      <c r="AF259" s="5" t="str">
        <f aca="false">IF(AC259="","",C259&amp;"|"&amp;AC259)</f>
        <v>Dr. Reddy's Laboratories|5</v>
      </c>
    </row>
    <row r="260" customFormat="false" ht="15" hidden="false" customHeight="false" outlineLevel="0" collapsed="false">
      <c r="A260" s="5" t="n">
        <f aca="false">IF(ISNUMBER(U260),RANK(U260,$U$5:$U$337),"")</f>
        <v>29</v>
      </c>
      <c r="B260" s="5" t="s">
        <v>170</v>
      </c>
      <c r="C260" s="5" t="s">
        <v>35</v>
      </c>
      <c r="D260" s="5" t="str">
        <f aca="false">INDEX('API Data'!$B$2:$B$152,MATCH(B260,'API Data'!$A$2:$A$152,0))</f>
        <v>Oncology supportive – stem-cell mobilisation (myeloma, lymphoma)</v>
      </c>
      <c r="E260" s="5" t="n">
        <f aca="false">COUNTIFS('Market Listing'!$A$2:$A$4054,B260,'Market Listing'!$B$2:$B$4054,C260)</f>
        <v>26</v>
      </c>
      <c r="F260" s="5" t="n">
        <f aca="false">COUNTIFS('Market Listing'!$A$2:$A$4054,B260,'Market Listing'!$B$2:$B$4054,C260,'Market Listing'!$D$2:$D$4054,"Tier 1")</f>
        <v>5</v>
      </c>
      <c r="G260" s="5" t="n">
        <f aca="false">COUNTIFS('Market Listing'!$A$2:$A$4054,B260,'Market Listing'!$B$2:$B$4054,C260,'Market Listing'!$D$2:$D$4054,"Tier 2")</f>
        <v>2</v>
      </c>
      <c r="H260" s="5" t="n">
        <f aca="false">COUNTIFS('Market Listing'!$A$2:$A$4054,B260,'Market Listing'!$B$2:$B$4054,C260,'Market Listing'!$D$2:$D$4054,"Tier 3")</f>
        <v>19</v>
      </c>
      <c r="I260" s="5" t="n">
        <f aca="false">SUMIFS('Market Listing'!$E$2:$E$4054,'Market Listing'!$A$2:$A$4054,B260,'Market Listing'!$B$2:$B$4054,C260)</f>
        <v>38</v>
      </c>
      <c r="J260" s="5" t="n">
        <f aca="false">COUNTIFS('Product Rows'!$A$2:$A$696,B260,'Product Rows'!$B$2:$B$696,C260)</f>
        <v>2</v>
      </c>
      <c r="K260" s="5" t="n">
        <f aca="false">COUNTIFS('Product Rows'!$A$2:$A$696,B260,'Product Rows'!$B$2:$B$696,C260,'Product Rows'!$G$2:$G$696,"Vial")</f>
        <v>2</v>
      </c>
      <c r="L260" s="5" t="n">
        <f aca="false">COUNTIFS('Product Rows'!$A$2:$A$696,B260,'Product Rows'!$B$2:$B$696,C260,'Product Rows'!$G$2:$G$696,"Ampoule")</f>
        <v>0</v>
      </c>
      <c r="M260" s="5" t="n">
        <f aca="false">COUNTIFS('Product Rows'!$A$2:$A$696,B260,'Product Rows'!$B$2:$B$696,C260,'Product Rows'!$G$2:$G$696,"Prefilled syringe/pen")</f>
        <v>0</v>
      </c>
      <c r="N260" s="6" t="n">
        <f aca="false">IFERROR(AVERAGEIFS('Product Rows'!$H$2:$H$696,'Product Rows'!$A$2:$A$696,B260,'Product Rows'!$B$2:$B$696,C260),"")</f>
        <v>6173.0113</v>
      </c>
      <c r="O260" s="7" t="n">
        <f aca="false">INDEX('API Data'!$E$2:$E$152,MATCH(B260,'API Data'!$A$2:$A$152,0))</f>
        <v>7904.67</v>
      </c>
      <c r="P260" s="5" t="n">
        <f aca="false">COUNTIF($B$5:$B$337,B260)</f>
        <v>7</v>
      </c>
      <c r="Q260" s="8" t="n">
        <f aca="false">IF(ISNUMBER(I260),PERCENTRANK($I$5:$I$337,I260),"")</f>
        <v>0.666</v>
      </c>
      <c r="R260" s="8" t="n">
        <f aca="false">IF(ISNUMBER(N260),PERCENTRANK($N$5:$N$337,N260),"")</f>
        <v>0.996</v>
      </c>
      <c r="S260" s="8" t="n">
        <f aca="false">IF(ISNUMBER(O260),PERCENTRANK($O$5:$O$337,O260),"")</f>
        <v>0.651</v>
      </c>
      <c r="T260" s="8" t="n">
        <f aca="false">IF(ISNUMBER(P260),PERCENTRANK($P$5:$P$337,P260),"")</f>
        <v>0.822</v>
      </c>
      <c r="U260" s="9" t="n">
        <f aca="false">IF((IF(ISNUMBER(Q260),Inputs!$B$4,0)+IF(ISNUMBER(R260),Inputs!$B$5,0)+IF(ISNUMBER(S260),Inputs!$B$6,0)+IF(ISNUMBER(T260),Inputs!$B$7,0))=0,"",(IF(ISNUMBER(Q260),Inputs!$B$4*Q260,0)+IF(ISNUMBER(R260),Inputs!$B$5*R260,0)+IF(ISNUMBER(S260),Inputs!$B$6*S260,0)+IF(ISNUMBER(T260),Inputs!$B$7*T260,0))/(IF(ISNUMBER(Q260),Inputs!$B$4,0)+IF(ISNUMBER(R260),Inputs!$B$5,0)+IF(ISNUMBER(S260),Inputs!$B$6,0)+IF(ISNUMBER(T260),Inputs!$B$7,0)))</f>
        <v>0.8235</v>
      </c>
      <c r="V260" s="5" t="str">
        <f aca="false">IF(F260&gt;0,"Yes","No")</f>
        <v>Yes</v>
      </c>
      <c r="W260" s="5" t="str">
        <f aca="false">IF(ISNUMBER(N260),IF(N260&gt;=Inputs!$D$18,"Yes","No"),"No price")</f>
        <v>Yes</v>
      </c>
      <c r="X260" s="5" t="str">
        <f aca="false">IF(K260+L260&gt;0,"Yes",IF(M260&gt;0,"No","Unclear"))</f>
        <v>Yes</v>
      </c>
      <c r="Y260" s="5" t="str">
        <f aca="false">INDEX('API Data'!$H$2:$H$152,MATCH(B260,'API Data'!$A$2:$A$152,0))</f>
        <v>No</v>
      </c>
      <c r="Z260" s="5" t="str">
        <f aca="false">IF(COUNTIFS('Product Rows'!$A$2:$A$696,B260,'Product Rows'!$B$2:$B$696,C260,'Product Rows'!$I$2:$I$696,"Yes")&gt;0,"Yes","No")</f>
        <v>No</v>
      </c>
      <c r="AA260" s="5" t="str">
        <f aca="false">IF(P260&gt;=Inputs!$D$22,"Yes","No")</f>
        <v>Yes</v>
      </c>
      <c r="AB260" s="10" t="b">
        <f aca="false">AND(OR(Inputs!$B$17&lt;&gt;"Exclude",V260="Yes"),OR(Inputs!$B$18&lt;&gt;"Exclude",W260&lt;&gt;"No"),OR(Inputs!$B$19&lt;&gt;"Exclude",X260&lt;&gt;"No"),OR(Inputs!$B$20&lt;&gt;"Exclude",Y260="No"),OR(Inputs!$B$21&lt;&gt;"Exclude",Z260="No"),OR(Inputs!$B$22&lt;&gt;"Exclude",AA260="Yes"),ISNUMBER(U260))</f>
        <v>1</v>
      </c>
      <c r="AC260" s="5" t="n">
        <f aca="false">IF(AB260,COUNTIFS($C$5:$C$337,C260,$AB$5:$AB$337,TRUE(),$U$5:$U$337,"&gt;"&amp;U260)+COUNTIFS($C$5:C260,C260,$AB$5:AB260,TRUE(),$U$5:U260,U260),"")</f>
        <v>4</v>
      </c>
      <c r="AD260" s="5" t="str">
        <f aca="false">IF(AC260="","Not eligible",IF(AC260&lt;=Inputs!$B$25,"Lead",IF(AC260&lt;=Inputs!$B$25+Inputs!$B$26,"Next wave","Long list")))</f>
        <v>Lead</v>
      </c>
      <c r="AE260" s="5" t="str">
        <f aca="false">IF(AND(K260+L260=0,M260&gt;0),"Safety upgrade of existing prefilled syringe",IF(K260+L260+M260=0,"Confirm presentation (not stated in source)",IF(AA260="Yes","Differentiation in crowded generic market","Safety-device mandate compliance")))</f>
        <v>Differentiation in crowded generic market</v>
      </c>
      <c r="AF260" s="5" t="str">
        <f aca="false">IF(AC260="","",C260&amp;"|"&amp;AC260)</f>
        <v>Emcure Pharmaceuticals|4</v>
      </c>
    </row>
    <row r="261" customFormat="false" ht="15" hidden="false" customHeight="false" outlineLevel="0" collapsed="false">
      <c r="A261" s="5" t="n">
        <f aca="false">IF(ISNUMBER(U261),RANK(U261,$U$5:$U$337),"")</f>
        <v>28</v>
      </c>
      <c r="B261" s="5" t="s">
        <v>170</v>
      </c>
      <c r="C261" s="5" t="s">
        <v>56</v>
      </c>
      <c r="D261" s="5" t="str">
        <f aca="false">INDEX('API Data'!$B$2:$B$152,MATCH(B261,'API Data'!$A$2:$A$152,0))</f>
        <v>Oncology supportive – stem-cell mobilisation (myeloma, lymphoma)</v>
      </c>
      <c r="E261" s="5" t="n">
        <f aca="false">COUNTIFS('Market Listing'!$A$2:$A$4054,B261,'Market Listing'!$B$2:$B$4054,C261)</f>
        <v>25</v>
      </c>
      <c r="F261" s="5" t="n">
        <f aca="false">COUNTIFS('Market Listing'!$A$2:$A$4054,B261,'Market Listing'!$B$2:$B$4054,C261,'Market Listing'!$D$2:$D$4054,"Tier 1")</f>
        <v>4</v>
      </c>
      <c r="G261" s="5" t="n">
        <f aca="false">COUNTIFS('Market Listing'!$A$2:$A$4054,B261,'Market Listing'!$B$2:$B$4054,C261,'Market Listing'!$D$2:$D$4054,"Tier 2")</f>
        <v>2</v>
      </c>
      <c r="H261" s="5" t="n">
        <f aca="false">COUNTIFS('Market Listing'!$A$2:$A$4054,B261,'Market Listing'!$B$2:$B$4054,C261,'Market Listing'!$D$2:$D$4054,"Tier 3")</f>
        <v>19</v>
      </c>
      <c r="I261" s="5" t="n">
        <f aca="false">SUMIFS('Market Listing'!$E$2:$E$4054,'Market Listing'!$A$2:$A$4054,B261,'Market Listing'!$B$2:$B$4054,C261)</f>
        <v>35</v>
      </c>
      <c r="J261" s="5" t="n">
        <f aca="false">COUNTIFS('Product Rows'!$A$2:$A$696,B261,'Product Rows'!$B$2:$B$696,C261)</f>
        <v>1</v>
      </c>
      <c r="K261" s="5" t="n">
        <f aca="false">COUNTIFS('Product Rows'!$A$2:$A$696,B261,'Product Rows'!$B$2:$B$696,C261,'Product Rows'!$G$2:$G$696,"Vial")</f>
        <v>1</v>
      </c>
      <c r="L261" s="5" t="n">
        <f aca="false">COUNTIFS('Product Rows'!$A$2:$A$696,B261,'Product Rows'!$B$2:$B$696,C261,'Product Rows'!$G$2:$G$696,"Ampoule")</f>
        <v>0</v>
      </c>
      <c r="M261" s="5" t="n">
        <f aca="false">COUNTIFS('Product Rows'!$A$2:$A$696,B261,'Product Rows'!$B$2:$B$696,C261,'Product Rows'!$G$2:$G$696,"Prefilled syringe/pen")</f>
        <v>0</v>
      </c>
      <c r="N261" s="6" t="n">
        <f aca="false">IFERROR(AVERAGEIFS('Product Rows'!$H$2:$H$696,'Product Rows'!$A$2:$A$696,B261,'Product Rows'!$B$2:$B$696,C261),"")</f>
        <v>7322.4226</v>
      </c>
      <c r="O261" s="7" t="n">
        <f aca="false">INDEX('API Data'!$E$2:$E$152,MATCH(B261,'API Data'!$A$2:$A$152,0))</f>
        <v>7904.67</v>
      </c>
      <c r="P261" s="5" t="n">
        <f aca="false">COUNTIF($B$5:$B$337,B261)</f>
        <v>7</v>
      </c>
      <c r="Q261" s="8" t="n">
        <f aca="false">IF(ISNUMBER(I261),PERCENTRANK($I$5:$I$337,I261),"")</f>
        <v>0.654</v>
      </c>
      <c r="R261" s="8" t="n">
        <f aca="false">IF(ISNUMBER(N261),PERCENTRANK($N$5:$N$337,N261),"")</f>
        <v>1</v>
      </c>
      <c r="S261" s="8" t="n">
        <f aca="false">IF(ISNUMBER(O261),PERCENTRANK($O$5:$O$337,O261),"")</f>
        <v>0.651</v>
      </c>
      <c r="T261" s="8" t="n">
        <f aca="false">IF(ISNUMBER(P261),PERCENTRANK($P$5:$P$337,P261),"")</f>
        <v>0.822</v>
      </c>
      <c r="U261" s="9" t="n">
        <f aca="false">IF((IF(ISNUMBER(Q261),Inputs!$B$4,0)+IF(ISNUMBER(R261),Inputs!$B$5,0)+IF(ISNUMBER(S261),Inputs!$B$6,0)+IF(ISNUMBER(T261),Inputs!$B$7,0))=0,"",(IF(ISNUMBER(Q261),Inputs!$B$4*Q261,0)+IF(ISNUMBER(R261),Inputs!$B$5*R261,0)+IF(ISNUMBER(S261),Inputs!$B$6*S261,0)+IF(ISNUMBER(T261),Inputs!$B$7*T261,0))/(IF(ISNUMBER(Q261),Inputs!$B$4,0)+IF(ISNUMBER(R261),Inputs!$B$5,0)+IF(ISNUMBER(S261),Inputs!$B$6,0)+IF(ISNUMBER(T261),Inputs!$B$7,0)))</f>
        <v>0.8255</v>
      </c>
      <c r="V261" s="5" t="str">
        <f aca="false">IF(F261&gt;0,"Yes","No")</f>
        <v>Yes</v>
      </c>
      <c r="W261" s="5" t="str">
        <f aca="false">IF(ISNUMBER(N261),IF(N261&gt;=Inputs!$D$18,"Yes","No"),"No price")</f>
        <v>Yes</v>
      </c>
      <c r="X261" s="5" t="str">
        <f aca="false">IF(K261+L261&gt;0,"Yes",IF(M261&gt;0,"No","Unclear"))</f>
        <v>Yes</v>
      </c>
      <c r="Y261" s="5" t="str">
        <f aca="false">INDEX('API Data'!$H$2:$H$152,MATCH(B261,'API Data'!$A$2:$A$152,0))</f>
        <v>No</v>
      </c>
      <c r="Z261" s="5" t="str">
        <f aca="false">IF(COUNTIFS('Product Rows'!$A$2:$A$696,B261,'Product Rows'!$B$2:$B$696,C261,'Product Rows'!$I$2:$I$696,"Yes")&gt;0,"Yes","No")</f>
        <v>No</v>
      </c>
      <c r="AA261" s="5" t="str">
        <f aca="false">IF(P261&gt;=Inputs!$D$22,"Yes","No")</f>
        <v>Yes</v>
      </c>
      <c r="AB261" s="10" t="b">
        <f aca="false">AND(OR(Inputs!$B$17&lt;&gt;"Exclude",V261="Yes"),OR(Inputs!$B$18&lt;&gt;"Exclude",W261&lt;&gt;"No"),OR(Inputs!$B$19&lt;&gt;"Exclude",X261&lt;&gt;"No"),OR(Inputs!$B$20&lt;&gt;"Exclude",Y261="No"),OR(Inputs!$B$21&lt;&gt;"Exclude",Z261="No"),OR(Inputs!$B$22&lt;&gt;"Exclude",AA261="Yes"),ISNUMBER(U261))</f>
        <v>1</v>
      </c>
      <c r="AC261" s="5" t="n">
        <f aca="false">IF(AB261,COUNTIFS($C$5:$C$337,C261,$AB$5:$AB$337,TRUE(),$U$5:$U$337,"&gt;"&amp;U261)+COUNTIFS($C$5:C261,C261,$AB$5:AB261,TRUE(),$U$5:U261,U261),"")</f>
        <v>2</v>
      </c>
      <c r="AD261" s="5" t="str">
        <f aca="false">IF(AC261="","Not eligible",IF(AC261&lt;=Inputs!$B$25,"Lead",IF(AC261&lt;=Inputs!$B$25+Inputs!$B$26,"Next wave","Long list")))</f>
        <v>Lead</v>
      </c>
      <c r="AE261" s="5" t="str">
        <f aca="false">IF(AND(K261+L261=0,M261&gt;0),"Safety upgrade of existing prefilled syringe",IF(K261+L261+M261=0,"Confirm presentation (not stated in source)",IF(AA261="Yes","Differentiation in crowded generic market","Safety-device mandate compliance")))</f>
        <v>Differentiation in crowded generic market</v>
      </c>
      <c r="AF261" s="5" t="str">
        <f aca="false">IF(AC261="","",C261&amp;"|"&amp;AC261)</f>
        <v>Glenmark Pharmaceuticals|2</v>
      </c>
    </row>
    <row r="262" customFormat="false" ht="15" hidden="false" customHeight="false" outlineLevel="0" collapsed="false">
      <c r="A262" s="5" t="n">
        <f aca="false">IF(ISNUMBER(U262),RANK(U262,$U$5:$U$337),"")</f>
        <v>31</v>
      </c>
      <c r="B262" s="5" t="s">
        <v>170</v>
      </c>
      <c r="C262" s="5" t="s">
        <v>57</v>
      </c>
      <c r="D262" s="5" t="str">
        <f aca="false">INDEX('API Data'!$B$2:$B$152,MATCH(B262,'API Data'!$A$2:$A$152,0))</f>
        <v>Oncology supportive – stem-cell mobilisation (myeloma, lymphoma)</v>
      </c>
      <c r="E262" s="5" t="n">
        <f aca="false">COUNTIFS('Market Listing'!$A$2:$A$4054,B262,'Market Listing'!$B$2:$B$4054,C262)</f>
        <v>28</v>
      </c>
      <c r="F262" s="5" t="n">
        <f aca="false">COUNTIFS('Market Listing'!$A$2:$A$4054,B262,'Market Listing'!$B$2:$B$4054,C262,'Market Listing'!$D$2:$D$4054,"Tier 1")</f>
        <v>6</v>
      </c>
      <c r="G262" s="5" t="n">
        <f aca="false">COUNTIFS('Market Listing'!$A$2:$A$4054,B262,'Market Listing'!$B$2:$B$4054,C262,'Market Listing'!$D$2:$D$4054,"Tier 2")</f>
        <v>3</v>
      </c>
      <c r="H262" s="5" t="n">
        <f aca="false">COUNTIFS('Market Listing'!$A$2:$A$4054,B262,'Market Listing'!$B$2:$B$4054,C262,'Market Listing'!$D$2:$D$4054,"Tier 3")</f>
        <v>19</v>
      </c>
      <c r="I262" s="5" t="n">
        <f aca="false">SUMIFS('Market Listing'!$E$2:$E$4054,'Market Listing'!$A$2:$A$4054,B262,'Market Listing'!$B$2:$B$4054,C262)</f>
        <v>43</v>
      </c>
      <c r="J262" s="5" t="n">
        <f aca="false">COUNTIFS('Product Rows'!$A$2:$A$696,B262,'Product Rows'!$B$2:$B$696,C262)</f>
        <v>4</v>
      </c>
      <c r="K262" s="5" t="n">
        <f aca="false">COUNTIFS('Product Rows'!$A$2:$A$696,B262,'Product Rows'!$B$2:$B$696,C262,'Product Rows'!$G$2:$G$696,"Vial")</f>
        <v>4</v>
      </c>
      <c r="L262" s="5" t="n">
        <f aca="false">COUNTIFS('Product Rows'!$A$2:$A$696,B262,'Product Rows'!$B$2:$B$696,C262,'Product Rows'!$G$2:$G$696,"Ampoule")</f>
        <v>0</v>
      </c>
      <c r="M262" s="5" t="n">
        <f aca="false">COUNTIFS('Product Rows'!$A$2:$A$696,B262,'Product Rows'!$B$2:$B$696,C262,'Product Rows'!$G$2:$G$696,"Prefilled syringe/pen")</f>
        <v>0</v>
      </c>
      <c r="N262" s="6" t="n">
        <f aca="false">IFERROR(AVERAGEIFS('Product Rows'!$H$2:$H$696,'Product Rows'!$A$2:$A$696,B262,'Product Rows'!$B$2:$B$696,C262),"")</f>
        <v>4289.93315</v>
      </c>
      <c r="O262" s="7" t="n">
        <f aca="false">INDEX('API Data'!$E$2:$E$152,MATCH(B262,'API Data'!$A$2:$A$152,0))</f>
        <v>7904.67</v>
      </c>
      <c r="P262" s="5" t="n">
        <f aca="false">COUNTIF($B$5:$B$337,B262)</f>
        <v>7</v>
      </c>
      <c r="Q262" s="8" t="n">
        <f aca="false">IF(ISNUMBER(I262),PERCENTRANK($I$5:$I$337,I262),"")</f>
        <v>0.75</v>
      </c>
      <c r="R262" s="8" t="n">
        <f aca="false">IF(ISNUMBER(N262),PERCENTRANK($N$5:$N$337,N262),"")</f>
        <v>0.982</v>
      </c>
      <c r="S262" s="8" t="n">
        <f aca="false">IF(ISNUMBER(O262),PERCENTRANK($O$5:$O$337,O262),"")</f>
        <v>0.651</v>
      </c>
      <c r="T262" s="8" t="n">
        <f aca="false">IF(ISNUMBER(P262),PERCENTRANK($P$5:$P$337,P262),"")</f>
        <v>0.822</v>
      </c>
      <c r="U262" s="9" t="n">
        <f aca="false">IF((IF(ISNUMBER(Q262),Inputs!$B$4,0)+IF(ISNUMBER(R262),Inputs!$B$5,0)+IF(ISNUMBER(S262),Inputs!$B$6,0)+IF(ISNUMBER(T262),Inputs!$B$7,0))=0,"",(IF(ISNUMBER(Q262),Inputs!$B$4*Q262,0)+IF(ISNUMBER(R262),Inputs!$B$5*R262,0)+IF(ISNUMBER(S262),Inputs!$B$6*S262,0)+IF(ISNUMBER(T262),Inputs!$B$7*T262,0))/(IF(ISNUMBER(Q262),Inputs!$B$4,0)+IF(ISNUMBER(R262),Inputs!$B$5,0)+IF(ISNUMBER(S262),Inputs!$B$6,0)+IF(ISNUMBER(T262),Inputs!$B$7,0)))</f>
        <v>0.8165</v>
      </c>
      <c r="V262" s="5" t="str">
        <f aca="false">IF(F262&gt;0,"Yes","No")</f>
        <v>Yes</v>
      </c>
      <c r="W262" s="5" t="str">
        <f aca="false">IF(ISNUMBER(N262),IF(N262&gt;=Inputs!$D$18,"Yes","No"),"No price")</f>
        <v>Yes</v>
      </c>
      <c r="X262" s="5" t="str">
        <f aca="false">IF(K262+L262&gt;0,"Yes",IF(M262&gt;0,"No","Unclear"))</f>
        <v>Yes</v>
      </c>
      <c r="Y262" s="5" t="str">
        <f aca="false">INDEX('API Data'!$H$2:$H$152,MATCH(B262,'API Data'!$A$2:$A$152,0))</f>
        <v>No</v>
      </c>
      <c r="Z262" s="5" t="str">
        <f aca="false">IF(COUNTIFS('Product Rows'!$A$2:$A$696,B262,'Product Rows'!$B$2:$B$696,C262,'Product Rows'!$I$2:$I$696,"Yes")&gt;0,"Yes","No")</f>
        <v>No</v>
      </c>
      <c r="AA262" s="5" t="str">
        <f aca="false">IF(P262&gt;=Inputs!$D$22,"Yes","No")</f>
        <v>Yes</v>
      </c>
      <c r="AB262" s="10" t="b">
        <f aca="false">AND(OR(Inputs!$B$17&lt;&gt;"Exclude",V262="Yes"),OR(Inputs!$B$18&lt;&gt;"Exclude",W262&lt;&gt;"No"),OR(Inputs!$B$19&lt;&gt;"Exclude",X262&lt;&gt;"No"),OR(Inputs!$B$20&lt;&gt;"Exclude",Y262="No"),OR(Inputs!$B$21&lt;&gt;"Exclude",Z262="No"),OR(Inputs!$B$22&lt;&gt;"Exclude",AA262="Yes"),ISNUMBER(U262))</f>
        <v>1</v>
      </c>
      <c r="AC262" s="5" t="n">
        <f aca="false">IF(AB262,COUNTIFS($C$5:$C$337,C262,$AB$5:$AB$337,TRUE(),$U$5:$U$337,"&gt;"&amp;U262)+COUNTIFS($C$5:C262,C262,$AB$5:AB262,TRUE(),$U$5:U262,U262),"")</f>
        <v>5</v>
      </c>
      <c r="AD262" s="5" t="str">
        <f aca="false">IF(AC262="","Not eligible",IF(AC262&lt;=Inputs!$B$25,"Lead",IF(AC262&lt;=Inputs!$B$25+Inputs!$B$26,"Next wave","Long list")))</f>
        <v>Lead</v>
      </c>
      <c r="AE262" s="5" t="str">
        <f aca="false">IF(AND(K262+L262=0,M262&gt;0),"Safety upgrade of existing prefilled syringe",IF(K262+L262+M262=0,"Confirm presentation (not stated in source)",IF(AA262="Yes","Differentiation in crowded generic market","Safety-device mandate compliance")))</f>
        <v>Differentiation in crowded generic market</v>
      </c>
      <c r="AF262" s="5" t="str">
        <f aca="false">IF(AC262="","",C262&amp;"|"&amp;AC262)</f>
        <v>Hetero Labs|5</v>
      </c>
    </row>
    <row r="263" customFormat="false" ht="15" hidden="false" customHeight="false" outlineLevel="0" collapsed="false">
      <c r="A263" s="5" t="n">
        <f aca="false">IF(ISNUMBER(U263),RANK(U263,$U$5:$U$337),"")</f>
        <v>30</v>
      </c>
      <c r="B263" s="5" t="s">
        <v>170</v>
      </c>
      <c r="C263" s="5" t="s">
        <v>44</v>
      </c>
      <c r="D263" s="5" t="str">
        <f aca="false">INDEX('API Data'!$B$2:$B$152,MATCH(B263,'API Data'!$A$2:$A$152,0))</f>
        <v>Oncology supportive – stem-cell mobilisation (myeloma, lymphoma)</v>
      </c>
      <c r="E263" s="5" t="n">
        <f aca="false">COUNTIFS('Market Listing'!$A$2:$A$4054,B263,'Market Listing'!$B$2:$B$4054,C263)</f>
        <v>27</v>
      </c>
      <c r="F263" s="5" t="n">
        <f aca="false">COUNTIFS('Market Listing'!$A$2:$A$4054,B263,'Market Listing'!$B$2:$B$4054,C263,'Market Listing'!$D$2:$D$4054,"Tier 1")</f>
        <v>5</v>
      </c>
      <c r="G263" s="5" t="n">
        <f aca="false">COUNTIFS('Market Listing'!$A$2:$A$4054,B263,'Market Listing'!$B$2:$B$4054,C263,'Market Listing'!$D$2:$D$4054,"Tier 2")</f>
        <v>3</v>
      </c>
      <c r="H263" s="5" t="n">
        <f aca="false">COUNTIFS('Market Listing'!$A$2:$A$4054,B263,'Market Listing'!$B$2:$B$4054,C263,'Market Listing'!$D$2:$D$4054,"Tier 3")</f>
        <v>19</v>
      </c>
      <c r="I263" s="5" t="n">
        <f aca="false">SUMIFS('Market Listing'!$E$2:$E$4054,'Market Listing'!$A$2:$A$4054,B263,'Market Listing'!$B$2:$B$4054,C263)</f>
        <v>40</v>
      </c>
      <c r="J263" s="5" t="n">
        <f aca="false">COUNTIFS('Product Rows'!$A$2:$A$696,B263,'Product Rows'!$B$2:$B$696,C263)</f>
        <v>3</v>
      </c>
      <c r="K263" s="5" t="n">
        <f aca="false">COUNTIFS('Product Rows'!$A$2:$A$696,B263,'Product Rows'!$B$2:$B$696,C263,'Product Rows'!$G$2:$G$696,"Vial")</f>
        <v>3</v>
      </c>
      <c r="L263" s="5" t="n">
        <f aca="false">COUNTIFS('Product Rows'!$A$2:$A$696,B263,'Product Rows'!$B$2:$B$696,C263,'Product Rows'!$G$2:$G$696,"Ampoule")</f>
        <v>0</v>
      </c>
      <c r="M263" s="5" t="n">
        <f aca="false">COUNTIFS('Product Rows'!$A$2:$A$696,B263,'Product Rows'!$B$2:$B$696,C263,'Product Rows'!$G$2:$G$696,"Prefilled syringe/pen")</f>
        <v>0</v>
      </c>
      <c r="N263" s="6" t="n">
        <f aca="false">IFERROR(AVERAGEIFS('Product Rows'!$H$2:$H$696,'Product Rows'!$A$2:$A$696,B263,'Product Rows'!$B$2:$B$696,C263),"")</f>
        <v>4779.00286666667</v>
      </c>
      <c r="O263" s="7" t="n">
        <f aca="false">INDEX('API Data'!$E$2:$E$152,MATCH(B263,'API Data'!$A$2:$A$152,0))</f>
        <v>7904.67</v>
      </c>
      <c r="P263" s="5" t="n">
        <f aca="false">COUNTIF($B$5:$B$337,B263)</f>
        <v>7</v>
      </c>
      <c r="Q263" s="8" t="n">
        <f aca="false">IF(ISNUMBER(I263),PERCENTRANK($I$5:$I$337,I263),"")</f>
        <v>0.699</v>
      </c>
      <c r="R263" s="8" t="n">
        <f aca="false">IF(ISNUMBER(N263),PERCENTRANK($N$5:$N$337,N263),"")</f>
        <v>0.986</v>
      </c>
      <c r="S263" s="8" t="n">
        <f aca="false">IF(ISNUMBER(O263),PERCENTRANK($O$5:$O$337,O263),"")</f>
        <v>0.651</v>
      </c>
      <c r="T263" s="8" t="n">
        <f aca="false">IF(ISNUMBER(P263),PERCENTRANK($P$5:$P$337,P263),"")</f>
        <v>0.822</v>
      </c>
      <c r="U263" s="9" t="n">
        <f aca="false">IF((IF(ISNUMBER(Q263),Inputs!$B$4,0)+IF(ISNUMBER(R263),Inputs!$B$5,0)+IF(ISNUMBER(S263),Inputs!$B$6,0)+IF(ISNUMBER(T263),Inputs!$B$7,0))=0,"",(IF(ISNUMBER(Q263),Inputs!$B$4*Q263,0)+IF(ISNUMBER(R263),Inputs!$B$5*R263,0)+IF(ISNUMBER(S263),Inputs!$B$6*S263,0)+IF(ISNUMBER(T263),Inputs!$B$7*T263,0))/(IF(ISNUMBER(Q263),Inputs!$B$4,0)+IF(ISNUMBER(R263),Inputs!$B$5,0)+IF(ISNUMBER(S263),Inputs!$B$6,0)+IF(ISNUMBER(T263),Inputs!$B$7,0)))</f>
        <v>0.8185</v>
      </c>
      <c r="V263" s="5" t="str">
        <f aca="false">IF(F263&gt;0,"Yes","No")</f>
        <v>Yes</v>
      </c>
      <c r="W263" s="5" t="str">
        <f aca="false">IF(ISNUMBER(N263),IF(N263&gt;=Inputs!$D$18,"Yes","No"),"No price")</f>
        <v>Yes</v>
      </c>
      <c r="X263" s="5" t="str">
        <f aca="false">IF(K263+L263&gt;0,"Yes",IF(M263&gt;0,"No","Unclear"))</f>
        <v>Yes</v>
      </c>
      <c r="Y263" s="5" t="str">
        <f aca="false">INDEX('API Data'!$H$2:$H$152,MATCH(B263,'API Data'!$A$2:$A$152,0))</f>
        <v>No</v>
      </c>
      <c r="Z263" s="5" t="str">
        <f aca="false">IF(COUNTIFS('Product Rows'!$A$2:$A$696,B263,'Product Rows'!$B$2:$B$696,C263,'Product Rows'!$I$2:$I$696,"Yes")&gt;0,"Yes","No")</f>
        <v>No</v>
      </c>
      <c r="AA263" s="5" t="str">
        <f aca="false">IF(P263&gt;=Inputs!$D$22,"Yes","No")</f>
        <v>Yes</v>
      </c>
      <c r="AB263" s="10" t="b">
        <f aca="false">AND(OR(Inputs!$B$17&lt;&gt;"Exclude",V263="Yes"),OR(Inputs!$B$18&lt;&gt;"Exclude",W263&lt;&gt;"No"),OR(Inputs!$B$19&lt;&gt;"Exclude",X263&lt;&gt;"No"),OR(Inputs!$B$20&lt;&gt;"Exclude",Y263="No"),OR(Inputs!$B$21&lt;&gt;"Exclude",Z263="No"),OR(Inputs!$B$22&lt;&gt;"Exclude",AA263="Yes"),ISNUMBER(U263))</f>
        <v>1</v>
      </c>
      <c r="AC263" s="5" t="n">
        <f aca="false">IF(AB263,COUNTIFS($C$5:$C$337,C263,$AB$5:$AB$337,TRUE(),$U$5:$U$337,"&gt;"&amp;U263)+COUNTIFS($C$5:C263,C263,$AB$5:AB263,TRUE(),$U$5:U263,U263),"")</f>
        <v>7</v>
      </c>
      <c r="AD263" s="5" t="str">
        <f aca="false">IF(AC263="","Not eligible",IF(AC263&lt;=Inputs!$B$25,"Lead",IF(AC263&lt;=Inputs!$B$25+Inputs!$B$26,"Next wave","Long list")))</f>
        <v>Next wave</v>
      </c>
      <c r="AE263" s="5" t="str">
        <f aca="false">IF(AND(K263+L263=0,M263&gt;0),"Safety upgrade of existing prefilled syringe",IF(K263+L263+M263=0,"Confirm presentation (not stated in source)",IF(AA263="Yes","Differentiation in crowded generic market","Safety-device mandate compliance")))</f>
        <v>Differentiation in crowded generic market</v>
      </c>
      <c r="AF263" s="5" t="str">
        <f aca="false">IF(AC263="","",C263&amp;"|"&amp;AC263)</f>
        <v>Intas Pharmaceuticals|7</v>
      </c>
    </row>
    <row r="264" customFormat="false" ht="15" hidden="false" customHeight="false" outlineLevel="0" collapsed="false">
      <c r="A264" s="5" t="n">
        <f aca="false">IF(ISNUMBER(U264),RANK(U264,$U$5:$U$337),"")</f>
        <v>43</v>
      </c>
      <c r="B264" s="5" t="s">
        <v>170</v>
      </c>
      <c r="C264" s="5" t="s">
        <v>63</v>
      </c>
      <c r="D264" s="5" t="str">
        <f aca="false">INDEX('API Data'!$B$2:$B$152,MATCH(B264,'API Data'!$A$2:$A$152,0))</f>
        <v>Oncology supportive – stem-cell mobilisation (myeloma, lymphoma)</v>
      </c>
      <c r="E264" s="5" t="n">
        <f aca="false">COUNTIFS('Market Listing'!$A$2:$A$4054,B264,'Market Listing'!$B$2:$B$4054,C264)</f>
        <v>1</v>
      </c>
      <c r="F264" s="5" t="n">
        <f aca="false">COUNTIFS('Market Listing'!$A$2:$A$4054,B264,'Market Listing'!$B$2:$B$4054,C264,'Market Listing'!$D$2:$D$4054,"Tier 1")</f>
        <v>1</v>
      </c>
      <c r="G264" s="5" t="n">
        <f aca="false">COUNTIFS('Market Listing'!$A$2:$A$4054,B264,'Market Listing'!$B$2:$B$4054,C264,'Market Listing'!$D$2:$D$4054,"Tier 2")</f>
        <v>0</v>
      </c>
      <c r="H264" s="5" t="n">
        <f aca="false">COUNTIFS('Market Listing'!$A$2:$A$4054,B264,'Market Listing'!$B$2:$B$4054,C264,'Market Listing'!$D$2:$D$4054,"Tier 3")</f>
        <v>0</v>
      </c>
      <c r="I264" s="5" t="n">
        <f aca="false">SUMIFS('Market Listing'!$E$2:$E$4054,'Market Listing'!$A$2:$A$4054,B264,'Market Listing'!$B$2:$B$4054,C264)</f>
        <v>3</v>
      </c>
      <c r="J264" s="5" t="n">
        <f aca="false">COUNTIFS('Product Rows'!$A$2:$A$696,B264,'Product Rows'!$B$2:$B$696,C264)</f>
        <v>1</v>
      </c>
      <c r="K264" s="5" t="n">
        <f aca="false">COUNTIFS('Product Rows'!$A$2:$A$696,B264,'Product Rows'!$B$2:$B$696,C264,'Product Rows'!$G$2:$G$696,"Vial")</f>
        <v>1</v>
      </c>
      <c r="L264" s="5" t="n">
        <f aca="false">COUNTIFS('Product Rows'!$A$2:$A$696,B264,'Product Rows'!$B$2:$B$696,C264,'Product Rows'!$G$2:$G$696,"Ampoule")</f>
        <v>0</v>
      </c>
      <c r="M264" s="5" t="n">
        <f aca="false">COUNTIFS('Product Rows'!$A$2:$A$696,B264,'Product Rows'!$B$2:$B$696,C264,'Product Rows'!$G$2:$G$696,"Prefilled syringe/pen")</f>
        <v>0</v>
      </c>
      <c r="N264" s="6" t="n">
        <f aca="false">IFERROR(AVERAGEIFS('Product Rows'!$H$2:$H$696,'Product Rows'!$A$2:$A$696,B264,'Product Rows'!$B$2:$B$696,C264),"")</f>
        <v>343.8</v>
      </c>
      <c r="O264" s="7" t="n">
        <f aca="false">INDEX('API Data'!$E$2:$E$152,MATCH(B264,'API Data'!$A$2:$A$152,0))</f>
        <v>7904.67</v>
      </c>
      <c r="P264" s="5" t="n">
        <f aca="false">COUNTIF($B$5:$B$337,B264)</f>
        <v>7</v>
      </c>
      <c r="Q264" s="8" t="n">
        <f aca="false">IF(ISNUMBER(I264),PERCENTRANK($I$5:$I$337,I264),"")</f>
        <v>0.157</v>
      </c>
      <c r="R264" s="8" t="n">
        <f aca="false">IF(ISNUMBER(N264),PERCENTRANK($N$5:$N$337,N264),"")</f>
        <v>0.892</v>
      </c>
      <c r="S264" s="8" t="n">
        <f aca="false">IF(ISNUMBER(O264),PERCENTRANK($O$5:$O$337,O264),"")</f>
        <v>0.651</v>
      </c>
      <c r="T264" s="8" t="n">
        <f aca="false">IF(ISNUMBER(P264),PERCENTRANK($P$5:$P$337,P264),"")</f>
        <v>0.822</v>
      </c>
      <c r="U264" s="9" t="n">
        <f aca="false">IF((IF(ISNUMBER(Q264),Inputs!$B$4,0)+IF(ISNUMBER(R264),Inputs!$B$5,0)+IF(ISNUMBER(S264),Inputs!$B$6,0)+IF(ISNUMBER(T264),Inputs!$B$7,0))=0,"",(IF(ISNUMBER(Q264),Inputs!$B$4*Q264,0)+IF(ISNUMBER(R264),Inputs!$B$5*R264,0)+IF(ISNUMBER(S264),Inputs!$B$6*S264,0)+IF(ISNUMBER(T264),Inputs!$B$7*T264,0))/(IF(ISNUMBER(Q264),Inputs!$B$4,0)+IF(ISNUMBER(R264),Inputs!$B$5,0)+IF(ISNUMBER(S264),Inputs!$B$6,0)+IF(ISNUMBER(T264),Inputs!$B$7,0)))</f>
        <v>0.7715</v>
      </c>
      <c r="V264" s="5" t="str">
        <f aca="false">IF(F264&gt;0,"Yes","No")</f>
        <v>Yes</v>
      </c>
      <c r="W264" s="5" t="str">
        <f aca="false">IF(ISNUMBER(N264),IF(N264&gt;=Inputs!$D$18,"Yes","No"),"No price")</f>
        <v>Yes</v>
      </c>
      <c r="X264" s="5" t="str">
        <f aca="false">IF(K264+L264&gt;0,"Yes",IF(M264&gt;0,"No","Unclear"))</f>
        <v>Yes</v>
      </c>
      <c r="Y264" s="5" t="str">
        <f aca="false">INDEX('API Data'!$H$2:$H$152,MATCH(B264,'API Data'!$A$2:$A$152,0))</f>
        <v>No</v>
      </c>
      <c r="Z264" s="5" t="str">
        <f aca="false">IF(COUNTIFS('Product Rows'!$A$2:$A$696,B264,'Product Rows'!$B$2:$B$696,C264,'Product Rows'!$I$2:$I$696,"Yes")&gt;0,"Yes","No")</f>
        <v>No</v>
      </c>
      <c r="AA264" s="5" t="str">
        <f aca="false">IF(P264&gt;=Inputs!$D$22,"Yes","No")</f>
        <v>Yes</v>
      </c>
      <c r="AB264" s="10" t="b">
        <f aca="false">AND(OR(Inputs!$B$17&lt;&gt;"Exclude",V264="Yes"),OR(Inputs!$B$18&lt;&gt;"Exclude",W264&lt;&gt;"No"),OR(Inputs!$B$19&lt;&gt;"Exclude",X264&lt;&gt;"No"),OR(Inputs!$B$20&lt;&gt;"Exclude",Y264="No"),OR(Inputs!$B$21&lt;&gt;"Exclude",Z264="No"),OR(Inputs!$B$22&lt;&gt;"Exclude",AA264="Yes"),ISNUMBER(U264))</f>
        <v>1</v>
      </c>
      <c r="AC264" s="5" t="n">
        <f aca="false">IF(AB264,COUNTIFS($C$5:$C$337,C264,$AB$5:$AB$337,TRUE(),$U$5:$U$337,"&gt;"&amp;U264)+COUNTIFS($C$5:C264,C264,$AB$5:AB264,TRUE(),$U$5:U264,U264),"")</f>
        <v>2</v>
      </c>
      <c r="AD264" s="5" t="str">
        <f aca="false">IF(AC264="","Not eligible",IF(AC264&lt;=Inputs!$B$25,"Lead",IF(AC264&lt;=Inputs!$B$25+Inputs!$B$26,"Next wave","Long list")))</f>
        <v>Lead</v>
      </c>
      <c r="AE264" s="5" t="str">
        <f aca="false">IF(AND(K264+L264=0,M264&gt;0),"Safety upgrade of existing prefilled syringe",IF(K264+L264+M264=0,"Confirm presentation (not stated in source)",IF(AA264="Yes","Differentiation in crowded generic market","Safety-device mandate compliance")))</f>
        <v>Differentiation in crowded generic market</v>
      </c>
      <c r="AF264" s="5" t="str">
        <f aca="false">IF(AC264="","",C264&amp;"|"&amp;AC264)</f>
        <v>MSN Laboratories|2</v>
      </c>
    </row>
    <row r="265" customFormat="false" ht="15" hidden="false" customHeight="false" outlineLevel="0" collapsed="false">
      <c r="A265" s="5" t="n">
        <f aca="false">IF(ISNUMBER(U265),RANK(U265,$U$5:$U$337),"")</f>
        <v>252</v>
      </c>
      <c r="B265" s="5" t="s">
        <v>171</v>
      </c>
      <c r="C265" s="5" t="s">
        <v>47</v>
      </c>
      <c r="D265" s="5" t="str">
        <f aca="false">INDEX('API Data'!$B$2:$B$152,MATCH(B265,'API Data'!$A$2:$A$152,0))</f>
        <v>Women's health – IVF luteal support; amenorrhoea, abnormal uterine bleeding</v>
      </c>
      <c r="E265" s="5" t="n">
        <f aca="false">COUNTIFS('Market Listing'!$A$2:$A$4054,B265,'Market Listing'!$B$2:$B$4054,C265)</f>
        <v>1</v>
      </c>
      <c r="F265" s="5" t="n">
        <f aca="false">COUNTIFS('Market Listing'!$A$2:$A$4054,B265,'Market Listing'!$B$2:$B$4054,C265,'Market Listing'!$D$2:$D$4054,"Tier 1")</f>
        <v>1</v>
      </c>
      <c r="G265" s="5" t="n">
        <f aca="false">COUNTIFS('Market Listing'!$A$2:$A$4054,B265,'Market Listing'!$B$2:$B$4054,C265,'Market Listing'!$D$2:$D$4054,"Tier 2")</f>
        <v>0</v>
      </c>
      <c r="H265" s="5" t="n">
        <f aca="false">COUNTIFS('Market Listing'!$A$2:$A$4054,B265,'Market Listing'!$B$2:$B$4054,C265,'Market Listing'!$D$2:$D$4054,"Tier 3")</f>
        <v>0</v>
      </c>
      <c r="I265" s="5" t="n">
        <f aca="false">SUMIFS('Market Listing'!$E$2:$E$4054,'Market Listing'!$A$2:$A$4054,B265,'Market Listing'!$B$2:$B$4054,C265)</f>
        <v>3</v>
      </c>
      <c r="J265" s="5" t="n">
        <f aca="false">COUNTIFS('Product Rows'!$A$2:$A$696,B265,'Product Rows'!$B$2:$B$696,C265)</f>
        <v>1</v>
      </c>
      <c r="K265" s="5" t="n">
        <f aca="false">COUNTIFS('Product Rows'!$A$2:$A$696,B265,'Product Rows'!$B$2:$B$696,C265,'Product Rows'!$G$2:$G$696,"Vial")</f>
        <v>1</v>
      </c>
      <c r="L265" s="5" t="n">
        <f aca="false">COUNTIFS('Product Rows'!$A$2:$A$696,B265,'Product Rows'!$B$2:$B$696,C265,'Product Rows'!$G$2:$G$696,"Ampoule")</f>
        <v>0</v>
      </c>
      <c r="M265" s="5" t="n">
        <f aca="false">COUNTIFS('Product Rows'!$A$2:$A$696,B265,'Product Rows'!$B$2:$B$696,C265,'Product Rows'!$G$2:$G$696,"Prefilled syringe/pen")</f>
        <v>0</v>
      </c>
      <c r="N265" s="6" t="n">
        <f aca="false">IFERROR(AVERAGEIFS('Product Rows'!$H$2:$H$696,'Product Rows'!$A$2:$A$696,B265,'Product Rows'!$B$2:$B$696,C265),"")</f>
        <v>22.25</v>
      </c>
      <c r="O265" s="7" t="n">
        <f aca="false">INDEX('API Data'!$E$2:$E$152,MATCH(B265,'API Data'!$A$2:$A$152,0))</f>
        <v>2441.22705094249</v>
      </c>
      <c r="P265" s="5" t="n">
        <f aca="false">COUNTIF($B$5:$B$337,B265)</f>
        <v>2</v>
      </c>
      <c r="Q265" s="8" t="n">
        <f aca="false">IF(ISNUMBER(I265),PERCENTRANK($I$5:$I$337,I265),"")</f>
        <v>0.157</v>
      </c>
      <c r="R265" s="8" t="n">
        <f aca="false">IF(ISNUMBER(N265),PERCENTRANK($N$5:$N$337,N265),"")</f>
        <v>0.384</v>
      </c>
      <c r="S265" s="8" t="n">
        <f aca="false">IF(ISNUMBER(O265),PERCENTRANK($O$5:$O$337,O265),"")</f>
        <v>0.289</v>
      </c>
      <c r="T265" s="8" t="n">
        <f aca="false">IF(ISNUMBER(P265),PERCENTRANK($P$5:$P$337,P265),"")</f>
        <v>0.235</v>
      </c>
      <c r="U265" s="9" t="n">
        <f aca="false">IF((IF(ISNUMBER(Q265),Inputs!$B$4,0)+IF(ISNUMBER(R265),Inputs!$B$5,0)+IF(ISNUMBER(S265),Inputs!$B$6,0)+IF(ISNUMBER(T265),Inputs!$B$7,0))=0,"",(IF(ISNUMBER(Q265),Inputs!$B$4*Q265,0)+IF(ISNUMBER(R265),Inputs!$B$5*R265,0)+IF(ISNUMBER(S265),Inputs!$B$6*S265,0)+IF(ISNUMBER(T265),Inputs!$B$7*T265,0))/(IF(ISNUMBER(Q265),Inputs!$B$4,0)+IF(ISNUMBER(R265),Inputs!$B$5,0)+IF(ISNUMBER(S265),Inputs!$B$6,0)+IF(ISNUMBER(T265),Inputs!$B$7,0)))</f>
        <v>0.3365</v>
      </c>
      <c r="V265" s="5" t="str">
        <f aca="false">IF(F265&gt;0,"Yes","No")</f>
        <v>Yes</v>
      </c>
      <c r="W265" s="5" t="str">
        <f aca="false">IF(ISNUMBER(N265),IF(N265&gt;=Inputs!$D$18,"Yes","No"),"No price")</f>
        <v>Yes</v>
      </c>
      <c r="X265" s="5" t="str">
        <f aca="false">IF(K265+L265&gt;0,"Yes",IF(M265&gt;0,"No","Unclear"))</f>
        <v>Yes</v>
      </c>
      <c r="Y265" s="5" t="str">
        <f aca="false">INDEX('API Data'!$H$2:$H$152,MATCH(B265,'API Data'!$A$2:$A$152,0))</f>
        <v>No</v>
      </c>
      <c r="Z265" s="5" t="str">
        <f aca="false">IF(COUNTIFS('Product Rows'!$A$2:$A$696,B265,'Product Rows'!$B$2:$B$696,C265,'Product Rows'!$I$2:$I$696,"Yes")&gt;0,"Yes","No")</f>
        <v>No</v>
      </c>
      <c r="AA265" s="5" t="str">
        <f aca="false">IF(P265&gt;=Inputs!$D$22,"Yes","No")</f>
        <v>No</v>
      </c>
      <c r="AB265" s="10" t="b">
        <f aca="false">AND(OR(Inputs!$B$17&lt;&gt;"Exclude",V265="Yes"),OR(Inputs!$B$18&lt;&gt;"Exclude",W265&lt;&gt;"No"),OR(Inputs!$B$19&lt;&gt;"Exclude",X265&lt;&gt;"No"),OR(Inputs!$B$20&lt;&gt;"Exclude",Y265="No"),OR(Inputs!$B$21&lt;&gt;"Exclude",Z265="No"),OR(Inputs!$B$22&lt;&gt;"Exclude",AA265="Yes"),ISNUMBER(U265))</f>
        <v>1</v>
      </c>
      <c r="AC265" s="5" t="n">
        <f aca="false">IF(AB265,COUNTIFS($C$5:$C$337,C265,$AB$5:$AB$337,TRUE(),$U$5:$U$337,"&gt;"&amp;U265)+COUNTIFS($C$5:C265,C265,$AB$5:AB265,TRUE(),$U$5:U265,U265),"")</f>
        <v>39</v>
      </c>
      <c r="AD265" s="5" t="str">
        <f aca="false">IF(AC265="","Not eligible",IF(AC265&lt;=Inputs!$B$25,"Lead",IF(AC265&lt;=Inputs!$B$25+Inputs!$B$26,"Next wave","Long list")))</f>
        <v>Long list</v>
      </c>
      <c r="AE265" s="5" t="str">
        <f aca="false">IF(AND(K265+L265=0,M265&gt;0),"Safety upgrade of existing prefilled syringe",IF(K265+L265+M265=0,"Confirm presentation (not stated in source)",IF(AA265="Yes","Differentiation in crowded generic market","Safety-device mandate compliance")))</f>
        <v>Safety-device mandate compliance</v>
      </c>
      <c r="AF265" s="5" t="str">
        <f aca="false">IF(AC265="","",C265&amp;"|"&amp;AC265)</f>
        <v>Aurobindo Pharma|39</v>
      </c>
    </row>
    <row r="266" customFormat="false" ht="15" hidden="false" customHeight="false" outlineLevel="0" collapsed="false">
      <c r="A266" s="5" t="n">
        <f aca="false">IF(ISNUMBER(U266),RANK(U266,$U$5:$U$337),"")</f>
        <v>268</v>
      </c>
      <c r="B266" s="5" t="s">
        <v>171</v>
      </c>
      <c r="C266" s="5" t="s">
        <v>44</v>
      </c>
      <c r="D266" s="5" t="str">
        <f aca="false">INDEX('API Data'!$B$2:$B$152,MATCH(B266,'API Data'!$A$2:$A$152,0))</f>
        <v>Women's health – IVF luteal support; amenorrhoea, abnormal uterine bleeding</v>
      </c>
      <c r="E266" s="5" t="n">
        <f aca="false">COUNTIFS('Market Listing'!$A$2:$A$4054,B266,'Market Listing'!$B$2:$B$4054,C266)</f>
        <v>1</v>
      </c>
      <c r="F266" s="5" t="n">
        <f aca="false">COUNTIFS('Market Listing'!$A$2:$A$4054,B266,'Market Listing'!$B$2:$B$4054,C266,'Market Listing'!$D$2:$D$4054,"Tier 1")</f>
        <v>1</v>
      </c>
      <c r="G266" s="5" t="n">
        <f aca="false">COUNTIFS('Market Listing'!$A$2:$A$4054,B266,'Market Listing'!$B$2:$B$4054,C266,'Market Listing'!$D$2:$D$4054,"Tier 2")</f>
        <v>0</v>
      </c>
      <c r="H266" s="5" t="n">
        <f aca="false">COUNTIFS('Market Listing'!$A$2:$A$4054,B266,'Market Listing'!$B$2:$B$4054,C266,'Market Listing'!$D$2:$D$4054,"Tier 3")</f>
        <v>0</v>
      </c>
      <c r="I266" s="5" t="n">
        <f aca="false">SUMIFS('Market Listing'!$E$2:$E$4054,'Market Listing'!$A$2:$A$4054,B266,'Market Listing'!$B$2:$B$4054,C266)</f>
        <v>3</v>
      </c>
      <c r="J266" s="5" t="n">
        <f aca="false">COUNTIFS('Product Rows'!$A$2:$A$696,B266,'Product Rows'!$B$2:$B$696,C266)</f>
        <v>1</v>
      </c>
      <c r="K266" s="5" t="n">
        <f aca="false">COUNTIFS('Product Rows'!$A$2:$A$696,B266,'Product Rows'!$B$2:$B$696,C266,'Product Rows'!$G$2:$G$696,"Vial")</f>
        <v>0</v>
      </c>
      <c r="L266" s="5" t="n">
        <f aca="false">COUNTIFS('Product Rows'!$A$2:$A$696,B266,'Product Rows'!$B$2:$B$696,C266,'Product Rows'!$G$2:$G$696,"Ampoule")</f>
        <v>0</v>
      </c>
      <c r="M266" s="5" t="n">
        <f aca="false">COUNTIFS('Product Rows'!$A$2:$A$696,B266,'Product Rows'!$B$2:$B$696,C266,'Product Rows'!$G$2:$G$696,"Prefilled syringe/pen")</f>
        <v>0</v>
      </c>
      <c r="N266" s="6" t="str">
        <f aca="false">IFERROR(AVERAGEIFS('Product Rows'!$H$2:$H$696,'Product Rows'!$A$2:$A$696,B266,'Product Rows'!$B$2:$B$696,C266),"")</f>
        <v/>
      </c>
      <c r="O266" s="7" t="n">
        <f aca="false">INDEX('API Data'!$E$2:$E$152,MATCH(B266,'API Data'!$A$2:$A$152,0))</f>
        <v>2441.22705094249</v>
      </c>
      <c r="P266" s="5" t="n">
        <f aca="false">COUNTIF($B$5:$B$337,B266)</f>
        <v>2</v>
      </c>
      <c r="Q266" s="8" t="n">
        <f aca="false">IF(ISNUMBER(I266),PERCENTRANK($I$5:$I$337,I266),"")</f>
        <v>0.157</v>
      </c>
      <c r="R266" s="8" t="str">
        <f aca="false">IF(ISNUMBER(N266),PERCENTRANK($N$5:$N$337,N266),"")</f>
        <v/>
      </c>
      <c r="S266" s="8" t="n">
        <f aca="false">IF(ISNUMBER(O266),PERCENTRANK($O$5:$O$337,O266),"")</f>
        <v>0.289</v>
      </c>
      <c r="T266" s="8" t="n">
        <f aca="false">IF(ISNUMBER(P266),PERCENTRANK($P$5:$P$337,P266),"")</f>
        <v>0.235</v>
      </c>
      <c r="U266" s="9" t="n">
        <f aca="false">IF((IF(ISNUMBER(Q266),Inputs!$B$4,0)+IF(ISNUMBER(R266),Inputs!$B$5,0)+IF(ISNUMBER(S266),Inputs!$B$6,0)+IF(ISNUMBER(T266),Inputs!$B$7,0))=0,"",(IF(ISNUMBER(Q266),Inputs!$B$4*Q266,0)+IF(ISNUMBER(R266),Inputs!$B$5*R266,0)+IF(ISNUMBER(S266),Inputs!$B$6*S266,0)+IF(ISNUMBER(T266),Inputs!$B$7*T266,0))/(IF(ISNUMBER(Q266),Inputs!$B$4,0)+IF(ISNUMBER(R266),Inputs!$B$5,0)+IF(ISNUMBER(S266),Inputs!$B$6,0)+IF(ISNUMBER(T266),Inputs!$B$7,0)))</f>
        <v>0.289</v>
      </c>
      <c r="V266" s="5" t="str">
        <f aca="false">IF(F266&gt;0,"Yes","No")</f>
        <v>Yes</v>
      </c>
      <c r="W266" s="5" t="str">
        <f aca="false">IF(ISNUMBER(N266),IF(N266&gt;=Inputs!$D$18,"Yes","No"),"No price")</f>
        <v>No price</v>
      </c>
      <c r="X266" s="5" t="str">
        <f aca="false">IF(K266+L266&gt;0,"Yes",IF(M266&gt;0,"No","Unclear"))</f>
        <v>Unclear</v>
      </c>
      <c r="Y266" s="5" t="str">
        <f aca="false">INDEX('API Data'!$H$2:$H$152,MATCH(B266,'API Data'!$A$2:$A$152,0))</f>
        <v>No</v>
      </c>
      <c r="Z266" s="5" t="str">
        <f aca="false">IF(COUNTIFS('Product Rows'!$A$2:$A$696,B266,'Product Rows'!$B$2:$B$696,C266,'Product Rows'!$I$2:$I$696,"Yes")&gt;0,"Yes","No")</f>
        <v>No</v>
      </c>
      <c r="AA266" s="5" t="str">
        <f aca="false">IF(P266&gt;=Inputs!$D$22,"Yes","No")</f>
        <v>No</v>
      </c>
      <c r="AB266" s="10" t="b">
        <f aca="false">AND(OR(Inputs!$B$17&lt;&gt;"Exclude",V266="Yes"),OR(Inputs!$B$18&lt;&gt;"Exclude",W266&lt;&gt;"No"),OR(Inputs!$B$19&lt;&gt;"Exclude",X266&lt;&gt;"No"),OR(Inputs!$B$20&lt;&gt;"Exclude",Y266="No"),OR(Inputs!$B$21&lt;&gt;"Exclude",Z266="No"),OR(Inputs!$B$22&lt;&gt;"Exclude",AA266="Yes"),ISNUMBER(U266))</f>
        <v>1</v>
      </c>
      <c r="AC266" s="5" t="n">
        <f aca="false">IF(AB266,COUNTIFS($C$5:$C$337,C266,$AB$5:$AB$337,TRUE(),$U$5:$U$337,"&gt;"&amp;U266)+COUNTIFS($C$5:C266,C266,$AB$5:AB266,TRUE(),$U$5:U266,U266),"")</f>
        <v>47</v>
      </c>
      <c r="AD266" s="5" t="str">
        <f aca="false">IF(AC266="","Not eligible",IF(AC266&lt;=Inputs!$B$25,"Lead",IF(AC266&lt;=Inputs!$B$25+Inputs!$B$26,"Next wave","Long list")))</f>
        <v>Long list</v>
      </c>
      <c r="AE266" s="5" t="str">
        <f aca="false">IF(AND(K266+L266=0,M266&gt;0),"Safety upgrade of existing prefilled syringe",IF(K266+L266+M266=0,"Confirm presentation (not stated in source)",IF(AA266="Yes","Differentiation in crowded generic market","Safety-device mandate compliance")))</f>
        <v>Confirm presentation (not stated in source)</v>
      </c>
      <c r="AF266" s="5" t="str">
        <f aca="false">IF(AC266="","",C266&amp;"|"&amp;AC266)</f>
        <v>Intas Pharmaceuticals|47</v>
      </c>
    </row>
    <row r="267" customFormat="false" ht="15" hidden="false" customHeight="false" outlineLevel="0" collapsed="false">
      <c r="A267" s="5" t="n">
        <f aca="false">IF(ISNUMBER(U267),RANK(U267,$U$5:$U$337),"")</f>
        <v>161</v>
      </c>
      <c r="B267" s="5" t="s">
        <v>172</v>
      </c>
      <c r="C267" s="5" t="s">
        <v>35</v>
      </c>
      <c r="D267" s="5" t="str">
        <f aca="false">INDEX('API Data'!$B$2:$B$152,MATCH(B267,'API Data'!$A$2:$A$152,0))</f>
        <v>Anaesthesia – general anaesthesia induction/maintenance; ICU sedation</v>
      </c>
      <c r="E267" s="5" t="n">
        <f aca="false">COUNTIFS('Market Listing'!$A$2:$A$4054,B267,'Market Listing'!$B$2:$B$4054,C267)</f>
        <v>1</v>
      </c>
      <c r="F267" s="5" t="n">
        <f aca="false">COUNTIFS('Market Listing'!$A$2:$A$4054,B267,'Market Listing'!$B$2:$B$4054,C267,'Market Listing'!$D$2:$D$4054,"Tier 1")</f>
        <v>1</v>
      </c>
      <c r="G267" s="5" t="n">
        <f aca="false">COUNTIFS('Market Listing'!$A$2:$A$4054,B267,'Market Listing'!$B$2:$B$4054,C267,'Market Listing'!$D$2:$D$4054,"Tier 2")</f>
        <v>0</v>
      </c>
      <c r="H267" s="5" t="n">
        <f aca="false">COUNTIFS('Market Listing'!$A$2:$A$4054,B267,'Market Listing'!$B$2:$B$4054,C267,'Market Listing'!$D$2:$D$4054,"Tier 3")</f>
        <v>0</v>
      </c>
      <c r="I267" s="5" t="n">
        <f aca="false">SUMIFS('Market Listing'!$E$2:$E$4054,'Market Listing'!$A$2:$A$4054,B267,'Market Listing'!$B$2:$B$4054,C267)</f>
        <v>3</v>
      </c>
      <c r="J267" s="5" t="n">
        <f aca="false">COUNTIFS('Product Rows'!$A$2:$A$696,B267,'Product Rows'!$B$2:$B$696,C267)</f>
        <v>1</v>
      </c>
      <c r="K267" s="5" t="n">
        <f aca="false">COUNTIFS('Product Rows'!$A$2:$A$696,B267,'Product Rows'!$B$2:$B$696,C267,'Product Rows'!$G$2:$G$696,"Vial")</f>
        <v>1</v>
      </c>
      <c r="L267" s="5" t="n">
        <f aca="false">COUNTIFS('Product Rows'!$A$2:$A$696,B267,'Product Rows'!$B$2:$B$696,C267,'Product Rows'!$G$2:$G$696,"Ampoule")</f>
        <v>0</v>
      </c>
      <c r="M267" s="5" t="n">
        <f aca="false">COUNTIFS('Product Rows'!$A$2:$A$696,B267,'Product Rows'!$B$2:$B$696,C267,'Product Rows'!$G$2:$G$696,"Prefilled syringe/pen")</f>
        <v>0</v>
      </c>
      <c r="N267" s="6" t="n">
        <f aca="false">IFERROR(AVERAGEIFS('Product Rows'!$H$2:$H$696,'Product Rows'!$A$2:$A$696,B267,'Product Rows'!$B$2:$B$696,C267),"")</f>
        <v>6.44</v>
      </c>
      <c r="O267" s="7" t="n">
        <f aca="false">INDEX('API Data'!$E$2:$E$152,MATCH(B267,'API Data'!$A$2:$A$152,0))</f>
        <v>54624.8306407563</v>
      </c>
      <c r="P267" s="5" t="n">
        <f aca="false">COUNTIF($B$5:$B$337,B267)</f>
        <v>2</v>
      </c>
      <c r="Q267" s="8" t="n">
        <f aca="false">IF(ISNUMBER(I267),PERCENTRANK($I$5:$I$337,I267),"")</f>
        <v>0.157</v>
      </c>
      <c r="R267" s="8" t="n">
        <f aca="false">IF(ISNUMBER(N267),PERCENTRANK($N$5:$N$337,N267),"")</f>
        <v>0.0645</v>
      </c>
      <c r="S267" s="8" t="n">
        <f aca="false">IF(ISNUMBER(O267),PERCENTRANK($O$5:$O$337,O267),"")</f>
        <v>0.931</v>
      </c>
      <c r="T267" s="8" t="n">
        <f aca="false">IF(ISNUMBER(P267),PERCENTRANK($P$5:$P$337,P267),"")</f>
        <v>0.235</v>
      </c>
      <c r="U267" s="9" t="n">
        <f aca="false">IF((IF(ISNUMBER(Q267),Inputs!$B$4,0)+IF(ISNUMBER(R267),Inputs!$B$5,0)+IF(ISNUMBER(S267),Inputs!$B$6,0)+IF(ISNUMBER(T267),Inputs!$B$7,0))=0,"",(IF(ISNUMBER(Q267),Inputs!$B$4*Q267,0)+IF(ISNUMBER(R267),Inputs!$B$5*R267,0)+IF(ISNUMBER(S267),Inputs!$B$6*S267,0)+IF(ISNUMBER(T267),Inputs!$B$7*T267,0))/(IF(ISNUMBER(Q267),Inputs!$B$4,0)+IF(ISNUMBER(R267),Inputs!$B$5,0)+IF(ISNUMBER(S267),Inputs!$B$6,0)+IF(ISNUMBER(T267),Inputs!$B$7,0)))</f>
        <v>0.49775</v>
      </c>
      <c r="V267" s="5" t="str">
        <f aca="false">IF(F267&gt;0,"Yes","No")</f>
        <v>Yes</v>
      </c>
      <c r="W267" s="5" t="str">
        <f aca="false">IF(ISNUMBER(N267),IF(N267&gt;=Inputs!$D$18,"Yes","No"),"No price")</f>
        <v>Yes</v>
      </c>
      <c r="X267" s="5" t="str">
        <f aca="false">IF(K267+L267&gt;0,"Yes",IF(M267&gt;0,"No","Unclear"))</f>
        <v>Yes</v>
      </c>
      <c r="Y267" s="5" t="str">
        <f aca="false">INDEX('API Data'!$H$2:$H$152,MATCH(B267,'API Data'!$A$2:$A$152,0))</f>
        <v>No</v>
      </c>
      <c r="Z267" s="5" t="str">
        <f aca="false">IF(COUNTIFS('Product Rows'!$A$2:$A$696,B267,'Product Rows'!$B$2:$B$696,C267,'Product Rows'!$I$2:$I$696,"Yes")&gt;0,"Yes","No")</f>
        <v>No</v>
      </c>
      <c r="AA267" s="5" t="str">
        <f aca="false">IF(P267&gt;=Inputs!$D$22,"Yes","No")</f>
        <v>No</v>
      </c>
      <c r="AB267" s="10" t="b">
        <f aca="false">AND(OR(Inputs!$B$17&lt;&gt;"Exclude",V267="Yes"),OR(Inputs!$B$18&lt;&gt;"Exclude",W267&lt;&gt;"No"),OR(Inputs!$B$19&lt;&gt;"Exclude",X267&lt;&gt;"No"),OR(Inputs!$B$20&lt;&gt;"Exclude",Y267="No"),OR(Inputs!$B$21&lt;&gt;"Exclude",Z267="No"),OR(Inputs!$B$22&lt;&gt;"Exclude",AA267="Yes"),ISNUMBER(U267))</f>
        <v>1</v>
      </c>
      <c r="AC267" s="5" t="n">
        <f aca="false">IF(AB267,COUNTIFS($C$5:$C$337,C267,$AB$5:$AB$337,TRUE(),$U$5:$U$337,"&gt;"&amp;U267)+COUNTIFS($C$5:C267,C267,$AB$5:AB267,TRUE(),$U$5:U267,U267),"")</f>
        <v>12</v>
      </c>
      <c r="AD267" s="5" t="str">
        <f aca="false">IF(AC267="","Not eligible",IF(AC267&lt;=Inputs!$B$25,"Lead",IF(AC267&lt;=Inputs!$B$25+Inputs!$B$26,"Next wave","Long list")))</f>
        <v>Long list</v>
      </c>
      <c r="AE267" s="5" t="str">
        <f aca="false">IF(AND(K267+L267=0,M267&gt;0),"Safety upgrade of existing prefilled syringe",IF(K267+L267+M267=0,"Confirm presentation (not stated in source)",IF(AA267="Yes","Differentiation in crowded generic market","Safety-device mandate compliance")))</f>
        <v>Safety-device mandate compliance</v>
      </c>
      <c r="AF267" s="5" t="str">
        <f aca="false">IF(AC267="","",C267&amp;"|"&amp;AC267)</f>
        <v>Emcure Pharmaceuticals|12</v>
      </c>
    </row>
    <row r="268" customFormat="false" ht="15" hidden="false" customHeight="false" outlineLevel="0" collapsed="false">
      <c r="A268" s="5" t="n">
        <f aca="false">IF(ISNUMBER(U268),RANK(U268,$U$5:$U$337),"")</f>
        <v>4</v>
      </c>
      <c r="B268" s="5" t="s">
        <v>172</v>
      </c>
      <c r="C268" s="5" t="s">
        <v>57</v>
      </c>
      <c r="D268" s="5" t="str">
        <f aca="false">INDEX('API Data'!$B$2:$B$152,MATCH(B268,'API Data'!$A$2:$A$152,0))</f>
        <v>Anaesthesia – general anaesthesia induction/maintenance; ICU sedation</v>
      </c>
      <c r="E268" s="5" t="n">
        <f aca="false">COUNTIFS('Market Listing'!$A$2:$A$4054,B268,'Market Listing'!$B$2:$B$4054,C268)</f>
        <v>1</v>
      </c>
      <c r="F268" s="5" t="n">
        <f aca="false">COUNTIFS('Market Listing'!$A$2:$A$4054,B268,'Market Listing'!$B$2:$B$4054,C268,'Market Listing'!$D$2:$D$4054,"Tier 1")</f>
        <v>1</v>
      </c>
      <c r="G268" s="5" t="n">
        <f aca="false">COUNTIFS('Market Listing'!$A$2:$A$4054,B268,'Market Listing'!$B$2:$B$4054,C268,'Market Listing'!$D$2:$D$4054,"Tier 2")</f>
        <v>0</v>
      </c>
      <c r="H268" s="5" t="n">
        <f aca="false">COUNTIFS('Market Listing'!$A$2:$A$4054,B268,'Market Listing'!$B$2:$B$4054,C268,'Market Listing'!$D$2:$D$4054,"Tier 3")</f>
        <v>0</v>
      </c>
      <c r="I268" s="5" t="n">
        <f aca="false">SUMIFS('Market Listing'!$E$2:$E$4054,'Market Listing'!$A$2:$A$4054,B268,'Market Listing'!$B$2:$B$4054,C268)</f>
        <v>3</v>
      </c>
      <c r="J268" s="5" t="n">
        <f aca="false">COUNTIFS('Product Rows'!$A$2:$A$696,B268,'Product Rows'!$B$2:$B$696,C268)</f>
        <v>1</v>
      </c>
      <c r="K268" s="5" t="n">
        <f aca="false">COUNTIFS('Product Rows'!$A$2:$A$696,B268,'Product Rows'!$B$2:$B$696,C268,'Product Rows'!$G$2:$G$696,"Vial")</f>
        <v>0</v>
      </c>
      <c r="L268" s="5" t="n">
        <f aca="false">COUNTIFS('Product Rows'!$A$2:$A$696,B268,'Product Rows'!$B$2:$B$696,C268,'Product Rows'!$G$2:$G$696,"Ampoule")</f>
        <v>0</v>
      </c>
      <c r="M268" s="5" t="n">
        <f aca="false">COUNTIFS('Product Rows'!$A$2:$A$696,B268,'Product Rows'!$B$2:$B$696,C268,'Product Rows'!$G$2:$G$696,"Prefilled syringe/pen")</f>
        <v>0</v>
      </c>
      <c r="N268" s="6" t="str">
        <f aca="false">IFERROR(AVERAGEIFS('Product Rows'!$H$2:$H$696,'Product Rows'!$A$2:$A$696,B268,'Product Rows'!$B$2:$B$696,C268),"")</f>
        <v/>
      </c>
      <c r="O268" s="7" t="n">
        <f aca="false">INDEX('API Data'!$E$2:$E$152,MATCH(B268,'API Data'!$A$2:$A$152,0))</f>
        <v>54624.8306407563</v>
      </c>
      <c r="P268" s="5" t="n">
        <f aca="false">COUNTIF($B$5:$B$337,B268)</f>
        <v>2</v>
      </c>
      <c r="Q268" s="8" t="n">
        <f aca="false">IF(ISNUMBER(I268),PERCENTRANK($I$5:$I$337,I268),"")</f>
        <v>0.157</v>
      </c>
      <c r="R268" s="8" t="str">
        <f aca="false">IF(ISNUMBER(N268),PERCENTRANK($N$5:$N$337,N268),"")</f>
        <v/>
      </c>
      <c r="S268" s="8" t="n">
        <f aca="false">IF(ISNUMBER(O268),PERCENTRANK($O$5:$O$337,O268),"")</f>
        <v>0.931</v>
      </c>
      <c r="T268" s="8" t="n">
        <f aca="false">IF(ISNUMBER(P268),PERCENTRANK($P$5:$P$337,P268),"")</f>
        <v>0.235</v>
      </c>
      <c r="U268" s="9" t="n">
        <f aca="false">IF((IF(ISNUMBER(Q268),Inputs!$B$4,0)+IF(ISNUMBER(R268),Inputs!$B$5,0)+IF(ISNUMBER(S268),Inputs!$B$6,0)+IF(ISNUMBER(T268),Inputs!$B$7,0))=0,"",(IF(ISNUMBER(Q268),Inputs!$B$4*Q268,0)+IF(ISNUMBER(R268),Inputs!$B$5*R268,0)+IF(ISNUMBER(S268),Inputs!$B$6*S268,0)+IF(ISNUMBER(T268),Inputs!$B$7*T268,0))/(IF(ISNUMBER(Q268),Inputs!$B$4,0)+IF(ISNUMBER(R268),Inputs!$B$5,0)+IF(ISNUMBER(S268),Inputs!$B$6,0)+IF(ISNUMBER(T268),Inputs!$B$7,0)))</f>
        <v>0.931</v>
      </c>
      <c r="V268" s="5" t="str">
        <f aca="false">IF(F268&gt;0,"Yes","No")</f>
        <v>Yes</v>
      </c>
      <c r="W268" s="5" t="str">
        <f aca="false">IF(ISNUMBER(N268),IF(N268&gt;=Inputs!$D$18,"Yes","No"),"No price")</f>
        <v>No price</v>
      </c>
      <c r="X268" s="5" t="str">
        <f aca="false">IF(K268+L268&gt;0,"Yes",IF(M268&gt;0,"No","Unclear"))</f>
        <v>Unclear</v>
      </c>
      <c r="Y268" s="5" t="str">
        <f aca="false">INDEX('API Data'!$H$2:$H$152,MATCH(B268,'API Data'!$A$2:$A$152,0))</f>
        <v>No</v>
      </c>
      <c r="Z268" s="5" t="str">
        <f aca="false">IF(COUNTIFS('Product Rows'!$A$2:$A$696,B268,'Product Rows'!$B$2:$B$696,C268,'Product Rows'!$I$2:$I$696,"Yes")&gt;0,"Yes","No")</f>
        <v>No</v>
      </c>
      <c r="AA268" s="5" t="str">
        <f aca="false">IF(P268&gt;=Inputs!$D$22,"Yes","No")</f>
        <v>No</v>
      </c>
      <c r="AB268" s="10" t="b">
        <f aca="false">AND(OR(Inputs!$B$17&lt;&gt;"Exclude",V268="Yes"),OR(Inputs!$B$18&lt;&gt;"Exclude",W268&lt;&gt;"No"),OR(Inputs!$B$19&lt;&gt;"Exclude",X268&lt;&gt;"No"),OR(Inputs!$B$20&lt;&gt;"Exclude",Y268="No"),OR(Inputs!$B$21&lt;&gt;"Exclude",Z268="No"),OR(Inputs!$B$22&lt;&gt;"Exclude",AA268="Yes"),ISNUMBER(U268))</f>
        <v>1</v>
      </c>
      <c r="AC268" s="5" t="n">
        <f aca="false">IF(AB268,COUNTIFS($C$5:$C$337,C268,$AB$5:$AB$337,TRUE(),$U$5:$U$337,"&gt;"&amp;U268)+COUNTIFS($C$5:C268,C268,$AB$5:AB268,TRUE(),$U$5:U268,U268),"")</f>
        <v>1</v>
      </c>
      <c r="AD268" s="5" t="str">
        <f aca="false">IF(AC268="","Not eligible",IF(AC268&lt;=Inputs!$B$25,"Lead",IF(AC268&lt;=Inputs!$B$25+Inputs!$B$26,"Next wave","Long list")))</f>
        <v>Lead</v>
      </c>
      <c r="AE268" s="5" t="str">
        <f aca="false">IF(AND(K268+L268=0,M268&gt;0),"Safety upgrade of existing prefilled syringe",IF(K268+L268+M268=0,"Confirm presentation (not stated in source)",IF(AA268="Yes","Differentiation in crowded generic market","Safety-device mandate compliance")))</f>
        <v>Confirm presentation (not stated in source)</v>
      </c>
      <c r="AF268" s="5" t="str">
        <f aca="false">IF(AC268="","",C268&amp;"|"&amp;AC268)</f>
        <v>Hetero Labs|1</v>
      </c>
    </row>
    <row r="269" customFormat="false" ht="15" hidden="false" customHeight="false" outlineLevel="0" collapsed="false">
      <c r="A269" s="5" t="n">
        <f aca="false">IF(ISNUMBER(U269),RANK(U269,$U$5:$U$337),"")</f>
        <v>295</v>
      </c>
      <c r="B269" s="5" t="s">
        <v>173</v>
      </c>
      <c r="C269" s="5" t="s">
        <v>38</v>
      </c>
      <c r="D269" s="5" t="str">
        <f aca="false">INDEX('API Data'!$B$2:$B$152,MATCH(B269,'API Data'!$A$2:$A$152,0))</f>
        <v>Haematology – heparin reversal (cardiac surgery)</v>
      </c>
      <c r="E269" s="5" t="n">
        <f aca="false">COUNTIFS('Market Listing'!$A$2:$A$4054,B269,'Market Listing'!$B$2:$B$4054,C269)</f>
        <v>28</v>
      </c>
      <c r="F269" s="5" t="n">
        <f aca="false">COUNTIFS('Market Listing'!$A$2:$A$4054,B269,'Market Listing'!$B$2:$B$4054,C269,'Market Listing'!$D$2:$D$4054,"Tier 1")</f>
        <v>6</v>
      </c>
      <c r="G269" s="5" t="n">
        <f aca="false">COUNTIFS('Market Listing'!$A$2:$A$4054,B269,'Market Listing'!$B$2:$B$4054,C269,'Market Listing'!$D$2:$D$4054,"Tier 2")</f>
        <v>3</v>
      </c>
      <c r="H269" s="5" t="n">
        <f aca="false">COUNTIFS('Market Listing'!$A$2:$A$4054,B269,'Market Listing'!$B$2:$B$4054,C269,'Market Listing'!$D$2:$D$4054,"Tier 3")</f>
        <v>19</v>
      </c>
      <c r="I269" s="5" t="n">
        <f aca="false">SUMIFS('Market Listing'!$E$2:$E$4054,'Market Listing'!$A$2:$A$4054,B269,'Market Listing'!$B$2:$B$4054,C269)</f>
        <v>43</v>
      </c>
      <c r="J269" s="5" t="n">
        <f aca="false">COUNTIFS('Product Rows'!$A$2:$A$696,B269,'Product Rows'!$B$2:$B$696,C269)</f>
        <v>2</v>
      </c>
      <c r="K269" s="5" t="n">
        <f aca="false">COUNTIFS('Product Rows'!$A$2:$A$696,B269,'Product Rows'!$B$2:$B$696,C269,'Product Rows'!$G$2:$G$696,"Vial")</f>
        <v>0</v>
      </c>
      <c r="L269" s="5" t="n">
        <f aca="false">COUNTIFS('Product Rows'!$A$2:$A$696,B269,'Product Rows'!$B$2:$B$696,C269,'Product Rows'!$G$2:$G$696,"Ampoule")</f>
        <v>2</v>
      </c>
      <c r="M269" s="5" t="n">
        <f aca="false">COUNTIFS('Product Rows'!$A$2:$A$696,B269,'Product Rows'!$B$2:$B$696,C269,'Product Rows'!$G$2:$G$696,"Prefilled syringe/pen")</f>
        <v>0</v>
      </c>
      <c r="N269" s="6" t="n">
        <f aca="false">IFERROR(AVERAGEIFS('Product Rows'!$H$2:$H$696,'Product Rows'!$A$2:$A$696,B269,'Product Rows'!$B$2:$B$696,C269),"")</f>
        <v>17.4376</v>
      </c>
      <c r="O269" s="7" t="n">
        <f aca="false">INDEX('API Data'!$E$2:$E$152,MATCH(B269,'API Data'!$A$2:$A$152,0))</f>
        <v>1008.28285714286</v>
      </c>
      <c r="P269" s="5" t="n">
        <f aca="false">COUNTIF($B$5:$B$337,B269)</f>
        <v>1</v>
      </c>
      <c r="Q269" s="8" t="n">
        <f aca="false">IF(ISNUMBER(I269),PERCENTRANK($I$5:$I$337,I269),"")</f>
        <v>0.75</v>
      </c>
      <c r="R269" s="8" t="n">
        <f aca="false">IF(ISNUMBER(N269),PERCENTRANK($N$5:$N$337,N269),"")</f>
        <v>0.33</v>
      </c>
      <c r="S269" s="8" t="n">
        <f aca="false">IF(ISNUMBER(O269),PERCENTRANK($O$5:$O$337,O269),"")</f>
        <v>0.148</v>
      </c>
      <c r="T269" s="8" t="n">
        <f aca="false">IF(ISNUMBER(P269),PERCENTRANK($P$5:$P$337,P269),"")</f>
        <v>0</v>
      </c>
      <c r="U269" s="9" t="n">
        <f aca="false">IF((IF(ISNUMBER(Q269),Inputs!$B$4,0)+IF(ISNUMBER(R269),Inputs!$B$5,0)+IF(ISNUMBER(S269),Inputs!$B$6,0)+IF(ISNUMBER(T269),Inputs!$B$7,0))=0,"",(IF(ISNUMBER(Q269),Inputs!$B$4*Q269,0)+IF(ISNUMBER(R269),Inputs!$B$5*R269,0)+IF(ISNUMBER(S269),Inputs!$B$6*S269,0)+IF(ISNUMBER(T269),Inputs!$B$7*T269,0))/(IF(ISNUMBER(Q269),Inputs!$B$4,0)+IF(ISNUMBER(R269),Inputs!$B$5,0)+IF(ISNUMBER(S269),Inputs!$B$6,0)+IF(ISNUMBER(T269),Inputs!$B$7,0)))</f>
        <v>0.239</v>
      </c>
      <c r="V269" s="5" t="str">
        <f aca="false">IF(F269&gt;0,"Yes","No")</f>
        <v>Yes</v>
      </c>
      <c r="W269" s="5" t="str">
        <f aca="false">IF(ISNUMBER(N269),IF(N269&gt;=Inputs!$D$18,"Yes","No"),"No price")</f>
        <v>Yes</v>
      </c>
      <c r="X269" s="5" t="str">
        <f aca="false">IF(K269+L269&gt;0,"Yes",IF(M269&gt;0,"No","Unclear"))</f>
        <v>Yes</v>
      </c>
      <c r="Y269" s="5" t="str">
        <f aca="false">INDEX('API Data'!$H$2:$H$152,MATCH(B269,'API Data'!$A$2:$A$152,0))</f>
        <v>No</v>
      </c>
      <c r="Z269" s="5" t="str">
        <f aca="false">IF(COUNTIFS('Product Rows'!$A$2:$A$696,B269,'Product Rows'!$B$2:$B$696,C269,'Product Rows'!$I$2:$I$696,"Yes")&gt;0,"Yes","No")</f>
        <v>No</v>
      </c>
      <c r="AA269" s="5" t="str">
        <f aca="false">IF(P269&gt;=Inputs!$D$22,"Yes","No")</f>
        <v>No</v>
      </c>
      <c r="AB269" s="10" t="b">
        <f aca="false">AND(OR(Inputs!$B$17&lt;&gt;"Exclude",V269="Yes"),OR(Inputs!$B$18&lt;&gt;"Exclude",W269&lt;&gt;"No"),OR(Inputs!$B$19&lt;&gt;"Exclude",X269&lt;&gt;"No"),OR(Inputs!$B$20&lt;&gt;"Exclude",Y269="No"),OR(Inputs!$B$21&lt;&gt;"Exclude",Z269="No"),OR(Inputs!$B$22&lt;&gt;"Exclude",AA269="Yes"),ISNUMBER(U269))</f>
        <v>1</v>
      </c>
      <c r="AC269" s="5" t="n">
        <f aca="false">IF(AB269,COUNTIFS($C$5:$C$337,C269,$AB$5:$AB$337,TRUE(),$U$5:$U$337,"&gt;"&amp;U269)+COUNTIFS($C$5:C269,C269,$AB$5:AB269,TRUE(),$U$5:U269,U269),"")</f>
        <v>14</v>
      </c>
      <c r="AD269" s="5" t="str">
        <f aca="false">IF(AC269="","Not eligible",IF(AC269&lt;=Inputs!$B$25,"Lead",IF(AC269&lt;=Inputs!$B$25+Inputs!$B$26,"Next wave","Long list")))</f>
        <v>Long list</v>
      </c>
      <c r="AE269" s="5" t="str">
        <f aca="false">IF(AND(K269+L269=0,M269&gt;0),"Safety upgrade of existing prefilled syringe",IF(K269+L269+M269=0,"Confirm presentation (not stated in source)",IF(AA269="Yes","Differentiation in crowded generic market","Safety-device mandate compliance")))</f>
        <v>Safety-device mandate compliance</v>
      </c>
      <c r="AF269" s="5" t="str">
        <f aca="false">IF(AC269="","",C269&amp;"|"&amp;AC269)</f>
        <v>Wockhardt|14</v>
      </c>
    </row>
    <row r="270" customFormat="false" ht="15" hidden="false" customHeight="false" outlineLevel="0" collapsed="false">
      <c r="A270" s="5" t="n">
        <f aca="false">IF(ISNUMBER(U270),RANK(U270,$U$5:$U$337),"")</f>
        <v>127</v>
      </c>
      <c r="B270" s="5" t="s">
        <v>174</v>
      </c>
      <c r="C270" s="5" t="s">
        <v>44</v>
      </c>
      <c r="D270" s="5" t="str">
        <f aca="false">INDEX('API Data'!$B$2:$B$152,MATCH(B270,'API Data'!$A$2:$A$152,0))</f>
        <v>Ophthalmic – wet AMD, diabetic macular oedema, retinal vein occlusion</v>
      </c>
      <c r="E270" s="5" t="n">
        <f aca="false">COUNTIFS('Market Listing'!$A$2:$A$4054,B270,'Market Listing'!$B$2:$B$4054,C270)</f>
        <v>1</v>
      </c>
      <c r="F270" s="5" t="n">
        <f aca="false">COUNTIFS('Market Listing'!$A$2:$A$4054,B270,'Market Listing'!$B$2:$B$4054,C270,'Market Listing'!$D$2:$D$4054,"Tier 1")</f>
        <v>1</v>
      </c>
      <c r="G270" s="5" t="n">
        <f aca="false">COUNTIFS('Market Listing'!$A$2:$A$4054,B270,'Market Listing'!$B$2:$B$4054,C270,'Market Listing'!$D$2:$D$4054,"Tier 2")</f>
        <v>0</v>
      </c>
      <c r="H270" s="5" t="n">
        <f aca="false">COUNTIFS('Market Listing'!$A$2:$A$4054,B270,'Market Listing'!$B$2:$B$4054,C270,'Market Listing'!$D$2:$D$4054,"Tier 3")</f>
        <v>0</v>
      </c>
      <c r="I270" s="5" t="n">
        <f aca="false">SUMIFS('Market Listing'!$E$2:$E$4054,'Market Listing'!$A$2:$A$4054,B270,'Market Listing'!$B$2:$B$4054,C270)</f>
        <v>3</v>
      </c>
      <c r="J270" s="5" t="n">
        <f aca="false">COUNTIFS('Product Rows'!$A$2:$A$696,B270,'Product Rows'!$B$2:$B$696,C270)</f>
        <v>1</v>
      </c>
      <c r="K270" s="5" t="n">
        <f aca="false">COUNTIFS('Product Rows'!$A$2:$A$696,B270,'Product Rows'!$B$2:$B$696,C270,'Product Rows'!$G$2:$G$696,"Vial")</f>
        <v>1</v>
      </c>
      <c r="L270" s="5" t="n">
        <f aca="false">COUNTIFS('Product Rows'!$A$2:$A$696,B270,'Product Rows'!$B$2:$B$696,C270,'Product Rows'!$G$2:$G$696,"Ampoule")</f>
        <v>0</v>
      </c>
      <c r="M270" s="5" t="n">
        <f aca="false">COUNTIFS('Product Rows'!$A$2:$A$696,B270,'Product Rows'!$B$2:$B$696,C270,'Product Rows'!$G$2:$G$696,"Prefilled syringe/pen")</f>
        <v>0</v>
      </c>
      <c r="N270" s="6" t="n">
        <f aca="false">IFERROR(AVERAGEIFS('Product Rows'!$H$2:$H$696,'Product Rows'!$A$2:$A$696,B270,'Product Rows'!$B$2:$B$696,C270),"")</f>
        <v>655.58</v>
      </c>
      <c r="O270" s="7" t="n">
        <f aca="false">INDEX('API Data'!$E$2:$E$152,MATCH(B270,'API Data'!$A$2:$A$152,0))</f>
        <v>843.51</v>
      </c>
      <c r="P270" s="5" t="n">
        <f aca="false">COUNTIF($B$5:$B$337,B270)</f>
        <v>1</v>
      </c>
      <c r="Q270" s="8" t="n">
        <f aca="false">IF(ISNUMBER(I270),PERCENTRANK($I$5:$I$337,I270),"")</f>
        <v>0.157</v>
      </c>
      <c r="R270" s="8" t="n">
        <f aca="false">IF(ISNUMBER(N270),PERCENTRANK($N$5:$N$337,N270),"")</f>
        <v>0.957</v>
      </c>
      <c r="S270" s="8" t="n">
        <f aca="false">IF(ISNUMBER(O270),PERCENTRANK($O$5:$O$337,O270),"")</f>
        <v>0.145</v>
      </c>
      <c r="T270" s="8" t="n">
        <f aca="false">IF(ISNUMBER(P270),PERCENTRANK($P$5:$P$337,P270),"")</f>
        <v>0</v>
      </c>
      <c r="U270" s="9" t="n">
        <f aca="false">IF((IF(ISNUMBER(Q270),Inputs!$B$4,0)+IF(ISNUMBER(R270),Inputs!$B$5,0)+IF(ISNUMBER(S270),Inputs!$B$6,0)+IF(ISNUMBER(T270),Inputs!$B$7,0))=0,"",(IF(ISNUMBER(Q270),Inputs!$B$4*Q270,0)+IF(ISNUMBER(R270),Inputs!$B$5*R270,0)+IF(ISNUMBER(S270),Inputs!$B$6*S270,0)+IF(ISNUMBER(T270),Inputs!$B$7*T270,0))/(IF(ISNUMBER(Q270),Inputs!$B$4,0)+IF(ISNUMBER(R270),Inputs!$B$5,0)+IF(ISNUMBER(S270),Inputs!$B$6,0)+IF(ISNUMBER(T270),Inputs!$B$7,0)))</f>
        <v>0.551</v>
      </c>
      <c r="V270" s="5" t="str">
        <f aca="false">IF(F270&gt;0,"Yes","No")</f>
        <v>Yes</v>
      </c>
      <c r="W270" s="5" t="str">
        <f aca="false">IF(ISNUMBER(N270),IF(N270&gt;=Inputs!$D$18,"Yes","No"),"No price")</f>
        <v>Yes</v>
      </c>
      <c r="X270" s="5" t="str">
        <f aca="false">IF(K270+L270&gt;0,"Yes",IF(M270&gt;0,"No","Unclear"))</f>
        <v>Yes</v>
      </c>
      <c r="Y270" s="5" t="str">
        <f aca="false">INDEX('API Data'!$H$2:$H$152,MATCH(B270,'API Data'!$A$2:$A$152,0))</f>
        <v>No</v>
      </c>
      <c r="Z270" s="5" t="str">
        <f aca="false">IF(COUNTIFS('Product Rows'!$A$2:$A$696,B270,'Product Rows'!$B$2:$B$696,C270,'Product Rows'!$I$2:$I$696,"Yes")&gt;0,"Yes","No")</f>
        <v>No</v>
      </c>
      <c r="AA270" s="5" t="str">
        <f aca="false">IF(P270&gt;=Inputs!$D$22,"Yes","No")</f>
        <v>No</v>
      </c>
      <c r="AB270" s="10" t="b">
        <f aca="false">AND(OR(Inputs!$B$17&lt;&gt;"Exclude",V270="Yes"),OR(Inputs!$B$18&lt;&gt;"Exclude",W270&lt;&gt;"No"),OR(Inputs!$B$19&lt;&gt;"Exclude",X270&lt;&gt;"No"),OR(Inputs!$B$20&lt;&gt;"Exclude",Y270="No"),OR(Inputs!$B$21&lt;&gt;"Exclude",Z270="No"),OR(Inputs!$B$22&lt;&gt;"Exclude",AA270="Yes"),ISNUMBER(U270))</f>
        <v>1</v>
      </c>
      <c r="AC270" s="5" t="n">
        <f aca="false">IF(AB270,COUNTIFS($C$5:$C$337,C270,$AB$5:$AB$337,TRUE(),$U$5:$U$337,"&gt;"&amp;U270)+COUNTIFS($C$5:C270,C270,$AB$5:AB270,TRUE(),$U$5:U270,U270),"")</f>
        <v>25</v>
      </c>
      <c r="AD270" s="5" t="str">
        <f aca="false">IF(AC270="","Not eligible",IF(AC270&lt;=Inputs!$B$25,"Lead",IF(AC270&lt;=Inputs!$B$25+Inputs!$B$26,"Next wave","Long list")))</f>
        <v>Long list</v>
      </c>
      <c r="AE270" s="5" t="str">
        <f aca="false">IF(AND(K270+L270=0,M270&gt;0),"Safety upgrade of existing prefilled syringe",IF(K270+L270+M270=0,"Confirm presentation (not stated in source)",IF(AA270="Yes","Differentiation in crowded generic market","Safety-device mandate compliance")))</f>
        <v>Safety-device mandate compliance</v>
      </c>
      <c r="AF270" s="5" t="str">
        <f aca="false">IF(AC270="","",C270&amp;"|"&amp;AC270)</f>
        <v>Intas Pharmaceuticals|25</v>
      </c>
    </row>
    <row r="271" customFormat="false" ht="15" hidden="false" customHeight="false" outlineLevel="0" collapsed="false">
      <c r="A271" s="5" t="n">
        <f aca="false">IF(ISNUMBER(U271),RANK(U271,$U$5:$U$337),"")</f>
        <v>314</v>
      </c>
      <c r="B271" s="5" t="s">
        <v>175</v>
      </c>
      <c r="C271" s="5" t="s">
        <v>47</v>
      </c>
      <c r="D271" s="5" t="str">
        <f aca="false">INDEX('API Data'!$B$2:$B$152,MATCH(B271,'API Data'!$A$2:$A$152,0))</f>
        <v>Diagnostics / Cardiovascular – cardiac stress imaging agent</v>
      </c>
      <c r="E271" s="5" t="n">
        <f aca="false">COUNTIFS('Market Listing'!$A$2:$A$4054,B271,'Market Listing'!$B$2:$B$4054,C271)</f>
        <v>1</v>
      </c>
      <c r="F271" s="5" t="n">
        <f aca="false">COUNTIFS('Market Listing'!$A$2:$A$4054,B271,'Market Listing'!$B$2:$B$4054,C271,'Market Listing'!$D$2:$D$4054,"Tier 1")</f>
        <v>1</v>
      </c>
      <c r="G271" s="5" t="n">
        <f aca="false">COUNTIFS('Market Listing'!$A$2:$A$4054,B271,'Market Listing'!$B$2:$B$4054,C271,'Market Listing'!$D$2:$D$4054,"Tier 2")</f>
        <v>0</v>
      </c>
      <c r="H271" s="5" t="n">
        <f aca="false">COUNTIFS('Market Listing'!$A$2:$A$4054,B271,'Market Listing'!$B$2:$B$4054,C271,'Market Listing'!$D$2:$D$4054,"Tier 3")</f>
        <v>0</v>
      </c>
      <c r="I271" s="5" t="n">
        <f aca="false">SUMIFS('Market Listing'!$E$2:$E$4054,'Market Listing'!$A$2:$A$4054,B271,'Market Listing'!$B$2:$B$4054,C271)</f>
        <v>3</v>
      </c>
      <c r="J271" s="5" t="n">
        <f aca="false">COUNTIFS('Product Rows'!$A$2:$A$696,B271,'Product Rows'!$B$2:$B$696,C271)</f>
        <v>1</v>
      </c>
      <c r="K271" s="5" t="n">
        <f aca="false">COUNTIFS('Product Rows'!$A$2:$A$696,B271,'Product Rows'!$B$2:$B$696,C271,'Product Rows'!$G$2:$G$696,"Vial")</f>
        <v>0</v>
      </c>
      <c r="L271" s="5" t="n">
        <f aca="false">COUNTIFS('Product Rows'!$A$2:$A$696,B271,'Product Rows'!$B$2:$B$696,C271,'Product Rows'!$G$2:$G$696,"Ampoule")</f>
        <v>0</v>
      </c>
      <c r="M271" s="5" t="n">
        <f aca="false">COUNTIFS('Product Rows'!$A$2:$A$696,B271,'Product Rows'!$B$2:$B$696,C271,'Product Rows'!$G$2:$G$696,"Prefilled syringe/pen")</f>
        <v>1</v>
      </c>
      <c r="N271" s="6" t="str">
        <f aca="false">IFERROR(AVERAGEIFS('Product Rows'!$H$2:$H$696,'Product Rows'!$A$2:$A$696,B271,'Product Rows'!$B$2:$B$696,C271),"")</f>
        <v/>
      </c>
      <c r="O271" s="7" t="n">
        <f aca="false">INDEX('API Data'!$E$2:$E$152,MATCH(B271,'API Data'!$A$2:$A$152,0))</f>
        <v>1127.64</v>
      </c>
      <c r="P271" s="5" t="n">
        <f aca="false">COUNTIF($B$5:$B$337,B271)</f>
        <v>3</v>
      </c>
      <c r="Q271" s="8" t="n">
        <f aca="false">IF(ISNUMBER(I271),PERCENTRANK($I$5:$I$337,I271),"")</f>
        <v>0.157</v>
      </c>
      <c r="R271" s="8" t="str">
        <f aca="false">IF(ISNUMBER(N271),PERCENTRANK($N$5:$N$337,N271),"")</f>
        <v/>
      </c>
      <c r="S271" s="8" t="n">
        <f aca="false">IF(ISNUMBER(O271),PERCENTRANK($O$5:$O$337,O271),"")</f>
        <v>0.163</v>
      </c>
      <c r="T271" s="8" t="n">
        <f aca="false">IF(ISNUMBER(P271),PERCENTRANK($P$5:$P$337,P271),"")</f>
        <v>0.416</v>
      </c>
      <c r="U271" s="9" t="n">
        <f aca="false">IF((IF(ISNUMBER(Q271),Inputs!$B$4,0)+IF(ISNUMBER(R271),Inputs!$B$5,0)+IF(ISNUMBER(S271),Inputs!$B$6,0)+IF(ISNUMBER(T271),Inputs!$B$7,0))=0,"",(IF(ISNUMBER(Q271),Inputs!$B$4*Q271,0)+IF(ISNUMBER(R271),Inputs!$B$5*R271,0)+IF(ISNUMBER(S271),Inputs!$B$6*S271,0)+IF(ISNUMBER(T271),Inputs!$B$7*T271,0))/(IF(ISNUMBER(Q271),Inputs!$B$4,0)+IF(ISNUMBER(R271),Inputs!$B$5,0)+IF(ISNUMBER(S271),Inputs!$B$6,0)+IF(ISNUMBER(T271),Inputs!$B$7,0)))</f>
        <v>0.163</v>
      </c>
      <c r="V271" s="5" t="str">
        <f aca="false">IF(F271&gt;0,"Yes","No")</f>
        <v>Yes</v>
      </c>
      <c r="W271" s="5" t="str">
        <f aca="false">IF(ISNUMBER(N271),IF(N271&gt;=Inputs!$D$18,"Yes","No"),"No price")</f>
        <v>No price</v>
      </c>
      <c r="X271" s="5" t="str">
        <f aca="false">IF(K271+L271&gt;0,"Yes",IF(M271&gt;0,"No","Unclear"))</f>
        <v>No</v>
      </c>
      <c r="Y271" s="5" t="str">
        <f aca="false">INDEX('API Data'!$H$2:$H$152,MATCH(B271,'API Data'!$A$2:$A$152,0))</f>
        <v>No</v>
      </c>
      <c r="Z271" s="5" t="str">
        <f aca="false">IF(COUNTIFS('Product Rows'!$A$2:$A$696,B271,'Product Rows'!$B$2:$B$696,C271,'Product Rows'!$I$2:$I$696,"Yes")&gt;0,"Yes","No")</f>
        <v>No</v>
      </c>
      <c r="AA271" s="5" t="str">
        <f aca="false">IF(P271&gt;=Inputs!$D$22,"Yes","No")</f>
        <v>Yes</v>
      </c>
      <c r="AB271" s="10" t="b">
        <f aca="false">AND(OR(Inputs!$B$17&lt;&gt;"Exclude",V271="Yes"),OR(Inputs!$B$18&lt;&gt;"Exclude",W271&lt;&gt;"No"),OR(Inputs!$B$19&lt;&gt;"Exclude",X271&lt;&gt;"No"),OR(Inputs!$B$20&lt;&gt;"Exclude",Y271="No"),OR(Inputs!$B$21&lt;&gt;"Exclude",Z271="No"),OR(Inputs!$B$22&lt;&gt;"Exclude",AA271="Yes"),ISNUMBER(U271))</f>
        <v>1</v>
      </c>
      <c r="AC271" s="5" t="n">
        <f aca="false">IF(AB271,COUNTIFS($C$5:$C$337,C271,$AB$5:$AB$337,TRUE(),$U$5:$U$337,"&gt;"&amp;U271)+COUNTIFS($C$5:C271,C271,$AB$5:AB271,TRUE(),$U$5:U271,U271),"")</f>
        <v>48</v>
      </c>
      <c r="AD271" s="5" t="str">
        <f aca="false">IF(AC271="","Not eligible",IF(AC271&lt;=Inputs!$B$25,"Lead",IF(AC271&lt;=Inputs!$B$25+Inputs!$B$26,"Next wave","Long list")))</f>
        <v>Long list</v>
      </c>
      <c r="AE271" s="5" t="str">
        <f aca="false">IF(AND(K271+L271=0,M271&gt;0),"Safety upgrade of existing prefilled syringe",IF(K271+L271+M271=0,"Confirm presentation (not stated in source)",IF(AA271="Yes","Differentiation in crowded generic market","Safety-device mandate compliance")))</f>
        <v>Safety upgrade of existing prefilled syringe</v>
      </c>
      <c r="AF271" s="5" t="str">
        <f aca="false">IF(AC271="","",C271&amp;"|"&amp;AC271)</f>
        <v>Aurobindo Pharma|48</v>
      </c>
    </row>
    <row r="272" customFormat="false" ht="15" hidden="false" customHeight="false" outlineLevel="0" collapsed="false">
      <c r="A272" s="5" t="n">
        <f aca="false">IF(ISNUMBER(U272),RANK(U272,$U$5:$U$337),"")</f>
        <v>314</v>
      </c>
      <c r="B272" s="5" t="s">
        <v>175</v>
      </c>
      <c r="C272" s="5" t="s">
        <v>55</v>
      </c>
      <c r="D272" s="5" t="str">
        <f aca="false">INDEX('API Data'!$B$2:$B$152,MATCH(B272,'API Data'!$A$2:$A$152,0))</f>
        <v>Diagnostics / Cardiovascular – cardiac stress imaging agent</v>
      </c>
      <c r="E272" s="5" t="n">
        <f aca="false">COUNTIFS('Market Listing'!$A$2:$A$4054,B272,'Market Listing'!$B$2:$B$4054,C272)</f>
        <v>1</v>
      </c>
      <c r="F272" s="5" t="n">
        <f aca="false">COUNTIFS('Market Listing'!$A$2:$A$4054,B272,'Market Listing'!$B$2:$B$4054,C272,'Market Listing'!$D$2:$D$4054,"Tier 1")</f>
        <v>1</v>
      </c>
      <c r="G272" s="5" t="n">
        <f aca="false">COUNTIFS('Market Listing'!$A$2:$A$4054,B272,'Market Listing'!$B$2:$B$4054,C272,'Market Listing'!$D$2:$D$4054,"Tier 2")</f>
        <v>0</v>
      </c>
      <c r="H272" s="5" t="n">
        <f aca="false">COUNTIFS('Market Listing'!$A$2:$A$4054,B272,'Market Listing'!$B$2:$B$4054,C272,'Market Listing'!$D$2:$D$4054,"Tier 3")</f>
        <v>0</v>
      </c>
      <c r="I272" s="5" t="n">
        <f aca="false">SUMIFS('Market Listing'!$E$2:$E$4054,'Market Listing'!$A$2:$A$4054,B272,'Market Listing'!$B$2:$B$4054,C272)</f>
        <v>3</v>
      </c>
      <c r="J272" s="5" t="n">
        <f aca="false">COUNTIFS('Product Rows'!$A$2:$A$696,B272,'Product Rows'!$B$2:$B$696,C272)</f>
        <v>1</v>
      </c>
      <c r="K272" s="5" t="n">
        <f aca="false">COUNTIFS('Product Rows'!$A$2:$A$696,B272,'Product Rows'!$B$2:$B$696,C272,'Product Rows'!$G$2:$G$696,"Vial")</f>
        <v>0</v>
      </c>
      <c r="L272" s="5" t="n">
        <f aca="false">COUNTIFS('Product Rows'!$A$2:$A$696,B272,'Product Rows'!$B$2:$B$696,C272,'Product Rows'!$G$2:$G$696,"Ampoule")</f>
        <v>0</v>
      </c>
      <c r="M272" s="5" t="n">
        <f aca="false">COUNTIFS('Product Rows'!$A$2:$A$696,B272,'Product Rows'!$B$2:$B$696,C272,'Product Rows'!$G$2:$G$696,"Prefilled syringe/pen")</f>
        <v>1</v>
      </c>
      <c r="N272" s="6" t="str">
        <f aca="false">IFERROR(AVERAGEIFS('Product Rows'!$H$2:$H$696,'Product Rows'!$A$2:$A$696,B272,'Product Rows'!$B$2:$B$696,C272),"")</f>
        <v/>
      </c>
      <c r="O272" s="7" t="n">
        <f aca="false">INDEX('API Data'!$E$2:$E$152,MATCH(B272,'API Data'!$A$2:$A$152,0))</f>
        <v>1127.64</v>
      </c>
      <c r="P272" s="5" t="n">
        <f aca="false">COUNTIF($B$5:$B$337,B272)</f>
        <v>3</v>
      </c>
      <c r="Q272" s="8" t="n">
        <f aca="false">IF(ISNUMBER(I272),PERCENTRANK($I$5:$I$337,I272),"")</f>
        <v>0.157</v>
      </c>
      <c r="R272" s="8" t="str">
        <f aca="false">IF(ISNUMBER(N272),PERCENTRANK($N$5:$N$337,N272),"")</f>
        <v/>
      </c>
      <c r="S272" s="8" t="n">
        <f aca="false">IF(ISNUMBER(O272),PERCENTRANK($O$5:$O$337,O272),"")</f>
        <v>0.163</v>
      </c>
      <c r="T272" s="8" t="n">
        <f aca="false">IF(ISNUMBER(P272),PERCENTRANK($P$5:$P$337,P272),"")</f>
        <v>0.416</v>
      </c>
      <c r="U272" s="9" t="n">
        <f aca="false">IF((IF(ISNUMBER(Q272),Inputs!$B$4,0)+IF(ISNUMBER(R272),Inputs!$B$5,0)+IF(ISNUMBER(S272),Inputs!$B$6,0)+IF(ISNUMBER(T272),Inputs!$B$7,0))=0,"",(IF(ISNUMBER(Q272),Inputs!$B$4*Q272,0)+IF(ISNUMBER(R272),Inputs!$B$5*R272,0)+IF(ISNUMBER(S272),Inputs!$B$6*S272,0)+IF(ISNUMBER(T272),Inputs!$B$7*T272,0))/(IF(ISNUMBER(Q272),Inputs!$B$4,0)+IF(ISNUMBER(R272),Inputs!$B$5,0)+IF(ISNUMBER(S272),Inputs!$B$6,0)+IF(ISNUMBER(T272),Inputs!$B$7,0)))</f>
        <v>0.163</v>
      </c>
      <c r="V272" s="5" t="str">
        <f aca="false">IF(F272&gt;0,"Yes","No")</f>
        <v>Yes</v>
      </c>
      <c r="W272" s="5" t="str">
        <f aca="false">IF(ISNUMBER(N272),IF(N272&gt;=Inputs!$D$18,"Yes","No"),"No price")</f>
        <v>No price</v>
      </c>
      <c r="X272" s="5" t="str">
        <f aca="false">IF(K272+L272&gt;0,"Yes",IF(M272&gt;0,"No","Unclear"))</f>
        <v>No</v>
      </c>
      <c r="Y272" s="5" t="str">
        <f aca="false">INDEX('API Data'!$H$2:$H$152,MATCH(B272,'API Data'!$A$2:$A$152,0))</f>
        <v>No</v>
      </c>
      <c r="Z272" s="5" t="str">
        <f aca="false">IF(COUNTIFS('Product Rows'!$A$2:$A$696,B272,'Product Rows'!$B$2:$B$696,C272,'Product Rows'!$I$2:$I$696,"Yes")&gt;0,"Yes","No")</f>
        <v>No</v>
      </c>
      <c r="AA272" s="5" t="str">
        <f aca="false">IF(P272&gt;=Inputs!$D$22,"Yes","No")</f>
        <v>Yes</v>
      </c>
      <c r="AB272" s="10" t="b">
        <f aca="false">AND(OR(Inputs!$B$17&lt;&gt;"Exclude",V272="Yes"),OR(Inputs!$B$18&lt;&gt;"Exclude",W272&lt;&gt;"No"),OR(Inputs!$B$19&lt;&gt;"Exclude",X272&lt;&gt;"No"),OR(Inputs!$B$20&lt;&gt;"Exclude",Y272="No"),OR(Inputs!$B$21&lt;&gt;"Exclude",Z272="No"),OR(Inputs!$B$22&lt;&gt;"Exclude",AA272="Yes"),ISNUMBER(U272))</f>
        <v>1</v>
      </c>
      <c r="AC272" s="5" t="n">
        <f aca="false">IF(AB272,COUNTIFS($C$5:$C$337,C272,$AB$5:$AB$337,TRUE(),$U$5:$U$337,"&gt;"&amp;U272)+COUNTIFS($C$5:C272,C272,$AB$5:AB272,TRUE(),$U$5:U272,U272),"")</f>
        <v>22</v>
      </c>
      <c r="AD272" s="5" t="str">
        <f aca="false">IF(AC272="","Not eligible",IF(AC272&lt;=Inputs!$B$25,"Lead",IF(AC272&lt;=Inputs!$B$25+Inputs!$B$26,"Next wave","Long list")))</f>
        <v>Long list</v>
      </c>
      <c r="AE272" s="5" t="str">
        <f aca="false">IF(AND(K272+L272=0,M272&gt;0),"Safety upgrade of existing prefilled syringe",IF(K272+L272+M272=0,"Confirm presentation (not stated in source)",IF(AA272="Yes","Differentiation in crowded generic market","Safety-device mandate compliance")))</f>
        <v>Safety upgrade of existing prefilled syringe</v>
      </c>
      <c r="AF272" s="5" t="str">
        <f aca="false">IF(AC272="","",C272&amp;"|"&amp;AC272)</f>
        <v>Dr. Reddy's Laboratories|22</v>
      </c>
    </row>
    <row r="273" customFormat="false" ht="15" hidden="false" customHeight="false" outlineLevel="0" collapsed="false">
      <c r="A273" s="5" t="n">
        <f aca="false">IF(ISNUMBER(U273),RANK(U273,$U$5:$U$337),"")</f>
        <v>314</v>
      </c>
      <c r="B273" s="5" t="s">
        <v>175</v>
      </c>
      <c r="C273" s="5" t="s">
        <v>44</v>
      </c>
      <c r="D273" s="5" t="str">
        <f aca="false">INDEX('API Data'!$B$2:$B$152,MATCH(B273,'API Data'!$A$2:$A$152,0))</f>
        <v>Diagnostics / Cardiovascular – cardiac stress imaging agent</v>
      </c>
      <c r="E273" s="5" t="n">
        <f aca="false">COUNTIFS('Market Listing'!$A$2:$A$4054,B273,'Market Listing'!$B$2:$B$4054,C273)</f>
        <v>1</v>
      </c>
      <c r="F273" s="5" t="n">
        <f aca="false">COUNTIFS('Market Listing'!$A$2:$A$4054,B273,'Market Listing'!$B$2:$B$4054,C273,'Market Listing'!$D$2:$D$4054,"Tier 1")</f>
        <v>1</v>
      </c>
      <c r="G273" s="5" t="n">
        <f aca="false">COUNTIFS('Market Listing'!$A$2:$A$4054,B273,'Market Listing'!$B$2:$B$4054,C273,'Market Listing'!$D$2:$D$4054,"Tier 2")</f>
        <v>0</v>
      </c>
      <c r="H273" s="5" t="n">
        <f aca="false">COUNTIFS('Market Listing'!$A$2:$A$4054,B273,'Market Listing'!$B$2:$B$4054,C273,'Market Listing'!$D$2:$D$4054,"Tier 3")</f>
        <v>0</v>
      </c>
      <c r="I273" s="5" t="n">
        <f aca="false">SUMIFS('Market Listing'!$E$2:$E$4054,'Market Listing'!$A$2:$A$4054,B273,'Market Listing'!$B$2:$B$4054,C273)</f>
        <v>3</v>
      </c>
      <c r="J273" s="5" t="n">
        <f aca="false">COUNTIFS('Product Rows'!$A$2:$A$696,B273,'Product Rows'!$B$2:$B$696,C273)</f>
        <v>1</v>
      </c>
      <c r="K273" s="5" t="n">
        <f aca="false">COUNTIFS('Product Rows'!$A$2:$A$696,B273,'Product Rows'!$B$2:$B$696,C273,'Product Rows'!$G$2:$G$696,"Vial")</f>
        <v>0</v>
      </c>
      <c r="L273" s="5" t="n">
        <f aca="false">COUNTIFS('Product Rows'!$A$2:$A$696,B273,'Product Rows'!$B$2:$B$696,C273,'Product Rows'!$G$2:$G$696,"Ampoule")</f>
        <v>0</v>
      </c>
      <c r="M273" s="5" t="n">
        <f aca="false">COUNTIFS('Product Rows'!$A$2:$A$696,B273,'Product Rows'!$B$2:$B$696,C273,'Product Rows'!$G$2:$G$696,"Prefilled syringe/pen")</f>
        <v>1</v>
      </c>
      <c r="N273" s="6" t="str">
        <f aca="false">IFERROR(AVERAGEIFS('Product Rows'!$H$2:$H$696,'Product Rows'!$A$2:$A$696,B273,'Product Rows'!$B$2:$B$696,C273),"")</f>
        <v/>
      </c>
      <c r="O273" s="7" t="n">
        <f aca="false">INDEX('API Data'!$E$2:$E$152,MATCH(B273,'API Data'!$A$2:$A$152,0))</f>
        <v>1127.64</v>
      </c>
      <c r="P273" s="5" t="n">
        <f aca="false">COUNTIF($B$5:$B$337,B273)</f>
        <v>3</v>
      </c>
      <c r="Q273" s="8" t="n">
        <f aca="false">IF(ISNUMBER(I273),PERCENTRANK($I$5:$I$337,I273),"")</f>
        <v>0.157</v>
      </c>
      <c r="R273" s="8" t="str">
        <f aca="false">IF(ISNUMBER(N273),PERCENTRANK($N$5:$N$337,N273),"")</f>
        <v/>
      </c>
      <c r="S273" s="8" t="n">
        <f aca="false">IF(ISNUMBER(O273),PERCENTRANK($O$5:$O$337,O273),"")</f>
        <v>0.163</v>
      </c>
      <c r="T273" s="8" t="n">
        <f aca="false">IF(ISNUMBER(P273),PERCENTRANK($P$5:$P$337,P273),"")</f>
        <v>0.416</v>
      </c>
      <c r="U273" s="9" t="n">
        <f aca="false">IF((IF(ISNUMBER(Q273),Inputs!$B$4,0)+IF(ISNUMBER(R273),Inputs!$B$5,0)+IF(ISNUMBER(S273),Inputs!$B$6,0)+IF(ISNUMBER(T273),Inputs!$B$7,0))=0,"",(IF(ISNUMBER(Q273),Inputs!$B$4*Q273,0)+IF(ISNUMBER(R273),Inputs!$B$5*R273,0)+IF(ISNUMBER(S273),Inputs!$B$6*S273,0)+IF(ISNUMBER(T273),Inputs!$B$7*T273,0))/(IF(ISNUMBER(Q273),Inputs!$B$4,0)+IF(ISNUMBER(R273),Inputs!$B$5,0)+IF(ISNUMBER(S273),Inputs!$B$6,0)+IF(ISNUMBER(T273),Inputs!$B$7,0)))</f>
        <v>0.163</v>
      </c>
      <c r="V273" s="5" t="str">
        <f aca="false">IF(F273&gt;0,"Yes","No")</f>
        <v>Yes</v>
      </c>
      <c r="W273" s="5" t="str">
        <f aca="false">IF(ISNUMBER(N273),IF(N273&gt;=Inputs!$D$18,"Yes","No"),"No price")</f>
        <v>No price</v>
      </c>
      <c r="X273" s="5" t="str">
        <f aca="false">IF(K273+L273&gt;0,"Yes",IF(M273&gt;0,"No","Unclear"))</f>
        <v>No</v>
      </c>
      <c r="Y273" s="5" t="str">
        <f aca="false">INDEX('API Data'!$H$2:$H$152,MATCH(B273,'API Data'!$A$2:$A$152,0))</f>
        <v>No</v>
      </c>
      <c r="Z273" s="5" t="str">
        <f aca="false">IF(COUNTIFS('Product Rows'!$A$2:$A$696,B273,'Product Rows'!$B$2:$B$696,C273,'Product Rows'!$I$2:$I$696,"Yes")&gt;0,"Yes","No")</f>
        <v>No</v>
      </c>
      <c r="AA273" s="5" t="str">
        <f aca="false">IF(P273&gt;=Inputs!$D$22,"Yes","No")</f>
        <v>Yes</v>
      </c>
      <c r="AB273" s="10" t="b">
        <f aca="false">AND(OR(Inputs!$B$17&lt;&gt;"Exclude",V273="Yes"),OR(Inputs!$B$18&lt;&gt;"Exclude",W273&lt;&gt;"No"),OR(Inputs!$B$19&lt;&gt;"Exclude",X273&lt;&gt;"No"),OR(Inputs!$B$20&lt;&gt;"Exclude",Y273="No"),OR(Inputs!$B$21&lt;&gt;"Exclude",Z273="No"),OR(Inputs!$B$22&lt;&gt;"Exclude",AA273="Yes"),ISNUMBER(U273))</f>
        <v>1</v>
      </c>
      <c r="AC273" s="5" t="n">
        <f aca="false">IF(AB273,COUNTIFS($C$5:$C$337,C273,$AB$5:$AB$337,TRUE(),$U$5:$U$337,"&gt;"&amp;U273)+COUNTIFS($C$5:C273,C273,$AB$5:AB273,TRUE(),$U$5:U273,U273),"")</f>
        <v>51</v>
      </c>
      <c r="AD273" s="5" t="str">
        <f aca="false">IF(AC273="","Not eligible",IF(AC273&lt;=Inputs!$B$25,"Lead",IF(AC273&lt;=Inputs!$B$25+Inputs!$B$26,"Next wave","Long list")))</f>
        <v>Long list</v>
      </c>
      <c r="AE273" s="5" t="str">
        <f aca="false">IF(AND(K273+L273=0,M273&gt;0),"Safety upgrade of existing prefilled syringe",IF(K273+L273+M273=0,"Confirm presentation (not stated in source)",IF(AA273="Yes","Differentiation in crowded generic market","Safety-device mandate compliance")))</f>
        <v>Safety upgrade of existing prefilled syringe</v>
      </c>
      <c r="AF273" s="5" t="str">
        <f aca="false">IF(AC273="","",C273&amp;"|"&amp;AC273)</f>
        <v>Intas Pharmaceuticals|51</v>
      </c>
    </row>
    <row r="274" customFormat="false" ht="15" hidden="false" customHeight="false" outlineLevel="0" collapsed="false">
      <c r="A274" s="5" t="n">
        <f aca="false">IF(ISNUMBER(U274),RANK(U274,$U$5:$U$337),"")</f>
        <v>330</v>
      </c>
      <c r="B274" s="5" t="s">
        <v>176</v>
      </c>
      <c r="C274" s="5" t="s">
        <v>47</v>
      </c>
      <c r="D274" s="5" t="str">
        <f aca="false">INDEX('API Data'!$B$2:$B$152,MATCH(B274,'API Data'!$A$2:$A$152,0))</f>
        <v>Anaesthesia – ultra-short-acting opioid analgesia during surgery</v>
      </c>
      <c r="E274" s="5" t="n">
        <f aca="false">COUNTIFS('Market Listing'!$A$2:$A$4054,B274,'Market Listing'!$B$2:$B$4054,C274)</f>
        <v>22</v>
      </c>
      <c r="F274" s="5" t="n">
        <f aca="false">COUNTIFS('Market Listing'!$A$2:$A$4054,B274,'Market Listing'!$B$2:$B$4054,C274,'Market Listing'!$D$2:$D$4054,"Tier 1")</f>
        <v>4</v>
      </c>
      <c r="G274" s="5" t="n">
        <f aca="false">COUNTIFS('Market Listing'!$A$2:$A$4054,B274,'Market Listing'!$B$2:$B$4054,C274,'Market Listing'!$D$2:$D$4054,"Tier 2")</f>
        <v>1</v>
      </c>
      <c r="H274" s="5" t="n">
        <f aca="false">COUNTIFS('Market Listing'!$A$2:$A$4054,B274,'Market Listing'!$B$2:$B$4054,C274,'Market Listing'!$D$2:$D$4054,"Tier 3")</f>
        <v>17</v>
      </c>
      <c r="I274" s="5" t="n">
        <f aca="false">SUMIFS('Market Listing'!$E$2:$E$4054,'Market Listing'!$A$2:$A$4054,B274,'Market Listing'!$B$2:$B$4054,C274)</f>
        <v>31</v>
      </c>
      <c r="J274" s="5" t="n">
        <f aca="false">COUNTIFS('Product Rows'!$A$2:$A$696,B274,'Product Rows'!$B$2:$B$696,C274)</f>
        <v>1</v>
      </c>
      <c r="K274" s="5" t="n">
        <f aca="false">COUNTIFS('Product Rows'!$A$2:$A$696,B274,'Product Rows'!$B$2:$B$696,C274,'Product Rows'!$G$2:$G$696,"Vial")</f>
        <v>1</v>
      </c>
      <c r="L274" s="5" t="n">
        <f aca="false">COUNTIFS('Product Rows'!$A$2:$A$696,B274,'Product Rows'!$B$2:$B$696,C274,'Product Rows'!$G$2:$G$696,"Ampoule")</f>
        <v>0</v>
      </c>
      <c r="M274" s="5" t="n">
        <f aca="false">COUNTIFS('Product Rows'!$A$2:$A$696,B274,'Product Rows'!$B$2:$B$696,C274,'Product Rows'!$G$2:$G$696,"Prefilled syringe/pen")</f>
        <v>0</v>
      </c>
      <c r="N274" s="6" t="n">
        <f aca="false">IFERROR(AVERAGEIFS('Product Rows'!$H$2:$H$696,'Product Rows'!$A$2:$A$696,B274,'Product Rows'!$B$2:$B$696,C274),"")</f>
        <v>7.0399</v>
      </c>
      <c r="O274" s="7" t="n">
        <f aca="false">INDEX('API Data'!$E$2:$E$152,MATCH(B274,'API Data'!$A$2:$A$152,0))</f>
        <v>71.4487058823529</v>
      </c>
      <c r="P274" s="5" t="n">
        <f aca="false">COUNTIF($B$5:$B$337,B274)</f>
        <v>4</v>
      </c>
      <c r="Q274" s="8" t="n">
        <f aca="false">IF(ISNUMBER(I274),PERCENTRANK($I$5:$I$337,I274),"")</f>
        <v>0.617</v>
      </c>
      <c r="R274" s="8" t="n">
        <f aca="false">IF(ISNUMBER(N274),PERCENTRANK($N$5:$N$337,N274),"")</f>
        <v>0.104</v>
      </c>
      <c r="S274" s="8" t="n">
        <f aca="false">IF(ISNUMBER(O274),PERCENTRANK($O$5:$O$337,O274),"")</f>
        <v>0.0211</v>
      </c>
      <c r="T274" s="8" t="n">
        <f aca="false">IF(ISNUMBER(P274),PERCENTRANK($P$5:$P$337,P274),"")</f>
        <v>0.569</v>
      </c>
      <c r="U274" s="9" t="n">
        <f aca="false">IF((IF(ISNUMBER(Q274),Inputs!$B$4,0)+IF(ISNUMBER(R274),Inputs!$B$5,0)+IF(ISNUMBER(S274),Inputs!$B$6,0)+IF(ISNUMBER(T274),Inputs!$B$7,0))=0,"",(IF(ISNUMBER(Q274),Inputs!$B$4*Q274,0)+IF(ISNUMBER(R274),Inputs!$B$5*R274,0)+IF(ISNUMBER(S274),Inputs!$B$6*S274,0)+IF(ISNUMBER(T274),Inputs!$B$7*T274,0))/(IF(ISNUMBER(Q274),Inputs!$B$4,0)+IF(ISNUMBER(R274),Inputs!$B$5,0)+IF(ISNUMBER(S274),Inputs!$B$6,0)+IF(ISNUMBER(T274),Inputs!$B$7,0)))</f>
        <v>0.06255</v>
      </c>
      <c r="V274" s="5" t="str">
        <f aca="false">IF(F274&gt;0,"Yes","No")</f>
        <v>Yes</v>
      </c>
      <c r="W274" s="5" t="str">
        <f aca="false">IF(ISNUMBER(N274),IF(N274&gt;=Inputs!$D$18,"Yes","No"),"No price")</f>
        <v>Yes</v>
      </c>
      <c r="X274" s="5" t="str">
        <f aca="false">IF(K274+L274&gt;0,"Yes",IF(M274&gt;0,"No","Unclear"))</f>
        <v>Yes</v>
      </c>
      <c r="Y274" s="5" t="str">
        <f aca="false">INDEX('API Data'!$H$2:$H$152,MATCH(B274,'API Data'!$A$2:$A$152,0))</f>
        <v>No</v>
      </c>
      <c r="Z274" s="5" t="str">
        <f aca="false">IF(COUNTIFS('Product Rows'!$A$2:$A$696,B274,'Product Rows'!$B$2:$B$696,C274,'Product Rows'!$I$2:$I$696,"Yes")&gt;0,"Yes","No")</f>
        <v>Yes</v>
      </c>
      <c r="AA274" s="5" t="str">
        <f aca="false">IF(P274&gt;=Inputs!$D$22,"Yes","No")</f>
        <v>Yes</v>
      </c>
      <c r="AB274" s="10" t="b">
        <f aca="false">AND(OR(Inputs!$B$17&lt;&gt;"Exclude",V274="Yes"),OR(Inputs!$B$18&lt;&gt;"Exclude",W274&lt;&gt;"No"),OR(Inputs!$B$19&lt;&gt;"Exclude",X274&lt;&gt;"No"),OR(Inputs!$B$20&lt;&gt;"Exclude",Y274="No"),OR(Inputs!$B$21&lt;&gt;"Exclude",Z274="No"),OR(Inputs!$B$22&lt;&gt;"Exclude",AA274="Yes"),ISNUMBER(U274))</f>
        <v>1</v>
      </c>
      <c r="AC274" s="5" t="n">
        <f aca="false">IF(AB274,COUNTIFS($C$5:$C$337,C274,$AB$5:$AB$337,TRUE(),$U$5:$U$337,"&gt;"&amp;U274)+COUNTIFS($C$5:C274,C274,$AB$5:AB274,TRUE(),$U$5:U274,U274),"")</f>
        <v>51</v>
      </c>
      <c r="AD274" s="5" t="str">
        <f aca="false">IF(AC274="","Not eligible",IF(AC274&lt;=Inputs!$B$25,"Lead",IF(AC274&lt;=Inputs!$B$25+Inputs!$B$26,"Next wave","Long list")))</f>
        <v>Long list</v>
      </c>
      <c r="AE274" s="5" t="str">
        <f aca="false">IF(AND(K274+L274=0,M274&gt;0),"Safety upgrade of existing prefilled syringe",IF(K274+L274+M274=0,"Confirm presentation (not stated in source)",IF(AA274="Yes","Differentiation in crowded generic market","Safety-device mandate compliance")))</f>
        <v>Differentiation in crowded generic market</v>
      </c>
      <c r="AF274" s="5" t="str">
        <f aca="false">IF(AC274="","",C274&amp;"|"&amp;AC274)</f>
        <v>Aurobindo Pharma|51</v>
      </c>
    </row>
    <row r="275" customFormat="false" ht="15" hidden="false" customHeight="false" outlineLevel="0" collapsed="false">
      <c r="A275" s="5" t="n">
        <f aca="false">IF(ISNUMBER(U275),RANK(U275,$U$5:$U$337),"")</f>
        <v>320</v>
      </c>
      <c r="B275" s="5" t="s">
        <v>176</v>
      </c>
      <c r="C275" s="5" t="s">
        <v>40</v>
      </c>
      <c r="D275" s="5" t="str">
        <f aca="false">INDEX('API Data'!$B$2:$B$152,MATCH(B275,'API Data'!$A$2:$A$152,0))</f>
        <v>Anaesthesia – ultra-short-acting opioid analgesia during surgery</v>
      </c>
      <c r="E275" s="5" t="n">
        <f aca="false">COUNTIFS('Market Listing'!$A$2:$A$4054,B275,'Market Listing'!$B$2:$B$4054,C275)</f>
        <v>1</v>
      </c>
      <c r="F275" s="5" t="n">
        <f aca="false">COUNTIFS('Market Listing'!$A$2:$A$4054,B275,'Market Listing'!$B$2:$B$4054,C275,'Market Listing'!$D$2:$D$4054,"Tier 1")</f>
        <v>0</v>
      </c>
      <c r="G275" s="5" t="n">
        <f aca="false">COUNTIFS('Market Listing'!$A$2:$A$4054,B275,'Market Listing'!$B$2:$B$4054,C275,'Market Listing'!$D$2:$D$4054,"Tier 2")</f>
        <v>1</v>
      </c>
      <c r="H275" s="5" t="n">
        <f aca="false">COUNTIFS('Market Listing'!$A$2:$A$4054,B275,'Market Listing'!$B$2:$B$4054,C275,'Market Listing'!$D$2:$D$4054,"Tier 3")</f>
        <v>0</v>
      </c>
      <c r="I275" s="5" t="n">
        <f aca="false">SUMIFS('Market Listing'!$E$2:$E$4054,'Market Listing'!$A$2:$A$4054,B275,'Market Listing'!$B$2:$B$4054,C275)</f>
        <v>2</v>
      </c>
      <c r="J275" s="5" t="n">
        <f aca="false">COUNTIFS('Product Rows'!$A$2:$A$696,B275,'Product Rows'!$B$2:$B$696,C275)</f>
        <v>2</v>
      </c>
      <c r="K275" s="5" t="n">
        <f aca="false">COUNTIFS('Product Rows'!$A$2:$A$696,B275,'Product Rows'!$B$2:$B$696,C275,'Product Rows'!$G$2:$G$696,"Vial")</f>
        <v>2</v>
      </c>
      <c r="L275" s="5" t="n">
        <f aca="false">COUNTIFS('Product Rows'!$A$2:$A$696,B275,'Product Rows'!$B$2:$B$696,C275,'Product Rows'!$G$2:$G$696,"Ampoule")</f>
        <v>0</v>
      </c>
      <c r="M275" s="5" t="n">
        <f aca="false">COUNTIFS('Product Rows'!$A$2:$A$696,B275,'Product Rows'!$B$2:$B$696,C275,'Product Rows'!$G$2:$G$696,"Prefilled syringe/pen")</f>
        <v>0</v>
      </c>
      <c r="N275" s="6" t="n">
        <f aca="false">IFERROR(AVERAGEIFS('Product Rows'!$H$2:$H$696,'Product Rows'!$A$2:$A$696,B275,'Product Rows'!$B$2:$B$696,C275),"")</f>
        <v>13.935</v>
      </c>
      <c r="O275" s="7" t="n">
        <f aca="false">INDEX('API Data'!$E$2:$E$152,MATCH(B275,'API Data'!$A$2:$A$152,0))</f>
        <v>71.4487058823529</v>
      </c>
      <c r="P275" s="5" t="n">
        <f aca="false">COUNTIF($B$5:$B$337,B275)</f>
        <v>4</v>
      </c>
      <c r="Q275" s="8" t="n">
        <f aca="false">IF(ISNUMBER(I275),PERCENTRANK($I$5:$I$337,I275),"")</f>
        <v>0</v>
      </c>
      <c r="R275" s="8" t="n">
        <f aca="false">IF(ISNUMBER(N275),PERCENTRANK($N$5:$N$337,N275),"")</f>
        <v>0.276</v>
      </c>
      <c r="S275" s="8" t="n">
        <f aca="false">IF(ISNUMBER(O275),PERCENTRANK($O$5:$O$337,O275),"")</f>
        <v>0.0211</v>
      </c>
      <c r="T275" s="8" t="n">
        <f aca="false">IF(ISNUMBER(P275),PERCENTRANK($P$5:$P$337,P275),"")</f>
        <v>0.569</v>
      </c>
      <c r="U275" s="9" t="n">
        <f aca="false">IF((IF(ISNUMBER(Q275),Inputs!$B$4,0)+IF(ISNUMBER(R275),Inputs!$B$5,0)+IF(ISNUMBER(S275),Inputs!$B$6,0)+IF(ISNUMBER(T275),Inputs!$B$7,0))=0,"",(IF(ISNUMBER(Q275),Inputs!$B$4*Q275,0)+IF(ISNUMBER(R275),Inputs!$B$5*R275,0)+IF(ISNUMBER(S275),Inputs!$B$6*S275,0)+IF(ISNUMBER(T275),Inputs!$B$7*T275,0))/(IF(ISNUMBER(Q275),Inputs!$B$4,0)+IF(ISNUMBER(R275),Inputs!$B$5,0)+IF(ISNUMBER(S275),Inputs!$B$6,0)+IF(ISNUMBER(T275),Inputs!$B$7,0)))</f>
        <v>0.14855</v>
      </c>
      <c r="V275" s="5" t="str">
        <f aca="false">IF(F275&gt;0,"Yes","No")</f>
        <v>No</v>
      </c>
      <c r="W275" s="5" t="str">
        <f aca="false">IF(ISNUMBER(N275),IF(N275&gt;=Inputs!$D$18,"Yes","No"),"No price")</f>
        <v>Yes</v>
      </c>
      <c r="X275" s="5" t="str">
        <f aca="false">IF(K275+L275&gt;0,"Yes",IF(M275&gt;0,"No","Unclear"))</f>
        <v>Yes</v>
      </c>
      <c r="Y275" s="5" t="str">
        <f aca="false">INDEX('API Data'!$H$2:$H$152,MATCH(B275,'API Data'!$A$2:$A$152,0))</f>
        <v>No</v>
      </c>
      <c r="Z275" s="5" t="str">
        <f aca="false">IF(COUNTIFS('Product Rows'!$A$2:$A$696,B275,'Product Rows'!$B$2:$B$696,C275,'Product Rows'!$I$2:$I$696,"Yes")&gt;0,"Yes","No")</f>
        <v>Yes</v>
      </c>
      <c r="AA275" s="5" t="str">
        <f aca="false">IF(P275&gt;=Inputs!$D$22,"Yes","No")</f>
        <v>Yes</v>
      </c>
      <c r="AB275" s="10" t="b">
        <f aca="false">AND(OR(Inputs!$B$17&lt;&gt;"Exclude",V275="Yes"),OR(Inputs!$B$18&lt;&gt;"Exclude",W275&lt;&gt;"No"),OR(Inputs!$B$19&lt;&gt;"Exclude",X275&lt;&gt;"No"),OR(Inputs!$B$20&lt;&gt;"Exclude",Y275="No"),OR(Inputs!$B$21&lt;&gt;"Exclude",Z275="No"),OR(Inputs!$B$22&lt;&gt;"Exclude",AA275="Yes"),ISNUMBER(U275))</f>
        <v>0</v>
      </c>
      <c r="AC275" s="5" t="str">
        <f aca="false">IF(AB275,COUNTIFS($C$5:$C$337,C275,$AB$5:$AB$337,TRUE(),$U$5:$U$337,"&gt;"&amp;U275)+COUNTIFS($C$5:C275,C275,$AB$5:AB275,TRUE(),$U$5:U275,U275),"")</f>
        <v/>
      </c>
      <c r="AD275" s="5" t="str">
        <f aca="false">IF(AC275="","Not eligible",IF(AC275&lt;=Inputs!$B$25,"Lead",IF(AC275&lt;=Inputs!$B$25+Inputs!$B$26,"Next wave","Long list")))</f>
        <v>Not eligible</v>
      </c>
      <c r="AE275" s="5" t="str">
        <f aca="false">IF(AND(K275+L275=0,M275&gt;0),"Safety upgrade of existing prefilled syringe",IF(K275+L275+M275=0,"Confirm presentation (not stated in source)",IF(AA275="Yes","Differentiation in crowded generic market","Safety-device mandate compliance")))</f>
        <v>Differentiation in crowded generic market</v>
      </c>
      <c r="AF275" s="5" t="str">
        <f aca="false">IF(AC275="","",C275&amp;"|"&amp;AC275)</f>
        <v/>
      </c>
    </row>
    <row r="276" customFormat="false" ht="15" hidden="false" customHeight="false" outlineLevel="0" collapsed="false">
      <c r="A276" s="5" t="n">
        <f aca="false">IF(ISNUMBER(U276),RANK(U276,$U$5:$U$337),"")</f>
        <v>333</v>
      </c>
      <c r="B276" s="5" t="s">
        <v>176</v>
      </c>
      <c r="C276" s="5" t="s">
        <v>41</v>
      </c>
      <c r="D276" s="5" t="str">
        <f aca="false">INDEX('API Data'!$B$2:$B$152,MATCH(B276,'API Data'!$A$2:$A$152,0))</f>
        <v>Anaesthesia – ultra-short-acting opioid analgesia during surgery</v>
      </c>
      <c r="E276" s="5" t="n">
        <f aca="false">COUNTIFS('Market Listing'!$A$2:$A$4054,B276,'Market Listing'!$B$2:$B$4054,C276)</f>
        <v>22</v>
      </c>
      <c r="F276" s="5" t="n">
        <f aca="false">COUNTIFS('Market Listing'!$A$2:$A$4054,B276,'Market Listing'!$B$2:$B$4054,C276,'Market Listing'!$D$2:$D$4054,"Tier 1")</f>
        <v>4</v>
      </c>
      <c r="G276" s="5" t="n">
        <f aca="false">COUNTIFS('Market Listing'!$A$2:$A$4054,B276,'Market Listing'!$B$2:$B$4054,C276,'Market Listing'!$D$2:$D$4054,"Tier 2")</f>
        <v>1</v>
      </c>
      <c r="H276" s="5" t="n">
        <f aca="false">COUNTIFS('Market Listing'!$A$2:$A$4054,B276,'Market Listing'!$B$2:$B$4054,C276,'Market Listing'!$D$2:$D$4054,"Tier 3")</f>
        <v>17</v>
      </c>
      <c r="I276" s="5" t="n">
        <f aca="false">SUMIFS('Market Listing'!$E$2:$E$4054,'Market Listing'!$A$2:$A$4054,B276,'Market Listing'!$B$2:$B$4054,C276)</f>
        <v>31</v>
      </c>
      <c r="J276" s="5" t="n">
        <f aca="false">COUNTIFS('Product Rows'!$A$2:$A$696,B276,'Product Rows'!$B$2:$B$696,C276)</f>
        <v>1</v>
      </c>
      <c r="K276" s="5" t="n">
        <f aca="false">COUNTIFS('Product Rows'!$A$2:$A$696,B276,'Product Rows'!$B$2:$B$696,C276,'Product Rows'!$G$2:$G$696,"Vial")</f>
        <v>0</v>
      </c>
      <c r="L276" s="5" t="n">
        <f aca="false">COUNTIFS('Product Rows'!$A$2:$A$696,B276,'Product Rows'!$B$2:$B$696,C276,'Product Rows'!$G$2:$G$696,"Ampoule")</f>
        <v>0</v>
      </c>
      <c r="M276" s="5" t="n">
        <f aca="false">COUNTIFS('Product Rows'!$A$2:$A$696,B276,'Product Rows'!$B$2:$B$696,C276,'Product Rows'!$G$2:$G$696,"Prefilled syringe/pen")</f>
        <v>0</v>
      </c>
      <c r="N276" s="6" t="str">
        <f aca="false">IFERROR(AVERAGEIFS('Product Rows'!$H$2:$H$696,'Product Rows'!$A$2:$A$696,B276,'Product Rows'!$B$2:$B$696,C276),"")</f>
        <v/>
      </c>
      <c r="O276" s="7" t="n">
        <f aca="false">INDEX('API Data'!$E$2:$E$152,MATCH(B276,'API Data'!$A$2:$A$152,0))</f>
        <v>71.4487058823529</v>
      </c>
      <c r="P276" s="5" t="n">
        <f aca="false">COUNTIF($B$5:$B$337,B276)</f>
        <v>4</v>
      </c>
      <c r="Q276" s="8" t="n">
        <f aca="false">IF(ISNUMBER(I276),PERCENTRANK($I$5:$I$337,I276),"")</f>
        <v>0.617</v>
      </c>
      <c r="R276" s="8" t="str">
        <f aca="false">IF(ISNUMBER(N276),PERCENTRANK($N$5:$N$337,N276),"")</f>
        <v/>
      </c>
      <c r="S276" s="8" t="n">
        <f aca="false">IF(ISNUMBER(O276),PERCENTRANK($O$5:$O$337,O276),"")</f>
        <v>0.0211</v>
      </c>
      <c r="T276" s="8" t="n">
        <f aca="false">IF(ISNUMBER(P276),PERCENTRANK($P$5:$P$337,P276),"")</f>
        <v>0.569</v>
      </c>
      <c r="U276" s="9" t="n">
        <f aca="false">IF((IF(ISNUMBER(Q276),Inputs!$B$4,0)+IF(ISNUMBER(R276),Inputs!$B$5,0)+IF(ISNUMBER(S276),Inputs!$B$6,0)+IF(ISNUMBER(T276),Inputs!$B$7,0))=0,"",(IF(ISNUMBER(Q276),Inputs!$B$4*Q276,0)+IF(ISNUMBER(R276),Inputs!$B$5*R276,0)+IF(ISNUMBER(S276),Inputs!$B$6*S276,0)+IF(ISNUMBER(T276),Inputs!$B$7*T276,0))/(IF(ISNUMBER(Q276),Inputs!$B$4,0)+IF(ISNUMBER(R276),Inputs!$B$5,0)+IF(ISNUMBER(S276),Inputs!$B$6,0)+IF(ISNUMBER(T276),Inputs!$B$7,0)))</f>
        <v>0.0211</v>
      </c>
      <c r="V276" s="5" t="str">
        <f aca="false">IF(F276&gt;0,"Yes","No")</f>
        <v>Yes</v>
      </c>
      <c r="W276" s="5" t="str">
        <f aca="false">IF(ISNUMBER(N276),IF(N276&gt;=Inputs!$D$18,"Yes","No"),"No price")</f>
        <v>No price</v>
      </c>
      <c r="X276" s="5" t="str">
        <f aca="false">IF(K276+L276&gt;0,"Yes",IF(M276&gt;0,"No","Unclear"))</f>
        <v>Unclear</v>
      </c>
      <c r="Y276" s="5" t="str">
        <f aca="false">INDEX('API Data'!$H$2:$H$152,MATCH(B276,'API Data'!$A$2:$A$152,0))</f>
        <v>No</v>
      </c>
      <c r="Z276" s="5" t="str">
        <f aca="false">IF(COUNTIFS('Product Rows'!$A$2:$A$696,B276,'Product Rows'!$B$2:$B$696,C276,'Product Rows'!$I$2:$I$696,"Yes")&gt;0,"Yes","No")</f>
        <v>No</v>
      </c>
      <c r="AA276" s="5" t="str">
        <f aca="false">IF(P276&gt;=Inputs!$D$22,"Yes","No")</f>
        <v>Yes</v>
      </c>
      <c r="AB276" s="10" t="b">
        <f aca="false">AND(OR(Inputs!$B$17&lt;&gt;"Exclude",V276="Yes"),OR(Inputs!$B$18&lt;&gt;"Exclude",W276&lt;&gt;"No"),OR(Inputs!$B$19&lt;&gt;"Exclude",X276&lt;&gt;"No"),OR(Inputs!$B$20&lt;&gt;"Exclude",Y276="No"),OR(Inputs!$B$21&lt;&gt;"Exclude",Z276="No"),OR(Inputs!$B$22&lt;&gt;"Exclude",AA276="Yes"),ISNUMBER(U276))</f>
        <v>1</v>
      </c>
      <c r="AC276" s="5" t="n">
        <f aca="false">IF(AB276,COUNTIFS($C$5:$C$337,C276,$AB$5:$AB$337,TRUE(),$U$5:$U$337,"&gt;"&amp;U276)+COUNTIFS($C$5:C276,C276,$AB$5:AB276,TRUE(),$U$5:U276,U276),"")</f>
        <v>6</v>
      </c>
      <c r="AD276" s="5" t="str">
        <f aca="false">IF(AC276="","Not eligible",IF(AC276&lt;=Inputs!$B$25,"Lead",IF(AC276&lt;=Inputs!$B$25+Inputs!$B$26,"Next wave","Long list")))</f>
        <v>Next wave</v>
      </c>
      <c r="AE276" s="5" t="str">
        <f aca="false">IF(AND(K276+L276=0,M276&gt;0),"Safety upgrade of existing prefilled syringe",IF(K276+L276+M276=0,"Confirm presentation (not stated in source)",IF(AA276="Yes","Differentiation in crowded generic market","Safety-device mandate compliance")))</f>
        <v>Confirm presentation (not stated in source)</v>
      </c>
      <c r="AF276" s="5" t="str">
        <f aca="false">IF(AC276="","",C276&amp;"|"&amp;AC276)</f>
        <v>Piramal Pharma|6</v>
      </c>
    </row>
    <row r="277" customFormat="false" ht="15" hidden="false" customHeight="false" outlineLevel="0" collapsed="false">
      <c r="A277" s="5" t="n">
        <f aca="false">IF(ISNUMBER(U277),RANK(U277,$U$5:$U$337),"")</f>
        <v>278</v>
      </c>
      <c r="B277" s="5" t="s">
        <v>176</v>
      </c>
      <c r="C277" s="5" t="s">
        <v>38</v>
      </c>
      <c r="D277" s="5" t="str">
        <f aca="false">INDEX('API Data'!$B$2:$B$152,MATCH(B277,'API Data'!$A$2:$A$152,0))</f>
        <v>Anaesthesia – ultra-short-acting opioid analgesia during surgery</v>
      </c>
      <c r="E277" s="5" t="n">
        <f aca="false">COUNTIFS('Market Listing'!$A$2:$A$4054,B277,'Market Listing'!$B$2:$B$4054,C277)</f>
        <v>23</v>
      </c>
      <c r="F277" s="5" t="n">
        <f aca="false">COUNTIFS('Market Listing'!$A$2:$A$4054,B277,'Market Listing'!$B$2:$B$4054,C277,'Market Listing'!$D$2:$D$4054,"Tier 1")</f>
        <v>5</v>
      </c>
      <c r="G277" s="5" t="n">
        <f aca="false">COUNTIFS('Market Listing'!$A$2:$A$4054,B277,'Market Listing'!$B$2:$B$4054,C277,'Market Listing'!$D$2:$D$4054,"Tier 2")</f>
        <v>3</v>
      </c>
      <c r="H277" s="5" t="n">
        <f aca="false">COUNTIFS('Market Listing'!$A$2:$A$4054,B277,'Market Listing'!$B$2:$B$4054,C277,'Market Listing'!$D$2:$D$4054,"Tier 3")</f>
        <v>15</v>
      </c>
      <c r="I277" s="5" t="n">
        <f aca="false">SUMIFS('Market Listing'!$E$2:$E$4054,'Market Listing'!$A$2:$A$4054,B277,'Market Listing'!$B$2:$B$4054,C277)</f>
        <v>36</v>
      </c>
      <c r="J277" s="5" t="n">
        <f aca="false">COUNTIFS('Product Rows'!$A$2:$A$696,B277,'Product Rows'!$B$2:$B$696,C277)</f>
        <v>2</v>
      </c>
      <c r="K277" s="5" t="n">
        <f aca="false">COUNTIFS('Product Rows'!$A$2:$A$696,B277,'Product Rows'!$B$2:$B$696,C277,'Product Rows'!$G$2:$G$696,"Vial")</f>
        <v>2</v>
      </c>
      <c r="L277" s="5" t="n">
        <f aca="false">COUNTIFS('Product Rows'!$A$2:$A$696,B277,'Product Rows'!$B$2:$B$696,C277,'Product Rows'!$G$2:$G$696,"Ampoule")</f>
        <v>0</v>
      </c>
      <c r="M277" s="5" t="n">
        <f aca="false">COUNTIFS('Product Rows'!$A$2:$A$696,B277,'Product Rows'!$B$2:$B$696,C277,'Product Rows'!$G$2:$G$696,"Prefilled syringe/pen")</f>
        <v>0</v>
      </c>
      <c r="N277" s="6" t="n">
        <f aca="false">IFERROR(AVERAGEIFS('Product Rows'!$H$2:$H$696,'Product Rows'!$A$2:$A$696,B277,'Product Rows'!$B$2:$B$696,C277),"")</f>
        <v>33.182</v>
      </c>
      <c r="O277" s="7" t="n">
        <f aca="false">INDEX('API Data'!$E$2:$E$152,MATCH(B277,'API Data'!$A$2:$A$152,0))</f>
        <v>71.4487058823529</v>
      </c>
      <c r="P277" s="5" t="n">
        <f aca="false">COUNTIF($B$5:$B$337,B277)</f>
        <v>4</v>
      </c>
      <c r="Q277" s="8" t="n">
        <f aca="false">IF(ISNUMBER(I277),PERCENTRANK($I$5:$I$337,I277),"")</f>
        <v>0.66</v>
      </c>
      <c r="R277" s="8" t="n">
        <f aca="false">IF(ISNUMBER(N277),PERCENTRANK($N$5:$N$337,N277),"")</f>
        <v>0.52</v>
      </c>
      <c r="S277" s="8" t="n">
        <f aca="false">IF(ISNUMBER(O277),PERCENTRANK($O$5:$O$337,O277),"")</f>
        <v>0.0211</v>
      </c>
      <c r="T277" s="8" t="n">
        <f aca="false">IF(ISNUMBER(P277),PERCENTRANK($P$5:$P$337,P277),"")</f>
        <v>0.569</v>
      </c>
      <c r="U277" s="9" t="n">
        <f aca="false">IF((IF(ISNUMBER(Q277),Inputs!$B$4,0)+IF(ISNUMBER(R277),Inputs!$B$5,0)+IF(ISNUMBER(S277),Inputs!$B$6,0)+IF(ISNUMBER(T277),Inputs!$B$7,0))=0,"",(IF(ISNUMBER(Q277),Inputs!$B$4*Q277,0)+IF(ISNUMBER(R277),Inputs!$B$5*R277,0)+IF(ISNUMBER(S277),Inputs!$B$6*S277,0)+IF(ISNUMBER(T277),Inputs!$B$7*T277,0))/(IF(ISNUMBER(Q277),Inputs!$B$4,0)+IF(ISNUMBER(R277),Inputs!$B$5,0)+IF(ISNUMBER(S277),Inputs!$B$6,0)+IF(ISNUMBER(T277),Inputs!$B$7,0)))</f>
        <v>0.27055</v>
      </c>
      <c r="V277" s="5" t="str">
        <f aca="false">IF(F277&gt;0,"Yes","No")</f>
        <v>Yes</v>
      </c>
      <c r="W277" s="5" t="str">
        <f aca="false">IF(ISNUMBER(N277),IF(N277&gt;=Inputs!$D$18,"Yes","No"),"No price")</f>
        <v>Yes</v>
      </c>
      <c r="X277" s="5" t="str">
        <f aca="false">IF(K277+L277&gt;0,"Yes",IF(M277&gt;0,"No","Unclear"))</f>
        <v>Yes</v>
      </c>
      <c r="Y277" s="5" t="str">
        <f aca="false">INDEX('API Data'!$H$2:$H$152,MATCH(B277,'API Data'!$A$2:$A$152,0))</f>
        <v>No</v>
      </c>
      <c r="Z277" s="5" t="str">
        <f aca="false">IF(COUNTIFS('Product Rows'!$A$2:$A$696,B277,'Product Rows'!$B$2:$B$696,C277,'Product Rows'!$I$2:$I$696,"Yes")&gt;0,"Yes","No")</f>
        <v>Yes</v>
      </c>
      <c r="AA277" s="5" t="str">
        <f aca="false">IF(P277&gt;=Inputs!$D$22,"Yes","No")</f>
        <v>Yes</v>
      </c>
      <c r="AB277" s="10" t="b">
        <f aca="false">AND(OR(Inputs!$B$17&lt;&gt;"Exclude",V277="Yes"),OR(Inputs!$B$18&lt;&gt;"Exclude",W277&lt;&gt;"No"),OR(Inputs!$B$19&lt;&gt;"Exclude",X277&lt;&gt;"No"),OR(Inputs!$B$20&lt;&gt;"Exclude",Y277="No"),OR(Inputs!$B$21&lt;&gt;"Exclude",Z277="No"),OR(Inputs!$B$22&lt;&gt;"Exclude",AA277="Yes"),ISNUMBER(U277))</f>
        <v>1</v>
      </c>
      <c r="AC277" s="5" t="n">
        <f aca="false">IF(AB277,COUNTIFS($C$5:$C$337,C277,$AB$5:$AB$337,TRUE(),$U$5:$U$337,"&gt;"&amp;U277)+COUNTIFS($C$5:C277,C277,$AB$5:AB277,TRUE(),$U$5:U277,U277),"")</f>
        <v>11</v>
      </c>
      <c r="AD277" s="5" t="str">
        <f aca="false">IF(AC277="","Not eligible",IF(AC277&lt;=Inputs!$B$25,"Lead",IF(AC277&lt;=Inputs!$B$25+Inputs!$B$26,"Next wave","Long list")))</f>
        <v>Long list</v>
      </c>
      <c r="AE277" s="5" t="str">
        <f aca="false">IF(AND(K277+L277=0,M277&gt;0),"Safety upgrade of existing prefilled syringe",IF(K277+L277+M277=0,"Confirm presentation (not stated in source)",IF(AA277="Yes","Differentiation in crowded generic market","Safety-device mandate compliance")))</f>
        <v>Differentiation in crowded generic market</v>
      </c>
      <c r="AF277" s="5" t="str">
        <f aca="false">IF(AC277="","",C277&amp;"|"&amp;AC277)</f>
        <v>Wockhardt|11</v>
      </c>
    </row>
    <row r="278" customFormat="false" ht="15" hidden="false" customHeight="false" outlineLevel="0" collapsed="false">
      <c r="A278" s="5" t="n">
        <f aca="false">IF(ISNUMBER(U278),RANK(U278,$U$5:$U$337),"")</f>
        <v>211</v>
      </c>
      <c r="B278" s="5" t="s">
        <v>177</v>
      </c>
      <c r="C278" s="5" t="s">
        <v>57</v>
      </c>
      <c r="D278" s="5" t="str">
        <f aca="false">INDEX('API Data'!$B$2:$B$152,MATCH(B278,'API Data'!$A$2:$A$152,0))</f>
        <v>Anaesthesia – muscle relaxant for intubation &amp; surgery</v>
      </c>
      <c r="E278" s="5" t="n">
        <f aca="false">COUNTIFS('Market Listing'!$A$2:$A$4054,B278,'Market Listing'!$B$2:$B$4054,C278)</f>
        <v>30</v>
      </c>
      <c r="F278" s="5" t="n">
        <f aca="false">COUNTIFS('Market Listing'!$A$2:$A$4054,B278,'Market Listing'!$B$2:$B$4054,C278,'Market Listing'!$D$2:$D$4054,"Tier 1")</f>
        <v>5</v>
      </c>
      <c r="G278" s="5" t="n">
        <f aca="false">COUNTIFS('Market Listing'!$A$2:$A$4054,B278,'Market Listing'!$B$2:$B$4054,C278,'Market Listing'!$D$2:$D$4054,"Tier 2")</f>
        <v>3</v>
      </c>
      <c r="H278" s="5" t="n">
        <f aca="false">COUNTIFS('Market Listing'!$A$2:$A$4054,B278,'Market Listing'!$B$2:$B$4054,C278,'Market Listing'!$D$2:$D$4054,"Tier 3")</f>
        <v>22</v>
      </c>
      <c r="I278" s="5" t="n">
        <f aca="false">SUMIFS('Market Listing'!$E$2:$E$4054,'Market Listing'!$A$2:$A$4054,B278,'Market Listing'!$B$2:$B$4054,C278)</f>
        <v>43</v>
      </c>
      <c r="J278" s="5" t="n">
        <f aca="false">COUNTIFS('Product Rows'!$A$2:$A$696,B278,'Product Rows'!$B$2:$B$696,C278)</f>
        <v>1</v>
      </c>
      <c r="K278" s="5" t="n">
        <f aca="false">COUNTIFS('Product Rows'!$A$2:$A$696,B278,'Product Rows'!$B$2:$B$696,C278,'Product Rows'!$G$2:$G$696,"Vial")</f>
        <v>1</v>
      </c>
      <c r="L278" s="5" t="n">
        <f aca="false">COUNTIFS('Product Rows'!$A$2:$A$696,B278,'Product Rows'!$B$2:$B$696,C278,'Product Rows'!$G$2:$G$696,"Ampoule")</f>
        <v>0</v>
      </c>
      <c r="M278" s="5" t="n">
        <f aca="false">COUNTIFS('Product Rows'!$A$2:$A$696,B278,'Product Rows'!$B$2:$B$696,C278,'Product Rows'!$G$2:$G$696,"Prefilled syringe/pen")</f>
        <v>0</v>
      </c>
      <c r="N278" s="6" t="n">
        <f aca="false">IFERROR(AVERAGEIFS('Product Rows'!$H$2:$H$696,'Product Rows'!$A$2:$A$696,B278,'Product Rows'!$B$2:$B$696,C278),"")</f>
        <v>6.1698</v>
      </c>
      <c r="O278" s="7" t="n">
        <f aca="false">INDEX('API Data'!$E$2:$E$152,MATCH(B278,'API Data'!$A$2:$A$152,0))</f>
        <v>20184.3098901099</v>
      </c>
      <c r="P278" s="5" t="n">
        <f aca="false">COUNTIF($B$5:$B$337,B278)</f>
        <v>3</v>
      </c>
      <c r="Q278" s="8" t="n">
        <f aca="false">IF(ISNUMBER(I278),PERCENTRANK($I$5:$I$337,I278),"")</f>
        <v>0.75</v>
      </c>
      <c r="R278" s="8" t="n">
        <f aca="false">IF(ISNUMBER(N278),PERCENTRANK($N$5:$N$337,N278),"")</f>
        <v>0.0502</v>
      </c>
      <c r="S278" s="8" t="n">
        <f aca="false">IF(ISNUMBER(O278),PERCENTRANK($O$5:$O$337,O278),"")</f>
        <v>0.774</v>
      </c>
      <c r="T278" s="8" t="n">
        <f aca="false">IF(ISNUMBER(P278),PERCENTRANK($P$5:$P$337,P278),"")</f>
        <v>0.416</v>
      </c>
      <c r="U278" s="9" t="n">
        <f aca="false">IF((IF(ISNUMBER(Q278),Inputs!$B$4,0)+IF(ISNUMBER(R278),Inputs!$B$5,0)+IF(ISNUMBER(S278),Inputs!$B$6,0)+IF(ISNUMBER(T278),Inputs!$B$7,0))=0,"",(IF(ISNUMBER(Q278),Inputs!$B$4*Q278,0)+IF(ISNUMBER(R278),Inputs!$B$5*R278,0)+IF(ISNUMBER(S278),Inputs!$B$6*S278,0)+IF(ISNUMBER(T278),Inputs!$B$7*T278,0))/(IF(ISNUMBER(Q278),Inputs!$B$4,0)+IF(ISNUMBER(R278),Inputs!$B$5,0)+IF(ISNUMBER(S278),Inputs!$B$6,0)+IF(ISNUMBER(T278),Inputs!$B$7,0)))</f>
        <v>0.4121</v>
      </c>
      <c r="V278" s="5" t="str">
        <f aca="false">IF(F278&gt;0,"Yes","No")</f>
        <v>Yes</v>
      </c>
      <c r="W278" s="5" t="str">
        <f aca="false">IF(ISNUMBER(N278),IF(N278&gt;=Inputs!$D$18,"Yes","No"),"No price")</f>
        <v>Yes</v>
      </c>
      <c r="X278" s="5" t="str">
        <f aca="false">IF(K278+L278&gt;0,"Yes",IF(M278&gt;0,"No","Unclear"))</f>
        <v>Yes</v>
      </c>
      <c r="Y278" s="5" t="str">
        <f aca="false">INDEX('API Data'!$H$2:$H$152,MATCH(B278,'API Data'!$A$2:$A$152,0))</f>
        <v>No</v>
      </c>
      <c r="Z278" s="5" t="str">
        <f aca="false">IF(COUNTIFS('Product Rows'!$A$2:$A$696,B278,'Product Rows'!$B$2:$B$696,C278,'Product Rows'!$I$2:$I$696,"Yes")&gt;0,"Yes","No")</f>
        <v>No</v>
      </c>
      <c r="AA278" s="5" t="str">
        <f aca="false">IF(P278&gt;=Inputs!$D$22,"Yes","No")</f>
        <v>Yes</v>
      </c>
      <c r="AB278" s="10" t="b">
        <f aca="false">AND(OR(Inputs!$B$17&lt;&gt;"Exclude",V278="Yes"),OR(Inputs!$B$18&lt;&gt;"Exclude",W278&lt;&gt;"No"),OR(Inputs!$B$19&lt;&gt;"Exclude",X278&lt;&gt;"No"),OR(Inputs!$B$20&lt;&gt;"Exclude",Y278="No"),OR(Inputs!$B$21&lt;&gt;"Exclude",Z278="No"),OR(Inputs!$B$22&lt;&gt;"Exclude",AA278="Yes"),ISNUMBER(U278))</f>
        <v>1</v>
      </c>
      <c r="AC278" s="5" t="n">
        <f aca="false">IF(AB278,COUNTIFS($C$5:$C$337,C278,$AB$5:$AB$337,TRUE(),$U$5:$U$337,"&gt;"&amp;U278)+COUNTIFS($C$5:C278,C278,$AB$5:AB278,TRUE(),$U$5:U278,U278),"")</f>
        <v>14</v>
      </c>
      <c r="AD278" s="5" t="str">
        <f aca="false">IF(AC278="","Not eligible",IF(AC278&lt;=Inputs!$B$25,"Lead",IF(AC278&lt;=Inputs!$B$25+Inputs!$B$26,"Next wave","Long list")))</f>
        <v>Long list</v>
      </c>
      <c r="AE278" s="5" t="str">
        <f aca="false">IF(AND(K278+L278=0,M278&gt;0),"Safety upgrade of existing prefilled syringe",IF(K278+L278+M278=0,"Confirm presentation (not stated in source)",IF(AA278="Yes","Differentiation in crowded generic market","Safety-device mandate compliance")))</f>
        <v>Differentiation in crowded generic market</v>
      </c>
      <c r="AF278" s="5" t="str">
        <f aca="false">IF(AC278="","",C278&amp;"|"&amp;AC278)</f>
        <v>Hetero Labs|14</v>
      </c>
    </row>
    <row r="279" customFormat="false" ht="15" hidden="false" customHeight="false" outlineLevel="0" collapsed="false">
      <c r="A279" s="5" t="n">
        <f aca="false">IF(ISNUMBER(U279),RANK(U279,$U$5:$U$337),"")</f>
        <v>227</v>
      </c>
      <c r="B279" s="5" t="s">
        <v>177</v>
      </c>
      <c r="C279" s="5" t="s">
        <v>44</v>
      </c>
      <c r="D279" s="5" t="str">
        <f aca="false">INDEX('API Data'!$B$2:$B$152,MATCH(B279,'API Data'!$A$2:$A$152,0))</f>
        <v>Anaesthesia – muscle relaxant for intubation &amp; surgery</v>
      </c>
      <c r="E279" s="5" t="n">
        <f aca="false">COUNTIFS('Market Listing'!$A$2:$A$4054,B279,'Market Listing'!$B$2:$B$4054,C279)</f>
        <v>30</v>
      </c>
      <c r="F279" s="5" t="n">
        <f aca="false">COUNTIFS('Market Listing'!$A$2:$A$4054,B279,'Market Listing'!$B$2:$B$4054,C279,'Market Listing'!$D$2:$D$4054,"Tier 1")</f>
        <v>5</v>
      </c>
      <c r="G279" s="5" t="n">
        <f aca="false">COUNTIFS('Market Listing'!$A$2:$A$4054,B279,'Market Listing'!$B$2:$B$4054,C279,'Market Listing'!$D$2:$D$4054,"Tier 2")</f>
        <v>3</v>
      </c>
      <c r="H279" s="5" t="n">
        <f aca="false">COUNTIFS('Market Listing'!$A$2:$A$4054,B279,'Market Listing'!$B$2:$B$4054,C279,'Market Listing'!$D$2:$D$4054,"Tier 3")</f>
        <v>22</v>
      </c>
      <c r="I279" s="5" t="n">
        <f aca="false">SUMIFS('Market Listing'!$E$2:$E$4054,'Market Listing'!$A$2:$A$4054,B279,'Market Listing'!$B$2:$B$4054,C279)</f>
        <v>43</v>
      </c>
      <c r="J279" s="5" t="n">
        <f aca="false">COUNTIFS('Product Rows'!$A$2:$A$696,B279,'Product Rows'!$B$2:$B$696,C279)</f>
        <v>1</v>
      </c>
      <c r="K279" s="5" t="n">
        <f aca="false">COUNTIFS('Product Rows'!$A$2:$A$696,B279,'Product Rows'!$B$2:$B$696,C279,'Product Rows'!$G$2:$G$696,"Vial")</f>
        <v>0</v>
      </c>
      <c r="L279" s="5" t="n">
        <f aca="false">COUNTIFS('Product Rows'!$A$2:$A$696,B279,'Product Rows'!$B$2:$B$696,C279,'Product Rows'!$G$2:$G$696,"Ampoule")</f>
        <v>1</v>
      </c>
      <c r="M279" s="5" t="n">
        <f aca="false">COUNTIFS('Product Rows'!$A$2:$A$696,B279,'Product Rows'!$B$2:$B$696,C279,'Product Rows'!$G$2:$G$696,"Prefilled syringe/pen")</f>
        <v>0</v>
      </c>
      <c r="N279" s="6" t="n">
        <f aca="false">IFERROR(AVERAGEIFS('Product Rows'!$H$2:$H$696,'Product Rows'!$A$2:$A$696,B279,'Product Rows'!$B$2:$B$696,C279),"")</f>
        <v>5.0963</v>
      </c>
      <c r="O279" s="7" t="n">
        <f aca="false">INDEX('API Data'!$E$2:$E$152,MATCH(B279,'API Data'!$A$2:$A$152,0))</f>
        <v>20184.3098901099</v>
      </c>
      <c r="P279" s="5" t="n">
        <f aca="false">COUNTIF($B$5:$B$337,B279)</f>
        <v>3</v>
      </c>
      <c r="Q279" s="8" t="n">
        <f aca="false">IF(ISNUMBER(I279),PERCENTRANK($I$5:$I$337,I279),"")</f>
        <v>0.75</v>
      </c>
      <c r="R279" s="8" t="n">
        <f aca="false">IF(ISNUMBER(N279),PERCENTRANK($N$5:$N$337,N279),"")</f>
        <v>0</v>
      </c>
      <c r="S279" s="8" t="n">
        <f aca="false">IF(ISNUMBER(O279),PERCENTRANK($O$5:$O$337,O279),"")</f>
        <v>0.774</v>
      </c>
      <c r="T279" s="8" t="n">
        <f aca="false">IF(ISNUMBER(P279),PERCENTRANK($P$5:$P$337,P279),"")</f>
        <v>0.416</v>
      </c>
      <c r="U279" s="9" t="n">
        <f aca="false">IF((IF(ISNUMBER(Q279),Inputs!$B$4,0)+IF(ISNUMBER(R279),Inputs!$B$5,0)+IF(ISNUMBER(S279),Inputs!$B$6,0)+IF(ISNUMBER(T279),Inputs!$B$7,0))=0,"",(IF(ISNUMBER(Q279),Inputs!$B$4*Q279,0)+IF(ISNUMBER(R279),Inputs!$B$5*R279,0)+IF(ISNUMBER(S279),Inputs!$B$6*S279,0)+IF(ISNUMBER(T279),Inputs!$B$7*T279,0))/(IF(ISNUMBER(Q279),Inputs!$B$4,0)+IF(ISNUMBER(R279),Inputs!$B$5,0)+IF(ISNUMBER(S279),Inputs!$B$6,0)+IF(ISNUMBER(T279),Inputs!$B$7,0)))</f>
        <v>0.387</v>
      </c>
      <c r="V279" s="5" t="str">
        <f aca="false">IF(F279&gt;0,"Yes","No")</f>
        <v>Yes</v>
      </c>
      <c r="W279" s="5" t="str">
        <f aca="false">IF(ISNUMBER(N279),IF(N279&gt;=Inputs!$D$18,"Yes","No"),"No price")</f>
        <v>Yes</v>
      </c>
      <c r="X279" s="5" t="str">
        <f aca="false">IF(K279+L279&gt;0,"Yes",IF(M279&gt;0,"No","Unclear"))</f>
        <v>Yes</v>
      </c>
      <c r="Y279" s="5" t="str">
        <f aca="false">INDEX('API Data'!$H$2:$H$152,MATCH(B279,'API Data'!$A$2:$A$152,0))</f>
        <v>No</v>
      </c>
      <c r="Z279" s="5" t="str">
        <f aca="false">IF(COUNTIFS('Product Rows'!$A$2:$A$696,B279,'Product Rows'!$B$2:$B$696,C279,'Product Rows'!$I$2:$I$696,"Yes")&gt;0,"Yes","No")</f>
        <v>No</v>
      </c>
      <c r="AA279" s="5" t="str">
        <f aca="false">IF(P279&gt;=Inputs!$D$22,"Yes","No")</f>
        <v>Yes</v>
      </c>
      <c r="AB279" s="10" t="b">
        <f aca="false">AND(OR(Inputs!$B$17&lt;&gt;"Exclude",V279="Yes"),OR(Inputs!$B$18&lt;&gt;"Exclude",W279&lt;&gt;"No"),OR(Inputs!$B$19&lt;&gt;"Exclude",X279&lt;&gt;"No"),OR(Inputs!$B$20&lt;&gt;"Exclude",Y279="No"),OR(Inputs!$B$21&lt;&gt;"Exclude",Z279="No"),OR(Inputs!$B$22&lt;&gt;"Exclude",AA279="Yes"),ISNUMBER(U279))</f>
        <v>1</v>
      </c>
      <c r="AC279" s="5" t="n">
        <f aca="false">IF(AB279,COUNTIFS($C$5:$C$337,C279,$AB$5:$AB$337,TRUE(),$U$5:$U$337,"&gt;"&amp;U279)+COUNTIFS($C$5:C279,C279,$AB$5:AB279,TRUE(),$U$5:U279,U279),"")</f>
        <v>43</v>
      </c>
      <c r="AD279" s="5" t="str">
        <f aca="false">IF(AC279="","Not eligible",IF(AC279&lt;=Inputs!$B$25,"Lead",IF(AC279&lt;=Inputs!$B$25+Inputs!$B$26,"Next wave","Long list")))</f>
        <v>Long list</v>
      </c>
      <c r="AE279" s="5" t="str">
        <f aca="false">IF(AND(K279+L279=0,M279&gt;0),"Safety upgrade of existing prefilled syringe",IF(K279+L279+M279=0,"Confirm presentation (not stated in source)",IF(AA279="Yes","Differentiation in crowded generic market","Safety-device mandate compliance")))</f>
        <v>Differentiation in crowded generic market</v>
      </c>
      <c r="AF279" s="5" t="str">
        <f aca="false">IF(AC279="","",C279&amp;"|"&amp;AC279)</f>
        <v>Intas Pharmaceuticals|43</v>
      </c>
    </row>
    <row r="280" customFormat="false" ht="15" hidden="false" customHeight="false" outlineLevel="0" collapsed="false">
      <c r="A280" s="5" t="n">
        <f aca="false">IF(ISNUMBER(U280),RANK(U280,$U$5:$U$337),"")</f>
        <v>180</v>
      </c>
      <c r="B280" s="5" t="s">
        <v>177</v>
      </c>
      <c r="C280" s="5" t="s">
        <v>115</v>
      </c>
      <c r="D280" s="5" t="str">
        <f aca="false">INDEX('API Data'!$B$2:$B$152,MATCH(B280,'API Data'!$A$2:$A$152,0))</f>
        <v>Anaesthesia – muscle relaxant for intubation &amp; surgery</v>
      </c>
      <c r="E280" s="5" t="n">
        <f aca="false">COUNTIFS('Market Listing'!$A$2:$A$4054,B280,'Market Listing'!$B$2:$B$4054,C280)</f>
        <v>1</v>
      </c>
      <c r="F280" s="5" t="n">
        <f aca="false">COUNTIFS('Market Listing'!$A$2:$A$4054,B280,'Market Listing'!$B$2:$B$4054,C280,'Market Listing'!$D$2:$D$4054,"Tier 1")</f>
        <v>0</v>
      </c>
      <c r="G280" s="5" t="n">
        <f aca="false">COUNTIFS('Market Listing'!$A$2:$A$4054,B280,'Market Listing'!$B$2:$B$4054,C280,'Market Listing'!$D$2:$D$4054,"Tier 2")</f>
        <v>1</v>
      </c>
      <c r="H280" s="5" t="n">
        <f aca="false">COUNTIFS('Market Listing'!$A$2:$A$4054,B280,'Market Listing'!$B$2:$B$4054,C280,'Market Listing'!$D$2:$D$4054,"Tier 3")</f>
        <v>0</v>
      </c>
      <c r="I280" s="5" t="n">
        <f aca="false">SUMIFS('Market Listing'!$E$2:$E$4054,'Market Listing'!$A$2:$A$4054,B280,'Market Listing'!$B$2:$B$4054,C280)</f>
        <v>2</v>
      </c>
      <c r="J280" s="5" t="n">
        <f aca="false">COUNTIFS('Product Rows'!$A$2:$A$696,B280,'Product Rows'!$B$2:$B$696,C280)</f>
        <v>1</v>
      </c>
      <c r="K280" s="5" t="n">
        <f aca="false">COUNTIFS('Product Rows'!$A$2:$A$696,B280,'Product Rows'!$B$2:$B$696,C280,'Product Rows'!$G$2:$G$696,"Vial")</f>
        <v>1</v>
      </c>
      <c r="L280" s="5" t="n">
        <f aca="false">COUNTIFS('Product Rows'!$A$2:$A$696,B280,'Product Rows'!$B$2:$B$696,C280,'Product Rows'!$G$2:$G$696,"Ampoule")</f>
        <v>0</v>
      </c>
      <c r="M280" s="5" t="n">
        <f aca="false">COUNTIFS('Product Rows'!$A$2:$A$696,B280,'Product Rows'!$B$2:$B$696,C280,'Product Rows'!$G$2:$G$696,"Prefilled syringe/pen")</f>
        <v>0</v>
      </c>
      <c r="N280" s="6" t="n">
        <f aca="false">IFERROR(AVERAGEIFS('Product Rows'!$H$2:$H$696,'Product Rows'!$A$2:$A$696,B280,'Product Rows'!$B$2:$B$696,C280),"")</f>
        <v>7.72</v>
      </c>
      <c r="O280" s="7" t="n">
        <f aca="false">INDEX('API Data'!$E$2:$E$152,MATCH(B280,'API Data'!$A$2:$A$152,0))</f>
        <v>20184.3098901099</v>
      </c>
      <c r="P280" s="5" t="n">
        <f aca="false">COUNTIF($B$5:$B$337,B280)</f>
        <v>3</v>
      </c>
      <c r="Q280" s="8" t="n">
        <f aca="false">IF(ISNUMBER(I280),PERCENTRANK($I$5:$I$337,I280),"")</f>
        <v>0</v>
      </c>
      <c r="R280" s="8" t="n">
        <f aca="false">IF(ISNUMBER(N280),PERCENTRANK($N$5:$N$337,N280),"")</f>
        <v>0.14</v>
      </c>
      <c r="S280" s="8" t="n">
        <f aca="false">IF(ISNUMBER(O280),PERCENTRANK($O$5:$O$337,O280),"")</f>
        <v>0.774</v>
      </c>
      <c r="T280" s="8" t="n">
        <f aca="false">IF(ISNUMBER(P280),PERCENTRANK($P$5:$P$337,P280),"")</f>
        <v>0.416</v>
      </c>
      <c r="U280" s="9" t="n">
        <f aca="false">IF((IF(ISNUMBER(Q280),Inputs!$B$4,0)+IF(ISNUMBER(R280),Inputs!$B$5,0)+IF(ISNUMBER(S280),Inputs!$B$6,0)+IF(ISNUMBER(T280),Inputs!$B$7,0))=0,"",(IF(ISNUMBER(Q280),Inputs!$B$4*Q280,0)+IF(ISNUMBER(R280),Inputs!$B$5*R280,0)+IF(ISNUMBER(S280),Inputs!$B$6*S280,0)+IF(ISNUMBER(T280),Inputs!$B$7*T280,0))/(IF(ISNUMBER(Q280),Inputs!$B$4,0)+IF(ISNUMBER(R280),Inputs!$B$5,0)+IF(ISNUMBER(S280),Inputs!$B$6,0)+IF(ISNUMBER(T280),Inputs!$B$7,0)))</f>
        <v>0.457</v>
      </c>
      <c r="V280" s="5" t="str">
        <f aca="false">IF(F280&gt;0,"Yes","No")</f>
        <v>No</v>
      </c>
      <c r="W280" s="5" t="str">
        <f aca="false">IF(ISNUMBER(N280),IF(N280&gt;=Inputs!$D$18,"Yes","No"),"No price")</f>
        <v>Yes</v>
      </c>
      <c r="X280" s="5" t="str">
        <f aca="false">IF(K280+L280&gt;0,"Yes",IF(M280&gt;0,"No","Unclear"))</f>
        <v>Yes</v>
      </c>
      <c r="Y280" s="5" t="str">
        <f aca="false">INDEX('API Data'!$H$2:$H$152,MATCH(B280,'API Data'!$A$2:$A$152,0))</f>
        <v>No</v>
      </c>
      <c r="Z280" s="5" t="str">
        <f aca="false">IF(COUNTIFS('Product Rows'!$A$2:$A$696,B280,'Product Rows'!$B$2:$B$696,C280,'Product Rows'!$I$2:$I$696,"Yes")&gt;0,"Yes","No")</f>
        <v>No</v>
      </c>
      <c r="AA280" s="5" t="str">
        <f aca="false">IF(P280&gt;=Inputs!$D$22,"Yes","No")</f>
        <v>Yes</v>
      </c>
      <c r="AB280" s="10" t="b">
        <f aca="false">AND(OR(Inputs!$B$17&lt;&gt;"Exclude",V280="Yes"),OR(Inputs!$B$18&lt;&gt;"Exclude",W280&lt;&gt;"No"),OR(Inputs!$B$19&lt;&gt;"Exclude",X280&lt;&gt;"No"),OR(Inputs!$B$20&lt;&gt;"Exclude",Y280="No"),OR(Inputs!$B$21&lt;&gt;"Exclude",Z280="No"),OR(Inputs!$B$22&lt;&gt;"Exclude",AA280="Yes"),ISNUMBER(U280))</f>
        <v>0</v>
      </c>
      <c r="AC280" s="5" t="str">
        <f aca="false">IF(AB280,COUNTIFS($C$5:$C$337,C280,$AB$5:$AB$337,TRUE(),$U$5:$U$337,"&gt;"&amp;U280)+COUNTIFS($C$5:C280,C280,$AB$5:AB280,TRUE(),$U$5:U280,U280),"")</f>
        <v/>
      </c>
      <c r="AD280" s="5" t="str">
        <f aca="false">IF(AC280="","Not eligible",IF(AC280&lt;=Inputs!$B$25,"Lead",IF(AC280&lt;=Inputs!$B$25+Inputs!$B$26,"Next wave","Long list")))</f>
        <v>Not eligible</v>
      </c>
      <c r="AE280" s="5" t="str">
        <f aca="false">IF(AND(K280+L280=0,M280&gt;0),"Safety upgrade of existing prefilled syringe",IF(K280+L280+M280=0,"Confirm presentation (not stated in source)",IF(AA280="Yes","Differentiation in crowded generic market","Safety-device mandate compliance")))</f>
        <v>Differentiation in crowded generic market</v>
      </c>
      <c r="AF280" s="5" t="str">
        <f aca="false">IF(AC280="","",C280&amp;"|"&amp;AC280)</f>
        <v/>
      </c>
    </row>
    <row r="281" customFormat="false" ht="15" hidden="false" customHeight="false" outlineLevel="0" collapsed="false">
      <c r="A281" s="5" t="n">
        <f aca="false">IF(ISNUMBER(U281),RANK(U281,$U$5:$U$337),"")</f>
        <v>208</v>
      </c>
      <c r="B281" s="5" t="s">
        <v>178</v>
      </c>
      <c r="C281" s="5" t="s">
        <v>47</v>
      </c>
      <c r="D281" s="5" t="str">
        <f aca="false">INDEX('API Data'!$B$2:$B$152,MATCH(B281,'API Data'!$A$2:$A$152,0))</f>
        <v>Anaesthesia – local anaesthetic (epidural, labour, nerve block)</v>
      </c>
      <c r="E281" s="5" t="n">
        <f aca="false">COUNTIFS('Market Listing'!$A$2:$A$4054,B281,'Market Listing'!$B$2:$B$4054,C281)</f>
        <v>1</v>
      </c>
      <c r="F281" s="5" t="n">
        <f aca="false">COUNTIFS('Market Listing'!$A$2:$A$4054,B281,'Market Listing'!$B$2:$B$4054,C281,'Market Listing'!$D$2:$D$4054,"Tier 1")</f>
        <v>1</v>
      </c>
      <c r="G281" s="5" t="n">
        <f aca="false">COUNTIFS('Market Listing'!$A$2:$A$4054,B281,'Market Listing'!$B$2:$B$4054,C281,'Market Listing'!$D$2:$D$4054,"Tier 2")</f>
        <v>0</v>
      </c>
      <c r="H281" s="5" t="n">
        <f aca="false">COUNTIFS('Market Listing'!$A$2:$A$4054,B281,'Market Listing'!$B$2:$B$4054,C281,'Market Listing'!$D$2:$D$4054,"Tier 3")</f>
        <v>0</v>
      </c>
      <c r="I281" s="5" t="n">
        <f aca="false">SUMIFS('Market Listing'!$E$2:$E$4054,'Market Listing'!$A$2:$A$4054,B281,'Market Listing'!$B$2:$B$4054,C281)</f>
        <v>3</v>
      </c>
      <c r="J281" s="5" t="n">
        <f aca="false">COUNTIFS('Product Rows'!$A$2:$A$696,B281,'Product Rows'!$B$2:$B$696,C281)</f>
        <v>6</v>
      </c>
      <c r="K281" s="5" t="n">
        <f aca="false">COUNTIFS('Product Rows'!$A$2:$A$696,B281,'Product Rows'!$B$2:$B$696,C281,'Product Rows'!$G$2:$G$696,"Vial")</f>
        <v>6</v>
      </c>
      <c r="L281" s="5" t="n">
        <f aca="false">COUNTIFS('Product Rows'!$A$2:$A$696,B281,'Product Rows'!$B$2:$B$696,C281,'Product Rows'!$G$2:$G$696,"Ampoule")</f>
        <v>0</v>
      </c>
      <c r="M281" s="5" t="n">
        <f aca="false">COUNTIFS('Product Rows'!$A$2:$A$696,B281,'Product Rows'!$B$2:$B$696,C281,'Product Rows'!$G$2:$G$696,"Prefilled syringe/pen")</f>
        <v>0</v>
      </c>
      <c r="N281" s="6" t="n">
        <f aca="false">IFERROR(AVERAGEIFS('Product Rows'!$H$2:$H$696,'Product Rows'!$A$2:$A$696,B281,'Product Rows'!$B$2:$B$696,C281),"")</f>
        <v>8.84</v>
      </c>
      <c r="O281" s="7" t="n">
        <f aca="false">INDEX('API Data'!$E$2:$E$152,MATCH(B281,'API Data'!$A$2:$A$152,0))</f>
        <v>8072.59</v>
      </c>
      <c r="P281" s="5" t="n">
        <f aca="false">COUNTIF($B$5:$B$337,B281)</f>
        <v>1</v>
      </c>
      <c r="Q281" s="8" t="n">
        <f aca="false">IF(ISNUMBER(I281),PERCENTRANK($I$5:$I$337,I281),"")</f>
        <v>0.157</v>
      </c>
      <c r="R281" s="8" t="n">
        <f aca="false">IF(ISNUMBER(N281),PERCENTRANK($N$5:$N$337,N281),"")</f>
        <v>0.165</v>
      </c>
      <c r="S281" s="8" t="n">
        <f aca="false">IF(ISNUMBER(O281),PERCENTRANK($O$5:$O$337,O281),"")</f>
        <v>0.672</v>
      </c>
      <c r="T281" s="8" t="n">
        <f aca="false">IF(ISNUMBER(P281),PERCENTRANK($P$5:$P$337,P281),"")</f>
        <v>0</v>
      </c>
      <c r="U281" s="9" t="n">
        <f aca="false">IF((IF(ISNUMBER(Q281),Inputs!$B$4,0)+IF(ISNUMBER(R281),Inputs!$B$5,0)+IF(ISNUMBER(S281),Inputs!$B$6,0)+IF(ISNUMBER(T281),Inputs!$B$7,0))=0,"",(IF(ISNUMBER(Q281),Inputs!$B$4*Q281,0)+IF(ISNUMBER(R281),Inputs!$B$5*R281,0)+IF(ISNUMBER(S281),Inputs!$B$6*S281,0)+IF(ISNUMBER(T281),Inputs!$B$7*T281,0))/(IF(ISNUMBER(Q281),Inputs!$B$4,0)+IF(ISNUMBER(R281),Inputs!$B$5,0)+IF(ISNUMBER(S281),Inputs!$B$6,0)+IF(ISNUMBER(T281),Inputs!$B$7,0)))</f>
        <v>0.4185</v>
      </c>
      <c r="V281" s="5" t="str">
        <f aca="false">IF(F281&gt;0,"Yes","No")</f>
        <v>Yes</v>
      </c>
      <c r="W281" s="5" t="str">
        <f aca="false">IF(ISNUMBER(N281),IF(N281&gt;=Inputs!$D$18,"Yes","No"),"No price")</f>
        <v>Yes</v>
      </c>
      <c r="X281" s="5" t="str">
        <f aca="false">IF(K281+L281&gt;0,"Yes",IF(M281&gt;0,"No","Unclear"))</f>
        <v>Yes</v>
      </c>
      <c r="Y281" s="5" t="str">
        <f aca="false">INDEX('API Data'!$H$2:$H$152,MATCH(B281,'API Data'!$A$2:$A$152,0))</f>
        <v>No</v>
      </c>
      <c r="Z281" s="5" t="str">
        <f aca="false">IF(COUNTIFS('Product Rows'!$A$2:$A$696,B281,'Product Rows'!$B$2:$B$696,C281,'Product Rows'!$I$2:$I$696,"Yes")&gt;0,"Yes","No")</f>
        <v>No</v>
      </c>
      <c r="AA281" s="5" t="str">
        <f aca="false">IF(P281&gt;=Inputs!$D$22,"Yes","No")</f>
        <v>No</v>
      </c>
      <c r="AB281" s="10" t="b">
        <f aca="false">AND(OR(Inputs!$B$17&lt;&gt;"Exclude",V281="Yes"),OR(Inputs!$B$18&lt;&gt;"Exclude",W281&lt;&gt;"No"),OR(Inputs!$B$19&lt;&gt;"Exclude",X281&lt;&gt;"No"),OR(Inputs!$B$20&lt;&gt;"Exclude",Y281="No"),OR(Inputs!$B$21&lt;&gt;"Exclude",Z281="No"),OR(Inputs!$B$22&lt;&gt;"Exclude",AA281="Yes"),ISNUMBER(U281))</f>
        <v>1</v>
      </c>
      <c r="AC281" s="5" t="n">
        <f aca="false">IF(AB281,COUNTIFS($C$5:$C$337,C281,$AB$5:$AB$337,TRUE(),$U$5:$U$337,"&gt;"&amp;U281)+COUNTIFS($C$5:C281,C281,$AB$5:AB281,TRUE(),$U$5:U281,U281),"")</f>
        <v>34</v>
      </c>
      <c r="AD281" s="5" t="str">
        <f aca="false">IF(AC281="","Not eligible",IF(AC281&lt;=Inputs!$B$25,"Lead",IF(AC281&lt;=Inputs!$B$25+Inputs!$B$26,"Next wave","Long list")))</f>
        <v>Long list</v>
      </c>
      <c r="AE281" s="5" t="str">
        <f aca="false">IF(AND(K281+L281=0,M281&gt;0),"Safety upgrade of existing prefilled syringe",IF(K281+L281+M281=0,"Confirm presentation (not stated in source)",IF(AA281="Yes","Differentiation in crowded generic market","Safety-device mandate compliance")))</f>
        <v>Safety-device mandate compliance</v>
      </c>
      <c r="AF281" s="5" t="str">
        <f aca="false">IF(AC281="","",C281&amp;"|"&amp;AC281)</f>
        <v>Aurobindo Pharma|34</v>
      </c>
    </row>
    <row r="282" customFormat="false" ht="15" hidden="false" customHeight="false" outlineLevel="0" collapsed="false">
      <c r="A282" s="5" t="n">
        <f aca="false">IF(ISNUMBER(U282),RANK(U282,$U$5:$U$337),"")</f>
        <v>170</v>
      </c>
      <c r="B282" s="5" t="s">
        <v>179</v>
      </c>
      <c r="C282" s="5" t="s">
        <v>47</v>
      </c>
      <c r="D282" s="5" t="str">
        <f aca="false">INDEX('API Data'!$B$2:$B$152,MATCH(B282,'API Data'!$A$2:$A$152,0))</f>
        <v>Cardiovascular – pulmonary arterial hypertension (IV)</v>
      </c>
      <c r="E282" s="5" t="n">
        <f aca="false">COUNTIFS('Market Listing'!$A$2:$A$4054,B282,'Market Listing'!$B$2:$B$4054,C282)</f>
        <v>1</v>
      </c>
      <c r="F282" s="5" t="n">
        <f aca="false">COUNTIFS('Market Listing'!$A$2:$A$4054,B282,'Market Listing'!$B$2:$B$4054,C282,'Market Listing'!$D$2:$D$4054,"Tier 1")</f>
        <v>1</v>
      </c>
      <c r="G282" s="5" t="n">
        <f aca="false">COUNTIFS('Market Listing'!$A$2:$A$4054,B282,'Market Listing'!$B$2:$B$4054,C282,'Market Listing'!$D$2:$D$4054,"Tier 2")</f>
        <v>0</v>
      </c>
      <c r="H282" s="5" t="n">
        <f aca="false">COUNTIFS('Market Listing'!$A$2:$A$4054,B282,'Market Listing'!$B$2:$B$4054,C282,'Market Listing'!$D$2:$D$4054,"Tier 3")</f>
        <v>0</v>
      </c>
      <c r="I282" s="5" t="n">
        <f aca="false">SUMIFS('Market Listing'!$E$2:$E$4054,'Market Listing'!$A$2:$A$4054,B282,'Market Listing'!$B$2:$B$4054,C282)</f>
        <v>3</v>
      </c>
      <c r="J282" s="5" t="n">
        <f aca="false">COUNTIFS('Product Rows'!$A$2:$A$696,B282,'Product Rows'!$B$2:$B$696,C282)</f>
        <v>1</v>
      </c>
      <c r="K282" s="5" t="n">
        <f aca="false">COUNTIFS('Product Rows'!$A$2:$A$696,B282,'Product Rows'!$B$2:$B$696,C282,'Product Rows'!$G$2:$G$696,"Vial")</f>
        <v>1</v>
      </c>
      <c r="L282" s="5" t="n">
        <f aca="false">COUNTIFS('Product Rows'!$A$2:$A$696,B282,'Product Rows'!$B$2:$B$696,C282,'Product Rows'!$G$2:$G$696,"Ampoule")</f>
        <v>0</v>
      </c>
      <c r="M282" s="5" t="n">
        <f aca="false">COUNTIFS('Product Rows'!$A$2:$A$696,B282,'Product Rows'!$B$2:$B$696,C282,'Product Rows'!$G$2:$G$696,"Prefilled syringe/pen")</f>
        <v>0</v>
      </c>
      <c r="N282" s="6" t="n">
        <f aca="false">IFERROR(AVERAGEIFS('Product Rows'!$H$2:$H$696,'Product Rows'!$A$2:$A$696,B282,'Product Rows'!$B$2:$B$696,C282),"")</f>
        <v>161.8</v>
      </c>
      <c r="O282" s="7" t="n">
        <f aca="false">INDEX('API Data'!$E$2:$E$152,MATCH(B282,'API Data'!$A$2:$A$152,0))</f>
        <v>755.030018479607</v>
      </c>
      <c r="P282" s="5" t="n">
        <f aca="false">COUNTIF($B$5:$B$337,B282)</f>
        <v>1</v>
      </c>
      <c r="Q282" s="8" t="n">
        <f aca="false">IF(ISNUMBER(I282),PERCENTRANK($I$5:$I$337,I282),"")</f>
        <v>0.157</v>
      </c>
      <c r="R282" s="8" t="n">
        <f aca="false">IF(ISNUMBER(N282),PERCENTRANK($N$5:$N$337,N282),"")</f>
        <v>0.806</v>
      </c>
      <c r="S282" s="8" t="n">
        <f aca="false">IF(ISNUMBER(O282),PERCENTRANK($O$5:$O$337,O282),"")</f>
        <v>0.136</v>
      </c>
      <c r="T282" s="8" t="n">
        <f aca="false">IF(ISNUMBER(P282),PERCENTRANK($P$5:$P$337,P282),"")</f>
        <v>0</v>
      </c>
      <c r="U282" s="9" t="n">
        <f aca="false">IF((IF(ISNUMBER(Q282),Inputs!$B$4,0)+IF(ISNUMBER(R282),Inputs!$B$5,0)+IF(ISNUMBER(S282),Inputs!$B$6,0)+IF(ISNUMBER(T282),Inputs!$B$7,0))=0,"",(IF(ISNUMBER(Q282),Inputs!$B$4*Q282,0)+IF(ISNUMBER(R282),Inputs!$B$5*R282,0)+IF(ISNUMBER(S282),Inputs!$B$6*S282,0)+IF(ISNUMBER(T282),Inputs!$B$7*T282,0))/(IF(ISNUMBER(Q282),Inputs!$B$4,0)+IF(ISNUMBER(R282),Inputs!$B$5,0)+IF(ISNUMBER(S282),Inputs!$B$6,0)+IF(ISNUMBER(T282),Inputs!$B$7,0)))</f>
        <v>0.471</v>
      </c>
      <c r="V282" s="5" t="str">
        <f aca="false">IF(F282&gt;0,"Yes","No")</f>
        <v>Yes</v>
      </c>
      <c r="W282" s="5" t="str">
        <f aca="false">IF(ISNUMBER(N282),IF(N282&gt;=Inputs!$D$18,"Yes","No"),"No price")</f>
        <v>Yes</v>
      </c>
      <c r="X282" s="5" t="str">
        <f aca="false">IF(K282+L282&gt;0,"Yes",IF(M282&gt;0,"No","Unclear"))</f>
        <v>Yes</v>
      </c>
      <c r="Y282" s="5" t="str">
        <f aca="false">INDEX('API Data'!$H$2:$H$152,MATCH(B282,'API Data'!$A$2:$A$152,0))</f>
        <v>No</v>
      </c>
      <c r="Z282" s="5" t="str">
        <f aca="false">IF(COUNTIFS('Product Rows'!$A$2:$A$696,B282,'Product Rows'!$B$2:$B$696,C282,'Product Rows'!$I$2:$I$696,"Yes")&gt;0,"Yes","No")</f>
        <v>No</v>
      </c>
      <c r="AA282" s="5" t="str">
        <f aca="false">IF(P282&gt;=Inputs!$D$22,"Yes","No")</f>
        <v>No</v>
      </c>
      <c r="AB282" s="10" t="b">
        <f aca="false">AND(OR(Inputs!$B$17&lt;&gt;"Exclude",V282="Yes"),OR(Inputs!$B$18&lt;&gt;"Exclude",W282&lt;&gt;"No"),OR(Inputs!$B$19&lt;&gt;"Exclude",X282&lt;&gt;"No"),OR(Inputs!$B$20&lt;&gt;"Exclude",Y282="No"),OR(Inputs!$B$21&lt;&gt;"Exclude",Z282="No"),OR(Inputs!$B$22&lt;&gt;"Exclude",AA282="Yes"),ISNUMBER(U282))</f>
        <v>1</v>
      </c>
      <c r="AC282" s="5" t="n">
        <f aca="false">IF(AB282,COUNTIFS($C$5:$C$337,C282,$AB$5:$AB$337,TRUE(),$U$5:$U$337,"&gt;"&amp;U282)+COUNTIFS($C$5:C282,C282,$AB$5:AB282,TRUE(),$U$5:U282,U282),"")</f>
        <v>29</v>
      </c>
      <c r="AD282" s="5" t="str">
        <f aca="false">IF(AC282="","Not eligible",IF(AC282&lt;=Inputs!$B$25,"Lead",IF(AC282&lt;=Inputs!$B$25+Inputs!$B$26,"Next wave","Long list")))</f>
        <v>Long list</v>
      </c>
      <c r="AE282" s="5" t="str">
        <f aca="false">IF(AND(K282+L282=0,M282&gt;0),"Safety upgrade of existing prefilled syringe",IF(K282+L282+M282=0,"Confirm presentation (not stated in source)",IF(AA282="Yes","Differentiation in crowded generic market","Safety-device mandate compliance")))</f>
        <v>Safety-device mandate compliance</v>
      </c>
      <c r="AF282" s="5" t="str">
        <f aca="false">IF(AC282="","",C282&amp;"|"&amp;AC282)</f>
        <v>Aurobindo Pharma|29</v>
      </c>
    </row>
    <row r="283" customFormat="false" ht="15" hidden="false" customHeight="false" outlineLevel="0" collapsed="false">
      <c r="A283" s="5" t="n">
        <f aca="false">IF(ISNUMBER(U283),RANK(U283,$U$5:$U$337),"")</f>
        <v>276</v>
      </c>
      <c r="B283" s="5" t="s">
        <v>180</v>
      </c>
      <c r="C283" s="5" t="s">
        <v>57</v>
      </c>
      <c r="D283" s="5" t="str">
        <f aca="false">INDEX('API Data'!$B$2:$B$152,MATCH(B283,'API Data'!$A$2:$A$152,0))</f>
        <v>Critical care – metabolic acidosis, cardiac arrest, overdose</v>
      </c>
      <c r="E283" s="5" t="n">
        <f aca="false">COUNTIFS('Market Listing'!$A$2:$A$4054,B283,'Market Listing'!$B$2:$B$4054,C283)</f>
        <v>1</v>
      </c>
      <c r="F283" s="5" t="n">
        <f aca="false">COUNTIFS('Market Listing'!$A$2:$A$4054,B283,'Market Listing'!$B$2:$B$4054,C283,'Market Listing'!$D$2:$D$4054,"Tier 1")</f>
        <v>1</v>
      </c>
      <c r="G283" s="5" t="n">
        <f aca="false">COUNTIFS('Market Listing'!$A$2:$A$4054,B283,'Market Listing'!$B$2:$B$4054,C283,'Market Listing'!$D$2:$D$4054,"Tier 2")</f>
        <v>0</v>
      </c>
      <c r="H283" s="5" t="n">
        <f aca="false">COUNTIFS('Market Listing'!$A$2:$A$4054,B283,'Market Listing'!$B$2:$B$4054,C283,'Market Listing'!$D$2:$D$4054,"Tier 3")</f>
        <v>0</v>
      </c>
      <c r="I283" s="5" t="n">
        <f aca="false">SUMIFS('Market Listing'!$E$2:$E$4054,'Market Listing'!$A$2:$A$4054,B283,'Market Listing'!$B$2:$B$4054,C283)</f>
        <v>3</v>
      </c>
      <c r="J283" s="5" t="n">
        <f aca="false">COUNTIFS('Product Rows'!$A$2:$A$696,B283,'Product Rows'!$B$2:$B$696,C283)</f>
        <v>1</v>
      </c>
      <c r="K283" s="5" t="n">
        <f aca="false">COUNTIFS('Product Rows'!$A$2:$A$696,B283,'Product Rows'!$B$2:$B$696,C283,'Product Rows'!$G$2:$G$696,"Vial")</f>
        <v>1</v>
      </c>
      <c r="L283" s="5" t="n">
        <f aca="false">COUNTIFS('Product Rows'!$A$2:$A$696,B283,'Product Rows'!$B$2:$B$696,C283,'Product Rows'!$G$2:$G$696,"Ampoule")</f>
        <v>0</v>
      </c>
      <c r="M283" s="5" t="n">
        <f aca="false">COUNTIFS('Product Rows'!$A$2:$A$696,B283,'Product Rows'!$B$2:$B$696,C283,'Product Rows'!$G$2:$G$696,"Prefilled syringe/pen")</f>
        <v>0</v>
      </c>
      <c r="N283" s="6" t="n">
        <f aca="false">IFERROR(AVERAGEIFS('Product Rows'!$H$2:$H$696,'Product Rows'!$A$2:$A$696,B283,'Product Rows'!$B$2:$B$696,C283),"")</f>
        <v>6.53</v>
      </c>
      <c r="O283" s="7" t="n">
        <f aca="false">INDEX('API Data'!$E$2:$E$152,MATCH(B283,'API Data'!$A$2:$A$152,0))</f>
        <v>3633.28149516279</v>
      </c>
      <c r="P283" s="5" t="n">
        <f aca="false">COUNTIF($B$5:$B$337,B283)</f>
        <v>1</v>
      </c>
      <c r="Q283" s="8" t="n">
        <f aca="false">IF(ISNUMBER(I283),PERCENTRANK($I$5:$I$337,I283),"")</f>
        <v>0.157</v>
      </c>
      <c r="R283" s="8" t="n">
        <f aca="false">IF(ISNUMBER(N283),PERCENTRANK($N$5:$N$337,N283),"")</f>
        <v>0.0753</v>
      </c>
      <c r="S283" s="8" t="n">
        <f aca="false">IF(ISNUMBER(O283),PERCENTRANK($O$5:$O$337,O283),"")</f>
        <v>0.47</v>
      </c>
      <c r="T283" s="8" t="n">
        <f aca="false">IF(ISNUMBER(P283),PERCENTRANK($P$5:$P$337,P283),"")</f>
        <v>0</v>
      </c>
      <c r="U283" s="9" t="n">
        <f aca="false">IF((IF(ISNUMBER(Q283),Inputs!$B$4,0)+IF(ISNUMBER(R283),Inputs!$B$5,0)+IF(ISNUMBER(S283),Inputs!$B$6,0)+IF(ISNUMBER(T283),Inputs!$B$7,0))=0,"",(IF(ISNUMBER(Q283),Inputs!$B$4*Q283,0)+IF(ISNUMBER(R283),Inputs!$B$5*R283,0)+IF(ISNUMBER(S283),Inputs!$B$6*S283,0)+IF(ISNUMBER(T283),Inputs!$B$7*T283,0))/(IF(ISNUMBER(Q283),Inputs!$B$4,0)+IF(ISNUMBER(R283),Inputs!$B$5,0)+IF(ISNUMBER(S283),Inputs!$B$6,0)+IF(ISNUMBER(T283),Inputs!$B$7,0)))</f>
        <v>0.27265</v>
      </c>
      <c r="V283" s="5" t="str">
        <f aca="false">IF(F283&gt;0,"Yes","No")</f>
        <v>Yes</v>
      </c>
      <c r="W283" s="5" t="str">
        <f aca="false">IF(ISNUMBER(N283),IF(N283&gt;=Inputs!$D$18,"Yes","No"),"No price")</f>
        <v>Yes</v>
      </c>
      <c r="X283" s="5" t="str">
        <f aca="false">IF(K283+L283&gt;0,"Yes",IF(M283&gt;0,"No","Unclear"))</f>
        <v>Yes</v>
      </c>
      <c r="Y283" s="5" t="str">
        <f aca="false">INDEX('API Data'!$H$2:$H$152,MATCH(B283,'API Data'!$A$2:$A$152,0))</f>
        <v>No</v>
      </c>
      <c r="Z283" s="5" t="str">
        <f aca="false">IF(COUNTIFS('Product Rows'!$A$2:$A$696,B283,'Product Rows'!$B$2:$B$696,C283,'Product Rows'!$I$2:$I$696,"Yes")&gt;0,"Yes","No")</f>
        <v>No</v>
      </c>
      <c r="AA283" s="5" t="str">
        <f aca="false">IF(P283&gt;=Inputs!$D$22,"Yes","No")</f>
        <v>No</v>
      </c>
      <c r="AB283" s="10" t="b">
        <f aca="false">AND(OR(Inputs!$B$17&lt;&gt;"Exclude",V283="Yes"),OR(Inputs!$B$18&lt;&gt;"Exclude",W283&lt;&gt;"No"),OR(Inputs!$B$19&lt;&gt;"Exclude",X283&lt;&gt;"No"),OR(Inputs!$B$20&lt;&gt;"Exclude",Y283="No"),OR(Inputs!$B$21&lt;&gt;"Exclude",Z283="No"),OR(Inputs!$B$22&lt;&gt;"Exclude",AA283="Yes"),ISNUMBER(U283))</f>
        <v>1</v>
      </c>
      <c r="AC283" s="5" t="n">
        <f aca="false">IF(AB283,COUNTIFS($C$5:$C$337,C283,$AB$5:$AB$337,TRUE(),$U$5:$U$337,"&gt;"&amp;U283)+COUNTIFS($C$5:C283,C283,$AB$5:AB283,TRUE(),$U$5:U283,U283),"")</f>
        <v>19</v>
      </c>
      <c r="AD283" s="5" t="str">
        <f aca="false">IF(AC283="","Not eligible",IF(AC283&lt;=Inputs!$B$25,"Lead",IF(AC283&lt;=Inputs!$B$25+Inputs!$B$26,"Next wave","Long list")))</f>
        <v>Long list</v>
      </c>
      <c r="AE283" s="5" t="str">
        <f aca="false">IF(AND(K283+L283=0,M283&gt;0),"Safety upgrade of existing prefilled syringe",IF(K283+L283+M283=0,"Confirm presentation (not stated in source)",IF(AA283="Yes","Differentiation in crowded generic market","Safety-device mandate compliance")))</f>
        <v>Safety-device mandate compliance</v>
      </c>
      <c r="AF283" s="5" t="str">
        <f aca="false">IF(AC283="","",C283&amp;"|"&amp;AC283)</f>
        <v>Hetero Labs|19</v>
      </c>
    </row>
    <row r="284" customFormat="false" ht="15" hidden="false" customHeight="false" outlineLevel="0" collapsed="false">
      <c r="A284" s="5" t="n">
        <f aca="false">IF(ISNUMBER(U284),RANK(U284,$U$5:$U$337),"")</f>
        <v>165</v>
      </c>
      <c r="B284" s="5" t="s">
        <v>181</v>
      </c>
      <c r="C284" s="5" t="s">
        <v>38</v>
      </c>
      <c r="D284" s="5" t="str">
        <f aca="false">INDEX('API Data'!$B$2:$B$152,MATCH(B284,'API Data'!$A$2:$A$152,0))</f>
        <v>Neurology – epilepsy &amp; status epilepticus (when oral not possible)</v>
      </c>
      <c r="E284" s="5" t="n">
        <f aca="false">COUNTIFS('Market Listing'!$A$2:$A$4054,B284,'Market Listing'!$B$2:$B$4054,C284)</f>
        <v>32</v>
      </c>
      <c r="F284" s="5" t="n">
        <f aca="false">COUNTIFS('Market Listing'!$A$2:$A$4054,B284,'Market Listing'!$B$2:$B$4054,C284,'Market Listing'!$D$2:$D$4054,"Tier 1")</f>
        <v>6</v>
      </c>
      <c r="G284" s="5" t="n">
        <f aca="false">COUNTIFS('Market Listing'!$A$2:$A$4054,B284,'Market Listing'!$B$2:$B$4054,C284,'Market Listing'!$D$2:$D$4054,"Tier 2")</f>
        <v>4</v>
      </c>
      <c r="H284" s="5" t="n">
        <f aca="false">COUNTIFS('Market Listing'!$A$2:$A$4054,B284,'Market Listing'!$B$2:$B$4054,C284,'Market Listing'!$D$2:$D$4054,"Tier 3")</f>
        <v>22</v>
      </c>
      <c r="I284" s="5" t="n">
        <f aca="false">SUMIFS('Market Listing'!$E$2:$E$4054,'Market Listing'!$A$2:$A$4054,B284,'Market Listing'!$B$2:$B$4054,C284)</f>
        <v>48</v>
      </c>
      <c r="J284" s="5" t="n">
        <f aca="false">COUNTIFS('Product Rows'!$A$2:$A$696,B284,'Product Rows'!$B$2:$B$696,C284)</f>
        <v>4</v>
      </c>
      <c r="K284" s="5" t="n">
        <f aca="false">COUNTIFS('Product Rows'!$A$2:$A$696,B284,'Product Rows'!$B$2:$B$696,C284,'Product Rows'!$G$2:$G$696,"Vial")</f>
        <v>1</v>
      </c>
      <c r="L284" s="5" t="n">
        <f aca="false">COUNTIFS('Product Rows'!$A$2:$A$696,B284,'Product Rows'!$B$2:$B$696,C284,'Product Rows'!$G$2:$G$696,"Ampoule")</f>
        <v>3</v>
      </c>
      <c r="M284" s="5" t="n">
        <f aca="false">COUNTIFS('Product Rows'!$A$2:$A$696,B284,'Product Rows'!$B$2:$B$696,C284,'Product Rows'!$G$2:$G$696,"Prefilled syringe/pen")</f>
        <v>0</v>
      </c>
      <c r="N284" s="6" t="n">
        <f aca="false">IFERROR(AVERAGEIFS('Product Rows'!$H$2:$H$696,'Product Rows'!$A$2:$A$696,B284,'Product Rows'!$B$2:$B$696,C284),"")</f>
        <v>33.7122666666667</v>
      </c>
      <c r="O284" s="7" t="n">
        <f aca="false">INDEX('API Data'!$E$2:$E$152,MATCH(B284,'API Data'!$A$2:$A$152,0))</f>
        <v>3562.44935403155</v>
      </c>
      <c r="P284" s="5" t="n">
        <f aca="false">COUNTIF($B$5:$B$337,B284)</f>
        <v>1</v>
      </c>
      <c r="Q284" s="8" t="n">
        <f aca="false">IF(ISNUMBER(I284),PERCENTRANK($I$5:$I$337,I284),"")</f>
        <v>0.916</v>
      </c>
      <c r="R284" s="8" t="n">
        <f aca="false">IF(ISNUMBER(N284),PERCENTRANK($N$5:$N$337,N284),"")</f>
        <v>0.523</v>
      </c>
      <c r="S284" s="8" t="n">
        <f aca="false">IF(ISNUMBER(O284),PERCENTRANK($O$5:$O$337,O284),"")</f>
        <v>0.449</v>
      </c>
      <c r="T284" s="8" t="n">
        <f aca="false">IF(ISNUMBER(P284),PERCENTRANK($P$5:$P$337,P284),"")</f>
        <v>0</v>
      </c>
      <c r="U284" s="9" t="n">
        <f aca="false">IF((IF(ISNUMBER(Q284),Inputs!$B$4,0)+IF(ISNUMBER(R284),Inputs!$B$5,0)+IF(ISNUMBER(S284),Inputs!$B$6,0)+IF(ISNUMBER(T284),Inputs!$B$7,0))=0,"",(IF(ISNUMBER(Q284),Inputs!$B$4*Q284,0)+IF(ISNUMBER(R284),Inputs!$B$5*R284,0)+IF(ISNUMBER(S284),Inputs!$B$6*S284,0)+IF(ISNUMBER(T284),Inputs!$B$7*T284,0))/(IF(ISNUMBER(Q284),Inputs!$B$4,0)+IF(ISNUMBER(R284),Inputs!$B$5,0)+IF(ISNUMBER(S284),Inputs!$B$6,0)+IF(ISNUMBER(T284),Inputs!$B$7,0)))</f>
        <v>0.486</v>
      </c>
      <c r="V284" s="5" t="str">
        <f aca="false">IF(F284&gt;0,"Yes","No")</f>
        <v>Yes</v>
      </c>
      <c r="W284" s="5" t="str">
        <f aca="false">IF(ISNUMBER(N284),IF(N284&gt;=Inputs!$D$18,"Yes","No"),"No price")</f>
        <v>Yes</v>
      </c>
      <c r="X284" s="5" t="str">
        <f aca="false">IF(K284+L284&gt;0,"Yes",IF(M284&gt;0,"No","Unclear"))</f>
        <v>Yes</v>
      </c>
      <c r="Y284" s="5" t="str">
        <f aca="false">INDEX('API Data'!$H$2:$H$152,MATCH(B284,'API Data'!$A$2:$A$152,0))</f>
        <v>No</v>
      </c>
      <c r="Z284" s="5" t="str">
        <f aca="false">IF(COUNTIFS('Product Rows'!$A$2:$A$696,B284,'Product Rows'!$B$2:$B$696,C284,'Product Rows'!$I$2:$I$696,"Yes")&gt;0,"Yes","No")</f>
        <v>No</v>
      </c>
      <c r="AA284" s="5" t="str">
        <f aca="false">IF(P284&gt;=Inputs!$D$22,"Yes","No")</f>
        <v>No</v>
      </c>
      <c r="AB284" s="10" t="b">
        <f aca="false">AND(OR(Inputs!$B$17&lt;&gt;"Exclude",V284="Yes"),OR(Inputs!$B$18&lt;&gt;"Exclude",W284&lt;&gt;"No"),OR(Inputs!$B$19&lt;&gt;"Exclude",X284&lt;&gt;"No"),OR(Inputs!$B$20&lt;&gt;"Exclude",Y284="No"),OR(Inputs!$B$21&lt;&gt;"Exclude",Z284="No"),OR(Inputs!$B$22&lt;&gt;"Exclude",AA284="Yes"),ISNUMBER(U284))</f>
        <v>1</v>
      </c>
      <c r="AC284" s="5" t="n">
        <f aca="false">IF(AB284,COUNTIFS($C$5:$C$337,C284,$AB$5:$AB$337,TRUE(),$U$5:$U$337,"&gt;"&amp;U284)+COUNTIFS($C$5:C284,C284,$AB$5:AB284,TRUE(),$U$5:U284,U284),"")</f>
        <v>5</v>
      </c>
      <c r="AD284" s="5" t="str">
        <f aca="false">IF(AC284="","Not eligible",IF(AC284&lt;=Inputs!$B$25,"Lead",IF(AC284&lt;=Inputs!$B$25+Inputs!$B$26,"Next wave","Long list")))</f>
        <v>Lead</v>
      </c>
      <c r="AE284" s="5" t="str">
        <f aca="false">IF(AND(K284+L284=0,M284&gt;0),"Safety upgrade of existing prefilled syringe",IF(K284+L284+M284=0,"Confirm presentation (not stated in source)",IF(AA284="Yes","Differentiation in crowded generic market","Safety-device mandate compliance")))</f>
        <v>Safety-device mandate compliance</v>
      </c>
      <c r="AF284" s="5" t="str">
        <f aca="false">IF(AC284="","",C284&amp;"|"&amp;AC284)</f>
        <v>Wockhardt|5</v>
      </c>
    </row>
    <row r="285" customFormat="false" ht="15" hidden="false" customHeight="false" outlineLevel="0" collapsed="false">
      <c r="A285" s="5" t="n">
        <f aca="false">IF(ISNUMBER(U285),RANK(U285,$U$5:$U$337),"")</f>
        <v>168</v>
      </c>
      <c r="B285" s="5" t="s">
        <v>182</v>
      </c>
      <c r="C285" s="5" t="s">
        <v>54</v>
      </c>
      <c r="D285" s="5" t="str">
        <f aca="false">INDEX('API Data'!$B$2:$B$152,MATCH(B285,'API Data'!$A$2:$A$152,0))</f>
        <v>Cardiovascular – clot-buster for heart attack (STEMI), pulmonary embolism</v>
      </c>
      <c r="E285" s="5" t="n">
        <f aca="false">COUNTIFS('Market Listing'!$A$2:$A$4054,B285,'Market Listing'!$B$2:$B$4054,C285)</f>
        <v>1</v>
      </c>
      <c r="F285" s="5" t="n">
        <f aca="false">COUNTIFS('Market Listing'!$A$2:$A$4054,B285,'Market Listing'!$B$2:$B$4054,C285,'Market Listing'!$D$2:$D$4054,"Tier 1")</f>
        <v>0</v>
      </c>
      <c r="G285" s="5" t="n">
        <f aca="false">COUNTIFS('Market Listing'!$A$2:$A$4054,B285,'Market Listing'!$B$2:$B$4054,C285,'Market Listing'!$D$2:$D$4054,"Tier 2")</f>
        <v>1</v>
      </c>
      <c r="H285" s="5" t="n">
        <f aca="false">COUNTIFS('Market Listing'!$A$2:$A$4054,B285,'Market Listing'!$B$2:$B$4054,C285,'Market Listing'!$D$2:$D$4054,"Tier 3")</f>
        <v>0</v>
      </c>
      <c r="I285" s="5" t="n">
        <f aca="false">SUMIFS('Market Listing'!$E$2:$E$4054,'Market Listing'!$A$2:$A$4054,B285,'Market Listing'!$B$2:$B$4054,C285)</f>
        <v>2</v>
      </c>
      <c r="J285" s="5" t="n">
        <f aca="false">COUNTIFS('Product Rows'!$A$2:$A$696,B285,'Product Rows'!$B$2:$B$696,C285)</f>
        <v>2</v>
      </c>
      <c r="K285" s="5" t="n">
        <f aca="false">COUNTIFS('Product Rows'!$A$2:$A$696,B285,'Product Rows'!$B$2:$B$696,C285,'Product Rows'!$G$2:$G$696,"Vial")</f>
        <v>2</v>
      </c>
      <c r="L285" s="5" t="n">
        <f aca="false">COUNTIFS('Product Rows'!$A$2:$A$696,B285,'Product Rows'!$B$2:$B$696,C285,'Product Rows'!$G$2:$G$696,"Ampoule")</f>
        <v>0</v>
      </c>
      <c r="M285" s="5" t="n">
        <f aca="false">COUNTIFS('Product Rows'!$A$2:$A$696,B285,'Product Rows'!$B$2:$B$696,C285,'Product Rows'!$G$2:$G$696,"Prefilled syringe/pen")</f>
        <v>0</v>
      </c>
      <c r="N285" s="6" t="n">
        <f aca="false">IFERROR(AVERAGEIFS('Product Rows'!$H$2:$H$696,'Product Rows'!$A$2:$A$696,B285,'Product Rows'!$B$2:$B$696,C285),"")</f>
        <v>218.085</v>
      </c>
      <c r="O285" s="7" t="n">
        <f aca="false">INDEX('API Data'!$E$2:$E$152,MATCH(B285,'API Data'!$A$2:$A$152,0))</f>
        <v>484.644444444444</v>
      </c>
      <c r="P285" s="5" t="n">
        <f aca="false">COUNTIF($B$5:$B$337,B285)</f>
        <v>1</v>
      </c>
      <c r="Q285" s="8" t="n">
        <f aca="false">IF(ISNUMBER(I285),PERCENTRANK($I$5:$I$337,I285),"")</f>
        <v>0</v>
      </c>
      <c r="R285" s="8" t="n">
        <f aca="false">IF(ISNUMBER(N285),PERCENTRANK($N$5:$N$337,N285),"")</f>
        <v>0.846</v>
      </c>
      <c r="S285" s="8" t="n">
        <f aca="false">IF(ISNUMBER(O285),PERCENTRANK($O$5:$O$337,O285),"")</f>
        <v>0.102</v>
      </c>
      <c r="T285" s="8" t="n">
        <f aca="false">IF(ISNUMBER(P285),PERCENTRANK($P$5:$P$337,P285),"")</f>
        <v>0</v>
      </c>
      <c r="U285" s="9" t="n">
        <f aca="false">IF((IF(ISNUMBER(Q285),Inputs!$B$4,0)+IF(ISNUMBER(R285),Inputs!$B$5,0)+IF(ISNUMBER(S285),Inputs!$B$6,0)+IF(ISNUMBER(T285),Inputs!$B$7,0))=0,"",(IF(ISNUMBER(Q285),Inputs!$B$4*Q285,0)+IF(ISNUMBER(R285),Inputs!$B$5*R285,0)+IF(ISNUMBER(S285),Inputs!$B$6*S285,0)+IF(ISNUMBER(T285),Inputs!$B$7*T285,0))/(IF(ISNUMBER(Q285),Inputs!$B$4,0)+IF(ISNUMBER(R285),Inputs!$B$5,0)+IF(ISNUMBER(S285),Inputs!$B$6,0)+IF(ISNUMBER(T285),Inputs!$B$7,0)))</f>
        <v>0.474</v>
      </c>
      <c r="V285" s="5" t="str">
        <f aca="false">IF(F285&gt;0,"Yes","No")</f>
        <v>No</v>
      </c>
      <c r="W285" s="5" t="str">
        <f aca="false">IF(ISNUMBER(N285),IF(N285&gt;=Inputs!$D$18,"Yes","No"),"No price")</f>
        <v>Yes</v>
      </c>
      <c r="X285" s="5" t="str">
        <f aca="false">IF(K285+L285&gt;0,"Yes",IF(M285&gt;0,"No","Unclear"))</f>
        <v>Yes</v>
      </c>
      <c r="Y285" s="5" t="str">
        <f aca="false">INDEX('API Data'!$H$2:$H$152,MATCH(B285,'API Data'!$A$2:$A$152,0))</f>
        <v>No</v>
      </c>
      <c r="Z285" s="5" t="str">
        <f aca="false">IF(COUNTIFS('Product Rows'!$A$2:$A$696,B285,'Product Rows'!$B$2:$B$696,C285,'Product Rows'!$I$2:$I$696,"Yes")&gt;0,"Yes","No")</f>
        <v>Yes</v>
      </c>
      <c r="AA285" s="5" t="str">
        <f aca="false">IF(P285&gt;=Inputs!$D$22,"Yes","No")</f>
        <v>No</v>
      </c>
      <c r="AB285" s="10" t="b">
        <f aca="false">AND(OR(Inputs!$B$17&lt;&gt;"Exclude",V285="Yes"),OR(Inputs!$B$18&lt;&gt;"Exclude",W285&lt;&gt;"No"),OR(Inputs!$B$19&lt;&gt;"Exclude",X285&lt;&gt;"No"),OR(Inputs!$B$20&lt;&gt;"Exclude",Y285="No"),OR(Inputs!$B$21&lt;&gt;"Exclude",Z285="No"),OR(Inputs!$B$22&lt;&gt;"Exclude",AA285="Yes"),ISNUMBER(U285))</f>
        <v>0</v>
      </c>
      <c r="AC285" s="5" t="str">
        <f aca="false">IF(AB285,COUNTIFS($C$5:$C$337,C285,$AB$5:$AB$337,TRUE(),$U$5:$U$337,"&gt;"&amp;U285)+COUNTIFS($C$5:C285,C285,$AB$5:AB285,TRUE(),$U$5:U285,U285),"")</f>
        <v/>
      </c>
      <c r="AD285" s="5" t="str">
        <f aca="false">IF(AC285="","Not eligible",IF(AC285&lt;=Inputs!$B$25,"Lead",IF(AC285&lt;=Inputs!$B$25+Inputs!$B$26,"Next wave","Long list")))</f>
        <v>Not eligible</v>
      </c>
      <c r="AE285" s="5" t="str">
        <f aca="false">IF(AND(K285+L285=0,M285&gt;0),"Safety upgrade of existing prefilled syringe",IF(K285+L285+M285=0,"Confirm presentation (not stated in source)",IF(AA285="Yes","Differentiation in crowded generic market","Safety-device mandate compliance")))</f>
        <v>Safety-device mandate compliance</v>
      </c>
      <c r="AF285" s="5" t="str">
        <f aca="false">IF(AC285="","",C285&amp;"|"&amp;AC285)</f>
        <v/>
      </c>
    </row>
    <row r="286" customFormat="false" ht="15" hidden="false" customHeight="false" outlineLevel="0" collapsed="false">
      <c r="A286" s="5" t="n">
        <f aca="false">IF(ISNUMBER(U286),RANK(U286,$U$5:$U$337),"")</f>
        <v>213</v>
      </c>
      <c r="B286" s="5" t="s">
        <v>183</v>
      </c>
      <c r="C286" s="5" t="s">
        <v>55</v>
      </c>
      <c r="D286" s="5" t="str">
        <f aca="false">INDEX('API Data'!$B$2:$B$152,MATCH(B286,'API Data'!$A$2:$A$152,0))</f>
        <v>Anaesthesia – rapid-sequence intubation (muscle relaxant)</v>
      </c>
      <c r="E286" s="5" t="n">
        <f aca="false">COUNTIFS('Market Listing'!$A$2:$A$4054,B286,'Market Listing'!$B$2:$B$4054,C286)</f>
        <v>2</v>
      </c>
      <c r="F286" s="5" t="n">
        <f aca="false">COUNTIFS('Market Listing'!$A$2:$A$4054,B286,'Market Listing'!$B$2:$B$4054,C286,'Market Listing'!$D$2:$D$4054,"Tier 1")</f>
        <v>2</v>
      </c>
      <c r="G286" s="5" t="n">
        <f aca="false">COUNTIFS('Market Listing'!$A$2:$A$4054,B286,'Market Listing'!$B$2:$B$4054,C286,'Market Listing'!$D$2:$D$4054,"Tier 2")</f>
        <v>0</v>
      </c>
      <c r="H286" s="5" t="n">
        <f aca="false">COUNTIFS('Market Listing'!$A$2:$A$4054,B286,'Market Listing'!$B$2:$B$4054,C286,'Market Listing'!$D$2:$D$4054,"Tier 3")</f>
        <v>0</v>
      </c>
      <c r="I286" s="5" t="n">
        <f aca="false">SUMIFS('Market Listing'!$E$2:$E$4054,'Market Listing'!$A$2:$A$4054,B286,'Market Listing'!$B$2:$B$4054,C286)</f>
        <v>6</v>
      </c>
      <c r="J286" s="5" t="n">
        <f aca="false">COUNTIFS('Product Rows'!$A$2:$A$696,B286,'Product Rows'!$B$2:$B$696,C286)</f>
        <v>2</v>
      </c>
      <c r="K286" s="5" t="n">
        <f aca="false">COUNTIFS('Product Rows'!$A$2:$A$696,B286,'Product Rows'!$B$2:$B$696,C286,'Product Rows'!$G$2:$G$696,"Vial")</f>
        <v>2</v>
      </c>
      <c r="L286" s="5" t="n">
        <f aca="false">COUNTIFS('Product Rows'!$A$2:$A$696,B286,'Product Rows'!$B$2:$B$696,C286,'Product Rows'!$G$2:$G$696,"Ampoule")</f>
        <v>0</v>
      </c>
      <c r="M286" s="5" t="n">
        <f aca="false">COUNTIFS('Product Rows'!$A$2:$A$696,B286,'Product Rows'!$B$2:$B$696,C286,'Product Rows'!$G$2:$G$696,"Prefilled syringe/pen")</f>
        <v>0</v>
      </c>
      <c r="N286" s="6" t="n">
        <f aca="false">IFERROR(AVERAGEIFS('Product Rows'!$H$2:$H$696,'Product Rows'!$A$2:$A$696,B286,'Product Rows'!$B$2:$B$696,C286),"")</f>
        <v>22.7605</v>
      </c>
      <c r="O286" s="7" t="n">
        <f aca="false">INDEX('API Data'!$E$2:$E$152,MATCH(B286,'API Data'!$A$2:$A$152,0))</f>
        <v>3067.39</v>
      </c>
      <c r="P286" s="5" t="n">
        <f aca="false">COUNTIF($B$5:$B$337,B286)</f>
        <v>5</v>
      </c>
      <c r="Q286" s="8" t="n">
        <f aca="false">IF(ISNUMBER(I286),PERCENTRANK($I$5:$I$337,I286),"")</f>
        <v>0.551</v>
      </c>
      <c r="R286" s="8" t="n">
        <f aca="false">IF(ISNUMBER(N286),PERCENTRANK($N$5:$N$337,N286),"")</f>
        <v>0.405</v>
      </c>
      <c r="S286" s="8" t="n">
        <f aca="false">IF(ISNUMBER(O286),PERCENTRANK($O$5:$O$337,O286),"")</f>
        <v>0.419</v>
      </c>
      <c r="T286" s="8" t="n">
        <f aca="false">IF(ISNUMBER(P286),PERCENTRANK($P$5:$P$337,P286),"")</f>
        <v>0.702</v>
      </c>
      <c r="U286" s="9" t="n">
        <f aca="false">IF((IF(ISNUMBER(Q286),Inputs!$B$4,0)+IF(ISNUMBER(R286),Inputs!$B$5,0)+IF(ISNUMBER(S286),Inputs!$B$6,0)+IF(ISNUMBER(T286),Inputs!$B$7,0))=0,"",(IF(ISNUMBER(Q286),Inputs!$B$4*Q286,0)+IF(ISNUMBER(R286),Inputs!$B$5*R286,0)+IF(ISNUMBER(S286),Inputs!$B$6*S286,0)+IF(ISNUMBER(T286),Inputs!$B$7*T286,0))/(IF(ISNUMBER(Q286),Inputs!$B$4,0)+IF(ISNUMBER(R286),Inputs!$B$5,0)+IF(ISNUMBER(S286),Inputs!$B$6,0)+IF(ISNUMBER(T286),Inputs!$B$7,0)))</f>
        <v>0.412</v>
      </c>
      <c r="V286" s="5" t="str">
        <f aca="false">IF(F286&gt;0,"Yes","No")</f>
        <v>Yes</v>
      </c>
      <c r="W286" s="5" t="str">
        <f aca="false">IF(ISNUMBER(N286),IF(N286&gt;=Inputs!$D$18,"Yes","No"),"No price")</f>
        <v>Yes</v>
      </c>
      <c r="X286" s="5" t="str">
        <f aca="false">IF(K286+L286&gt;0,"Yes",IF(M286&gt;0,"No","Unclear"))</f>
        <v>Yes</v>
      </c>
      <c r="Y286" s="5" t="str">
        <f aca="false">INDEX('API Data'!$H$2:$H$152,MATCH(B286,'API Data'!$A$2:$A$152,0))</f>
        <v>No</v>
      </c>
      <c r="Z286" s="5" t="str">
        <f aca="false">IF(COUNTIFS('Product Rows'!$A$2:$A$696,B286,'Product Rows'!$B$2:$B$696,C286,'Product Rows'!$I$2:$I$696,"Yes")&gt;0,"Yes","No")</f>
        <v>No</v>
      </c>
      <c r="AA286" s="5" t="str">
        <f aca="false">IF(P286&gt;=Inputs!$D$22,"Yes","No")</f>
        <v>Yes</v>
      </c>
      <c r="AB286" s="10" t="b">
        <f aca="false">AND(OR(Inputs!$B$17&lt;&gt;"Exclude",V286="Yes"),OR(Inputs!$B$18&lt;&gt;"Exclude",W286&lt;&gt;"No"),OR(Inputs!$B$19&lt;&gt;"Exclude",X286&lt;&gt;"No"),OR(Inputs!$B$20&lt;&gt;"Exclude",Y286="No"),OR(Inputs!$B$21&lt;&gt;"Exclude",Z286="No"),OR(Inputs!$B$22&lt;&gt;"Exclude",AA286="Yes"),ISNUMBER(U286))</f>
        <v>1</v>
      </c>
      <c r="AC286" s="5" t="n">
        <f aca="false">IF(AB286,COUNTIFS($C$5:$C$337,C286,$AB$5:$AB$337,TRUE(),$U$5:$U$337,"&gt;"&amp;U286)+COUNTIFS($C$5:C286,C286,$AB$5:AB286,TRUE(),$U$5:U286,U286),"")</f>
        <v>15</v>
      </c>
      <c r="AD286" s="5" t="str">
        <f aca="false">IF(AC286="","Not eligible",IF(AC286&lt;=Inputs!$B$25,"Lead",IF(AC286&lt;=Inputs!$B$25+Inputs!$B$26,"Next wave","Long list")))</f>
        <v>Long list</v>
      </c>
      <c r="AE286" s="5" t="str">
        <f aca="false">IF(AND(K286+L286=0,M286&gt;0),"Safety upgrade of existing prefilled syringe",IF(K286+L286+M286=0,"Confirm presentation (not stated in source)",IF(AA286="Yes","Differentiation in crowded generic market","Safety-device mandate compliance")))</f>
        <v>Differentiation in crowded generic market</v>
      </c>
      <c r="AF286" s="5" t="str">
        <f aca="false">IF(AC286="","",C286&amp;"|"&amp;AC286)</f>
        <v>Dr. Reddy's Laboratories|15</v>
      </c>
    </row>
    <row r="287" customFormat="false" ht="15" hidden="false" customHeight="false" outlineLevel="0" collapsed="false">
      <c r="A287" s="5" t="n">
        <f aca="false">IF(ISNUMBER(U287),RANK(U287,$U$5:$U$337),"")</f>
        <v>204</v>
      </c>
      <c r="B287" s="5" t="s">
        <v>183</v>
      </c>
      <c r="C287" s="5" t="s">
        <v>57</v>
      </c>
      <c r="D287" s="5" t="str">
        <f aca="false">INDEX('API Data'!$B$2:$B$152,MATCH(B287,'API Data'!$A$2:$A$152,0))</f>
        <v>Anaesthesia – rapid-sequence intubation (muscle relaxant)</v>
      </c>
      <c r="E287" s="5" t="n">
        <f aca="false">COUNTIFS('Market Listing'!$A$2:$A$4054,B287,'Market Listing'!$B$2:$B$4054,C287)</f>
        <v>1</v>
      </c>
      <c r="F287" s="5" t="n">
        <f aca="false">COUNTIFS('Market Listing'!$A$2:$A$4054,B287,'Market Listing'!$B$2:$B$4054,C287,'Market Listing'!$D$2:$D$4054,"Tier 1")</f>
        <v>1</v>
      </c>
      <c r="G287" s="5" t="n">
        <f aca="false">COUNTIFS('Market Listing'!$A$2:$A$4054,B287,'Market Listing'!$B$2:$B$4054,C287,'Market Listing'!$D$2:$D$4054,"Tier 2")</f>
        <v>0</v>
      </c>
      <c r="H287" s="5" t="n">
        <f aca="false">COUNTIFS('Market Listing'!$A$2:$A$4054,B287,'Market Listing'!$B$2:$B$4054,C287,'Market Listing'!$D$2:$D$4054,"Tier 3")</f>
        <v>0</v>
      </c>
      <c r="I287" s="5" t="n">
        <f aca="false">SUMIFS('Market Listing'!$E$2:$E$4054,'Market Listing'!$A$2:$A$4054,B287,'Market Listing'!$B$2:$B$4054,C287)</f>
        <v>3</v>
      </c>
      <c r="J287" s="5" t="n">
        <f aca="false">COUNTIFS('Product Rows'!$A$2:$A$696,B287,'Product Rows'!$B$2:$B$696,C287)</f>
        <v>1</v>
      </c>
      <c r="K287" s="5" t="n">
        <f aca="false">COUNTIFS('Product Rows'!$A$2:$A$696,B287,'Product Rows'!$B$2:$B$696,C287,'Product Rows'!$G$2:$G$696,"Vial")</f>
        <v>1</v>
      </c>
      <c r="L287" s="5" t="n">
        <f aca="false">COUNTIFS('Product Rows'!$A$2:$A$696,B287,'Product Rows'!$B$2:$B$696,C287,'Product Rows'!$G$2:$G$696,"Ampoule")</f>
        <v>0</v>
      </c>
      <c r="M287" s="5" t="n">
        <f aca="false">COUNTIFS('Product Rows'!$A$2:$A$696,B287,'Product Rows'!$B$2:$B$696,C287,'Product Rows'!$G$2:$G$696,"Prefilled syringe/pen")</f>
        <v>0</v>
      </c>
      <c r="N287" s="6" t="str">
        <f aca="false">IFERROR(AVERAGEIFS('Product Rows'!$H$2:$H$696,'Product Rows'!$A$2:$A$696,B287,'Product Rows'!$B$2:$B$696,C287),"")</f>
        <v/>
      </c>
      <c r="O287" s="7" t="n">
        <f aca="false">INDEX('API Data'!$E$2:$E$152,MATCH(B287,'API Data'!$A$2:$A$152,0))</f>
        <v>3067.39</v>
      </c>
      <c r="P287" s="5" t="n">
        <f aca="false">COUNTIF($B$5:$B$337,B287)</f>
        <v>5</v>
      </c>
      <c r="Q287" s="8" t="n">
        <f aca="false">IF(ISNUMBER(I287),PERCENTRANK($I$5:$I$337,I287),"")</f>
        <v>0.157</v>
      </c>
      <c r="R287" s="8" t="str">
        <f aca="false">IF(ISNUMBER(N287),PERCENTRANK($N$5:$N$337,N287),"")</f>
        <v/>
      </c>
      <c r="S287" s="8" t="n">
        <f aca="false">IF(ISNUMBER(O287),PERCENTRANK($O$5:$O$337,O287),"")</f>
        <v>0.419</v>
      </c>
      <c r="T287" s="8" t="n">
        <f aca="false">IF(ISNUMBER(P287),PERCENTRANK($P$5:$P$337,P287),"")</f>
        <v>0.702</v>
      </c>
      <c r="U287" s="9" t="n">
        <f aca="false">IF((IF(ISNUMBER(Q287),Inputs!$B$4,0)+IF(ISNUMBER(R287),Inputs!$B$5,0)+IF(ISNUMBER(S287),Inputs!$B$6,0)+IF(ISNUMBER(T287),Inputs!$B$7,0))=0,"",(IF(ISNUMBER(Q287),Inputs!$B$4*Q287,0)+IF(ISNUMBER(R287),Inputs!$B$5*R287,0)+IF(ISNUMBER(S287),Inputs!$B$6*S287,0)+IF(ISNUMBER(T287),Inputs!$B$7*T287,0))/(IF(ISNUMBER(Q287),Inputs!$B$4,0)+IF(ISNUMBER(R287),Inputs!$B$5,0)+IF(ISNUMBER(S287),Inputs!$B$6,0)+IF(ISNUMBER(T287),Inputs!$B$7,0)))</f>
        <v>0.419</v>
      </c>
      <c r="V287" s="5" t="str">
        <f aca="false">IF(F287&gt;0,"Yes","No")</f>
        <v>Yes</v>
      </c>
      <c r="W287" s="5" t="str">
        <f aca="false">IF(ISNUMBER(N287),IF(N287&gt;=Inputs!$D$18,"Yes","No"),"No price")</f>
        <v>No price</v>
      </c>
      <c r="X287" s="5" t="str">
        <f aca="false">IF(K287+L287&gt;0,"Yes",IF(M287&gt;0,"No","Unclear"))</f>
        <v>Yes</v>
      </c>
      <c r="Y287" s="5" t="str">
        <f aca="false">INDEX('API Data'!$H$2:$H$152,MATCH(B287,'API Data'!$A$2:$A$152,0))</f>
        <v>No</v>
      </c>
      <c r="Z287" s="5" t="str">
        <f aca="false">IF(COUNTIFS('Product Rows'!$A$2:$A$696,B287,'Product Rows'!$B$2:$B$696,C287,'Product Rows'!$I$2:$I$696,"Yes")&gt;0,"Yes","No")</f>
        <v>No</v>
      </c>
      <c r="AA287" s="5" t="str">
        <f aca="false">IF(P287&gt;=Inputs!$D$22,"Yes","No")</f>
        <v>Yes</v>
      </c>
      <c r="AB287" s="10" t="b">
        <f aca="false">AND(OR(Inputs!$B$17&lt;&gt;"Exclude",V287="Yes"),OR(Inputs!$B$18&lt;&gt;"Exclude",W287&lt;&gt;"No"),OR(Inputs!$B$19&lt;&gt;"Exclude",X287&lt;&gt;"No"),OR(Inputs!$B$20&lt;&gt;"Exclude",Y287="No"),OR(Inputs!$B$21&lt;&gt;"Exclude",Z287="No"),OR(Inputs!$B$22&lt;&gt;"Exclude",AA287="Yes"),ISNUMBER(U287))</f>
        <v>1</v>
      </c>
      <c r="AC287" s="5" t="n">
        <f aca="false">IF(AB287,COUNTIFS($C$5:$C$337,C287,$AB$5:$AB$337,TRUE(),$U$5:$U$337,"&gt;"&amp;U287)+COUNTIFS($C$5:C287,C287,$AB$5:AB287,TRUE(),$U$5:U287,U287),"")</f>
        <v>12</v>
      </c>
      <c r="AD287" s="5" t="str">
        <f aca="false">IF(AC287="","Not eligible",IF(AC287&lt;=Inputs!$B$25,"Lead",IF(AC287&lt;=Inputs!$B$25+Inputs!$B$26,"Next wave","Long list")))</f>
        <v>Long list</v>
      </c>
      <c r="AE287" s="5" t="str">
        <f aca="false">IF(AND(K287+L287=0,M287&gt;0),"Safety upgrade of existing prefilled syringe",IF(K287+L287+M287=0,"Confirm presentation (not stated in source)",IF(AA287="Yes","Differentiation in crowded generic market","Safety-device mandate compliance")))</f>
        <v>Differentiation in crowded generic market</v>
      </c>
      <c r="AF287" s="5" t="str">
        <f aca="false">IF(AC287="","",C287&amp;"|"&amp;AC287)</f>
        <v>Hetero Labs|12</v>
      </c>
    </row>
    <row r="288" customFormat="false" ht="15" hidden="false" customHeight="false" outlineLevel="0" collapsed="false">
      <c r="A288" s="5" t="n">
        <f aca="false">IF(ISNUMBER(U288),RANK(U288,$U$5:$U$337),"")</f>
        <v>204</v>
      </c>
      <c r="B288" s="5" t="s">
        <v>183</v>
      </c>
      <c r="C288" s="5" t="s">
        <v>44</v>
      </c>
      <c r="D288" s="5" t="str">
        <f aca="false">INDEX('API Data'!$B$2:$B$152,MATCH(B288,'API Data'!$A$2:$A$152,0))</f>
        <v>Anaesthesia – rapid-sequence intubation (muscle relaxant)</v>
      </c>
      <c r="E288" s="5" t="n">
        <f aca="false">COUNTIFS('Market Listing'!$A$2:$A$4054,B288,'Market Listing'!$B$2:$B$4054,C288)</f>
        <v>1</v>
      </c>
      <c r="F288" s="5" t="n">
        <f aca="false">COUNTIFS('Market Listing'!$A$2:$A$4054,B288,'Market Listing'!$B$2:$B$4054,C288,'Market Listing'!$D$2:$D$4054,"Tier 1")</f>
        <v>0</v>
      </c>
      <c r="G288" s="5" t="n">
        <f aca="false">COUNTIFS('Market Listing'!$A$2:$A$4054,B288,'Market Listing'!$B$2:$B$4054,C288,'Market Listing'!$D$2:$D$4054,"Tier 2")</f>
        <v>1</v>
      </c>
      <c r="H288" s="5" t="n">
        <f aca="false">COUNTIFS('Market Listing'!$A$2:$A$4054,B288,'Market Listing'!$B$2:$B$4054,C288,'Market Listing'!$D$2:$D$4054,"Tier 3")</f>
        <v>0</v>
      </c>
      <c r="I288" s="5" t="n">
        <f aca="false">SUMIFS('Market Listing'!$E$2:$E$4054,'Market Listing'!$A$2:$A$4054,B288,'Market Listing'!$B$2:$B$4054,C288)</f>
        <v>2</v>
      </c>
      <c r="J288" s="5" t="n">
        <f aca="false">COUNTIFS('Product Rows'!$A$2:$A$696,B288,'Product Rows'!$B$2:$B$696,C288)</f>
        <v>1</v>
      </c>
      <c r="K288" s="5" t="n">
        <f aca="false">COUNTIFS('Product Rows'!$A$2:$A$696,B288,'Product Rows'!$B$2:$B$696,C288,'Product Rows'!$G$2:$G$696,"Vial")</f>
        <v>0</v>
      </c>
      <c r="L288" s="5" t="n">
        <f aca="false">COUNTIFS('Product Rows'!$A$2:$A$696,B288,'Product Rows'!$B$2:$B$696,C288,'Product Rows'!$G$2:$G$696,"Ampoule")</f>
        <v>0</v>
      </c>
      <c r="M288" s="5" t="n">
        <f aca="false">COUNTIFS('Product Rows'!$A$2:$A$696,B288,'Product Rows'!$B$2:$B$696,C288,'Product Rows'!$G$2:$G$696,"Prefilled syringe/pen")</f>
        <v>1</v>
      </c>
      <c r="N288" s="6" t="str">
        <f aca="false">IFERROR(AVERAGEIFS('Product Rows'!$H$2:$H$696,'Product Rows'!$A$2:$A$696,B288,'Product Rows'!$B$2:$B$696,C288),"")</f>
        <v/>
      </c>
      <c r="O288" s="7" t="n">
        <f aca="false">INDEX('API Data'!$E$2:$E$152,MATCH(B288,'API Data'!$A$2:$A$152,0))</f>
        <v>3067.39</v>
      </c>
      <c r="P288" s="5" t="n">
        <f aca="false">COUNTIF($B$5:$B$337,B288)</f>
        <v>5</v>
      </c>
      <c r="Q288" s="8" t="n">
        <f aca="false">IF(ISNUMBER(I288),PERCENTRANK($I$5:$I$337,I288),"")</f>
        <v>0</v>
      </c>
      <c r="R288" s="8" t="str">
        <f aca="false">IF(ISNUMBER(N288),PERCENTRANK($N$5:$N$337,N288),"")</f>
        <v/>
      </c>
      <c r="S288" s="8" t="n">
        <f aca="false">IF(ISNUMBER(O288),PERCENTRANK($O$5:$O$337,O288),"")</f>
        <v>0.419</v>
      </c>
      <c r="T288" s="8" t="n">
        <f aca="false">IF(ISNUMBER(P288),PERCENTRANK($P$5:$P$337,P288),"")</f>
        <v>0.702</v>
      </c>
      <c r="U288" s="9" t="n">
        <f aca="false">IF((IF(ISNUMBER(Q288),Inputs!$B$4,0)+IF(ISNUMBER(R288),Inputs!$B$5,0)+IF(ISNUMBER(S288),Inputs!$B$6,0)+IF(ISNUMBER(T288),Inputs!$B$7,0))=0,"",(IF(ISNUMBER(Q288),Inputs!$B$4*Q288,0)+IF(ISNUMBER(R288),Inputs!$B$5*R288,0)+IF(ISNUMBER(S288),Inputs!$B$6*S288,0)+IF(ISNUMBER(T288),Inputs!$B$7*T288,0))/(IF(ISNUMBER(Q288),Inputs!$B$4,0)+IF(ISNUMBER(R288),Inputs!$B$5,0)+IF(ISNUMBER(S288),Inputs!$B$6,0)+IF(ISNUMBER(T288),Inputs!$B$7,0)))</f>
        <v>0.419</v>
      </c>
      <c r="V288" s="5" t="str">
        <f aca="false">IF(F288&gt;0,"Yes","No")</f>
        <v>No</v>
      </c>
      <c r="W288" s="5" t="str">
        <f aca="false">IF(ISNUMBER(N288),IF(N288&gt;=Inputs!$D$18,"Yes","No"),"No price")</f>
        <v>No price</v>
      </c>
      <c r="X288" s="5" t="str">
        <f aca="false">IF(K288+L288&gt;0,"Yes",IF(M288&gt;0,"No","Unclear"))</f>
        <v>No</v>
      </c>
      <c r="Y288" s="5" t="str">
        <f aca="false">INDEX('API Data'!$H$2:$H$152,MATCH(B288,'API Data'!$A$2:$A$152,0))</f>
        <v>No</v>
      </c>
      <c r="Z288" s="5" t="str">
        <f aca="false">IF(COUNTIFS('Product Rows'!$A$2:$A$696,B288,'Product Rows'!$B$2:$B$696,C288,'Product Rows'!$I$2:$I$696,"Yes")&gt;0,"Yes","No")</f>
        <v>No</v>
      </c>
      <c r="AA288" s="5" t="str">
        <f aca="false">IF(P288&gt;=Inputs!$D$22,"Yes","No")</f>
        <v>Yes</v>
      </c>
      <c r="AB288" s="10" t="b">
        <f aca="false">AND(OR(Inputs!$B$17&lt;&gt;"Exclude",V288="Yes"),OR(Inputs!$B$18&lt;&gt;"Exclude",W288&lt;&gt;"No"),OR(Inputs!$B$19&lt;&gt;"Exclude",X288&lt;&gt;"No"),OR(Inputs!$B$20&lt;&gt;"Exclude",Y288="No"),OR(Inputs!$B$21&lt;&gt;"Exclude",Z288="No"),OR(Inputs!$B$22&lt;&gt;"Exclude",AA288="Yes"),ISNUMBER(U288))</f>
        <v>0</v>
      </c>
      <c r="AC288" s="5" t="str">
        <f aca="false">IF(AB288,COUNTIFS($C$5:$C$337,C288,$AB$5:$AB$337,TRUE(),$U$5:$U$337,"&gt;"&amp;U288)+COUNTIFS($C$5:C288,C288,$AB$5:AB288,TRUE(),$U$5:U288,U288),"")</f>
        <v/>
      </c>
      <c r="AD288" s="5" t="str">
        <f aca="false">IF(AC288="","Not eligible",IF(AC288&lt;=Inputs!$B$25,"Lead",IF(AC288&lt;=Inputs!$B$25+Inputs!$B$26,"Next wave","Long list")))</f>
        <v>Not eligible</v>
      </c>
      <c r="AE288" s="5" t="str">
        <f aca="false">IF(AND(K288+L288=0,M288&gt;0),"Safety upgrade of existing prefilled syringe",IF(K288+L288+M288=0,"Confirm presentation (not stated in source)",IF(AA288="Yes","Differentiation in crowded generic market","Safety-device mandate compliance")))</f>
        <v>Safety upgrade of existing prefilled syringe</v>
      </c>
      <c r="AF288" s="5" t="str">
        <f aca="false">IF(AC288="","",C288&amp;"|"&amp;AC288)</f>
        <v/>
      </c>
    </row>
    <row r="289" customFormat="false" ht="15" hidden="false" customHeight="false" outlineLevel="0" collapsed="false">
      <c r="A289" s="5" t="n">
        <f aca="false">IF(ISNUMBER(U289),RANK(U289,$U$5:$U$337),"")</f>
        <v>204</v>
      </c>
      <c r="B289" s="5" t="s">
        <v>183</v>
      </c>
      <c r="C289" s="5" t="s">
        <v>65</v>
      </c>
      <c r="D289" s="5" t="str">
        <f aca="false">INDEX('API Data'!$B$2:$B$152,MATCH(B289,'API Data'!$A$2:$A$152,0))</f>
        <v>Anaesthesia – rapid-sequence intubation (muscle relaxant)</v>
      </c>
      <c r="E289" s="5" t="n">
        <f aca="false">COUNTIFS('Market Listing'!$A$2:$A$4054,B289,'Market Listing'!$B$2:$B$4054,C289)</f>
        <v>1</v>
      </c>
      <c r="F289" s="5" t="n">
        <f aca="false">COUNTIFS('Market Listing'!$A$2:$A$4054,B289,'Market Listing'!$B$2:$B$4054,C289,'Market Listing'!$D$2:$D$4054,"Tier 1")</f>
        <v>1</v>
      </c>
      <c r="G289" s="5" t="n">
        <f aca="false">COUNTIFS('Market Listing'!$A$2:$A$4054,B289,'Market Listing'!$B$2:$B$4054,C289,'Market Listing'!$D$2:$D$4054,"Tier 2")</f>
        <v>0</v>
      </c>
      <c r="H289" s="5" t="n">
        <f aca="false">COUNTIFS('Market Listing'!$A$2:$A$4054,B289,'Market Listing'!$B$2:$B$4054,C289,'Market Listing'!$D$2:$D$4054,"Tier 3")</f>
        <v>0</v>
      </c>
      <c r="I289" s="5" t="n">
        <f aca="false">SUMIFS('Market Listing'!$E$2:$E$4054,'Market Listing'!$A$2:$A$4054,B289,'Market Listing'!$B$2:$B$4054,C289)</f>
        <v>3</v>
      </c>
      <c r="J289" s="5" t="n">
        <f aca="false">COUNTIFS('Product Rows'!$A$2:$A$696,B289,'Product Rows'!$B$2:$B$696,C289)</f>
        <v>1</v>
      </c>
      <c r="K289" s="5" t="n">
        <f aca="false">COUNTIFS('Product Rows'!$A$2:$A$696,B289,'Product Rows'!$B$2:$B$696,C289,'Product Rows'!$G$2:$G$696,"Vial")</f>
        <v>1</v>
      </c>
      <c r="L289" s="5" t="n">
        <f aca="false">COUNTIFS('Product Rows'!$A$2:$A$696,B289,'Product Rows'!$B$2:$B$696,C289,'Product Rows'!$G$2:$G$696,"Ampoule")</f>
        <v>0</v>
      </c>
      <c r="M289" s="5" t="n">
        <f aca="false">COUNTIFS('Product Rows'!$A$2:$A$696,B289,'Product Rows'!$B$2:$B$696,C289,'Product Rows'!$G$2:$G$696,"Prefilled syringe/pen")</f>
        <v>0</v>
      </c>
      <c r="N289" s="6" t="str">
        <f aca="false">IFERROR(AVERAGEIFS('Product Rows'!$H$2:$H$696,'Product Rows'!$A$2:$A$696,B289,'Product Rows'!$B$2:$B$696,C289),"")</f>
        <v/>
      </c>
      <c r="O289" s="7" t="n">
        <f aca="false">INDEX('API Data'!$E$2:$E$152,MATCH(B289,'API Data'!$A$2:$A$152,0))</f>
        <v>3067.39</v>
      </c>
      <c r="P289" s="5" t="n">
        <f aca="false">COUNTIF($B$5:$B$337,B289)</f>
        <v>5</v>
      </c>
      <c r="Q289" s="8" t="n">
        <f aca="false">IF(ISNUMBER(I289),PERCENTRANK($I$5:$I$337,I289),"")</f>
        <v>0.157</v>
      </c>
      <c r="R289" s="8" t="str">
        <f aca="false">IF(ISNUMBER(N289),PERCENTRANK($N$5:$N$337,N289),"")</f>
        <v/>
      </c>
      <c r="S289" s="8" t="n">
        <f aca="false">IF(ISNUMBER(O289),PERCENTRANK($O$5:$O$337,O289),"")</f>
        <v>0.419</v>
      </c>
      <c r="T289" s="8" t="n">
        <f aca="false">IF(ISNUMBER(P289),PERCENTRANK($P$5:$P$337,P289),"")</f>
        <v>0.702</v>
      </c>
      <c r="U289" s="9" t="n">
        <f aca="false">IF((IF(ISNUMBER(Q289),Inputs!$B$4,0)+IF(ISNUMBER(R289),Inputs!$B$5,0)+IF(ISNUMBER(S289),Inputs!$B$6,0)+IF(ISNUMBER(T289),Inputs!$B$7,0))=0,"",(IF(ISNUMBER(Q289),Inputs!$B$4*Q289,0)+IF(ISNUMBER(R289),Inputs!$B$5*R289,0)+IF(ISNUMBER(S289),Inputs!$B$6*S289,0)+IF(ISNUMBER(T289),Inputs!$B$7*T289,0))/(IF(ISNUMBER(Q289),Inputs!$B$4,0)+IF(ISNUMBER(R289),Inputs!$B$5,0)+IF(ISNUMBER(S289),Inputs!$B$6,0)+IF(ISNUMBER(T289),Inputs!$B$7,0)))</f>
        <v>0.419</v>
      </c>
      <c r="V289" s="5" t="str">
        <f aca="false">IF(F289&gt;0,"Yes","No")</f>
        <v>Yes</v>
      </c>
      <c r="W289" s="5" t="str">
        <f aca="false">IF(ISNUMBER(N289),IF(N289&gt;=Inputs!$D$18,"Yes","No"),"No price")</f>
        <v>No price</v>
      </c>
      <c r="X289" s="5" t="str">
        <f aca="false">IF(K289+L289&gt;0,"Yes",IF(M289&gt;0,"No","Unclear"))</f>
        <v>Yes</v>
      </c>
      <c r="Y289" s="5" t="str">
        <f aca="false">INDEX('API Data'!$H$2:$H$152,MATCH(B289,'API Data'!$A$2:$A$152,0))</f>
        <v>No</v>
      </c>
      <c r="Z289" s="5" t="str">
        <f aca="false">IF(COUNTIFS('Product Rows'!$A$2:$A$696,B289,'Product Rows'!$B$2:$B$696,C289,'Product Rows'!$I$2:$I$696,"Yes")&gt;0,"Yes","No")</f>
        <v>No</v>
      </c>
      <c r="AA289" s="5" t="str">
        <f aca="false">IF(P289&gt;=Inputs!$D$22,"Yes","No")</f>
        <v>Yes</v>
      </c>
      <c r="AB289" s="10" t="b">
        <f aca="false">AND(OR(Inputs!$B$17&lt;&gt;"Exclude",V289="Yes"),OR(Inputs!$B$18&lt;&gt;"Exclude",W289&lt;&gt;"No"),OR(Inputs!$B$19&lt;&gt;"Exclude",X289&lt;&gt;"No"),OR(Inputs!$B$20&lt;&gt;"Exclude",Y289="No"),OR(Inputs!$B$21&lt;&gt;"Exclude",Z289="No"),OR(Inputs!$B$22&lt;&gt;"Exclude",AA289="Yes"),ISNUMBER(U289))</f>
        <v>1</v>
      </c>
      <c r="AC289" s="5" t="n">
        <f aca="false">IF(AB289,COUNTIFS($C$5:$C$337,C289,$AB$5:$AB$337,TRUE(),$U$5:$U$337,"&gt;"&amp;U289)+COUNTIFS($C$5:C289,C289,$AB$5:AB289,TRUE(),$U$5:U289,U289),"")</f>
        <v>4</v>
      </c>
      <c r="AD289" s="5" t="str">
        <f aca="false">IF(AC289="","Not eligible",IF(AC289&lt;=Inputs!$B$25,"Lead",IF(AC289&lt;=Inputs!$B$25+Inputs!$B$26,"Next wave","Long list")))</f>
        <v>Lead</v>
      </c>
      <c r="AE289" s="5" t="str">
        <f aca="false">IF(AND(K289+L289=0,M289&gt;0),"Safety upgrade of existing prefilled syringe",IF(K289+L289+M289=0,"Confirm presentation (not stated in source)",IF(AA289="Yes","Differentiation in crowded generic market","Safety-device mandate compliance")))</f>
        <v>Differentiation in crowded generic market</v>
      </c>
      <c r="AF289" s="5" t="str">
        <f aca="false">IF(AC289="","",C289&amp;"|"&amp;AC289)</f>
        <v>Micro Labs|4</v>
      </c>
    </row>
    <row r="290" customFormat="false" ht="15" hidden="false" customHeight="false" outlineLevel="0" collapsed="false">
      <c r="A290" s="5" t="n">
        <f aca="false">IF(ISNUMBER(U290),RANK(U290,$U$5:$U$337),"")</f>
        <v>204</v>
      </c>
      <c r="B290" s="5" t="s">
        <v>183</v>
      </c>
      <c r="C290" s="5" t="s">
        <v>36</v>
      </c>
      <c r="D290" s="5" t="str">
        <f aca="false">INDEX('API Data'!$B$2:$B$152,MATCH(B290,'API Data'!$A$2:$A$152,0))</f>
        <v>Anaesthesia – rapid-sequence intubation (muscle relaxant)</v>
      </c>
      <c r="E290" s="5" t="n">
        <f aca="false">COUNTIFS('Market Listing'!$A$2:$A$4054,B290,'Market Listing'!$B$2:$B$4054,C290)</f>
        <v>1</v>
      </c>
      <c r="F290" s="5" t="n">
        <f aca="false">COUNTIFS('Market Listing'!$A$2:$A$4054,B290,'Market Listing'!$B$2:$B$4054,C290,'Market Listing'!$D$2:$D$4054,"Tier 1")</f>
        <v>1</v>
      </c>
      <c r="G290" s="5" t="n">
        <f aca="false">COUNTIFS('Market Listing'!$A$2:$A$4054,B290,'Market Listing'!$B$2:$B$4054,C290,'Market Listing'!$D$2:$D$4054,"Tier 2")</f>
        <v>0</v>
      </c>
      <c r="H290" s="5" t="n">
        <f aca="false">COUNTIFS('Market Listing'!$A$2:$A$4054,B290,'Market Listing'!$B$2:$B$4054,C290,'Market Listing'!$D$2:$D$4054,"Tier 3")</f>
        <v>0</v>
      </c>
      <c r="I290" s="5" t="n">
        <f aca="false">SUMIFS('Market Listing'!$E$2:$E$4054,'Market Listing'!$A$2:$A$4054,B290,'Market Listing'!$B$2:$B$4054,C290)</f>
        <v>3</v>
      </c>
      <c r="J290" s="5" t="n">
        <f aca="false">COUNTIFS('Product Rows'!$A$2:$A$696,B290,'Product Rows'!$B$2:$B$696,C290)</f>
        <v>1</v>
      </c>
      <c r="K290" s="5" t="n">
        <f aca="false">COUNTIFS('Product Rows'!$A$2:$A$696,B290,'Product Rows'!$B$2:$B$696,C290,'Product Rows'!$G$2:$G$696,"Vial")</f>
        <v>1</v>
      </c>
      <c r="L290" s="5" t="n">
        <f aca="false">COUNTIFS('Product Rows'!$A$2:$A$696,B290,'Product Rows'!$B$2:$B$696,C290,'Product Rows'!$G$2:$G$696,"Ampoule")</f>
        <v>0</v>
      </c>
      <c r="M290" s="5" t="n">
        <f aca="false">COUNTIFS('Product Rows'!$A$2:$A$696,B290,'Product Rows'!$B$2:$B$696,C290,'Product Rows'!$G$2:$G$696,"Prefilled syringe/pen")</f>
        <v>0</v>
      </c>
      <c r="N290" s="6" t="str">
        <f aca="false">IFERROR(AVERAGEIFS('Product Rows'!$H$2:$H$696,'Product Rows'!$A$2:$A$696,B290,'Product Rows'!$B$2:$B$696,C290),"")</f>
        <v/>
      </c>
      <c r="O290" s="7" t="n">
        <f aca="false">INDEX('API Data'!$E$2:$E$152,MATCH(B290,'API Data'!$A$2:$A$152,0))</f>
        <v>3067.39</v>
      </c>
      <c r="P290" s="5" t="n">
        <f aca="false">COUNTIF($B$5:$B$337,B290)</f>
        <v>5</v>
      </c>
      <c r="Q290" s="8" t="n">
        <f aca="false">IF(ISNUMBER(I290),PERCENTRANK($I$5:$I$337,I290),"")</f>
        <v>0.157</v>
      </c>
      <c r="R290" s="8" t="str">
        <f aca="false">IF(ISNUMBER(N290),PERCENTRANK($N$5:$N$337,N290),"")</f>
        <v/>
      </c>
      <c r="S290" s="8" t="n">
        <f aca="false">IF(ISNUMBER(O290),PERCENTRANK($O$5:$O$337,O290),"")</f>
        <v>0.419</v>
      </c>
      <c r="T290" s="8" t="n">
        <f aca="false">IF(ISNUMBER(P290),PERCENTRANK($P$5:$P$337,P290),"")</f>
        <v>0.702</v>
      </c>
      <c r="U290" s="9" t="n">
        <f aca="false">IF((IF(ISNUMBER(Q290),Inputs!$B$4,0)+IF(ISNUMBER(R290),Inputs!$B$5,0)+IF(ISNUMBER(S290),Inputs!$B$6,0)+IF(ISNUMBER(T290),Inputs!$B$7,0))=0,"",(IF(ISNUMBER(Q290),Inputs!$B$4*Q290,0)+IF(ISNUMBER(R290),Inputs!$B$5*R290,0)+IF(ISNUMBER(S290),Inputs!$B$6*S290,0)+IF(ISNUMBER(T290),Inputs!$B$7*T290,0))/(IF(ISNUMBER(Q290),Inputs!$B$4,0)+IF(ISNUMBER(R290),Inputs!$B$5,0)+IF(ISNUMBER(S290),Inputs!$B$6,0)+IF(ISNUMBER(T290),Inputs!$B$7,0)))</f>
        <v>0.419</v>
      </c>
      <c r="V290" s="5" t="str">
        <f aca="false">IF(F290&gt;0,"Yes","No")</f>
        <v>Yes</v>
      </c>
      <c r="W290" s="5" t="str">
        <f aca="false">IF(ISNUMBER(N290),IF(N290&gt;=Inputs!$D$18,"Yes","No"),"No price")</f>
        <v>No price</v>
      </c>
      <c r="X290" s="5" t="str">
        <f aca="false">IF(K290+L290&gt;0,"Yes",IF(M290&gt;0,"No","Unclear"))</f>
        <v>Yes</v>
      </c>
      <c r="Y290" s="5" t="str">
        <f aca="false">INDEX('API Data'!$H$2:$H$152,MATCH(B290,'API Data'!$A$2:$A$152,0))</f>
        <v>No</v>
      </c>
      <c r="Z290" s="5" t="str">
        <f aca="false">IF(COUNTIFS('Product Rows'!$A$2:$A$696,B290,'Product Rows'!$B$2:$B$696,C290,'Product Rows'!$I$2:$I$696,"Yes")&gt;0,"Yes","No")</f>
        <v>No</v>
      </c>
      <c r="AA290" s="5" t="str">
        <f aca="false">IF(P290&gt;=Inputs!$D$22,"Yes","No")</f>
        <v>Yes</v>
      </c>
      <c r="AB290" s="10" t="b">
        <f aca="false">AND(OR(Inputs!$B$17&lt;&gt;"Exclude",V290="Yes"),OR(Inputs!$B$18&lt;&gt;"Exclude",W290&lt;&gt;"No"),OR(Inputs!$B$19&lt;&gt;"Exclude",X290&lt;&gt;"No"),OR(Inputs!$B$20&lt;&gt;"Exclude",Y290="No"),OR(Inputs!$B$21&lt;&gt;"Exclude",Z290="No"),OR(Inputs!$B$22&lt;&gt;"Exclude",AA290="Yes"),ISNUMBER(U290))</f>
        <v>1</v>
      </c>
      <c r="AC290" s="5" t="n">
        <f aca="false">IF(AB290,COUNTIFS($C$5:$C$337,C290,$AB$5:$AB$337,TRUE(),$U$5:$U$337,"&gt;"&amp;U290)+COUNTIFS($C$5:C290,C290,$AB$5:AB290,TRUE(),$U$5:U290,U290),"")</f>
        <v>8</v>
      </c>
      <c r="AD290" s="5" t="str">
        <f aca="false">IF(AC290="","Not eligible",IF(AC290&lt;=Inputs!$B$25,"Lead",IF(AC290&lt;=Inputs!$B$25+Inputs!$B$26,"Next wave","Long list")))</f>
        <v>Next wave</v>
      </c>
      <c r="AE290" s="5" t="str">
        <f aca="false">IF(AND(K290+L290=0,M290&gt;0),"Safety upgrade of existing prefilled syringe",IF(K290+L290+M290=0,"Confirm presentation (not stated in source)",IF(AA290="Yes","Differentiation in crowded generic market","Safety-device mandate compliance")))</f>
        <v>Differentiation in crowded generic market</v>
      </c>
      <c r="AF290" s="5" t="str">
        <f aca="false">IF(AC290="","",C290&amp;"|"&amp;AC290)</f>
        <v>Zydus Lifesciences|8</v>
      </c>
    </row>
    <row r="291" customFormat="false" ht="15" hidden="false" customHeight="false" outlineLevel="0" collapsed="false">
      <c r="A291" s="5" t="n">
        <f aca="false">IF(ISNUMBER(U291),RANK(U291,$U$5:$U$337),"")</f>
        <v>65</v>
      </c>
      <c r="B291" s="5" t="s">
        <v>184</v>
      </c>
      <c r="C291" s="5" t="s">
        <v>54</v>
      </c>
      <c r="D291" s="5" t="str">
        <f aca="false">INDEX('API Data'!$B$2:$B$152,MATCH(B291,'API Data'!$A$2:$A$152,0))</f>
        <v>Anaesthesia – reversal of rocuronium/vecuronium muscle relaxation</v>
      </c>
      <c r="E291" s="5" t="n">
        <f aca="false">COUNTIFS('Market Listing'!$A$2:$A$4054,B291,'Market Listing'!$B$2:$B$4054,C291)</f>
        <v>33</v>
      </c>
      <c r="F291" s="5" t="n">
        <f aca="false">COUNTIFS('Market Listing'!$A$2:$A$4054,B291,'Market Listing'!$B$2:$B$4054,C291,'Market Listing'!$D$2:$D$4054,"Tier 1")</f>
        <v>5</v>
      </c>
      <c r="G291" s="5" t="n">
        <f aca="false">COUNTIFS('Market Listing'!$A$2:$A$4054,B291,'Market Listing'!$B$2:$B$4054,C291,'Market Listing'!$D$2:$D$4054,"Tier 2")</f>
        <v>5</v>
      </c>
      <c r="H291" s="5" t="n">
        <f aca="false">COUNTIFS('Market Listing'!$A$2:$A$4054,B291,'Market Listing'!$B$2:$B$4054,C291,'Market Listing'!$D$2:$D$4054,"Tier 3")</f>
        <v>23</v>
      </c>
      <c r="I291" s="5" t="n">
        <f aca="false">SUMIFS('Market Listing'!$E$2:$E$4054,'Market Listing'!$A$2:$A$4054,B291,'Market Listing'!$B$2:$B$4054,C291)</f>
        <v>48</v>
      </c>
      <c r="J291" s="5" t="n">
        <f aca="false">COUNTIFS('Product Rows'!$A$2:$A$696,B291,'Product Rows'!$B$2:$B$696,C291)</f>
        <v>4</v>
      </c>
      <c r="K291" s="5" t="n">
        <f aca="false">COUNTIFS('Product Rows'!$A$2:$A$696,B291,'Product Rows'!$B$2:$B$696,C291,'Product Rows'!$G$2:$G$696,"Vial")</f>
        <v>4</v>
      </c>
      <c r="L291" s="5" t="n">
        <f aca="false">COUNTIFS('Product Rows'!$A$2:$A$696,B291,'Product Rows'!$B$2:$B$696,C291,'Product Rows'!$G$2:$G$696,"Ampoule")</f>
        <v>0</v>
      </c>
      <c r="M291" s="5" t="n">
        <f aca="false">COUNTIFS('Product Rows'!$A$2:$A$696,B291,'Product Rows'!$B$2:$B$696,C291,'Product Rows'!$G$2:$G$696,"Prefilled syringe/pen")</f>
        <v>0</v>
      </c>
      <c r="N291" s="6" t="n">
        <f aca="false">IFERROR(AVERAGEIFS('Product Rows'!$H$2:$H$696,'Product Rows'!$A$2:$A$696,B291,'Product Rows'!$B$2:$B$696,C291),"")</f>
        <v>39.42445</v>
      </c>
      <c r="O291" s="7" t="n">
        <f aca="false">INDEX('API Data'!$E$2:$E$152,MATCH(B291,'API Data'!$A$2:$A$152,0))</f>
        <v>32830.17</v>
      </c>
      <c r="P291" s="5" t="n">
        <f aca="false">COUNTIF($B$5:$B$337,B291)</f>
        <v>12</v>
      </c>
      <c r="Q291" s="8" t="n">
        <f aca="false">IF(ISNUMBER(I291),PERCENTRANK($I$5:$I$337,I291),"")</f>
        <v>0.916</v>
      </c>
      <c r="R291" s="8" t="n">
        <f aca="false">IF(ISNUMBER(N291),PERCENTRANK($N$5:$N$337,N291),"")</f>
        <v>0.57</v>
      </c>
      <c r="S291" s="8" t="n">
        <f aca="false">IF(ISNUMBER(O291),PERCENTRANK($O$5:$O$337,O291),"")</f>
        <v>0.825</v>
      </c>
      <c r="T291" s="8" t="n">
        <f aca="false">IF(ISNUMBER(P291),PERCENTRANK($P$5:$P$337,P291),"")</f>
        <v>0.967</v>
      </c>
      <c r="U291" s="9" t="n">
        <f aca="false">IF((IF(ISNUMBER(Q291),Inputs!$B$4,0)+IF(ISNUMBER(R291),Inputs!$B$5,0)+IF(ISNUMBER(S291),Inputs!$B$6,0)+IF(ISNUMBER(T291),Inputs!$B$7,0))=0,"",(IF(ISNUMBER(Q291),Inputs!$B$4*Q291,0)+IF(ISNUMBER(R291),Inputs!$B$5*R291,0)+IF(ISNUMBER(S291),Inputs!$B$6*S291,0)+IF(ISNUMBER(T291),Inputs!$B$7*T291,0))/(IF(ISNUMBER(Q291),Inputs!$B$4,0)+IF(ISNUMBER(R291),Inputs!$B$5,0)+IF(ISNUMBER(S291),Inputs!$B$6,0)+IF(ISNUMBER(T291),Inputs!$B$7,0)))</f>
        <v>0.6975</v>
      </c>
      <c r="V291" s="5" t="str">
        <f aca="false">IF(F291&gt;0,"Yes","No")</f>
        <v>Yes</v>
      </c>
      <c r="W291" s="5" t="str">
        <f aca="false">IF(ISNUMBER(N291),IF(N291&gt;=Inputs!$D$18,"Yes","No"),"No price")</f>
        <v>Yes</v>
      </c>
      <c r="X291" s="5" t="str">
        <f aca="false">IF(K291+L291&gt;0,"Yes",IF(M291&gt;0,"No","Unclear"))</f>
        <v>Yes</v>
      </c>
      <c r="Y291" s="5" t="str">
        <f aca="false">INDEX('API Data'!$H$2:$H$152,MATCH(B291,'API Data'!$A$2:$A$152,0))</f>
        <v>No</v>
      </c>
      <c r="Z291" s="5" t="str">
        <f aca="false">IF(COUNTIFS('Product Rows'!$A$2:$A$696,B291,'Product Rows'!$B$2:$B$696,C291,'Product Rows'!$I$2:$I$696,"Yes")&gt;0,"Yes","No")</f>
        <v>No</v>
      </c>
      <c r="AA291" s="5" t="str">
        <f aca="false">IF(P291&gt;=Inputs!$D$22,"Yes","No")</f>
        <v>Yes</v>
      </c>
      <c r="AB291" s="10" t="b">
        <f aca="false">AND(OR(Inputs!$B$17&lt;&gt;"Exclude",V291="Yes"),OR(Inputs!$B$18&lt;&gt;"Exclude",W291&lt;&gt;"No"),OR(Inputs!$B$19&lt;&gt;"Exclude",X291&lt;&gt;"No"),OR(Inputs!$B$20&lt;&gt;"Exclude",Y291="No"),OR(Inputs!$B$21&lt;&gt;"Exclude",Z291="No"),OR(Inputs!$B$22&lt;&gt;"Exclude",AA291="Yes"),ISNUMBER(U291))</f>
        <v>1</v>
      </c>
      <c r="AC291" s="5" t="n">
        <f aca="false">IF(AB291,COUNTIFS($C$5:$C$337,C291,$AB$5:$AB$337,TRUE(),$U$5:$U$337,"&gt;"&amp;U291)+COUNTIFS($C$5:C291,C291,$AB$5:AB291,TRUE(),$U$5:U291,U291),"")</f>
        <v>3</v>
      </c>
      <c r="AD291" s="5" t="str">
        <f aca="false">IF(AC291="","Not eligible",IF(AC291&lt;=Inputs!$B$25,"Lead",IF(AC291&lt;=Inputs!$B$25+Inputs!$B$26,"Next wave","Long list")))</f>
        <v>Lead</v>
      </c>
      <c r="AE291" s="5" t="str">
        <f aca="false">IF(AND(K291+L291=0,M291&gt;0),"Safety upgrade of existing prefilled syringe",IF(K291+L291+M291=0,"Confirm presentation (not stated in source)",IF(AA291="Yes","Differentiation in crowded generic market","Safety-device mandate compliance")))</f>
        <v>Differentiation in crowded generic market</v>
      </c>
      <c r="AF291" s="5" t="str">
        <f aca="false">IF(AC291="","",C291&amp;"|"&amp;AC291)</f>
        <v>Cipla|3</v>
      </c>
    </row>
    <row r="292" customFormat="false" ht="15" hidden="false" customHeight="false" outlineLevel="0" collapsed="false">
      <c r="A292" s="5" t="n">
        <f aca="false">IF(ISNUMBER(U292),RANK(U292,$U$5:$U$337),"")</f>
        <v>57</v>
      </c>
      <c r="B292" s="5" t="s">
        <v>184</v>
      </c>
      <c r="C292" s="5" t="s">
        <v>55</v>
      </c>
      <c r="D292" s="5" t="str">
        <f aca="false">INDEX('API Data'!$B$2:$B$152,MATCH(B292,'API Data'!$A$2:$A$152,0))</f>
        <v>Anaesthesia – reversal of rocuronium/vecuronium muscle relaxation</v>
      </c>
      <c r="E292" s="5" t="n">
        <f aca="false">COUNTIFS('Market Listing'!$A$2:$A$4054,B292,'Market Listing'!$B$2:$B$4054,C292)</f>
        <v>35</v>
      </c>
      <c r="F292" s="5" t="n">
        <f aca="false">COUNTIFS('Market Listing'!$A$2:$A$4054,B292,'Market Listing'!$B$2:$B$4054,C292,'Market Listing'!$D$2:$D$4054,"Tier 1")</f>
        <v>7</v>
      </c>
      <c r="G292" s="5" t="n">
        <f aca="false">COUNTIFS('Market Listing'!$A$2:$A$4054,B292,'Market Listing'!$B$2:$B$4054,C292,'Market Listing'!$D$2:$D$4054,"Tier 2")</f>
        <v>5</v>
      </c>
      <c r="H292" s="5" t="n">
        <f aca="false">COUNTIFS('Market Listing'!$A$2:$A$4054,B292,'Market Listing'!$B$2:$B$4054,C292,'Market Listing'!$D$2:$D$4054,"Tier 3")</f>
        <v>23</v>
      </c>
      <c r="I292" s="5" t="n">
        <f aca="false">SUMIFS('Market Listing'!$E$2:$E$4054,'Market Listing'!$A$2:$A$4054,B292,'Market Listing'!$B$2:$B$4054,C292)</f>
        <v>54</v>
      </c>
      <c r="J292" s="5" t="n">
        <f aca="false">COUNTIFS('Product Rows'!$A$2:$A$696,B292,'Product Rows'!$B$2:$B$696,C292)</f>
        <v>8</v>
      </c>
      <c r="K292" s="5" t="n">
        <f aca="false">COUNTIFS('Product Rows'!$A$2:$A$696,B292,'Product Rows'!$B$2:$B$696,C292,'Product Rows'!$G$2:$G$696,"Vial")</f>
        <v>8</v>
      </c>
      <c r="L292" s="5" t="n">
        <f aca="false">COUNTIFS('Product Rows'!$A$2:$A$696,B292,'Product Rows'!$B$2:$B$696,C292,'Product Rows'!$G$2:$G$696,"Ampoule")</f>
        <v>0</v>
      </c>
      <c r="M292" s="5" t="n">
        <f aca="false">COUNTIFS('Product Rows'!$A$2:$A$696,B292,'Product Rows'!$B$2:$B$696,C292,'Product Rows'!$G$2:$G$696,"Prefilled syringe/pen")</f>
        <v>0</v>
      </c>
      <c r="N292" s="6" t="n">
        <f aca="false">IFERROR(AVERAGEIFS('Product Rows'!$H$2:$H$696,'Product Rows'!$A$2:$A$696,B292,'Product Rows'!$B$2:$B$696,C292),"")</f>
        <v>56.6549333333333</v>
      </c>
      <c r="O292" s="7" t="n">
        <f aca="false">INDEX('API Data'!$E$2:$E$152,MATCH(B292,'API Data'!$A$2:$A$152,0))</f>
        <v>32830.17</v>
      </c>
      <c r="P292" s="5" t="n">
        <f aca="false">COUNTIF($B$5:$B$337,B292)</f>
        <v>12</v>
      </c>
      <c r="Q292" s="8" t="n">
        <f aca="false">IF(ISNUMBER(I292),PERCENTRANK($I$5:$I$337,I292),"")</f>
        <v>0.997</v>
      </c>
      <c r="R292" s="8" t="n">
        <f aca="false">IF(ISNUMBER(N292),PERCENTRANK($N$5:$N$337,N292),"")</f>
        <v>0.638</v>
      </c>
      <c r="S292" s="8" t="n">
        <f aca="false">IF(ISNUMBER(O292),PERCENTRANK($O$5:$O$337,O292),"")</f>
        <v>0.825</v>
      </c>
      <c r="T292" s="8" t="n">
        <f aca="false">IF(ISNUMBER(P292),PERCENTRANK($P$5:$P$337,P292),"")</f>
        <v>0.967</v>
      </c>
      <c r="U292" s="9" t="n">
        <f aca="false">IF((IF(ISNUMBER(Q292),Inputs!$B$4,0)+IF(ISNUMBER(R292),Inputs!$B$5,0)+IF(ISNUMBER(S292),Inputs!$B$6,0)+IF(ISNUMBER(T292),Inputs!$B$7,0))=0,"",(IF(ISNUMBER(Q292),Inputs!$B$4*Q292,0)+IF(ISNUMBER(R292),Inputs!$B$5*R292,0)+IF(ISNUMBER(S292),Inputs!$B$6*S292,0)+IF(ISNUMBER(T292),Inputs!$B$7*T292,0))/(IF(ISNUMBER(Q292),Inputs!$B$4,0)+IF(ISNUMBER(R292),Inputs!$B$5,0)+IF(ISNUMBER(S292),Inputs!$B$6,0)+IF(ISNUMBER(T292),Inputs!$B$7,0)))</f>
        <v>0.7315</v>
      </c>
      <c r="V292" s="5" t="str">
        <f aca="false">IF(F292&gt;0,"Yes","No")</f>
        <v>Yes</v>
      </c>
      <c r="W292" s="5" t="str">
        <f aca="false">IF(ISNUMBER(N292),IF(N292&gt;=Inputs!$D$18,"Yes","No"),"No price")</f>
        <v>Yes</v>
      </c>
      <c r="X292" s="5" t="str">
        <f aca="false">IF(K292+L292&gt;0,"Yes",IF(M292&gt;0,"No","Unclear"))</f>
        <v>Yes</v>
      </c>
      <c r="Y292" s="5" t="str">
        <f aca="false">INDEX('API Data'!$H$2:$H$152,MATCH(B292,'API Data'!$A$2:$A$152,0))</f>
        <v>No</v>
      </c>
      <c r="Z292" s="5" t="str">
        <f aca="false">IF(COUNTIFS('Product Rows'!$A$2:$A$696,B292,'Product Rows'!$B$2:$B$696,C292,'Product Rows'!$I$2:$I$696,"Yes")&gt;0,"Yes","No")</f>
        <v>No</v>
      </c>
      <c r="AA292" s="5" t="str">
        <f aca="false">IF(P292&gt;=Inputs!$D$22,"Yes","No")</f>
        <v>Yes</v>
      </c>
      <c r="AB292" s="10" t="b">
        <f aca="false">AND(OR(Inputs!$B$17&lt;&gt;"Exclude",V292="Yes"),OR(Inputs!$B$18&lt;&gt;"Exclude",W292&lt;&gt;"No"),OR(Inputs!$B$19&lt;&gt;"Exclude",X292&lt;&gt;"No"),OR(Inputs!$B$20&lt;&gt;"Exclude",Y292="No"),OR(Inputs!$B$21&lt;&gt;"Exclude",Z292="No"),OR(Inputs!$B$22&lt;&gt;"Exclude",AA292="Yes"),ISNUMBER(U292))</f>
        <v>1</v>
      </c>
      <c r="AC292" s="5" t="n">
        <f aca="false">IF(AB292,COUNTIFS($C$5:$C$337,C292,$AB$5:$AB$337,TRUE(),$U$5:$U$337,"&gt;"&amp;U292)+COUNTIFS($C$5:C292,C292,$AB$5:AB292,TRUE(),$U$5:U292,U292),"")</f>
        <v>8</v>
      </c>
      <c r="AD292" s="5" t="str">
        <f aca="false">IF(AC292="","Not eligible",IF(AC292&lt;=Inputs!$B$25,"Lead",IF(AC292&lt;=Inputs!$B$25+Inputs!$B$26,"Next wave","Long list")))</f>
        <v>Next wave</v>
      </c>
      <c r="AE292" s="5" t="str">
        <f aca="false">IF(AND(K292+L292=0,M292&gt;0),"Safety upgrade of existing prefilled syringe",IF(K292+L292+M292=0,"Confirm presentation (not stated in source)",IF(AA292="Yes","Differentiation in crowded generic market","Safety-device mandate compliance")))</f>
        <v>Differentiation in crowded generic market</v>
      </c>
      <c r="AF292" s="5" t="str">
        <f aca="false">IF(AC292="","",C292&amp;"|"&amp;AC292)</f>
        <v>Dr. Reddy's Laboratories|8</v>
      </c>
    </row>
    <row r="293" customFormat="false" ht="15" hidden="false" customHeight="false" outlineLevel="0" collapsed="false">
      <c r="A293" s="5" t="n">
        <f aca="false">IF(ISNUMBER(U293),RANK(U293,$U$5:$U$337),"")</f>
        <v>52</v>
      </c>
      <c r="B293" s="5" t="s">
        <v>184</v>
      </c>
      <c r="C293" s="5" t="s">
        <v>35</v>
      </c>
      <c r="D293" s="5" t="str">
        <f aca="false">INDEX('API Data'!$B$2:$B$152,MATCH(B293,'API Data'!$A$2:$A$152,0))</f>
        <v>Anaesthesia – reversal of rocuronium/vecuronium muscle relaxation</v>
      </c>
      <c r="E293" s="5" t="n">
        <f aca="false">COUNTIFS('Market Listing'!$A$2:$A$4054,B293,'Market Listing'!$B$2:$B$4054,C293)</f>
        <v>32</v>
      </c>
      <c r="F293" s="5" t="n">
        <f aca="false">COUNTIFS('Market Listing'!$A$2:$A$4054,B293,'Market Listing'!$B$2:$B$4054,C293,'Market Listing'!$D$2:$D$4054,"Tier 1")</f>
        <v>6</v>
      </c>
      <c r="G293" s="5" t="n">
        <f aca="false">COUNTIFS('Market Listing'!$A$2:$A$4054,B293,'Market Listing'!$B$2:$B$4054,C293,'Market Listing'!$D$2:$D$4054,"Tier 2")</f>
        <v>3</v>
      </c>
      <c r="H293" s="5" t="n">
        <f aca="false">COUNTIFS('Market Listing'!$A$2:$A$4054,B293,'Market Listing'!$B$2:$B$4054,C293,'Market Listing'!$D$2:$D$4054,"Tier 3")</f>
        <v>23</v>
      </c>
      <c r="I293" s="5" t="n">
        <f aca="false">SUMIFS('Market Listing'!$E$2:$E$4054,'Market Listing'!$A$2:$A$4054,B293,'Market Listing'!$B$2:$B$4054,C293)</f>
        <v>47</v>
      </c>
      <c r="J293" s="5" t="n">
        <f aca="false">COUNTIFS('Product Rows'!$A$2:$A$696,B293,'Product Rows'!$B$2:$B$696,C293)</f>
        <v>2</v>
      </c>
      <c r="K293" s="5" t="n">
        <f aca="false">COUNTIFS('Product Rows'!$A$2:$A$696,B293,'Product Rows'!$B$2:$B$696,C293,'Product Rows'!$G$2:$G$696,"Vial")</f>
        <v>2</v>
      </c>
      <c r="L293" s="5" t="n">
        <f aca="false">COUNTIFS('Product Rows'!$A$2:$A$696,B293,'Product Rows'!$B$2:$B$696,C293,'Product Rows'!$G$2:$G$696,"Ampoule")</f>
        <v>0</v>
      </c>
      <c r="M293" s="5" t="n">
        <f aca="false">COUNTIFS('Product Rows'!$A$2:$A$696,B293,'Product Rows'!$B$2:$B$696,C293,'Product Rows'!$G$2:$G$696,"Prefilled syringe/pen")</f>
        <v>0</v>
      </c>
      <c r="N293" s="6" t="n">
        <f aca="false">IFERROR(AVERAGEIFS('Product Rows'!$H$2:$H$696,'Product Rows'!$A$2:$A$696,B293,'Product Rows'!$B$2:$B$696,C293),"")</f>
        <v>74.4099</v>
      </c>
      <c r="O293" s="7" t="n">
        <f aca="false">INDEX('API Data'!$E$2:$E$152,MATCH(B293,'API Data'!$A$2:$A$152,0))</f>
        <v>32830.17</v>
      </c>
      <c r="P293" s="5" t="n">
        <f aca="false">COUNTIF($B$5:$B$337,B293)</f>
        <v>12</v>
      </c>
      <c r="Q293" s="8" t="n">
        <f aca="false">IF(ISNUMBER(I293),PERCENTRANK($I$5:$I$337,I293),"")</f>
        <v>0.892</v>
      </c>
      <c r="R293" s="8" t="n">
        <f aca="false">IF(ISNUMBER(N293),PERCENTRANK($N$5:$N$337,N293),"")</f>
        <v>0.685</v>
      </c>
      <c r="S293" s="8" t="n">
        <f aca="false">IF(ISNUMBER(O293),PERCENTRANK($O$5:$O$337,O293),"")</f>
        <v>0.825</v>
      </c>
      <c r="T293" s="8" t="n">
        <f aca="false">IF(ISNUMBER(P293),PERCENTRANK($P$5:$P$337,P293),"")</f>
        <v>0.967</v>
      </c>
      <c r="U293" s="9" t="n">
        <f aca="false">IF((IF(ISNUMBER(Q293),Inputs!$B$4,0)+IF(ISNUMBER(R293),Inputs!$B$5,0)+IF(ISNUMBER(S293),Inputs!$B$6,0)+IF(ISNUMBER(T293),Inputs!$B$7,0))=0,"",(IF(ISNUMBER(Q293),Inputs!$B$4*Q293,0)+IF(ISNUMBER(R293),Inputs!$B$5*R293,0)+IF(ISNUMBER(S293),Inputs!$B$6*S293,0)+IF(ISNUMBER(T293),Inputs!$B$7*T293,0))/(IF(ISNUMBER(Q293),Inputs!$B$4,0)+IF(ISNUMBER(R293),Inputs!$B$5,0)+IF(ISNUMBER(S293),Inputs!$B$6,0)+IF(ISNUMBER(T293),Inputs!$B$7,0)))</f>
        <v>0.755</v>
      </c>
      <c r="V293" s="5" t="str">
        <f aca="false">IF(F293&gt;0,"Yes","No")</f>
        <v>Yes</v>
      </c>
      <c r="W293" s="5" t="str">
        <f aca="false">IF(ISNUMBER(N293),IF(N293&gt;=Inputs!$D$18,"Yes","No"),"No price")</f>
        <v>Yes</v>
      </c>
      <c r="X293" s="5" t="str">
        <f aca="false">IF(K293+L293&gt;0,"Yes",IF(M293&gt;0,"No","Unclear"))</f>
        <v>Yes</v>
      </c>
      <c r="Y293" s="5" t="str">
        <f aca="false">INDEX('API Data'!$H$2:$H$152,MATCH(B293,'API Data'!$A$2:$A$152,0))</f>
        <v>No</v>
      </c>
      <c r="Z293" s="5" t="str">
        <f aca="false">IF(COUNTIFS('Product Rows'!$A$2:$A$696,B293,'Product Rows'!$B$2:$B$696,C293,'Product Rows'!$I$2:$I$696,"Yes")&gt;0,"Yes","No")</f>
        <v>No</v>
      </c>
      <c r="AA293" s="5" t="str">
        <f aca="false">IF(P293&gt;=Inputs!$D$22,"Yes","No")</f>
        <v>Yes</v>
      </c>
      <c r="AB293" s="10" t="b">
        <f aca="false">AND(OR(Inputs!$B$17&lt;&gt;"Exclude",V293="Yes"),OR(Inputs!$B$18&lt;&gt;"Exclude",W293&lt;&gt;"No"),OR(Inputs!$B$19&lt;&gt;"Exclude",X293&lt;&gt;"No"),OR(Inputs!$B$20&lt;&gt;"Exclude",Y293="No"),OR(Inputs!$B$21&lt;&gt;"Exclude",Z293="No"),OR(Inputs!$B$22&lt;&gt;"Exclude",AA293="Yes"),ISNUMBER(U293))</f>
        <v>1</v>
      </c>
      <c r="AC293" s="5" t="n">
        <f aca="false">IF(AB293,COUNTIFS($C$5:$C$337,C293,$AB$5:$AB$337,TRUE(),$U$5:$U$337,"&gt;"&amp;U293)+COUNTIFS($C$5:C293,C293,$AB$5:AB293,TRUE(),$U$5:U293,U293),"")</f>
        <v>5</v>
      </c>
      <c r="AD293" s="5" t="str">
        <f aca="false">IF(AC293="","Not eligible",IF(AC293&lt;=Inputs!$B$25,"Lead",IF(AC293&lt;=Inputs!$B$25+Inputs!$B$26,"Next wave","Long list")))</f>
        <v>Lead</v>
      </c>
      <c r="AE293" s="5" t="str">
        <f aca="false">IF(AND(K293+L293=0,M293&gt;0),"Safety upgrade of existing prefilled syringe",IF(K293+L293+M293=0,"Confirm presentation (not stated in source)",IF(AA293="Yes","Differentiation in crowded generic market","Safety-device mandate compliance")))</f>
        <v>Differentiation in crowded generic market</v>
      </c>
      <c r="AF293" s="5" t="str">
        <f aca="false">IF(AC293="","",C293&amp;"|"&amp;AC293)</f>
        <v>Emcure Pharmaceuticals|5</v>
      </c>
    </row>
    <row r="294" customFormat="false" ht="15" hidden="false" customHeight="false" outlineLevel="0" collapsed="false">
      <c r="A294" s="5" t="n">
        <f aca="false">IF(ISNUMBER(U294),RANK(U294,$U$5:$U$337),"")</f>
        <v>49</v>
      </c>
      <c r="B294" s="5" t="s">
        <v>184</v>
      </c>
      <c r="C294" s="5" t="s">
        <v>56</v>
      </c>
      <c r="D294" s="5" t="str">
        <f aca="false">INDEX('API Data'!$B$2:$B$152,MATCH(B294,'API Data'!$A$2:$A$152,0))</f>
        <v>Anaesthesia – reversal of rocuronium/vecuronium muscle relaxation</v>
      </c>
      <c r="E294" s="5" t="n">
        <f aca="false">COUNTIFS('Market Listing'!$A$2:$A$4054,B294,'Market Listing'!$B$2:$B$4054,C294)</f>
        <v>32</v>
      </c>
      <c r="F294" s="5" t="n">
        <f aca="false">COUNTIFS('Market Listing'!$A$2:$A$4054,B294,'Market Listing'!$B$2:$B$4054,C294,'Market Listing'!$D$2:$D$4054,"Tier 1")</f>
        <v>6</v>
      </c>
      <c r="G294" s="5" t="n">
        <f aca="false">COUNTIFS('Market Listing'!$A$2:$A$4054,B294,'Market Listing'!$B$2:$B$4054,C294,'Market Listing'!$D$2:$D$4054,"Tier 2")</f>
        <v>3</v>
      </c>
      <c r="H294" s="5" t="n">
        <f aca="false">COUNTIFS('Market Listing'!$A$2:$A$4054,B294,'Market Listing'!$B$2:$B$4054,C294,'Market Listing'!$D$2:$D$4054,"Tier 3")</f>
        <v>23</v>
      </c>
      <c r="I294" s="5" t="n">
        <f aca="false">SUMIFS('Market Listing'!$E$2:$E$4054,'Market Listing'!$A$2:$A$4054,B294,'Market Listing'!$B$2:$B$4054,C294)</f>
        <v>47</v>
      </c>
      <c r="J294" s="5" t="n">
        <f aca="false">COUNTIFS('Product Rows'!$A$2:$A$696,B294,'Product Rows'!$B$2:$B$696,C294)</f>
        <v>2</v>
      </c>
      <c r="K294" s="5" t="n">
        <f aca="false">COUNTIFS('Product Rows'!$A$2:$A$696,B294,'Product Rows'!$B$2:$B$696,C294,'Product Rows'!$G$2:$G$696,"Vial")</f>
        <v>2</v>
      </c>
      <c r="L294" s="5" t="n">
        <f aca="false">COUNTIFS('Product Rows'!$A$2:$A$696,B294,'Product Rows'!$B$2:$B$696,C294,'Product Rows'!$G$2:$G$696,"Ampoule")</f>
        <v>0</v>
      </c>
      <c r="M294" s="5" t="n">
        <f aca="false">COUNTIFS('Product Rows'!$A$2:$A$696,B294,'Product Rows'!$B$2:$B$696,C294,'Product Rows'!$G$2:$G$696,"Prefilled syringe/pen")</f>
        <v>0</v>
      </c>
      <c r="N294" s="6" t="n">
        <f aca="false">IFERROR(AVERAGEIFS('Product Rows'!$H$2:$H$696,'Product Rows'!$A$2:$A$696,B294,'Product Rows'!$B$2:$B$696,C294),"")</f>
        <v>79.5349</v>
      </c>
      <c r="O294" s="7" t="n">
        <f aca="false">INDEX('API Data'!$E$2:$E$152,MATCH(B294,'API Data'!$A$2:$A$152,0))</f>
        <v>32830.17</v>
      </c>
      <c r="P294" s="5" t="n">
        <f aca="false">COUNTIF($B$5:$B$337,B294)</f>
        <v>12</v>
      </c>
      <c r="Q294" s="8" t="n">
        <f aca="false">IF(ISNUMBER(I294),PERCENTRANK($I$5:$I$337,I294),"")</f>
        <v>0.892</v>
      </c>
      <c r="R294" s="8" t="n">
        <f aca="false">IF(ISNUMBER(N294),PERCENTRANK($N$5:$N$337,N294),"")</f>
        <v>0.692</v>
      </c>
      <c r="S294" s="8" t="n">
        <f aca="false">IF(ISNUMBER(O294),PERCENTRANK($O$5:$O$337,O294),"")</f>
        <v>0.825</v>
      </c>
      <c r="T294" s="8" t="n">
        <f aca="false">IF(ISNUMBER(P294),PERCENTRANK($P$5:$P$337,P294),"")</f>
        <v>0.967</v>
      </c>
      <c r="U294" s="9" t="n">
        <f aca="false">IF((IF(ISNUMBER(Q294),Inputs!$B$4,0)+IF(ISNUMBER(R294),Inputs!$B$5,0)+IF(ISNUMBER(S294),Inputs!$B$6,0)+IF(ISNUMBER(T294),Inputs!$B$7,0))=0,"",(IF(ISNUMBER(Q294),Inputs!$B$4*Q294,0)+IF(ISNUMBER(R294),Inputs!$B$5*R294,0)+IF(ISNUMBER(S294),Inputs!$B$6*S294,0)+IF(ISNUMBER(T294),Inputs!$B$7*T294,0))/(IF(ISNUMBER(Q294),Inputs!$B$4,0)+IF(ISNUMBER(R294),Inputs!$B$5,0)+IF(ISNUMBER(S294),Inputs!$B$6,0)+IF(ISNUMBER(T294),Inputs!$B$7,0)))</f>
        <v>0.7585</v>
      </c>
      <c r="V294" s="5" t="str">
        <f aca="false">IF(F294&gt;0,"Yes","No")</f>
        <v>Yes</v>
      </c>
      <c r="W294" s="5" t="str">
        <f aca="false">IF(ISNUMBER(N294),IF(N294&gt;=Inputs!$D$18,"Yes","No"),"No price")</f>
        <v>Yes</v>
      </c>
      <c r="X294" s="5" t="str">
        <f aca="false">IF(K294+L294&gt;0,"Yes",IF(M294&gt;0,"No","Unclear"))</f>
        <v>Yes</v>
      </c>
      <c r="Y294" s="5" t="str">
        <f aca="false">INDEX('API Data'!$H$2:$H$152,MATCH(B294,'API Data'!$A$2:$A$152,0))</f>
        <v>No</v>
      </c>
      <c r="Z294" s="5" t="str">
        <f aca="false">IF(COUNTIFS('Product Rows'!$A$2:$A$696,B294,'Product Rows'!$B$2:$B$696,C294,'Product Rows'!$I$2:$I$696,"Yes")&gt;0,"Yes","No")</f>
        <v>No</v>
      </c>
      <c r="AA294" s="5" t="str">
        <f aca="false">IF(P294&gt;=Inputs!$D$22,"Yes","No")</f>
        <v>Yes</v>
      </c>
      <c r="AB294" s="10" t="b">
        <f aca="false">AND(OR(Inputs!$B$17&lt;&gt;"Exclude",V294="Yes"),OR(Inputs!$B$18&lt;&gt;"Exclude",W294&lt;&gt;"No"),OR(Inputs!$B$19&lt;&gt;"Exclude",X294&lt;&gt;"No"),OR(Inputs!$B$20&lt;&gt;"Exclude",Y294="No"),OR(Inputs!$B$21&lt;&gt;"Exclude",Z294="No"),OR(Inputs!$B$22&lt;&gt;"Exclude",AA294="Yes"),ISNUMBER(U294))</f>
        <v>1</v>
      </c>
      <c r="AC294" s="5" t="n">
        <f aca="false">IF(AB294,COUNTIFS($C$5:$C$337,C294,$AB$5:$AB$337,TRUE(),$U$5:$U$337,"&gt;"&amp;U294)+COUNTIFS($C$5:C294,C294,$AB$5:AB294,TRUE(),$U$5:U294,U294),"")</f>
        <v>4</v>
      </c>
      <c r="AD294" s="5" t="str">
        <f aca="false">IF(AC294="","Not eligible",IF(AC294&lt;=Inputs!$B$25,"Lead",IF(AC294&lt;=Inputs!$B$25+Inputs!$B$26,"Next wave","Long list")))</f>
        <v>Lead</v>
      </c>
      <c r="AE294" s="5" t="str">
        <f aca="false">IF(AND(K294+L294=0,M294&gt;0),"Safety upgrade of existing prefilled syringe",IF(K294+L294+M294=0,"Confirm presentation (not stated in source)",IF(AA294="Yes","Differentiation in crowded generic market","Safety-device mandate compliance")))</f>
        <v>Differentiation in crowded generic market</v>
      </c>
      <c r="AF294" s="5" t="str">
        <f aca="false">IF(AC294="","",C294&amp;"|"&amp;AC294)</f>
        <v>Glenmark Pharmaceuticals|4</v>
      </c>
    </row>
    <row r="295" customFormat="false" ht="15" hidden="false" customHeight="false" outlineLevel="0" collapsed="false">
      <c r="A295" s="5" t="n">
        <f aca="false">IF(ISNUMBER(U295),RANK(U295,$U$5:$U$337),"")</f>
        <v>61</v>
      </c>
      <c r="B295" s="5" t="s">
        <v>184</v>
      </c>
      <c r="C295" s="5" t="s">
        <v>57</v>
      </c>
      <c r="D295" s="5" t="str">
        <f aca="false">INDEX('API Data'!$B$2:$B$152,MATCH(B295,'API Data'!$A$2:$A$152,0))</f>
        <v>Anaesthesia – reversal of rocuronium/vecuronium muscle relaxation</v>
      </c>
      <c r="E295" s="5" t="n">
        <f aca="false">COUNTIFS('Market Listing'!$A$2:$A$4054,B295,'Market Listing'!$B$2:$B$4054,C295)</f>
        <v>34</v>
      </c>
      <c r="F295" s="5" t="n">
        <f aca="false">COUNTIFS('Market Listing'!$A$2:$A$4054,B295,'Market Listing'!$B$2:$B$4054,C295,'Market Listing'!$D$2:$D$4054,"Tier 1")</f>
        <v>7</v>
      </c>
      <c r="G295" s="5" t="n">
        <f aca="false">COUNTIFS('Market Listing'!$A$2:$A$4054,B295,'Market Listing'!$B$2:$B$4054,C295,'Market Listing'!$D$2:$D$4054,"Tier 2")</f>
        <v>4</v>
      </c>
      <c r="H295" s="5" t="n">
        <f aca="false">COUNTIFS('Market Listing'!$A$2:$A$4054,B295,'Market Listing'!$B$2:$B$4054,C295,'Market Listing'!$D$2:$D$4054,"Tier 3")</f>
        <v>23</v>
      </c>
      <c r="I295" s="5" t="n">
        <f aca="false">SUMIFS('Market Listing'!$E$2:$E$4054,'Market Listing'!$A$2:$A$4054,B295,'Market Listing'!$B$2:$B$4054,C295)</f>
        <v>52</v>
      </c>
      <c r="J295" s="5" t="n">
        <f aca="false">COUNTIFS('Product Rows'!$A$2:$A$696,B295,'Product Rows'!$B$2:$B$696,C295)</f>
        <v>5</v>
      </c>
      <c r="K295" s="5" t="n">
        <f aca="false">COUNTIFS('Product Rows'!$A$2:$A$696,B295,'Product Rows'!$B$2:$B$696,C295,'Product Rows'!$G$2:$G$696,"Vial")</f>
        <v>3</v>
      </c>
      <c r="L295" s="5" t="n">
        <f aca="false">COUNTIFS('Product Rows'!$A$2:$A$696,B295,'Product Rows'!$B$2:$B$696,C295,'Product Rows'!$G$2:$G$696,"Ampoule")</f>
        <v>1</v>
      </c>
      <c r="M295" s="5" t="n">
        <f aca="false">COUNTIFS('Product Rows'!$A$2:$A$696,B295,'Product Rows'!$B$2:$B$696,C295,'Product Rows'!$G$2:$G$696,"Prefilled syringe/pen")</f>
        <v>0</v>
      </c>
      <c r="N295" s="6" t="n">
        <f aca="false">IFERROR(AVERAGEIFS('Product Rows'!$H$2:$H$696,'Product Rows'!$A$2:$A$696,B295,'Product Rows'!$B$2:$B$696,C295),"")</f>
        <v>42.15378</v>
      </c>
      <c r="O295" s="7" t="n">
        <f aca="false">INDEX('API Data'!$E$2:$E$152,MATCH(B295,'API Data'!$A$2:$A$152,0))</f>
        <v>32830.17</v>
      </c>
      <c r="P295" s="5" t="n">
        <f aca="false">COUNTIF($B$5:$B$337,B295)</f>
        <v>12</v>
      </c>
      <c r="Q295" s="8" t="n">
        <f aca="false">IF(ISNUMBER(I295),PERCENTRANK($I$5:$I$337,I295),"")</f>
        <v>0.979</v>
      </c>
      <c r="R295" s="8" t="n">
        <f aca="false">IF(ISNUMBER(N295),PERCENTRANK($N$5:$N$337,N295),"")</f>
        <v>0.588</v>
      </c>
      <c r="S295" s="8" t="n">
        <f aca="false">IF(ISNUMBER(O295),PERCENTRANK($O$5:$O$337,O295),"")</f>
        <v>0.825</v>
      </c>
      <c r="T295" s="8" t="n">
        <f aca="false">IF(ISNUMBER(P295),PERCENTRANK($P$5:$P$337,P295),"")</f>
        <v>0.967</v>
      </c>
      <c r="U295" s="9" t="n">
        <f aca="false">IF((IF(ISNUMBER(Q295),Inputs!$B$4,0)+IF(ISNUMBER(R295),Inputs!$B$5,0)+IF(ISNUMBER(S295),Inputs!$B$6,0)+IF(ISNUMBER(T295),Inputs!$B$7,0))=0,"",(IF(ISNUMBER(Q295),Inputs!$B$4*Q295,0)+IF(ISNUMBER(R295),Inputs!$B$5*R295,0)+IF(ISNUMBER(S295),Inputs!$B$6*S295,0)+IF(ISNUMBER(T295),Inputs!$B$7*T295,0))/(IF(ISNUMBER(Q295),Inputs!$B$4,0)+IF(ISNUMBER(R295),Inputs!$B$5,0)+IF(ISNUMBER(S295),Inputs!$B$6,0)+IF(ISNUMBER(T295),Inputs!$B$7,0)))</f>
        <v>0.7065</v>
      </c>
      <c r="V295" s="5" t="str">
        <f aca="false">IF(F295&gt;0,"Yes","No")</f>
        <v>Yes</v>
      </c>
      <c r="W295" s="5" t="str">
        <f aca="false">IF(ISNUMBER(N295),IF(N295&gt;=Inputs!$D$18,"Yes","No"),"No price")</f>
        <v>Yes</v>
      </c>
      <c r="X295" s="5" t="str">
        <f aca="false">IF(K295+L295&gt;0,"Yes",IF(M295&gt;0,"No","Unclear"))</f>
        <v>Yes</v>
      </c>
      <c r="Y295" s="5" t="str">
        <f aca="false">INDEX('API Data'!$H$2:$H$152,MATCH(B295,'API Data'!$A$2:$A$152,0))</f>
        <v>No</v>
      </c>
      <c r="Z295" s="5" t="str">
        <f aca="false">IF(COUNTIFS('Product Rows'!$A$2:$A$696,B295,'Product Rows'!$B$2:$B$696,C295,'Product Rows'!$I$2:$I$696,"Yes")&gt;0,"Yes","No")</f>
        <v>No</v>
      </c>
      <c r="AA295" s="5" t="str">
        <f aca="false">IF(P295&gt;=Inputs!$D$22,"Yes","No")</f>
        <v>Yes</v>
      </c>
      <c r="AB295" s="10" t="b">
        <f aca="false">AND(OR(Inputs!$B$17&lt;&gt;"Exclude",V295="Yes"),OR(Inputs!$B$18&lt;&gt;"Exclude",W295&lt;&gt;"No"),OR(Inputs!$B$19&lt;&gt;"Exclude",X295&lt;&gt;"No"),OR(Inputs!$B$20&lt;&gt;"Exclude",Y295="No"),OR(Inputs!$B$21&lt;&gt;"Exclude",Z295="No"),OR(Inputs!$B$22&lt;&gt;"Exclude",AA295="Yes"),ISNUMBER(U295))</f>
        <v>1</v>
      </c>
      <c r="AC295" s="5" t="n">
        <f aca="false">IF(AB295,COUNTIFS($C$5:$C$337,C295,$AB$5:$AB$337,TRUE(),$U$5:$U$337,"&gt;"&amp;U295)+COUNTIFS($C$5:C295,C295,$AB$5:AB295,TRUE(),$U$5:U295,U295),"")</f>
        <v>7</v>
      </c>
      <c r="AD295" s="5" t="str">
        <f aca="false">IF(AC295="","Not eligible",IF(AC295&lt;=Inputs!$B$25,"Lead",IF(AC295&lt;=Inputs!$B$25+Inputs!$B$26,"Next wave","Long list")))</f>
        <v>Next wave</v>
      </c>
      <c r="AE295" s="5" t="str">
        <f aca="false">IF(AND(K295+L295=0,M295&gt;0),"Safety upgrade of existing prefilled syringe",IF(K295+L295+M295=0,"Confirm presentation (not stated in source)",IF(AA295="Yes","Differentiation in crowded generic market","Safety-device mandate compliance")))</f>
        <v>Differentiation in crowded generic market</v>
      </c>
      <c r="AF295" s="5" t="str">
        <f aca="false">IF(AC295="","",C295&amp;"|"&amp;AC295)</f>
        <v>Hetero Labs|7</v>
      </c>
    </row>
    <row r="296" customFormat="false" ht="15" hidden="false" customHeight="false" outlineLevel="0" collapsed="false">
      <c r="A296" s="5" t="n">
        <f aca="false">IF(ISNUMBER(U296),RANK(U296,$U$5:$U$337),"")</f>
        <v>49</v>
      </c>
      <c r="B296" s="5" t="s">
        <v>184</v>
      </c>
      <c r="C296" s="5" t="s">
        <v>44</v>
      </c>
      <c r="D296" s="5" t="str">
        <f aca="false">INDEX('API Data'!$B$2:$B$152,MATCH(B296,'API Data'!$A$2:$A$152,0))</f>
        <v>Anaesthesia – reversal of rocuronium/vecuronium muscle relaxation</v>
      </c>
      <c r="E296" s="5" t="n">
        <f aca="false">COUNTIFS('Market Listing'!$A$2:$A$4054,B296,'Market Listing'!$B$2:$B$4054,C296)</f>
        <v>33</v>
      </c>
      <c r="F296" s="5" t="n">
        <f aca="false">COUNTIFS('Market Listing'!$A$2:$A$4054,B296,'Market Listing'!$B$2:$B$4054,C296,'Market Listing'!$D$2:$D$4054,"Tier 1")</f>
        <v>6</v>
      </c>
      <c r="G296" s="5" t="n">
        <f aca="false">COUNTIFS('Market Listing'!$A$2:$A$4054,B296,'Market Listing'!$B$2:$B$4054,C296,'Market Listing'!$D$2:$D$4054,"Tier 2")</f>
        <v>4</v>
      </c>
      <c r="H296" s="5" t="n">
        <f aca="false">COUNTIFS('Market Listing'!$A$2:$A$4054,B296,'Market Listing'!$B$2:$B$4054,C296,'Market Listing'!$D$2:$D$4054,"Tier 3")</f>
        <v>23</v>
      </c>
      <c r="I296" s="5" t="n">
        <f aca="false">SUMIFS('Market Listing'!$E$2:$E$4054,'Market Listing'!$A$2:$A$4054,B296,'Market Listing'!$B$2:$B$4054,C296)</f>
        <v>49</v>
      </c>
      <c r="J296" s="5" t="n">
        <f aca="false">COUNTIFS('Product Rows'!$A$2:$A$696,B296,'Product Rows'!$B$2:$B$696,C296)</f>
        <v>4</v>
      </c>
      <c r="K296" s="5" t="n">
        <f aca="false">COUNTIFS('Product Rows'!$A$2:$A$696,B296,'Product Rows'!$B$2:$B$696,C296,'Product Rows'!$G$2:$G$696,"Vial")</f>
        <v>4</v>
      </c>
      <c r="L296" s="5" t="n">
        <f aca="false">COUNTIFS('Product Rows'!$A$2:$A$696,B296,'Product Rows'!$B$2:$B$696,C296,'Product Rows'!$G$2:$G$696,"Ampoule")</f>
        <v>0</v>
      </c>
      <c r="M296" s="5" t="n">
        <f aca="false">COUNTIFS('Product Rows'!$A$2:$A$696,B296,'Product Rows'!$B$2:$B$696,C296,'Product Rows'!$G$2:$G$696,"Prefilled syringe/pen")</f>
        <v>0</v>
      </c>
      <c r="N296" s="6" t="n">
        <f aca="false">IFERROR(AVERAGEIFS('Product Rows'!$H$2:$H$696,'Product Rows'!$A$2:$A$696,B296,'Product Rows'!$B$2:$B$696,C296),"")</f>
        <v>79.5349</v>
      </c>
      <c r="O296" s="7" t="n">
        <f aca="false">INDEX('API Data'!$E$2:$E$152,MATCH(B296,'API Data'!$A$2:$A$152,0))</f>
        <v>32830.17</v>
      </c>
      <c r="P296" s="5" t="n">
        <f aca="false">COUNTIF($B$5:$B$337,B296)</f>
        <v>12</v>
      </c>
      <c r="Q296" s="8" t="n">
        <f aca="false">IF(ISNUMBER(I296),PERCENTRANK($I$5:$I$337,I296),"")</f>
        <v>0.934</v>
      </c>
      <c r="R296" s="8" t="n">
        <f aca="false">IF(ISNUMBER(N296),PERCENTRANK($N$5:$N$337,N296),"")</f>
        <v>0.692</v>
      </c>
      <c r="S296" s="8" t="n">
        <f aca="false">IF(ISNUMBER(O296),PERCENTRANK($O$5:$O$337,O296),"")</f>
        <v>0.825</v>
      </c>
      <c r="T296" s="8" t="n">
        <f aca="false">IF(ISNUMBER(P296),PERCENTRANK($P$5:$P$337,P296),"")</f>
        <v>0.967</v>
      </c>
      <c r="U296" s="9" t="n">
        <f aca="false">IF((IF(ISNUMBER(Q296),Inputs!$B$4,0)+IF(ISNUMBER(R296),Inputs!$B$5,0)+IF(ISNUMBER(S296),Inputs!$B$6,0)+IF(ISNUMBER(T296),Inputs!$B$7,0))=0,"",(IF(ISNUMBER(Q296),Inputs!$B$4*Q296,0)+IF(ISNUMBER(R296),Inputs!$B$5*R296,0)+IF(ISNUMBER(S296),Inputs!$B$6*S296,0)+IF(ISNUMBER(T296),Inputs!$B$7*T296,0))/(IF(ISNUMBER(Q296),Inputs!$B$4,0)+IF(ISNUMBER(R296),Inputs!$B$5,0)+IF(ISNUMBER(S296),Inputs!$B$6,0)+IF(ISNUMBER(T296),Inputs!$B$7,0)))</f>
        <v>0.7585</v>
      </c>
      <c r="V296" s="5" t="str">
        <f aca="false">IF(F296&gt;0,"Yes","No")</f>
        <v>Yes</v>
      </c>
      <c r="W296" s="5" t="str">
        <f aca="false">IF(ISNUMBER(N296),IF(N296&gt;=Inputs!$D$18,"Yes","No"),"No price")</f>
        <v>Yes</v>
      </c>
      <c r="X296" s="5" t="str">
        <f aca="false">IF(K296+L296&gt;0,"Yes",IF(M296&gt;0,"No","Unclear"))</f>
        <v>Yes</v>
      </c>
      <c r="Y296" s="5" t="str">
        <f aca="false">INDEX('API Data'!$H$2:$H$152,MATCH(B296,'API Data'!$A$2:$A$152,0))</f>
        <v>No</v>
      </c>
      <c r="Z296" s="5" t="str">
        <f aca="false">IF(COUNTIFS('Product Rows'!$A$2:$A$696,B296,'Product Rows'!$B$2:$B$696,C296,'Product Rows'!$I$2:$I$696,"Yes")&gt;0,"Yes","No")</f>
        <v>No</v>
      </c>
      <c r="AA296" s="5" t="str">
        <f aca="false">IF(P296&gt;=Inputs!$D$22,"Yes","No")</f>
        <v>Yes</v>
      </c>
      <c r="AB296" s="10" t="b">
        <f aca="false">AND(OR(Inputs!$B$17&lt;&gt;"Exclude",V296="Yes"),OR(Inputs!$B$18&lt;&gt;"Exclude",W296&lt;&gt;"No"),OR(Inputs!$B$19&lt;&gt;"Exclude",X296&lt;&gt;"No"),OR(Inputs!$B$20&lt;&gt;"Exclude",Y296="No"),OR(Inputs!$B$21&lt;&gt;"Exclude",Z296="No"),OR(Inputs!$B$22&lt;&gt;"Exclude",AA296="Yes"),ISNUMBER(U296))</f>
        <v>1</v>
      </c>
      <c r="AC296" s="5" t="n">
        <f aca="false">IF(AB296,COUNTIFS($C$5:$C$337,C296,$AB$5:$AB$337,TRUE(),$U$5:$U$337,"&gt;"&amp;U296)+COUNTIFS($C$5:C296,C296,$AB$5:AB296,TRUE(),$U$5:U296,U296),"")</f>
        <v>10</v>
      </c>
      <c r="AD296" s="5" t="str">
        <f aca="false">IF(AC296="","Not eligible",IF(AC296&lt;=Inputs!$B$25,"Lead",IF(AC296&lt;=Inputs!$B$25+Inputs!$B$26,"Next wave","Long list")))</f>
        <v>Next wave</v>
      </c>
      <c r="AE296" s="5" t="str">
        <f aca="false">IF(AND(K296+L296=0,M296&gt;0),"Safety upgrade of existing prefilled syringe",IF(K296+L296+M296=0,"Confirm presentation (not stated in source)",IF(AA296="Yes","Differentiation in crowded generic market","Safety-device mandate compliance")))</f>
        <v>Differentiation in crowded generic market</v>
      </c>
      <c r="AF296" s="5" t="str">
        <f aca="false">IF(AC296="","",C296&amp;"|"&amp;AC296)</f>
        <v>Intas Pharmaceuticals|10</v>
      </c>
    </row>
    <row r="297" customFormat="false" ht="15" hidden="false" customHeight="false" outlineLevel="0" collapsed="false">
      <c r="A297" s="5" t="n">
        <f aca="false">IF(ISNUMBER(U297),RANK(U297,$U$5:$U$337),"")</f>
        <v>68</v>
      </c>
      <c r="B297" s="5" t="s">
        <v>184</v>
      </c>
      <c r="C297" s="5" t="s">
        <v>40</v>
      </c>
      <c r="D297" s="5" t="str">
        <f aca="false">INDEX('API Data'!$B$2:$B$152,MATCH(B297,'API Data'!$A$2:$A$152,0))</f>
        <v>Anaesthesia – reversal of rocuronium/vecuronium muscle relaxation</v>
      </c>
      <c r="E297" s="5" t="n">
        <f aca="false">COUNTIFS('Market Listing'!$A$2:$A$4054,B297,'Market Listing'!$B$2:$B$4054,C297)</f>
        <v>2</v>
      </c>
      <c r="F297" s="5" t="n">
        <f aca="false">COUNTIFS('Market Listing'!$A$2:$A$4054,B297,'Market Listing'!$B$2:$B$4054,C297,'Market Listing'!$D$2:$D$4054,"Tier 1")</f>
        <v>1</v>
      </c>
      <c r="G297" s="5" t="n">
        <f aca="false">COUNTIFS('Market Listing'!$A$2:$A$4054,B297,'Market Listing'!$B$2:$B$4054,C297,'Market Listing'!$D$2:$D$4054,"Tier 2")</f>
        <v>1</v>
      </c>
      <c r="H297" s="5" t="n">
        <f aca="false">COUNTIFS('Market Listing'!$A$2:$A$4054,B297,'Market Listing'!$B$2:$B$4054,C297,'Market Listing'!$D$2:$D$4054,"Tier 3")</f>
        <v>0</v>
      </c>
      <c r="I297" s="5" t="n">
        <f aca="false">SUMIFS('Market Listing'!$E$2:$E$4054,'Market Listing'!$A$2:$A$4054,B297,'Market Listing'!$B$2:$B$4054,C297)</f>
        <v>5</v>
      </c>
      <c r="J297" s="5" t="n">
        <f aca="false">COUNTIFS('Product Rows'!$A$2:$A$696,B297,'Product Rows'!$B$2:$B$696,C297)</f>
        <v>4</v>
      </c>
      <c r="K297" s="5" t="n">
        <f aca="false">COUNTIFS('Product Rows'!$A$2:$A$696,B297,'Product Rows'!$B$2:$B$696,C297,'Product Rows'!$G$2:$G$696,"Vial")</f>
        <v>4</v>
      </c>
      <c r="L297" s="5" t="n">
        <f aca="false">COUNTIFS('Product Rows'!$A$2:$A$696,B297,'Product Rows'!$B$2:$B$696,C297,'Product Rows'!$G$2:$G$696,"Ampoule")</f>
        <v>0</v>
      </c>
      <c r="M297" s="5" t="n">
        <f aca="false">COUNTIFS('Product Rows'!$A$2:$A$696,B297,'Product Rows'!$B$2:$B$696,C297,'Product Rows'!$G$2:$G$696,"Prefilled syringe/pen")</f>
        <v>0</v>
      </c>
      <c r="N297" s="6" t="n">
        <f aca="false">IFERROR(AVERAGEIFS('Product Rows'!$H$2:$H$696,'Product Rows'!$A$2:$A$696,B297,'Product Rows'!$B$2:$B$696,C297),"")</f>
        <v>35.03</v>
      </c>
      <c r="O297" s="7" t="n">
        <f aca="false">INDEX('API Data'!$E$2:$E$152,MATCH(B297,'API Data'!$A$2:$A$152,0))</f>
        <v>32830.17</v>
      </c>
      <c r="P297" s="5" t="n">
        <f aca="false">COUNTIF($B$5:$B$337,B297)</f>
        <v>12</v>
      </c>
      <c r="Q297" s="8" t="n">
        <f aca="false">IF(ISNUMBER(I297),PERCENTRANK($I$5:$I$337,I297),"")</f>
        <v>0.521</v>
      </c>
      <c r="R297" s="8" t="n">
        <f aca="false">IF(ISNUMBER(N297),PERCENTRANK($N$5:$N$337,N297),"")</f>
        <v>0.53</v>
      </c>
      <c r="S297" s="8" t="n">
        <f aca="false">IF(ISNUMBER(O297),PERCENTRANK($O$5:$O$337,O297),"")</f>
        <v>0.825</v>
      </c>
      <c r="T297" s="8" t="n">
        <f aca="false">IF(ISNUMBER(P297),PERCENTRANK($P$5:$P$337,P297),"")</f>
        <v>0.967</v>
      </c>
      <c r="U297" s="9" t="n">
        <f aca="false">IF((IF(ISNUMBER(Q297),Inputs!$B$4,0)+IF(ISNUMBER(R297),Inputs!$B$5,0)+IF(ISNUMBER(S297),Inputs!$B$6,0)+IF(ISNUMBER(T297),Inputs!$B$7,0))=0,"",(IF(ISNUMBER(Q297),Inputs!$B$4*Q297,0)+IF(ISNUMBER(R297),Inputs!$B$5*R297,0)+IF(ISNUMBER(S297),Inputs!$B$6*S297,0)+IF(ISNUMBER(T297),Inputs!$B$7*T297,0))/(IF(ISNUMBER(Q297),Inputs!$B$4,0)+IF(ISNUMBER(R297),Inputs!$B$5,0)+IF(ISNUMBER(S297),Inputs!$B$6,0)+IF(ISNUMBER(T297),Inputs!$B$7,0)))</f>
        <v>0.6775</v>
      </c>
      <c r="V297" s="5" t="str">
        <f aca="false">IF(F297&gt;0,"Yes","No")</f>
        <v>Yes</v>
      </c>
      <c r="W297" s="5" t="str">
        <f aca="false">IF(ISNUMBER(N297),IF(N297&gt;=Inputs!$D$18,"Yes","No"),"No price")</f>
        <v>Yes</v>
      </c>
      <c r="X297" s="5" t="str">
        <f aca="false">IF(K297+L297&gt;0,"Yes",IF(M297&gt;0,"No","Unclear"))</f>
        <v>Yes</v>
      </c>
      <c r="Y297" s="5" t="str">
        <f aca="false">INDEX('API Data'!$H$2:$H$152,MATCH(B297,'API Data'!$A$2:$A$152,0))</f>
        <v>No</v>
      </c>
      <c r="Z297" s="5" t="str">
        <f aca="false">IF(COUNTIFS('Product Rows'!$A$2:$A$696,B297,'Product Rows'!$B$2:$B$696,C297,'Product Rows'!$I$2:$I$696,"Yes")&gt;0,"Yes","No")</f>
        <v>No</v>
      </c>
      <c r="AA297" s="5" t="str">
        <f aca="false">IF(P297&gt;=Inputs!$D$22,"Yes","No")</f>
        <v>Yes</v>
      </c>
      <c r="AB297" s="10" t="b">
        <f aca="false">AND(OR(Inputs!$B$17&lt;&gt;"Exclude",V297="Yes"),OR(Inputs!$B$18&lt;&gt;"Exclude",W297&lt;&gt;"No"),OR(Inputs!$B$19&lt;&gt;"Exclude",X297&lt;&gt;"No"),OR(Inputs!$B$20&lt;&gt;"Exclude",Y297="No"),OR(Inputs!$B$21&lt;&gt;"Exclude",Z297="No"),OR(Inputs!$B$22&lt;&gt;"Exclude",AA297="Yes"),ISNUMBER(U297))</f>
        <v>1</v>
      </c>
      <c r="AC297" s="5" t="n">
        <f aca="false">IF(AB297,COUNTIFS($C$5:$C$337,C297,$AB$5:$AB$337,TRUE(),$U$5:$U$337,"&gt;"&amp;U297)+COUNTIFS($C$5:C297,C297,$AB$5:AB297,TRUE(),$U$5:U297,U297),"")</f>
        <v>1</v>
      </c>
      <c r="AD297" s="5" t="str">
        <f aca="false">IF(AC297="","Not eligible",IF(AC297&lt;=Inputs!$B$25,"Lead",IF(AC297&lt;=Inputs!$B$25+Inputs!$B$26,"Next wave","Long list")))</f>
        <v>Lead</v>
      </c>
      <c r="AE297" s="5" t="str">
        <f aca="false">IF(AND(K297+L297=0,M297&gt;0),"Safety upgrade of existing prefilled syringe",IF(K297+L297+M297=0,"Confirm presentation (not stated in source)",IF(AA297="Yes","Differentiation in crowded generic market","Safety-device mandate compliance")))</f>
        <v>Differentiation in crowded generic market</v>
      </c>
      <c r="AF297" s="5" t="str">
        <f aca="false">IF(AC297="","",C297&amp;"|"&amp;AC297)</f>
        <v>Lupin|1</v>
      </c>
    </row>
    <row r="298" customFormat="false" ht="15" hidden="false" customHeight="false" outlineLevel="0" collapsed="false">
      <c r="A298" s="5" t="n">
        <f aca="false">IF(ISNUMBER(U298),RANK(U298,$U$5:$U$337),"")</f>
        <v>62</v>
      </c>
      <c r="B298" s="5" t="s">
        <v>184</v>
      </c>
      <c r="C298" s="5" t="s">
        <v>63</v>
      </c>
      <c r="D298" s="5" t="str">
        <f aca="false">INDEX('API Data'!$B$2:$B$152,MATCH(B298,'API Data'!$A$2:$A$152,0))</f>
        <v>Anaesthesia – reversal of rocuronium/vecuronium muscle relaxation</v>
      </c>
      <c r="E298" s="5" t="n">
        <f aca="false">COUNTIFS('Market Listing'!$A$2:$A$4054,B298,'Market Listing'!$B$2:$B$4054,C298)</f>
        <v>3</v>
      </c>
      <c r="F298" s="5" t="n">
        <f aca="false">COUNTIFS('Market Listing'!$A$2:$A$4054,B298,'Market Listing'!$B$2:$B$4054,C298,'Market Listing'!$D$2:$D$4054,"Tier 1")</f>
        <v>2</v>
      </c>
      <c r="G298" s="5" t="n">
        <f aca="false">COUNTIFS('Market Listing'!$A$2:$A$4054,B298,'Market Listing'!$B$2:$B$4054,C298,'Market Listing'!$D$2:$D$4054,"Tier 2")</f>
        <v>1</v>
      </c>
      <c r="H298" s="5" t="n">
        <f aca="false">COUNTIFS('Market Listing'!$A$2:$A$4054,B298,'Market Listing'!$B$2:$B$4054,C298,'Market Listing'!$D$2:$D$4054,"Tier 3")</f>
        <v>0</v>
      </c>
      <c r="I298" s="5" t="n">
        <f aca="false">SUMIFS('Market Listing'!$E$2:$E$4054,'Market Listing'!$A$2:$A$4054,B298,'Market Listing'!$B$2:$B$4054,C298)</f>
        <v>8</v>
      </c>
      <c r="J298" s="5" t="n">
        <f aca="false">COUNTIFS('Product Rows'!$A$2:$A$696,B298,'Product Rows'!$B$2:$B$696,C298)</f>
        <v>5</v>
      </c>
      <c r="K298" s="5" t="n">
        <f aca="false">COUNTIFS('Product Rows'!$A$2:$A$696,B298,'Product Rows'!$B$2:$B$696,C298,'Product Rows'!$G$2:$G$696,"Vial")</f>
        <v>5</v>
      </c>
      <c r="L298" s="5" t="n">
        <f aca="false">COUNTIFS('Product Rows'!$A$2:$A$696,B298,'Product Rows'!$B$2:$B$696,C298,'Product Rows'!$G$2:$G$696,"Ampoule")</f>
        <v>0</v>
      </c>
      <c r="M298" s="5" t="n">
        <f aca="false">COUNTIFS('Product Rows'!$A$2:$A$696,B298,'Product Rows'!$B$2:$B$696,C298,'Product Rows'!$G$2:$G$696,"Prefilled syringe/pen")</f>
        <v>0</v>
      </c>
      <c r="N298" s="6" t="n">
        <f aca="false">IFERROR(AVERAGEIFS('Product Rows'!$H$2:$H$696,'Product Rows'!$A$2:$A$696,B298,'Product Rows'!$B$2:$B$696,C298),"")</f>
        <v>41.7733333333333</v>
      </c>
      <c r="O298" s="7" t="n">
        <f aca="false">INDEX('API Data'!$E$2:$E$152,MATCH(B298,'API Data'!$A$2:$A$152,0))</f>
        <v>32830.17</v>
      </c>
      <c r="P298" s="5" t="n">
        <f aca="false">COUNTIF($B$5:$B$337,B298)</f>
        <v>12</v>
      </c>
      <c r="Q298" s="8" t="n">
        <f aca="false">IF(ISNUMBER(I298),PERCENTRANK($I$5:$I$337,I298),"")</f>
        <v>0.575</v>
      </c>
      <c r="R298" s="8" t="n">
        <f aca="false">IF(ISNUMBER(N298),PERCENTRANK($N$5:$N$337,N298),"")</f>
        <v>0.584</v>
      </c>
      <c r="S298" s="8" t="n">
        <f aca="false">IF(ISNUMBER(O298),PERCENTRANK($O$5:$O$337,O298),"")</f>
        <v>0.825</v>
      </c>
      <c r="T298" s="8" t="n">
        <f aca="false">IF(ISNUMBER(P298),PERCENTRANK($P$5:$P$337,P298),"")</f>
        <v>0.967</v>
      </c>
      <c r="U298" s="9" t="n">
        <f aca="false">IF((IF(ISNUMBER(Q298),Inputs!$B$4,0)+IF(ISNUMBER(R298),Inputs!$B$5,0)+IF(ISNUMBER(S298),Inputs!$B$6,0)+IF(ISNUMBER(T298),Inputs!$B$7,0))=0,"",(IF(ISNUMBER(Q298),Inputs!$B$4*Q298,0)+IF(ISNUMBER(R298),Inputs!$B$5*R298,0)+IF(ISNUMBER(S298),Inputs!$B$6*S298,0)+IF(ISNUMBER(T298),Inputs!$B$7*T298,0))/(IF(ISNUMBER(Q298),Inputs!$B$4,0)+IF(ISNUMBER(R298),Inputs!$B$5,0)+IF(ISNUMBER(S298),Inputs!$B$6,0)+IF(ISNUMBER(T298),Inputs!$B$7,0)))</f>
        <v>0.7045</v>
      </c>
      <c r="V298" s="5" t="str">
        <f aca="false">IF(F298&gt;0,"Yes","No")</f>
        <v>Yes</v>
      </c>
      <c r="W298" s="5" t="str">
        <f aca="false">IF(ISNUMBER(N298),IF(N298&gt;=Inputs!$D$18,"Yes","No"),"No price")</f>
        <v>Yes</v>
      </c>
      <c r="X298" s="5" t="str">
        <f aca="false">IF(K298+L298&gt;0,"Yes",IF(M298&gt;0,"No","Unclear"))</f>
        <v>Yes</v>
      </c>
      <c r="Y298" s="5" t="str">
        <f aca="false">INDEX('API Data'!$H$2:$H$152,MATCH(B298,'API Data'!$A$2:$A$152,0))</f>
        <v>No</v>
      </c>
      <c r="Z298" s="5" t="str">
        <f aca="false">IF(COUNTIFS('Product Rows'!$A$2:$A$696,B298,'Product Rows'!$B$2:$B$696,C298,'Product Rows'!$I$2:$I$696,"Yes")&gt;0,"Yes","No")</f>
        <v>No</v>
      </c>
      <c r="AA298" s="5" t="str">
        <f aca="false">IF(P298&gt;=Inputs!$D$22,"Yes","No")</f>
        <v>Yes</v>
      </c>
      <c r="AB298" s="10" t="b">
        <f aca="false">AND(OR(Inputs!$B$17&lt;&gt;"Exclude",V298="Yes"),OR(Inputs!$B$18&lt;&gt;"Exclude",W298&lt;&gt;"No"),OR(Inputs!$B$19&lt;&gt;"Exclude",X298&lt;&gt;"No"),OR(Inputs!$B$20&lt;&gt;"Exclude",Y298="No"),OR(Inputs!$B$21&lt;&gt;"Exclude",Z298="No"),OR(Inputs!$B$22&lt;&gt;"Exclude",AA298="Yes"),ISNUMBER(U298))</f>
        <v>1</v>
      </c>
      <c r="AC298" s="5" t="n">
        <f aca="false">IF(AB298,COUNTIFS($C$5:$C$337,C298,$AB$5:$AB$337,TRUE(),$U$5:$U$337,"&gt;"&amp;U298)+COUNTIFS($C$5:C298,C298,$AB$5:AB298,TRUE(),$U$5:U298,U298),"")</f>
        <v>3</v>
      </c>
      <c r="AD298" s="5" t="str">
        <f aca="false">IF(AC298="","Not eligible",IF(AC298&lt;=Inputs!$B$25,"Lead",IF(AC298&lt;=Inputs!$B$25+Inputs!$B$26,"Next wave","Long list")))</f>
        <v>Lead</v>
      </c>
      <c r="AE298" s="5" t="str">
        <f aca="false">IF(AND(K298+L298=0,M298&gt;0),"Safety upgrade of existing prefilled syringe",IF(K298+L298+M298=0,"Confirm presentation (not stated in source)",IF(AA298="Yes","Differentiation in crowded generic market","Safety-device mandate compliance")))</f>
        <v>Differentiation in crowded generic market</v>
      </c>
      <c r="AF298" s="5" t="str">
        <f aca="false">IF(AC298="","",C298&amp;"|"&amp;AC298)</f>
        <v>MSN Laboratories|3</v>
      </c>
    </row>
    <row r="299" customFormat="false" ht="15" hidden="false" customHeight="false" outlineLevel="0" collapsed="false">
      <c r="A299" s="5" t="n">
        <f aca="false">IF(ISNUMBER(U299),RANK(U299,$U$5:$U$337),"")</f>
        <v>49</v>
      </c>
      <c r="B299" s="5" t="s">
        <v>184</v>
      </c>
      <c r="C299" s="5" t="s">
        <v>41</v>
      </c>
      <c r="D299" s="5" t="str">
        <f aca="false">INDEX('API Data'!$B$2:$B$152,MATCH(B299,'API Data'!$A$2:$A$152,0))</f>
        <v>Anaesthesia – reversal of rocuronium/vecuronium muscle relaxation</v>
      </c>
      <c r="E299" s="5" t="n">
        <f aca="false">COUNTIFS('Market Listing'!$A$2:$A$4054,B299,'Market Listing'!$B$2:$B$4054,C299)</f>
        <v>32</v>
      </c>
      <c r="F299" s="5" t="n">
        <f aca="false">COUNTIFS('Market Listing'!$A$2:$A$4054,B299,'Market Listing'!$B$2:$B$4054,C299,'Market Listing'!$D$2:$D$4054,"Tier 1")</f>
        <v>6</v>
      </c>
      <c r="G299" s="5" t="n">
        <f aca="false">COUNTIFS('Market Listing'!$A$2:$A$4054,B299,'Market Listing'!$B$2:$B$4054,C299,'Market Listing'!$D$2:$D$4054,"Tier 2")</f>
        <v>3</v>
      </c>
      <c r="H299" s="5" t="n">
        <f aca="false">COUNTIFS('Market Listing'!$A$2:$A$4054,B299,'Market Listing'!$B$2:$B$4054,C299,'Market Listing'!$D$2:$D$4054,"Tier 3")</f>
        <v>23</v>
      </c>
      <c r="I299" s="5" t="n">
        <f aca="false">SUMIFS('Market Listing'!$E$2:$E$4054,'Market Listing'!$A$2:$A$4054,B299,'Market Listing'!$B$2:$B$4054,C299)</f>
        <v>47</v>
      </c>
      <c r="J299" s="5" t="n">
        <f aca="false">COUNTIFS('Product Rows'!$A$2:$A$696,B299,'Product Rows'!$B$2:$B$696,C299)</f>
        <v>2</v>
      </c>
      <c r="K299" s="5" t="n">
        <f aca="false">COUNTIFS('Product Rows'!$A$2:$A$696,B299,'Product Rows'!$B$2:$B$696,C299,'Product Rows'!$G$2:$G$696,"Vial")</f>
        <v>2</v>
      </c>
      <c r="L299" s="5" t="n">
        <f aca="false">COUNTIFS('Product Rows'!$A$2:$A$696,B299,'Product Rows'!$B$2:$B$696,C299,'Product Rows'!$G$2:$G$696,"Ampoule")</f>
        <v>0</v>
      </c>
      <c r="M299" s="5" t="n">
        <f aca="false">COUNTIFS('Product Rows'!$A$2:$A$696,B299,'Product Rows'!$B$2:$B$696,C299,'Product Rows'!$G$2:$G$696,"Prefilled syringe/pen")</f>
        <v>0</v>
      </c>
      <c r="N299" s="6" t="n">
        <f aca="false">IFERROR(AVERAGEIFS('Product Rows'!$H$2:$H$696,'Product Rows'!$A$2:$A$696,B299,'Product Rows'!$B$2:$B$696,C299),"")</f>
        <v>79.5349</v>
      </c>
      <c r="O299" s="7" t="n">
        <f aca="false">INDEX('API Data'!$E$2:$E$152,MATCH(B299,'API Data'!$A$2:$A$152,0))</f>
        <v>32830.17</v>
      </c>
      <c r="P299" s="5" t="n">
        <f aca="false">COUNTIF($B$5:$B$337,B299)</f>
        <v>12</v>
      </c>
      <c r="Q299" s="8" t="n">
        <f aca="false">IF(ISNUMBER(I299),PERCENTRANK($I$5:$I$337,I299),"")</f>
        <v>0.892</v>
      </c>
      <c r="R299" s="8" t="n">
        <f aca="false">IF(ISNUMBER(N299),PERCENTRANK($N$5:$N$337,N299),"")</f>
        <v>0.692</v>
      </c>
      <c r="S299" s="8" t="n">
        <f aca="false">IF(ISNUMBER(O299),PERCENTRANK($O$5:$O$337,O299),"")</f>
        <v>0.825</v>
      </c>
      <c r="T299" s="8" t="n">
        <f aca="false">IF(ISNUMBER(P299),PERCENTRANK($P$5:$P$337,P299),"")</f>
        <v>0.967</v>
      </c>
      <c r="U299" s="9" t="n">
        <f aca="false">IF((IF(ISNUMBER(Q299),Inputs!$B$4,0)+IF(ISNUMBER(R299),Inputs!$B$5,0)+IF(ISNUMBER(S299),Inputs!$B$6,0)+IF(ISNUMBER(T299),Inputs!$B$7,0))=0,"",(IF(ISNUMBER(Q299),Inputs!$B$4*Q299,0)+IF(ISNUMBER(R299),Inputs!$B$5*R299,0)+IF(ISNUMBER(S299),Inputs!$B$6*S299,0)+IF(ISNUMBER(T299),Inputs!$B$7*T299,0))/(IF(ISNUMBER(Q299),Inputs!$B$4,0)+IF(ISNUMBER(R299),Inputs!$B$5,0)+IF(ISNUMBER(S299),Inputs!$B$6,0)+IF(ISNUMBER(T299),Inputs!$B$7,0)))</f>
        <v>0.7585</v>
      </c>
      <c r="V299" s="5" t="str">
        <f aca="false">IF(F299&gt;0,"Yes","No")</f>
        <v>Yes</v>
      </c>
      <c r="W299" s="5" t="str">
        <f aca="false">IF(ISNUMBER(N299),IF(N299&gt;=Inputs!$D$18,"Yes","No"),"No price")</f>
        <v>Yes</v>
      </c>
      <c r="X299" s="5" t="str">
        <f aca="false">IF(K299+L299&gt;0,"Yes",IF(M299&gt;0,"No","Unclear"))</f>
        <v>Yes</v>
      </c>
      <c r="Y299" s="5" t="str">
        <f aca="false">INDEX('API Data'!$H$2:$H$152,MATCH(B299,'API Data'!$A$2:$A$152,0))</f>
        <v>No</v>
      </c>
      <c r="Z299" s="5" t="str">
        <f aca="false">IF(COUNTIFS('Product Rows'!$A$2:$A$696,B299,'Product Rows'!$B$2:$B$696,C299,'Product Rows'!$I$2:$I$696,"Yes")&gt;0,"Yes","No")</f>
        <v>No</v>
      </c>
      <c r="AA299" s="5" t="str">
        <f aca="false">IF(P299&gt;=Inputs!$D$22,"Yes","No")</f>
        <v>Yes</v>
      </c>
      <c r="AB299" s="10" t="b">
        <f aca="false">AND(OR(Inputs!$B$17&lt;&gt;"Exclude",V299="Yes"),OR(Inputs!$B$18&lt;&gt;"Exclude",W299&lt;&gt;"No"),OR(Inputs!$B$19&lt;&gt;"Exclude",X299&lt;&gt;"No"),OR(Inputs!$B$20&lt;&gt;"Exclude",Y299="No"),OR(Inputs!$B$21&lt;&gt;"Exclude",Z299="No"),OR(Inputs!$B$22&lt;&gt;"Exclude",AA299="Yes"),ISNUMBER(U299))</f>
        <v>1</v>
      </c>
      <c r="AC299" s="5" t="n">
        <f aca="false">IF(AB299,COUNTIFS($C$5:$C$337,C299,$AB$5:$AB$337,TRUE(),$U$5:$U$337,"&gt;"&amp;U299)+COUNTIFS($C$5:C299,C299,$AB$5:AB299,TRUE(),$U$5:U299,U299),"")</f>
        <v>1</v>
      </c>
      <c r="AD299" s="5" t="str">
        <f aca="false">IF(AC299="","Not eligible",IF(AC299&lt;=Inputs!$B$25,"Lead",IF(AC299&lt;=Inputs!$B$25+Inputs!$B$26,"Next wave","Long list")))</f>
        <v>Lead</v>
      </c>
      <c r="AE299" s="5" t="str">
        <f aca="false">IF(AND(K299+L299=0,M299&gt;0),"Safety upgrade of existing prefilled syringe",IF(K299+L299+M299=0,"Confirm presentation (not stated in source)",IF(AA299="Yes","Differentiation in crowded generic market","Safety-device mandate compliance")))</f>
        <v>Differentiation in crowded generic market</v>
      </c>
      <c r="AF299" s="5" t="str">
        <f aca="false">IF(AC299="","",C299&amp;"|"&amp;AC299)</f>
        <v>Piramal Pharma|1</v>
      </c>
    </row>
    <row r="300" customFormat="false" ht="15" hidden="false" customHeight="false" outlineLevel="0" collapsed="false">
      <c r="A300" s="5" t="n">
        <f aca="false">IF(ISNUMBER(U300),RANK(U300,$U$5:$U$337),"")</f>
        <v>64</v>
      </c>
      <c r="B300" s="5" t="s">
        <v>184</v>
      </c>
      <c r="C300" s="5" t="s">
        <v>50</v>
      </c>
      <c r="D300" s="5" t="str">
        <f aca="false">INDEX('API Data'!$B$2:$B$152,MATCH(B300,'API Data'!$A$2:$A$152,0))</f>
        <v>Anaesthesia – reversal of rocuronium/vecuronium muscle relaxation</v>
      </c>
      <c r="E300" s="5" t="n">
        <f aca="false">COUNTIFS('Market Listing'!$A$2:$A$4054,B300,'Market Listing'!$B$2:$B$4054,C300)</f>
        <v>3</v>
      </c>
      <c r="F300" s="5" t="n">
        <f aca="false">COUNTIFS('Market Listing'!$A$2:$A$4054,B300,'Market Listing'!$B$2:$B$4054,C300,'Market Listing'!$D$2:$D$4054,"Tier 1")</f>
        <v>2</v>
      </c>
      <c r="G300" s="5" t="n">
        <f aca="false">COUNTIFS('Market Listing'!$A$2:$A$4054,B300,'Market Listing'!$B$2:$B$4054,C300,'Market Listing'!$D$2:$D$4054,"Tier 2")</f>
        <v>1</v>
      </c>
      <c r="H300" s="5" t="n">
        <f aca="false">COUNTIFS('Market Listing'!$A$2:$A$4054,B300,'Market Listing'!$B$2:$B$4054,C300,'Market Listing'!$D$2:$D$4054,"Tier 3")</f>
        <v>0</v>
      </c>
      <c r="I300" s="5" t="n">
        <f aca="false">SUMIFS('Market Listing'!$E$2:$E$4054,'Market Listing'!$A$2:$A$4054,B300,'Market Listing'!$B$2:$B$4054,C300)</f>
        <v>8</v>
      </c>
      <c r="J300" s="5" t="n">
        <f aca="false">COUNTIFS('Product Rows'!$A$2:$A$696,B300,'Product Rows'!$B$2:$B$696,C300)</f>
        <v>4</v>
      </c>
      <c r="K300" s="5" t="n">
        <f aca="false">COUNTIFS('Product Rows'!$A$2:$A$696,B300,'Product Rows'!$B$2:$B$696,C300,'Product Rows'!$G$2:$G$696,"Vial")</f>
        <v>4</v>
      </c>
      <c r="L300" s="5" t="n">
        <f aca="false">COUNTIFS('Product Rows'!$A$2:$A$696,B300,'Product Rows'!$B$2:$B$696,C300,'Product Rows'!$G$2:$G$696,"Ampoule")</f>
        <v>0</v>
      </c>
      <c r="M300" s="5" t="n">
        <f aca="false">COUNTIFS('Product Rows'!$A$2:$A$696,B300,'Product Rows'!$B$2:$B$696,C300,'Product Rows'!$G$2:$G$696,"Prefilled syringe/pen")</f>
        <v>0</v>
      </c>
      <c r="N300" s="6" t="n">
        <f aca="false">IFERROR(AVERAGEIFS('Product Rows'!$H$2:$H$696,'Product Rows'!$A$2:$A$696,B300,'Product Rows'!$B$2:$B$696,C300),"")</f>
        <v>40.14</v>
      </c>
      <c r="O300" s="7" t="n">
        <f aca="false">INDEX('API Data'!$E$2:$E$152,MATCH(B300,'API Data'!$A$2:$A$152,0))</f>
        <v>32830.17</v>
      </c>
      <c r="P300" s="5" t="n">
        <f aca="false">COUNTIF($B$5:$B$337,B300)</f>
        <v>12</v>
      </c>
      <c r="Q300" s="8" t="n">
        <f aca="false">IF(ISNUMBER(I300),PERCENTRANK($I$5:$I$337,I300),"")</f>
        <v>0.575</v>
      </c>
      <c r="R300" s="8" t="n">
        <f aca="false">IF(ISNUMBER(N300),PERCENTRANK($N$5:$N$337,N300),"")</f>
        <v>0.573</v>
      </c>
      <c r="S300" s="8" t="n">
        <f aca="false">IF(ISNUMBER(O300),PERCENTRANK($O$5:$O$337,O300),"")</f>
        <v>0.825</v>
      </c>
      <c r="T300" s="8" t="n">
        <f aca="false">IF(ISNUMBER(P300),PERCENTRANK($P$5:$P$337,P300),"")</f>
        <v>0.967</v>
      </c>
      <c r="U300" s="9" t="n">
        <f aca="false">IF((IF(ISNUMBER(Q300),Inputs!$B$4,0)+IF(ISNUMBER(R300),Inputs!$B$5,0)+IF(ISNUMBER(S300),Inputs!$B$6,0)+IF(ISNUMBER(T300),Inputs!$B$7,0))=0,"",(IF(ISNUMBER(Q300),Inputs!$B$4*Q300,0)+IF(ISNUMBER(R300),Inputs!$B$5*R300,0)+IF(ISNUMBER(S300),Inputs!$B$6*S300,0)+IF(ISNUMBER(T300),Inputs!$B$7*T300,0))/(IF(ISNUMBER(Q300),Inputs!$B$4,0)+IF(ISNUMBER(R300),Inputs!$B$5,0)+IF(ISNUMBER(S300),Inputs!$B$6,0)+IF(ISNUMBER(T300),Inputs!$B$7,0)))</f>
        <v>0.699</v>
      </c>
      <c r="V300" s="5" t="str">
        <f aca="false">IF(F300&gt;0,"Yes","No")</f>
        <v>Yes</v>
      </c>
      <c r="W300" s="5" t="str">
        <f aca="false">IF(ISNUMBER(N300),IF(N300&gt;=Inputs!$D$18,"Yes","No"),"No price")</f>
        <v>Yes</v>
      </c>
      <c r="X300" s="5" t="str">
        <f aca="false">IF(K300+L300&gt;0,"Yes",IF(M300&gt;0,"No","Unclear"))</f>
        <v>Yes</v>
      </c>
      <c r="Y300" s="5" t="str">
        <f aca="false">INDEX('API Data'!$H$2:$H$152,MATCH(B300,'API Data'!$A$2:$A$152,0))</f>
        <v>No</v>
      </c>
      <c r="Z300" s="5" t="str">
        <f aca="false">IF(COUNTIFS('Product Rows'!$A$2:$A$696,B300,'Product Rows'!$B$2:$B$696,C300,'Product Rows'!$I$2:$I$696,"Yes")&gt;0,"Yes","No")</f>
        <v>No</v>
      </c>
      <c r="AA300" s="5" t="str">
        <f aca="false">IF(P300&gt;=Inputs!$D$22,"Yes","No")</f>
        <v>Yes</v>
      </c>
      <c r="AB300" s="10" t="b">
        <f aca="false">AND(OR(Inputs!$B$17&lt;&gt;"Exclude",V300="Yes"),OR(Inputs!$B$18&lt;&gt;"Exclude",W300&lt;&gt;"No"),OR(Inputs!$B$19&lt;&gt;"Exclude",X300&lt;&gt;"No"),OR(Inputs!$B$20&lt;&gt;"Exclude",Y300="No"),OR(Inputs!$B$21&lt;&gt;"Exclude",Z300="No"),OR(Inputs!$B$22&lt;&gt;"Exclude",AA300="Yes"),ISNUMBER(U300))</f>
        <v>1</v>
      </c>
      <c r="AC300" s="5" t="n">
        <f aca="false">IF(AB300,COUNTIFS($C$5:$C$337,C300,$AB$5:$AB$337,TRUE(),$U$5:$U$337,"&gt;"&amp;U300)+COUNTIFS($C$5:C300,C300,$AB$5:AB300,TRUE(),$U$5:U300,U300),"")</f>
        <v>3</v>
      </c>
      <c r="AD300" s="5" t="str">
        <f aca="false">IF(AC300="","Not eligible",IF(AC300&lt;=Inputs!$B$25,"Lead",IF(AC300&lt;=Inputs!$B$25+Inputs!$B$26,"Next wave","Long list")))</f>
        <v>Lead</v>
      </c>
      <c r="AE300" s="5" t="str">
        <f aca="false">IF(AND(K300+L300=0,M300&gt;0),"Safety upgrade of existing prefilled syringe",IF(K300+L300+M300=0,"Confirm presentation (not stated in source)",IF(AA300="Yes","Differentiation in crowded generic market","Safety-device mandate compliance")))</f>
        <v>Differentiation in crowded generic market</v>
      </c>
      <c r="AF300" s="5" t="str">
        <f aca="false">IF(AC300="","",C300&amp;"|"&amp;AC300)</f>
        <v>Sun Pharma|3</v>
      </c>
    </row>
    <row r="301" customFormat="false" ht="15" hidden="false" customHeight="false" outlineLevel="0" collapsed="false">
      <c r="A301" s="5" t="n">
        <f aca="false">IF(ISNUMBER(U301),RANK(U301,$U$5:$U$337),"")</f>
        <v>37</v>
      </c>
      <c r="B301" s="5" t="s">
        <v>184</v>
      </c>
      <c r="C301" s="5" t="s">
        <v>38</v>
      </c>
      <c r="D301" s="5" t="str">
        <f aca="false">INDEX('API Data'!$B$2:$B$152,MATCH(B301,'API Data'!$A$2:$A$152,0))</f>
        <v>Anaesthesia – reversal of rocuronium/vecuronium muscle relaxation</v>
      </c>
      <c r="E301" s="5" t="n">
        <f aca="false">COUNTIFS('Market Listing'!$A$2:$A$4054,B301,'Market Listing'!$B$2:$B$4054,C301)</f>
        <v>27</v>
      </c>
      <c r="F301" s="5" t="n">
        <f aca="false">COUNTIFS('Market Listing'!$A$2:$A$4054,B301,'Market Listing'!$B$2:$B$4054,C301,'Market Listing'!$D$2:$D$4054,"Tier 1")</f>
        <v>5</v>
      </c>
      <c r="G301" s="5" t="n">
        <f aca="false">COUNTIFS('Market Listing'!$A$2:$A$4054,B301,'Market Listing'!$B$2:$B$4054,C301,'Market Listing'!$D$2:$D$4054,"Tier 2")</f>
        <v>2</v>
      </c>
      <c r="H301" s="5" t="n">
        <f aca="false">COUNTIFS('Market Listing'!$A$2:$A$4054,B301,'Market Listing'!$B$2:$B$4054,C301,'Market Listing'!$D$2:$D$4054,"Tier 3")</f>
        <v>20</v>
      </c>
      <c r="I301" s="5" t="n">
        <f aca="false">SUMIFS('Market Listing'!$E$2:$E$4054,'Market Listing'!$A$2:$A$4054,B301,'Market Listing'!$B$2:$B$4054,C301)</f>
        <v>39</v>
      </c>
      <c r="J301" s="5" t="n">
        <f aca="false">COUNTIFS('Product Rows'!$A$2:$A$696,B301,'Product Rows'!$B$2:$B$696,C301)</f>
        <v>2</v>
      </c>
      <c r="K301" s="5" t="n">
        <f aca="false">COUNTIFS('Product Rows'!$A$2:$A$696,B301,'Product Rows'!$B$2:$B$696,C301,'Product Rows'!$G$2:$G$696,"Vial")</f>
        <v>1</v>
      </c>
      <c r="L301" s="5" t="n">
        <f aca="false">COUNTIFS('Product Rows'!$A$2:$A$696,B301,'Product Rows'!$B$2:$B$696,C301,'Product Rows'!$G$2:$G$696,"Ampoule")</f>
        <v>1</v>
      </c>
      <c r="M301" s="5" t="n">
        <f aca="false">COUNTIFS('Product Rows'!$A$2:$A$696,B301,'Product Rows'!$B$2:$B$696,C301,'Product Rows'!$G$2:$G$696,"Prefilled syringe/pen")</f>
        <v>0</v>
      </c>
      <c r="N301" s="6" t="n">
        <f aca="false">IFERROR(AVERAGEIFS('Product Rows'!$H$2:$H$696,'Product Rows'!$A$2:$A$696,B301,'Product Rows'!$B$2:$B$696,C301),"")</f>
        <v>140.0938</v>
      </c>
      <c r="O301" s="7" t="n">
        <f aca="false">INDEX('API Data'!$E$2:$E$152,MATCH(B301,'API Data'!$A$2:$A$152,0))</f>
        <v>32830.17</v>
      </c>
      <c r="P301" s="5" t="n">
        <f aca="false">COUNTIF($B$5:$B$337,B301)</f>
        <v>12</v>
      </c>
      <c r="Q301" s="8" t="n">
        <f aca="false">IF(ISNUMBER(I301),PERCENTRANK($I$5:$I$337,I301),"")</f>
        <v>0.681</v>
      </c>
      <c r="R301" s="8" t="n">
        <f aca="false">IF(ISNUMBER(N301),PERCENTRANK($N$5:$N$337,N301),"")</f>
        <v>0.792</v>
      </c>
      <c r="S301" s="8" t="n">
        <f aca="false">IF(ISNUMBER(O301),PERCENTRANK($O$5:$O$337,O301),"")</f>
        <v>0.825</v>
      </c>
      <c r="T301" s="8" t="n">
        <f aca="false">IF(ISNUMBER(P301),PERCENTRANK($P$5:$P$337,P301),"")</f>
        <v>0.967</v>
      </c>
      <c r="U301" s="9" t="n">
        <f aca="false">IF((IF(ISNUMBER(Q301),Inputs!$B$4,0)+IF(ISNUMBER(R301),Inputs!$B$5,0)+IF(ISNUMBER(S301),Inputs!$B$6,0)+IF(ISNUMBER(T301),Inputs!$B$7,0))=0,"",(IF(ISNUMBER(Q301),Inputs!$B$4*Q301,0)+IF(ISNUMBER(R301),Inputs!$B$5*R301,0)+IF(ISNUMBER(S301),Inputs!$B$6*S301,0)+IF(ISNUMBER(T301),Inputs!$B$7*T301,0))/(IF(ISNUMBER(Q301),Inputs!$B$4,0)+IF(ISNUMBER(R301),Inputs!$B$5,0)+IF(ISNUMBER(S301),Inputs!$B$6,0)+IF(ISNUMBER(T301),Inputs!$B$7,0)))</f>
        <v>0.8085</v>
      </c>
      <c r="V301" s="5" t="str">
        <f aca="false">IF(F301&gt;0,"Yes","No")</f>
        <v>Yes</v>
      </c>
      <c r="W301" s="5" t="str">
        <f aca="false">IF(ISNUMBER(N301),IF(N301&gt;=Inputs!$D$18,"Yes","No"),"No price")</f>
        <v>Yes</v>
      </c>
      <c r="X301" s="5" t="str">
        <f aca="false">IF(K301+L301&gt;0,"Yes",IF(M301&gt;0,"No","Unclear"))</f>
        <v>Yes</v>
      </c>
      <c r="Y301" s="5" t="str">
        <f aca="false">INDEX('API Data'!$H$2:$H$152,MATCH(B301,'API Data'!$A$2:$A$152,0))</f>
        <v>No</v>
      </c>
      <c r="Z301" s="5" t="str">
        <f aca="false">IF(COUNTIFS('Product Rows'!$A$2:$A$696,B301,'Product Rows'!$B$2:$B$696,C301,'Product Rows'!$I$2:$I$696,"Yes")&gt;0,"Yes","No")</f>
        <v>No</v>
      </c>
      <c r="AA301" s="5" t="str">
        <f aca="false">IF(P301&gt;=Inputs!$D$22,"Yes","No")</f>
        <v>Yes</v>
      </c>
      <c r="AB301" s="10" t="b">
        <f aca="false">AND(OR(Inputs!$B$17&lt;&gt;"Exclude",V301="Yes"),OR(Inputs!$B$18&lt;&gt;"Exclude",W301&lt;&gt;"No"),OR(Inputs!$B$19&lt;&gt;"Exclude",X301&lt;&gt;"No"),OR(Inputs!$B$20&lt;&gt;"Exclude",Y301="No"),OR(Inputs!$B$21&lt;&gt;"Exclude",Z301="No"),OR(Inputs!$B$22&lt;&gt;"Exclude",AA301="Yes"),ISNUMBER(U301))</f>
        <v>1</v>
      </c>
      <c r="AC301" s="5" t="n">
        <f aca="false">IF(AB301,COUNTIFS($C$5:$C$337,C301,$AB$5:$AB$337,TRUE(),$U$5:$U$337,"&gt;"&amp;U301)+COUNTIFS($C$5:C301,C301,$AB$5:AB301,TRUE(),$U$5:U301,U301),"")</f>
        <v>2</v>
      </c>
      <c r="AD301" s="5" t="str">
        <f aca="false">IF(AC301="","Not eligible",IF(AC301&lt;=Inputs!$B$25,"Lead",IF(AC301&lt;=Inputs!$B$25+Inputs!$B$26,"Next wave","Long list")))</f>
        <v>Lead</v>
      </c>
      <c r="AE301" s="5" t="str">
        <f aca="false">IF(AND(K301+L301=0,M301&gt;0),"Safety upgrade of existing prefilled syringe",IF(K301+L301+M301=0,"Confirm presentation (not stated in source)",IF(AA301="Yes","Differentiation in crowded generic market","Safety-device mandate compliance")))</f>
        <v>Differentiation in crowded generic market</v>
      </c>
      <c r="AF301" s="5" t="str">
        <f aca="false">IF(AC301="","",C301&amp;"|"&amp;AC301)</f>
        <v>Wockhardt|2</v>
      </c>
    </row>
    <row r="302" customFormat="false" ht="15" hidden="false" customHeight="false" outlineLevel="0" collapsed="false">
      <c r="A302" s="5" t="n">
        <f aca="false">IF(ISNUMBER(U302),RANK(U302,$U$5:$U$337),"")</f>
        <v>68</v>
      </c>
      <c r="B302" s="5" t="s">
        <v>184</v>
      </c>
      <c r="C302" s="5" t="s">
        <v>36</v>
      </c>
      <c r="D302" s="5" t="str">
        <f aca="false">INDEX('API Data'!$B$2:$B$152,MATCH(B302,'API Data'!$A$2:$A$152,0))</f>
        <v>Anaesthesia – reversal of rocuronium/vecuronium muscle relaxation</v>
      </c>
      <c r="E302" s="5" t="n">
        <f aca="false">COUNTIFS('Market Listing'!$A$2:$A$4054,B302,'Market Listing'!$B$2:$B$4054,C302)</f>
        <v>1</v>
      </c>
      <c r="F302" s="5" t="n">
        <f aca="false">COUNTIFS('Market Listing'!$A$2:$A$4054,B302,'Market Listing'!$B$2:$B$4054,C302,'Market Listing'!$D$2:$D$4054,"Tier 1")</f>
        <v>1</v>
      </c>
      <c r="G302" s="5" t="n">
        <f aca="false">COUNTIFS('Market Listing'!$A$2:$A$4054,B302,'Market Listing'!$B$2:$B$4054,C302,'Market Listing'!$D$2:$D$4054,"Tier 2")</f>
        <v>0</v>
      </c>
      <c r="H302" s="5" t="n">
        <f aca="false">COUNTIFS('Market Listing'!$A$2:$A$4054,B302,'Market Listing'!$B$2:$B$4054,C302,'Market Listing'!$D$2:$D$4054,"Tier 3")</f>
        <v>0</v>
      </c>
      <c r="I302" s="5" t="n">
        <f aca="false">SUMIFS('Market Listing'!$E$2:$E$4054,'Market Listing'!$A$2:$A$4054,B302,'Market Listing'!$B$2:$B$4054,C302)</f>
        <v>3</v>
      </c>
      <c r="J302" s="5" t="n">
        <f aca="false">COUNTIFS('Product Rows'!$A$2:$A$696,B302,'Product Rows'!$B$2:$B$696,C302)</f>
        <v>2</v>
      </c>
      <c r="K302" s="5" t="n">
        <f aca="false">COUNTIFS('Product Rows'!$A$2:$A$696,B302,'Product Rows'!$B$2:$B$696,C302,'Product Rows'!$G$2:$G$696,"Vial")</f>
        <v>2</v>
      </c>
      <c r="L302" s="5" t="n">
        <f aca="false">COUNTIFS('Product Rows'!$A$2:$A$696,B302,'Product Rows'!$B$2:$B$696,C302,'Product Rows'!$G$2:$G$696,"Ampoule")</f>
        <v>0</v>
      </c>
      <c r="M302" s="5" t="n">
        <f aca="false">COUNTIFS('Product Rows'!$A$2:$A$696,B302,'Product Rows'!$B$2:$B$696,C302,'Product Rows'!$G$2:$G$696,"Prefilled syringe/pen")</f>
        <v>0</v>
      </c>
      <c r="N302" s="6" t="n">
        <f aca="false">IFERROR(AVERAGEIFS('Product Rows'!$H$2:$H$696,'Product Rows'!$A$2:$A$696,B302,'Product Rows'!$B$2:$B$696,C302),"")</f>
        <v>35.03</v>
      </c>
      <c r="O302" s="7" t="n">
        <f aca="false">INDEX('API Data'!$E$2:$E$152,MATCH(B302,'API Data'!$A$2:$A$152,0))</f>
        <v>32830.17</v>
      </c>
      <c r="P302" s="5" t="n">
        <f aca="false">COUNTIF($B$5:$B$337,B302)</f>
        <v>12</v>
      </c>
      <c r="Q302" s="8" t="n">
        <f aca="false">IF(ISNUMBER(I302),PERCENTRANK($I$5:$I$337,I302),"")</f>
        <v>0.157</v>
      </c>
      <c r="R302" s="8" t="n">
        <f aca="false">IF(ISNUMBER(N302),PERCENTRANK($N$5:$N$337,N302),"")</f>
        <v>0.53</v>
      </c>
      <c r="S302" s="8" t="n">
        <f aca="false">IF(ISNUMBER(O302),PERCENTRANK($O$5:$O$337,O302),"")</f>
        <v>0.825</v>
      </c>
      <c r="T302" s="8" t="n">
        <f aca="false">IF(ISNUMBER(P302),PERCENTRANK($P$5:$P$337,P302),"")</f>
        <v>0.967</v>
      </c>
      <c r="U302" s="9" t="n">
        <f aca="false">IF((IF(ISNUMBER(Q302),Inputs!$B$4,0)+IF(ISNUMBER(R302),Inputs!$B$5,0)+IF(ISNUMBER(S302),Inputs!$B$6,0)+IF(ISNUMBER(T302),Inputs!$B$7,0))=0,"",(IF(ISNUMBER(Q302),Inputs!$B$4*Q302,0)+IF(ISNUMBER(R302),Inputs!$B$5*R302,0)+IF(ISNUMBER(S302),Inputs!$B$6*S302,0)+IF(ISNUMBER(T302),Inputs!$B$7*T302,0))/(IF(ISNUMBER(Q302),Inputs!$B$4,0)+IF(ISNUMBER(R302),Inputs!$B$5,0)+IF(ISNUMBER(S302),Inputs!$B$6,0)+IF(ISNUMBER(T302),Inputs!$B$7,0)))</f>
        <v>0.6775</v>
      </c>
      <c r="V302" s="5" t="str">
        <f aca="false">IF(F302&gt;0,"Yes","No")</f>
        <v>Yes</v>
      </c>
      <c r="W302" s="5" t="str">
        <f aca="false">IF(ISNUMBER(N302),IF(N302&gt;=Inputs!$D$18,"Yes","No"),"No price")</f>
        <v>Yes</v>
      </c>
      <c r="X302" s="5" t="str">
        <f aca="false">IF(K302+L302&gt;0,"Yes",IF(M302&gt;0,"No","Unclear"))</f>
        <v>Yes</v>
      </c>
      <c r="Y302" s="5" t="str">
        <f aca="false">INDEX('API Data'!$H$2:$H$152,MATCH(B302,'API Data'!$A$2:$A$152,0))</f>
        <v>No</v>
      </c>
      <c r="Z302" s="5" t="str">
        <f aca="false">IF(COUNTIFS('Product Rows'!$A$2:$A$696,B302,'Product Rows'!$B$2:$B$696,C302,'Product Rows'!$I$2:$I$696,"Yes")&gt;0,"Yes","No")</f>
        <v>No</v>
      </c>
      <c r="AA302" s="5" t="str">
        <f aca="false">IF(P302&gt;=Inputs!$D$22,"Yes","No")</f>
        <v>Yes</v>
      </c>
      <c r="AB302" s="10" t="b">
        <f aca="false">AND(OR(Inputs!$B$17&lt;&gt;"Exclude",V302="Yes"),OR(Inputs!$B$18&lt;&gt;"Exclude",W302&lt;&gt;"No"),OR(Inputs!$B$19&lt;&gt;"Exclude",X302&lt;&gt;"No"),OR(Inputs!$B$20&lt;&gt;"Exclude",Y302="No"),OR(Inputs!$B$21&lt;&gt;"Exclude",Z302="No"),OR(Inputs!$B$22&lt;&gt;"Exclude",AA302="Yes"),ISNUMBER(U302))</f>
        <v>1</v>
      </c>
      <c r="AC302" s="5" t="n">
        <f aca="false">IF(AB302,COUNTIFS($C$5:$C$337,C302,$AB$5:$AB$337,TRUE(),$U$5:$U$337,"&gt;"&amp;U302)+COUNTIFS($C$5:C302,C302,$AB$5:AB302,TRUE(),$U$5:U302,U302),"")</f>
        <v>2</v>
      </c>
      <c r="AD302" s="5" t="str">
        <f aca="false">IF(AC302="","Not eligible",IF(AC302&lt;=Inputs!$B$25,"Lead",IF(AC302&lt;=Inputs!$B$25+Inputs!$B$26,"Next wave","Long list")))</f>
        <v>Lead</v>
      </c>
      <c r="AE302" s="5" t="str">
        <f aca="false">IF(AND(K302+L302=0,M302&gt;0),"Safety upgrade of existing prefilled syringe",IF(K302+L302+M302=0,"Confirm presentation (not stated in source)",IF(AA302="Yes","Differentiation in crowded generic market","Safety-device mandate compliance")))</f>
        <v>Differentiation in crowded generic market</v>
      </c>
      <c r="AF302" s="5" t="str">
        <f aca="false">IF(AC302="","",C302&amp;"|"&amp;AC302)</f>
        <v>Zydus Lifesciences|2</v>
      </c>
    </row>
    <row r="303" customFormat="false" ht="15" hidden="false" customHeight="false" outlineLevel="0" collapsed="false">
      <c r="A303" s="5" t="n">
        <f aca="false">IF(ISNUMBER(U303),RANK(U303,$U$5:$U$337),"")</f>
        <v>191</v>
      </c>
      <c r="B303" s="5" t="s">
        <v>185</v>
      </c>
      <c r="C303" s="5" t="s">
        <v>54</v>
      </c>
      <c r="D303" s="5" t="str">
        <f aca="false">INDEX('API Data'!$B$2:$B$152,MATCH(B303,'API Data'!$A$2:$A$152,0))</f>
        <v>Anti-infective – MRSA &amp; serious Gram-positive infections</v>
      </c>
      <c r="E303" s="5" t="n">
        <f aca="false">COUNTIFS('Market Listing'!$A$2:$A$4054,B303,'Market Listing'!$B$2:$B$4054,C303)</f>
        <v>1</v>
      </c>
      <c r="F303" s="5" t="n">
        <f aca="false">COUNTIFS('Market Listing'!$A$2:$A$4054,B303,'Market Listing'!$B$2:$B$4054,C303,'Market Listing'!$D$2:$D$4054,"Tier 1")</f>
        <v>0</v>
      </c>
      <c r="G303" s="5" t="n">
        <f aca="false">COUNTIFS('Market Listing'!$A$2:$A$4054,B303,'Market Listing'!$B$2:$B$4054,C303,'Market Listing'!$D$2:$D$4054,"Tier 2")</f>
        <v>1</v>
      </c>
      <c r="H303" s="5" t="n">
        <f aca="false">COUNTIFS('Market Listing'!$A$2:$A$4054,B303,'Market Listing'!$B$2:$B$4054,C303,'Market Listing'!$D$2:$D$4054,"Tier 3")</f>
        <v>0</v>
      </c>
      <c r="I303" s="5" t="n">
        <f aca="false">SUMIFS('Market Listing'!$E$2:$E$4054,'Market Listing'!$A$2:$A$4054,B303,'Market Listing'!$B$2:$B$4054,C303)</f>
        <v>2</v>
      </c>
      <c r="J303" s="5" t="n">
        <f aca="false">COUNTIFS('Product Rows'!$A$2:$A$696,B303,'Product Rows'!$B$2:$B$696,C303)</f>
        <v>1</v>
      </c>
      <c r="K303" s="5" t="n">
        <f aca="false">COUNTIFS('Product Rows'!$A$2:$A$696,B303,'Product Rows'!$B$2:$B$696,C303,'Product Rows'!$G$2:$G$696,"Vial")</f>
        <v>1</v>
      </c>
      <c r="L303" s="5" t="n">
        <f aca="false">COUNTIFS('Product Rows'!$A$2:$A$696,B303,'Product Rows'!$B$2:$B$696,C303,'Product Rows'!$G$2:$G$696,"Ampoule")</f>
        <v>0</v>
      </c>
      <c r="M303" s="5" t="n">
        <f aca="false">COUNTIFS('Product Rows'!$A$2:$A$696,B303,'Product Rows'!$B$2:$B$696,C303,'Product Rows'!$G$2:$G$696,"Prefilled syringe/pen")</f>
        <v>0</v>
      </c>
      <c r="N303" s="6" t="n">
        <f aca="false">IFERROR(AVERAGEIFS('Product Rows'!$H$2:$H$696,'Product Rows'!$A$2:$A$696,B303,'Product Rows'!$B$2:$B$696,C303),"")</f>
        <v>13.97</v>
      </c>
      <c r="O303" s="7" t="n">
        <f aca="false">INDEX('API Data'!$E$2:$E$152,MATCH(B303,'API Data'!$A$2:$A$152,0))</f>
        <v>6632.55</v>
      </c>
      <c r="P303" s="5" t="n">
        <f aca="false">COUNTIF($B$5:$B$337,B303)</f>
        <v>5</v>
      </c>
      <c r="Q303" s="8" t="n">
        <f aca="false">IF(ISNUMBER(I303),PERCENTRANK($I$5:$I$337,I303),"")</f>
        <v>0</v>
      </c>
      <c r="R303" s="8" t="n">
        <f aca="false">IF(ISNUMBER(N303),PERCENTRANK($N$5:$N$337,N303),"")</f>
        <v>0.28</v>
      </c>
      <c r="S303" s="8" t="n">
        <f aca="false">IF(ISNUMBER(O303),PERCENTRANK($O$5:$O$337,O303),"")</f>
        <v>0.611</v>
      </c>
      <c r="T303" s="8" t="n">
        <f aca="false">IF(ISNUMBER(P303),PERCENTRANK($P$5:$P$337,P303),"")</f>
        <v>0.702</v>
      </c>
      <c r="U303" s="9" t="n">
        <f aca="false">IF((IF(ISNUMBER(Q303),Inputs!$B$4,0)+IF(ISNUMBER(R303),Inputs!$B$5,0)+IF(ISNUMBER(S303),Inputs!$B$6,0)+IF(ISNUMBER(T303),Inputs!$B$7,0))=0,"",(IF(ISNUMBER(Q303),Inputs!$B$4*Q303,0)+IF(ISNUMBER(R303),Inputs!$B$5*R303,0)+IF(ISNUMBER(S303),Inputs!$B$6*S303,0)+IF(ISNUMBER(T303),Inputs!$B$7*T303,0))/(IF(ISNUMBER(Q303),Inputs!$B$4,0)+IF(ISNUMBER(R303),Inputs!$B$5,0)+IF(ISNUMBER(S303),Inputs!$B$6,0)+IF(ISNUMBER(T303),Inputs!$B$7,0)))</f>
        <v>0.4455</v>
      </c>
      <c r="V303" s="5" t="str">
        <f aca="false">IF(F303&gt;0,"Yes","No")</f>
        <v>No</v>
      </c>
      <c r="W303" s="5" t="str">
        <f aca="false">IF(ISNUMBER(N303),IF(N303&gt;=Inputs!$D$18,"Yes","No"),"No price")</f>
        <v>Yes</v>
      </c>
      <c r="X303" s="5" t="str">
        <f aca="false">IF(K303+L303&gt;0,"Yes",IF(M303&gt;0,"No","Unclear"))</f>
        <v>Yes</v>
      </c>
      <c r="Y303" s="5" t="str">
        <f aca="false">INDEX('API Data'!$H$2:$H$152,MATCH(B303,'API Data'!$A$2:$A$152,0))</f>
        <v>No</v>
      </c>
      <c r="Z303" s="5" t="str">
        <f aca="false">IF(COUNTIFS('Product Rows'!$A$2:$A$696,B303,'Product Rows'!$B$2:$B$696,C303,'Product Rows'!$I$2:$I$696,"Yes")&gt;0,"Yes","No")</f>
        <v>Yes</v>
      </c>
      <c r="AA303" s="5" t="str">
        <f aca="false">IF(P303&gt;=Inputs!$D$22,"Yes","No")</f>
        <v>Yes</v>
      </c>
      <c r="AB303" s="10" t="b">
        <f aca="false">AND(OR(Inputs!$B$17&lt;&gt;"Exclude",V303="Yes"),OR(Inputs!$B$18&lt;&gt;"Exclude",W303&lt;&gt;"No"),OR(Inputs!$B$19&lt;&gt;"Exclude",X303&lt;&gt;"No"),OR(Inputs!$B$20&lt;&gt;"Exclude",Y303="No"),OR(Inputs!$B$21&lt;&gt;"Exclude",Z303="No"),OR(Inputs!$B$22&lt;&gt;"Exclude",AA303="Yes"),ISNUMBER(U303))</f>
        <v>0</v>
      </c>
      <c r="AC303" s="5" t="str">
        <f aca="false">IF(AB303,COUNTIFS($C$5:$C$337,C303,$AB$5:$AB$337,TRUE(),$U$5:$U$337,"&gt;"&amp;U303)+COUNTIFS($C$5:C303,C303,$AB$5:AB303,TRUE(),$U$5:U303,U303),"")</f>
        <v/>
      </c>
      <c r="AD303" s="5" t="str">
        <f aca="false">IF(AC303="","Not eligible",IF(AC303&lt;=Inputs!$B$25,"Lead",IF(AC303&lt;=Inputs!$B$25+Inputs!$B$26,"Next wave","Long list")))</f>
        <v>Not eligible</v>
      </c>
      <c r="AE303" s="5" t="str">
        <f aca="false">IF(AND(K303+L303=0,M303&gt;0),"Safety upgrade of existing prefilled syringe",IF(K303+L303+M303=0,"Confirm presentation (not stated in source)",IF(AA303="Yes","Differentiation in crowded generic market","Safety-device mandate compliance")))</f>
        <v>Differentiation in crowded generic market</v>
      </c>
      <c r="AF303" s="5" t="str">
        <f aca="false">IF(AC303="","",C303&amp;"|"&amp;AC303)</f>
        <v/>
      </c>
    </row>
    <row r="304" customFormat="false" ht="15" hidden="false" customHeight="false" outlineLevel="0" collapsed="false">
      <c r="A304" s="5" t="n">
        <f aca="false">IF(ISNUMBER(U304),RANK(U304,$U$5:$U$337),"")</f>
        <v>109</v>
      </c>
      <c r="B304" s="5" t="s">
        <v>185</v>
      </c>
      <c r="C304" s="5" t="s">
        <v>57</v>
      </c>
      <c r="D304" s="5" t="str">
        <f aca="false">INDEX('API Data'!$B$2:$B$152,MATCH(B304,'API Data'!$A$2:$A$152,0))</f>
        <v>Anti-infective – MRSA &amp; serious Gram-positive infections</v>
      </c>
      <c r="E304" s="5" t="n">
        <f aca="false">COUNTIFS('Market Listing'!$A$2:$A$4054,B304,'Market Listing'!$B$2:$B$4054,C304)</f>
        <v>27</v>
      </c>
      <c r="F304" s="5" t="n">
        <f aca="false">COUNTIFS('Market Listing'!$A$2:$A$4054,B304,'Market Listing'!$B$2:$B$4054,C304,'Market Listing'!$D$2:$D$4054,"Tier 1")</f>
        <v>6</v>
      </c>
      <c r="G304" s="5" t="n">
        <f aca="false">COUNTIFS('Market Listing'!$A$2:$A$4054,B304,'Market Listing'!$B$2:$B$4054,C304,'Market Listing'!$D$2:$D$4054,"Tier 2")</f>
        <v>3</v>
      </c>
      <c r="H304" s="5" t="n">
        <f aca="false">COUNTIFS('Market Listing'!$A$2:$A$4054,B304,'Market Listing'!$B$2:$B$4054,C304,'Market Listing'!$D$2:$D$4054,"Tier 3")</f>
        <v>18</v>
      </c>
      <c r="I304" s="5" t="n">
        <f aca="false">SUMIFS('Market Listing'!$E$2:$E$4054,'Market Listing'!$A$2:$A$4054,B304,'Market Listing'!$B$2:$B$4054,C304)</f>
        <v>42</v>
      </c>
      <c r="J304" s="5" t="n">
        <f aca="false">COUNTIFS('Product Rows'!$A$2:$A$696,B304,'Product Rows'!$B$2:$B$696,C304)</f>
        <v>2</v>
      </c>
      <c r="K304" s="5" t="n">
        <f aca="false">COUNTIFS('Product Rows'!$A$2:$A$696,B304,'Product Rows'!$B$2:$B$696,C304,'Product Rows'!$G$2:$G$696,"Vial")</f>
        <v>1</v>
      </c>
      <c r="L304" s="5" t="n">
        <f aca="false">COUNTIFS('Product Rows'!$A$2:$A$696,B304,'Product Rows'!$B$2:$B$696,C304,'Product Rows'!$G$2:$G$696,"Ampoule")</f>
        <v>1</v>
      </c>
      <c r="M304" s="5" t="n">
        <f aca="false">COUNTIFS('Product Rows'!$A$2:$A$696,B304,'Product Rows'!$B$2:$B$696,C304,'Product Rows'!$G$2:$G$696,"Prefilled syringe/pen")</f>
        <v>0</v>
      </c>
      <c r="N304" s="6" t="n">
        <f aca="false">IFERROR(AVERAGEIFS('Product Rows'!$H$2:$H$696,'Product Rows'!$A$2:$A$696,B304,'Product Rows'!$B$2:$B$696,C304),"")</f>
        <v>36.52825</v>
      </c>
      <c r="O304" s="7" t="n">
        <f aca="false">INDEX('API Data'!$E$2:$E$152,MATCH(B304,'API Data'!$A$2:$A$152,0))</f>
        <v>6632.55</v>
      </c>
      <c r="P304" s="5" t="n">
        <f aca="false">COUNTIF($B$5:$B$337,B304)</f>
        <v>5</v>
      </c>
      <c r="Q304" s="8" t="n">
        <f aca="false">IF(ISNUMBER(I304),PERCENTRANK($I$5:$I$337,I304),"")</f>
        <v>0.729</v>
      </c>
      <c r="R304" s="8" t="n">
        <f aca="false">IF(ISNUMBER(N304),PERCENTRANK($N$5:$N$337,N304),"")</f>
        <v>0.548</v>
      </c>
      <c r="S304" s="8" t="n">
        <f aca="false">IF(ISNUMBER(O304),PERCENTRANK($O$5:$O$337,O304),"")</f>
        <v>0.611</v>
      </c>
      <c r="T304" s="8" t="n">
        <f aca="false">IF(ISNUMBER(P304),PERCENTRANK($P$5:$P$337,P304),"")</f>
        <v>0.702</v>
      </c>
      <c r="U304" s="9" t="n">
        <f aca="false">IF((IF(ISNUMBER(Q304),Inputs!$B$4,0)+IF(ISNUMBER(R304),Inputs!$B$5,0)+IF(ISNUMBER(S304),Inputs!$B$6,0)+IF(ISNUMBER(T304),Inputs!$B$7,0))=0,"",(IF(ISNUMBER(Q304),Inputs!$B$4*Q304,0)+IF(ISNUMBER(R304),Inputs!$B$5*R304,0)+IF(ISNUMBER(S304),Inputs!$B$6*S304,0)+IF(ISNUMBER(T304),Inputs!$B$7*T304,0))/(IF(ISNUMBER(Q304),Inputs!$B$4,0)+IF(ISNUMBER(R304),Inputs!$B$5,0)+IF(ISNUMBER(S304),Inputs!$B$6,0)+IF(ISNUMBER(T304),Inputs!$B$7,0)))</f>
        <v>0.5795</v>
      </c>
      <c r="V304" s="5" t="str">
        <f aca="false">IF(F304&gt;0,"Yes","No")</f>
        <v>Yes</v>
      </c>
      <c r="W304" s="5" t="str">
        <f aca="false">IF(ISNUMBER(N304),IF(N304&gt;=Inputs!$D$18,"Yes","No"),"No price")</f>
        <v>Yes</v>
      </c>
      <c r="X304" s="5" t="str">
        <f aca="false">IF(K304+L304&gt;0,"Yes",IF(M304&gt;0,"No","Unclear"))</f>
        <v>Yes</v>
      </c>
      <c r="Y304" s="5" t="str">
        <f aca="false">INDEX('API Data'!$H$2:$H$152,MATCH(B304,'API Data'!$A$2:$A$152,0))</f>
        <v>No</v>
      </c>
      <c r="Z304" s="5" t="str">
        <f aca="false">IF(COUNTIFS('Product Rows'!$A$2:$A$696,B304,'Product Rows'!$B$2:$B$696,C304,'Product Rows'!$I$2:$I$696,"Yes")&gt;0,"Yes","No")</f>
        <v>Yes</v>
      </c>
      <c r="AA304" s="5" t="str">
        <f aca="false">IF(P304&gt;=Inputs!$D$22,"Yes","No")</f>
        <v>Yes</v>
      </c>
      <c r="AB304" s="10" t="b">
        <f aca="false">AND(OR(Inputs!$B$17&lt;&gt;"Exclude",V304="Yes"),OR(Inputs!$B$18&lt;&gt;"Exclude",W304&lt;&gt;"No"),OR(Inputs!$B$19&lt;&gt;"Exclude",X304&lt;&gt;"No"),OR(Inputs!$B$20&lt;&gt;"Exclude",Y304="No"),OR(Inputs!$B$21&lt;&gt;"Exclude",Z304="No"),OR(Inputs!$B$22&lt;&gt;"Exclude",AA304="Yes"),ISNUMBER(U304))</f>
        <v>1</v>
      </c>
      <c r="AC304" s="5" t="n">
        <f aca="false">IF(AB304,COUNTIFS($C$5:$C$337,C304,$AB$5:$AB$337,TRUE(),$U$5:$U$337,"&gt;"&amp;U304)+COUNTIFS($C$5:C304,C304,$AB$5:AB304,TRUE(),$U$5:U304,U304),"")</f>
        <v>8</v>
      </c>
      <c r="AD304" s="5" t="str">
        <f aca="false">IF(AC304="","Not eligible",IF(AC304&lt;=Inputs!$B$25,"Lead",IF(AC304&lt;=Inputs!$B$25+Inputs!$B$26,"Next wave","Long list")))</f>
        <v>Next wave</v>
      </c>
      <c r="AE304" s="5" t="str">
        <f aca="false">IF(AND(K304+L304=0,M304&gt;0),"Safety upgrade of existing prefilled syringe",IF(K304+L304+M304=0,"Confirm presentation (not stated in source)",IF(AA304="Yes","Differentiation in crowded generic market","Safety-device mandate compliance")))</f>
        <v>Differentiation in crowded generic market</v>
      </c>
      <c r="AF304" s="5" t="str">
        <f aca="false">IF(AC304="","",C304&amp;"|"&amp;AC304)</f>
        <v>Hetero Labs|8</v>
      </c>
    </row>
    <row r="305" customFormat="false" ht="15" hidden="false" customHeight="false" outlineLevel="0" collapsed="false">
      <c r="A305" s="5" t="n">
        <f aca="false">IF(ISNUMBER(U305),RANK(U305,$U$5:$U$337),"")</f>
        <v>113</v>
      </c>
      <c r="B305" s="5" t="s">
        <v>185</v>
      </c>
      <c r="C305" s="5" t="s">
        <v>44</v>
      </c>
      <c r="D305" s="5" t="str">
        <f aca="false">INDEX('API Data'!$B$2:$B$152,MATCH(B305,'API Data'!$A$2:$A$152,0))</f>
        <v>Anti-infective – MRSA &amp; serious Gram-positive infections</v>
      </c>
      <c r="E305" s="5" t="n">
        <f aca="false">COUNTIFS('Market Listing'!$A$2:$A$4054,B305,'Market Listing'!$B$2:$B$4054,C305)</f>
        <v>26</v>
      </c>
      <c r="F305" s="5" t="n">
        <f aca="false">COUNTIFS('Market Listing'!$A$2:$A$4054,B305,'Market Listing'!$B$2:$B$4054,C305,'Market Listing'!$D$2:$D$4054,"Tier 1")</f>
        <v>5</v>
      </c>
      <c r="G305" s="5" t="n">
        <f aca="false">COUNTIFS('Market Listing'!$A$2:$A$4054,B305,'Market Listing'!$B$2:$B$4054,C305,'Market Listing'!$D$2:$D$4054,"Tier 2")</f>
        <v>3</v>
      </c>
      <c r="H305" s="5" t="n">
        <f aca="false">COUNTIFS('Market Listing'!$A$2:$A$4054,B305,'Market Listing'!$B$2:$B$4054,C305,'Market Listing'!$D$2:$D$4054,"Tier 3")</f>
        <v>18</v>
      </c>
      <c r="I305" s="5" t="n">
        <f aca="false">SUMIFS('Market Listing'!$E$2:$E$4054,'Market Listing'!$A$2:$A$4054,B305,'Market Listing'!$B$2:$B$4054,C305)</f>
        <v>39</v>
      </c>
      <c r="J305" s="5" t="n">
        <f aca="false">COUNTIFS('Product Rows'!$A$2:$A$696,B305,'Product Rows'!$B$2:$B$696,C305)</f>
        <v>1</v>
      </c>
      <c r="K305" s="5" t="n">
        <f aca="false">COUNTIFS('Product Rows'!$A$2:$A$696,B305,'Product Rows'!$B$2:$B$696,C305,'Product Rows'!$G$2:$G$696,"Vial")</f>
        <v>1</v>
      </c>
      <c r="L305" s="5" t="n">
        <f aca="false">COUNTIFS('Product Rows'!$A$2:$A$696,B305,'Product Rows'!$B$2:$B$696,C305,'Product Rows'!$G$2:$G$696,"Ampoule")</f>
        <v>0</v>
      </c>
      <c r="M305" s="5" t="n">
        <f aca="false">COUNTIFS('Product Rows'!$A$2:$A$696,B305,'Product Rows'!$B$2:$B$696,C305,'Product Rows'!$G$2:$G$696,"Prefilled syringe/pen")</f>
        <v>0</v>
      </c>
      <c r="N305" s="6" t="n">
        <f aca="false">IFERROR(AVERAGEIFS('Product Rows'!$H$2:$H$696,'Product Rows'!$A$2:$A$696,B305,'Product Rows'!$B$2:$B$696,C305),"")</f>
        <v>35.2673</v>
      </c>
      <c r="O305" s="7" t="n">
        <f aca="false">INDEX('API Data'!$E$2:$E$152,MATCH(B305,'API Data'!$A$2:$A$152,0))</f>
        <v>6632.55</v>
      </c>
      <c r="P305" s="5" t="n">
        <f aca="false">COUNTIF($B$5:$B$337,B305)</f>
        <v>5</v>
      </c>
      <c r="Q305" s="8" t="n">
        <f aca="false">IF(ISNUMBER(I305),PERCENTRANK($I$5:$I$337,I305),"")</f>
        <v>0.681</v>
      </c>
      <c r="R305" s="8" t="n">
        <f aca="false">IF(ISNUMBER(N305),PERCENTRANK($N$5:$N$337,N305),"")</f>
        <v>0.541</v>
      </c>
      <c r="S305" s="8" t="n">
        <f aca="false">IF(ISNUMBER(O305),PERCENTRANK($O$5:$O$337,O305),"")</f>
        <v>0.611</v>
      </c>
      <c r="T305" s="8" t="n">
        <f aca="false">IF(ISNUMBER(P305),PERCENTRANK($P$5:$P$337,P305),"")</f>
        <v>0.702</v>
      </c>
      <c r="U305" s="9" t="n">
        <f aca="false">IF((IF(ISNUMBER(Q305),Inputs!$B$4,0)+IF(ISNUMBER(R305),Inputs!$B$5,0)+IF(ISNUMBER(S305),Inputs!$B$6,0)+IF(ISNUMBER(T305),Inputs!$B$7,0))=0,"",(IF(ISNUMBER(Q305),Inputs!$B$4*Q305,0)+IF(ISNUMBER(R305),Inputs!$B$5*R305,0)+IF(ISNUMBER(S305),Inputs!$B$6*S305,0)+IF(ISNUMBER(T305),Inputs!$B$7*T305,0))/(IF(ISNUMBER(Q305),Inputs!$B$4,0)+IF(ISNUMBER(R305),Inputs!$B$5,0)+IF(ISNUMBER(S305),Inputs!$B$6,0)+IF(ISNUMBER(T305),Inputs!$B$7,0)))</f>
        <v>0.576</v>
      </c>
      <c r="V305" s="5" t="str">
        <f aca="false">IF(F305&gt;0,"Yes","No")</f>
        <v>Yes</v>
      </c>
      <c r="W305" s="5" t="str">
        <f aca="false">IF(ISNUMBER(N305),IF(N305&gt;=Inputs!$D$18,"Yes","No"),"No price")</f>
        <v>Yes</v>
      </c>
      <c r="X305" s="5" t="str">
        <f aca="false">IF(K305+L305&gt;0,"Yes",IF(M305&gt;0,"No","Unclear"))</f>
        <v>Yes</v>
      </c>
      <c r="Y305" s="5" t="str">
        <f aca="false">INDEX('API Data'!$H$2:$H$152,MATCH(B305,'API Data'!$A$2:$A$152,0))</f>
        <v>No</v>
      </c>
      <c r="Z305" s="5" t="str">
        <f aca="false">IF(COUNTIFS('Product Rows'!$A$2:$A$696,B305,'Product Rows'!$B$2:$B$696,C305,'Product Rows'!$I$2:$I$696,"Yes")&gt;0,"Yes","No")</f>
        <v>Yes</v>
      </c>
      <c r="AA305" s="5" t="str">
        <f aca="false">IF(P305&gt;=Inputs!$D$22,"Yes","No")</f>
        <v>Yes</v>
      </c>
      <c r="AB305" s="10" t="b">
        <f aca="false">AND(OR(Inputs!$B$17&lt;&gt;"Exclude",V305="Yes"),OR(Inputs!$B$18&lt;&gt;"Exclude",W305&lt;&gt;"No"),OR(Inputs!$B$19&lt;&gt;"Exclude",X305&lt;&gt;"No"),OR(Inputs!$B$20&lt;&gt;"Exclude",Y305="No"),OR(Inputs!$B$21&lt;&gt;"Exclude",Z305="No"),OR(Inputs!$B$22&lt;&gt;"Exclude",AA305="Yes"),ISNUMBER(U305))</f>
        <v>1</v>
      </c>
      <c r="AC305" s="5" t="n">
        <f aca="false">IF(AB305,COUNTIFS($C$5:$C$337,C305,$AB$5:$AB$337,TRUE(),$U$5:$U$337,"&gt;"&amp;U305)+COUNTIFS($C$5:C305,C305,$AB$5:AB305,TRUE(),$U$5:U305,U305),"")</f>
        <v>23</v>
      </c>
      <c r="AD305" s="5" t="str">
        <f aca="false">IF(AC305="","Not eligible",IF(AC305&lt;=Inputs!$B$25,"Lead",IF(AC305&lt;=Inputs!$B$25+Inputs!$B$26,"Next wave","Long list")))</f>
        <v>Long list</v>
      </c>
      <c r="AE305" s="5" t="str">
        <f aca="false">IF(AND(K305+L305=0,M305&gt;0),"Safety upgrade of existing prefilled syringe",IF(K305+L305+M305=0,"Confirm presentation (not stated in source)",IF(AA305="Yes","Differentiation in crowded generic market","Safety-device mandate compliance")))</f>
        <v>Differentiation in crowded generic market</v>
      </c>
      <c r="AF305" s="5" t="str">
        <f aca="false">IF(AC305="","",C305&amp;"|"&amp;AC305)</f>
        <v>Intas Pharmaceuticals|23</v>
      </c>
    </row>
    <row r="306" customFormat="false" ht="15" hidden="false" customHeight="false" outlineLevel="0" collapsed="false">
      <c r="A306" s="5" t="n">
        <f aca="false">IF(ISNUMBER(U306),RANK(U306,$U$5:$U$337),"")</f>
        <v>119</v>
      </c>
      <c r="B306" s="5" t="s">
        <v>185</v>
      </c>
      <c r="C306" s="5" t="s">
        <v>40</v>
      </c>
      <c r="D306" s="5" t="str">
        <f aca="false">INDEX('API Data'!$B$2:$B$152,MATCH(B306,'API Data'!$A$2:$A$152,0))</f>
        <v>Anti-infective – MRSA &amp; serious Gram-positive infections</v>
      </c>
      <c r="E306" s="5" t="n">
        <f aca="false">COUNTIFS('Market Listing'!$A$2:$A$4054,B306,'Market Listing'!$B$2:$B$4054,C306)</f>
        <v>2</v>
      </c>
      <c r="F306" s="5" t="n">
        <f aca="false">COUNTIFS('Market Listing'!$A$2:$A$4054,B306,'Market Listing'!$B$2:$B$4054,C306,'Market Listing'!$D$2:$D$4054,"Tier 1")</f>
        <v>0</v>
      </c>
      <c r="G306" s="5" t="n">
        <f aca="false">COUNTIFS('Market Listing'!$A$2:$A$4054,B306,'Market Listing'!$B$2:$B$4054,C306,'Market Listing'!$D$2:$D$4054,"Tier 2")</f>
        <v>2</v>
      </c>
      <c r="H306" s="5" t="n">
        <f aca="false">COUNTIFS('Market Listing'!$A$2:$A$4054,B306,'Market Listing'!$B$2:$B$4054,C306,'Market Listing'!$D$2:$D$4054,"Tier 3")</f>
        <v>0</v>
      </c>
      <c r="I306" s="5" t="n">
        <f aca="false">SUMIFS('Market Listing'!$E$2:$E$4054,'Market Listing'!$A$2:$A$4054,B306,'Market Listing'!$B$2:$B$4054,C306)</f>
        <v>4</v>
      </c>
      <c r="J306" s="5" t="n">
        <f aca="false">COUNTIFS('Product Rows'!$A$2:$A$696,B306,'Product Rows'!$B$2:$B$696,C306)</f>
        <v>3</v>
      </c>
      <c r="K306" s="5" t="n">
        <f aca="false">COUNTIFS('Product Rows'!$A$2:$A$696,B306,'Product Rows'!$B$2:$B$696,C306,'Product Rows'!$G$2:$G$696,"Vial")</f>
        <v>0</v>
      </c>
      <c r="L306" s="5" t="n">
        <f aca="false">COUNTIFS('Product Rows'!$A$2:$A$696,B306,'Product Rows'!$B$2:$B$696,C306,'Product Rows'!$G$2:$G$696,"Ampoule")</f>
        <v>3</v>
      </c>
      <c r="M306" s="5" t="n">
        <f aca="false">COUNTIFS('Product Rows'!$A$2:$A$696,B306,'Product Rows'!$B$2:$B$696,C306,'Product Rows'!$G$2:$G$696,"Prefilled syringe/pen")</f>
        <v>0</v>
      </c>
      <c r="N306" s="6" t="n">
        <f aca="false">IFERROR(AVERAGEIFS('Product Rows'!$H$2:$H$696,'Product Rows'!$A$2:$A$696,B306,'Product Rows'!$B$2:$B$696,C306),"")</f>
        <v>32.4306666666667</v>
      </c>
      <c r="O306" s="7" t="n">
        <f aca="false">INDEX('API Data'!$E$2:$E$152,MATCH(B306,'API Data'!$A$2:$A$152,0))</f>
        <v>6632.55</v>
      </c>
      <c r="P306" s="5" t="n">
        <f aca="false">COUNTIF($B$5:$B$337,B306)</f>
        <v>5</v>
      </c>
      <c r="Q306" s="8" t="n">
        <f aca="false">IF(ISNUMBER(I306),PERCENTRANK($I$5:$I$337,I306),"")</f>
        <v>0.509</v>
      </c>
      <c r="R306" s="8" t="n">
        <f aca="false">IF(ISNUMBER(N306),PERCENTRANK($N$5:$N$337,N306),"")</f>
        <v>0.513</v>
      </c>
      <c r="S306" s="8" t="n">
        <f aca="false">IF(ISNUMBER(O306),PERCENTRANK($O$5:$O$337,O306),"")</f>
        <v>0.611</v>
      </c>
      <c r="T306" s="8" t="n">
        <f aca="false">IF(ISNUMBER(P306),PERCENTRANK($P$5:$P$337,P306),"")</f>
        <v>0.702</v>
      </c>
      <c r="U306" s="9" t="n">
        <f aca="false">IF((IF(ISNUMBER(Q306),Inputs!$B$4,0)+IF(ISNUMBER(R306),Inputs!$B$5,0)+IF(ISNUMBER(S306),Inputs!$B$6,0)+IF(ISNUMBER(T306),Inputs!$B$7,0))=0,"",(IF(ISNUMBER(Q306),Inputs!$B$4*Q306,0)+IF(ISNUMBER(R306),Inputs!$B$5*R306,0)+IF(ISNUMBER(S306),Inputs!$B$6*S306,0)+IF(ISNUMBER(T306),Inputs!$B$7*T306,0))/(IF(ISNUMBER(Q306),Inputs!$B$4,0)+IF(ISNUMBER(R306),Inputs!$B$5,0)+IF(ISNUMBER(S306),Inputs!$B$6,0)+IF(ISNUMBER(T306),Inputs!$B$7,0)))</f>
        <v>0.562</v>
      </c>
      <c r="V306" s="5" t="str">
        <f aca="false">IF(F306&gt;0,"Yes","No")</f>
        <v>No</v>
      </c>
      <c r="W306" s="5" t="str">
        <f aca="false">IF(ISNUMBER(N306),IF(N306&gt;=Inputs!$D$18,"Yes","No"),"No price")</f>
        <v>Yes</v>
      </c>
      <c r="X306" s="5" t="str">
        <f aca="false">IF(K306+L306&gt;0,"Yes",IF(M306&gt;0,"No","Unclear"))</f>
        <v>Yes</v>
      </c>
      <c r="Y306" s="5" t="str">
        <f aca="false">INDEX('API Data'!$H$2:$H$152,MATCH(B306,'API Data'!$A$2:$A$152,0))</f>
        <v>No</v>
      </c>
      <c r="Z306" s="5" t="str">
        <f aca="false">IF(COUNTIFS('Product Rows'!$A$2:$A$696,B306,'Product Rows'!$B$2:$B$696,C306,'Product Rows'!$I$2:$I$696,"Yes")&gt;0,"Yes","No")</f>
        <v>Yes</v>
      </c>
      <c r="AA306" s="5" t="str">
        <f aca="false">IF(P306&gt;=Inputs!$D$22,"Yes","No")</f>
        <v>Yes</v>
      </c>
      <c r="AB306" s="10" t="b">
        <f aca="false">AND(OR(Inputs!$B$17&lt;&gt;"Exclude",V306="Yes"),OR(Inputs!$B$18&lt;&gt;"Exclude",W306&lt;&gt;"No"),OR(Inputs!$B$19&lt;&gt;"Exclude",X306&lt;&gt;"No"),OR(Inputs!$B$20&lt;&gt;"Exclude",Y306="No"),OR(Inputs!$B$21&lt;&gt;"Exclude",Z306="No"),OR(Inputs!$B$22&lt;&gt;"Exclude",AA306="Yes"),ISNUMBER(U306))</f>
        <v>0</v>
      </c>
      <c r="AC306" s="5" t="str">
        <f aca="false">IF(AB306,COUNTIFS($C$5:$C$337,C306,$AB$5:$AB$337,TRUE(),$U$5:$U$337,"&gt;"&amp;U306)+COUNTIFS($C$5:C306,C306,$AB$5:AB306,TRUE(),$U$5:U306,U306),"")</f>
        <v/>
      </c>
      <c r="AD306" s="5" t="str">
        <f aca="false">IF(AC306="","Not eligible",IF(AC306&lt;=Inputs!$B$25,"Lead",IF(AC306&lt;=Inputs!$B$25+Inputs!$B$26,"Next wave","Long list")))</f>
        <v>Not eligible</v>
      </c>
      <c r="AE306" s="5" t="str">
        <f aca="false">IF(AND(K306+L306=0,M306&gt;0),"Safety upgrade of existing prefilled syringe",IF(K306+L306+M306=0,"Confirm presentation (not stated in source)",IF(AA306="Yes","Differentiation in crowded generic market","Safety-device mandate compliance")))</f>
        <v>Differentiation in crowded generic market</v>
      </c>
      <c r="AF306" s="5" t="str">
        <f aca="false">IF(AC306="","",C306&amp;"|"&amp;AC306)</f>
        <v/>
      </c>
    </row>
    <row r="307" customFormat="false" ht="15" hidden="false" customHeight="false" outlineLevel="0" collapsed="false">
      <c r="A307" s="5" t="n">
        <f aca="false">IF(ISNUMBER(U307),RANK(U307,$U$5:$U$337),"")</f>
        <v>109</v>
      </c>
      <c r="B307" s="5" t="s">
        <v>185</v>
      </c>
      <c r="C307" s="5" t="s">
        <v>50</v>
      </c>
      <c r="D307" s="5" t="str">
        <f aca="false">INDEX('API Data'!$B$2:$B$152,MATCH(B307,'API Data'!$A$2:$A$152,0))</f>
        <v>Anti-infective – MRSA &amp; serious Gram-positive infections</v>
      </c>
      <c r="E307" s="5" t="n">
        <f aca="false">COUNTIFS('Market Listing'!$A$2:$A$4054,B307,'Market Listing'!$B$2:$B$4054,C307)</f>
        <v>27</v>
      </c>
      <c r="F307" s="5" t="n">
        <f aca="false">COUNTIFS('Market Listing'!$A$2:$A$4054,B307,'Market Listing'!$B$2:$B$4054,C307,'Market Listing'!$D$2:$D$4054,"Tier 1")</f>
        <v>6</v>
      </c>
      <c r="G307" s="5" t="n">
        <f aca="false">COUNTIFS('Market Listing'!$A$2:$A$4054,B307,'Market Listing'!$B$2:$B$4054,C307,'Market Listing'!$D$2:$D$4054,"Tier 2")</f>
        <v>3</v>
      </c>
      <c r="H307" s="5" t="n">
        <f aca="false">COUNTIFS('Market Listing'!$A$2:$A$4054,B307,'Market Listing'!$B$2:$B$4054,C307,'Market Listing'!$D$2:$D$4054,"Tier 3")</f>
        <v>18</v>
      </c>
      <c r="I307" s="5" t="n">
        <f aca="false">SUMIFS('Market Listing'!$E$2:$E$4054,'Market Listing'!$A$2:$A$4054,B307,'Market Listing'!$B$2:$B$4054,C307)</f>
        <v>42</v>
      </c>
      <c r="J307" s="5" t="n">
        <f aca="false">COUNTIFS('Product Rows'!$A$2:$A$696,B307,'Product Rows'!$B$2:$B$696,C307)</f>
        <v>2</v>
      </c>
      <c r="K307" s="5" t="n">
        <f aca="false">COUNTIFS('Product Rows'!$A$2:$A$696,B307,'Product Rows'!$B$2:$B$696,C307,'Product Rows'!$G$2:$G$696,"Vial")</f>
        <v>1</v>
      </c>
      <c r="L307" s="5" t="n">
        <f aca="false">COUNTIFS('Product Rows'!$A$2:$A$696,B307,'Product Rows'!$B$2:$B$696,C307,'Product Rows'!$G$2:$G$696,"Ampoule")</f>
        <v>1</v>
      </c>
      <c r="M307" s="5" t="n">
        <f aca="false">COUNTIFS('Product Rows'!$A$2:$A$696,B307,'Product Rows'!$B$2:$B$696,C307,'Product Rows'!$G$2:$G$696,"Prefilled syringe/pen")</f>
        <v>0</v>
      </c>
      <c r="N307" s="6" t="n">
        <f aca="false">IFERROR(AVERAGEIFS('Product Rows'!$H$2:$H$696,'Product Rows'!$A$2:$A$696,B307,'Product Rows'!$B$2:$B$696,C307),"")</f>
        <v>36.52825</v>
      </c>
      <c r="O307" s="7" t="n">
        <f aca="false">INDEX('API Data'!$E$2:$E$152,MATCH(B307,'API Data'!$A$2:$A$152,0))</f>
        <v>6632.55</v>
      </c>
      <c r="P307" s="5" t="n">
        <f aca="false">COUNTIF($B$5:$B$337,B307)</f>
        <v>5</v>
      </c>
      <c r="Q307" s="8" t="n">
        <f aca="false">IF(ISNUMBER(I307),PERCENTRANK($I$5:$I$337,I307),"")</f>
        <v>0.729</v>
      </c>
      <c r="R307" s="8" t="n">
        <f aca="false">IF(ISNUMBER(N307),PERCENTRANK($N$5:$N$337,N307),"")</f>
        <v>0.548</v>
      </c>
      <c r="S307" s="8" t="n">
        <f aca="false">IF(ISNUMBER(O307),PERCENTRANK($O$5:$O$337,O307),"")</f>
        <v>0.611</v>
      </c>
      <c r="T307" s="8" t="n">
        <f aca="false">IF(ISNUMBER(P307),PERCENTRANK($P$5:$P$337,P307),"")</f>
        <v>0.702</v>
      </c>
      <c r="U307" s="9" t="n">
        <f aca="false">IF((IF(ISNUMBER(Q307),Inputs!$B$4,0)+IF(ISNUMBER(R307),Inputs!$B$5,0)+IF(ISNUMBER(S307),Inputs!$B$6,0)+IF(ISNUMBER(T307),Inputs!$B$7,0))=0,"",(IF(ISNUMBER(Q307),Inputs!$B$4*Q307,0)+IF(ISNUMBER(R307),Inputs!$B$5*R307,0)+IF(ISNUMBER(S307),Inputs!$B$6*S307,0)+IF(ISNUMBER(T307),Inputs!$B$7*T307,0))/(IF(ISNUMBER(Q307),Inputs!$B$4,0)+IF(ISNUMBER(R307),Inputs!$B$5,0)+IF(ISNUMBER(S307),Inputs!$B$6,0)+IF(ISNUMBER(T307),Inputs!$B$7,0)))</f>
        <v>0.5795</v>
      </c>
      <c r="V307" s="5" t="str">
        <f aca="false">IF(F307&gt;0,"Yes","No")</f>
        <v>Yes</v>
      </c>
      <c r="W307" s="5" t="str">
        <f aca="false">IF(ISNUMBER(N307),IF(N307&gt;=Inputs!$D$18,"Yes","No"),"No price")</f>
        <v>Yes</v>
      </c>
      <c r="X307" s="5" t="str">
        <f aca="false">IF(K307+L307&gt;0,"Yes",IF(M307&gt;0,"No","Unclear"))</f>
        <v>Yes</v>
      </c>
      <c r="Y307" s="5" t="str">
        <f aca="false">INDEX('API Data'!$H$2:$H$152,MATCH(B307,'API Data'!$A$2:$A$152,0))</f>
        <v>No</v>
      </c>
      <c r="Z307" s="5" t="str">
        <f aca="false">IF(COUNTIFS('Product Rows'!$A$2:$A$696,B307,'Product Rows'!$B$2:$B$696,C307,'Product Rows'!$I$2:$I$696,"Yes")&gt;0,"Yes","No")</f>
        <v>Yes</v>
      </c>
      <c r="AA307" s="5" t="str">
        <f aca="false">IF(P307&gt;=Inputs!$D$22,"Yes","No")</f>
        <v>Yes</v>
      </c>
      <c r="AB307" s="10" t="b">
        <f aca="false">AND(OR(Inputs!$B$17&lt;&gt;"Exclude",V307="Yes"),OR(Inputs!$B$18&lt;&gt;"Exclude",W307&lt;&gt;"No"),OR(Inputs!$B$19&lt;&gt;"Exclude",X307&lt;&gt;"No"),OR(Inputs!$B$20&lt;&gt;"Exclude",Y307="No"),OR(Inputs!$B$21&lt;&gt;"Exclude",Z307="No"),OR(Inputs!$B$22&lt;&gt;"Exclude",AA307="Yes"),ISNUMBER(U307))</f>
        <v>1</v>
      </c>
      <c r="AC307" s="5" t="n">
        <f aca="false">IF(AB307,COUNTIFS($C$5:$C$337,C307,$AB$5:$AB$337,TRUE(),$U$5:$U$337,"&gt;"&amp;U307)+COUNTIFS($C$5:C307,C307,$AB$5:AB307,TRUE(),$U$5:U307,U307),"")</f>
        <v>7</v>
      </c>
      <c r="AD307" s="5" t="str">
        <f aca="false">IF(AC307="","Not eligible",IF(AC307&lt;=Inputs!$B$25,"Lead",IF(AC307&lt;=Inputs!$B$25+Inputs!$B$26,"Next wave","Long list")))</f>
        <v>Next wave</v>
      </c>
      <c r="AE307" s="5" t="str">
        <f aca="false">IF(AND(K307+L307=0,M307&gt;0),"Safety upgrade of existing prefilled syringe",IF(K307+L307+M307=0,"Confirm presentation (not stated in source)",IF(AA307="Yes","Differentiation in crowded generic market","Safety-device mandate compliance")))</f>
        <v>Differentiation in crowded generic market</v>
      </c>
      <c r="AF307" s="5" t="str">
        <f aca="false">IF(AC307="","",C307&amp;"|"&amp;AC307)</f>
        <v>Sun Pharma|7</v>
      </c>
    </row>
    <row r="308" customFormat="false" ht="15" hidden="false" customHeight="false" outlineLevel="0" collapsed="false">
      <c r="A308" s="5" t="n">
        <f aca="false">IF(ISNUMBER(U308),RANK(U308,$U$5:$U$337),"")</f>
        <v>280</v>
      </c>
      <c r="B308" s="5" t="s">
        <v>186</v>
      </c>
      <c r="C308" s="5" t="s">
        <v>50</v>
      </c>
      <c r="D308" s="5" t="str">
        <f aca="false">INDEX('API Data'!$B$2:$B$152,MATCH(B308,'API Data'!$A$2:$A$152,0))</f>
        <v>Hepatology – hepatorenal syndrome; variceal bleeding</v>
      </c>
      <c r="E308" s="5" t="n">
        <f aca="false">COUNTIFS('Market Listing'!$A$2:$A$4054,B308,'Market Listing'!$B$2:$B$4054,C308)</f>
        <v>27</v>
      </c>
      <c r="F308" s="5" t="n">
        <f aca="false">COUNTIFS('Market Listing'!$A$2:$A$4054,B308,'Market Listing'!$B$2:$B$4054,C308,'Market Listing'!$D$2:$D$4054,"Tier 1")</f>
        <v>6</v>
      </c>
      <c r="G308" s="5" t="n">
        <f aca="false">COUNTIFS('Market Listing'!$A$2:$A$4054,B308,'Market Listing'!$B$2:$B$4054,C308,'Market Listing'!$D$2:$D$4054,"Tier 2")</f>
        <v>2</v>
      </c>
      <c r="H308" s="5" t="n">
        <f aca="false">COUNTIFS('Market Listing'!$A$2:$A$4054,B308,'Market Listing'!$B$2:$B$4054,C308,'Market Listing'!$D$2:$D$4054,"Tier 3")</f>
        <v>19</v>
      </c>
      <c r="I308" s="5" t="n">
        <f aca="false">SUMIFS('Market Listing'!$E$2:$E$4054,'Market Listing'!$A$2:$A$4054,B308,'Market Listing'!$B$2:$B$4054,C308)</f>
        <v>41</v>
      </c>
      <c r="J308" s="5" t="n">
        <f aca="false">COUNTIFS('Product Rows'!$A$2:$A$696,B308,'Product Rows'!$B$2:$B$696,C308)</f>
        <v>2</v>
      </c>
      <c r="K308" s="5" t="n">
        <f aca="false">COUNTIFS('Product Rows'!$A$2:$A$696,B308,'Product Rows'!$B$2:$B$696,C308,'Product Rows'!$G$2:$G$696,"Vial")</f>
        <v>0</v>
      </c>
      <c r="L308" s="5" t="n">
        <f aca="false">COUNTIFS('Product Rows'!$A$2:$A$696,B308,'Product Rows'!$B$2:$B$696,C308,'Product Rows'!$G$2:$G$696,"Ampoule")</f>
        <v>2</v>
      </c>
      <c r="M308" s="5" t="n">
        <f aca="false">COUNTIFS('Product Rows'!$A$2:$A$696,B308,'Product Rows'!$B$2:$B$696,C308,'Product Rows'!$G$2:$G$696,"Prefilled syringe/pen")</f>
        <v>0</v>
      </c>
      <c r="N308" s="6" t="n">
        <f aca="false">IFERROR(AVERAGEIFS('Product Rows'!$H$2:$H$696,'Product Rows'!$A$2:$A$696,B308,'Product Rows'!$B$2:$B$696,C308),"")</f>
        <v>30.6626</v>
      </c>
      <c r="O308" s="7" t="n">
        <f aca="false">INDEX('API Data'!$E$2:$E$152,MATCH(B308,'API Data'!$A$2:$A$152,0))</f>
        <v>77.4</v>
      </c>
      <c r="P308" s="5" t="n">
        <f aca="false">COUNTIF($B$5:$B$337,B308)</f>
        <v>1</v>
      </c>
      <c r="Q308" s="8" t="n">
        <f aca="false">IF(ISNUMBER(I308),PERCENTRANK($I$5:$I$337,I308),"")</f>
        <v>0.711</v>
      </c>
      <c r="R308" s="8" t="n">
        <f aca="false">IF(ISNUMBER(N308),PERCENTRANK($N$5:$N$337,N308),"")</f>
        <v>0.502</v>
      </c>
      <c r="S308" s="8" t="n">
        <f aca="false">IF(ISNUMBER(O308),PERCENTRANK($O$5:$O$337,O308),"")</f>
        <v>0.0331</v>
      </c>
      <c r="T308" s="8" t="n">
        <f aca="false">IF(ISNUMBER(P308),PERCENTRANK($P$5:$P$337,P308),"")</f>
        <v>0</v>
      </c>
      <c r="U308" s="9" t="n">
        <f aca="false">IF((IF(ISNUMBER(Q308),Inputs!$B$4,0)+IF(ISNUMBER(R308),Inputs!$B$5,0)+IF(ISNUMBER(S308),Inputs!$B$6,0)+IF(ISNUMBER(T308),Inputs!$B$7,0))=0,"",(IF(ISNUMBER(Q308),Inputs!$B$4*Q308,0)+IF(ISNUMBER(R308),Inputs!$B$5*R308,0)+IF(ISNUMBER(S308),Inputs!$B$6*S308,0)+IF(ISNUMBER(T308),Inputs!$B$7*T308,0))/(IF(ISNUMBER(Q308),Inputs!$B$4,0)+IF(ISNUMBER(R308),Inputs!$B$5,0)+IF(ISNUMBER(S308),Inputs!$B$6,0)+IF(ISNUMBER(T308),Inputs!$B$7,0)))</f>
        <v>0.26755</v>
      </c>
      <c r="V308" s="5" t="str">
        <f aca="false">IF(F308&gt;0,"Yes","No")</f>
        <v>Yes</v>
      </c>
      <c r="W308" s="5" t="str">
        <f aca="false">IF(ISNUMBER(N308),IF(N308&gt;=Inputs!$D$18,"Yes","No"),"No price")</f>
        <v>Yes</v>
      </c>
      <c r="X308" s="5" t="str">
        <f aca="false">IF(K308+L308&gt;0,"Yes",IF(M308&gt;0,"No","Unclear"))</f>
        <v>Yes</v>
      </c>
      <c r="Y308" s="5" t="str">
        <f aca="false">INDEX('API Data'!$H$2:$H$152,MATCH(B308,'API Data'!$A$2:$A$152,0))</f>
        <v>No</v>
      </c>
      <c r="Z308" s="5" t="str">
        <f aca="false">IF(COUNTIFS('Product Rows'!$A$2:$A$696,B308,'Product Rows'!$B$2:$B$696,C308,'Product Rows'!$I$2:$I$696,"Yes")&gt;0,"Yes","No")</f>
        <v>No</v>
      </c>
      <c r="AA308" s="5" t="str">
        <f aca="false">IF(P308&gt;=Inputs!$D$22,"Yes","No")</f>
        <v>No</v>
      </c>
      <c r="AB308" s="10" t="b">
        <f aca="false">AND(OR(Inputs!$B$17&lt;&gt;"Exclude",V308="Yes"),OR(Inputs!$B$18&lt;&gt;"Exclude",W308&lt;&gt;"No"),OR(Inputs!$B$19&lt;&gt;"Exclude",X308&lt;&gt;"No"),OR(Inputs!$B$20&lt;&gt;"Exclude",Y308="No"),OR(Inputs!$B$21&lt;&gt;"Exclude",Z308="No"),OR(Inputs!$B$22&lt;&gt;"Exclude",AA308="Yes"),ISNUMBER(U308))</f>
        <v>1</v>
      </c>
      <c r="AC308" s="5" t="n">
        <f aca="false">IF(AB308,COUNTIFS($C$5:$C$337,C308,$AB$5:$AB$337,TRUE(),$U$5:$U$337,"&gt;"&amp;U308)+COUNTIFS($C$5:C308,C308,$AB$5:AB308,TRUE(),$U$5:U308,U308),"")</f>
        <v>16</v>
      </c>
      <c r="AD308" s="5" t="str">
        <f aca="false">IF(AC308="","Not eligible",IF(AC308&lt;=Inputs!$B$25,"Lead",IF(AC308&lt;=Inputs!$B$25+Inputs!$B$26,"Next wave","Long list")))</f>
        <v>Long list</v>
      </c>
      <c r="AE308" s="5" t="str">
        <f aca="false">IF(AND(K308+L308=0,M308&gt;0),"Safety upgrade of existing prefilled syringe",IF(K308+L308+M308=0,"Confirm presentation (not stated in source)",IF(AA308="Yes","Differentiation in crowded generic market","Safety-device mandate compliance")))</f>
        <v>Safety-device mandate compliance</v>
      </c>
      <c r="AF308" s="5" t="str">
        <f aca="false">IF(AC308="","",C308&amp;"|"&amp;AC308)</f>
        <v>Sun Pharma|16</v>
      </c>
    </row>
    <row r="309" customFormat="false" ht="15" hidden="false" customHeight="false" outlineLevel="0" collapsed="false">
      <c r="A309" s="5" t="n">
        <f aca="false">IF(ISNUMBER(U309),RANK(U309,$U$5:$U$337),"")</f>
        <v>155</v>
      </c>
      <c r="B309" s="5" t="s">
        <v>187</v>
      </c>
      <c r="C309" s="5" t="s">
        <v>47</v>
      </c>
      <c r="D309" s="5" t="str">
        <f aca="false">INDEX('API Data'!$B$2:$B$152,MATCH(B309,'API Data'!$A$2:$A$152,0))</f>
        <v>Endocrinology – male hypogonadism (testosterone replacement)</v>
      </c>
      <c r="E309" s="5" t="n">
        <f aca="false">COUNTIFS('Market Listing'!$A$2:$A$4054,B309,'Market Listing'!$B$2:$B$4054,C309)</f>
        <v>1</v>
      </c>
      <c r="F309" s="5" t="n">
        <f aca="false">COUNTIFS('Market Listing'!$A$2:$A$4054,B309,'Market Listing'!$B$2:$B$4054,C309,'Market Listing'!$D$2:$D$4054,"Tier 1")</f>
        <v>1</v>
      </c>
      <c r="G309" s="5" t="n">
        <f aca="false">COUNTIFS('Market Listing'!$A$2:$A$4054,B309,'Market Listing'!$B$2:$B$4054,C309,'Market Listing'!$D$2:$D$4054,"Tier 2")</f>
        <v>0</v>
      </c>
      <c r="H309" s="5" t="n">
        <f aca="false">COUNTIFS('Market Listing'!$A$2:$A$4054,B309,'Market Listing'!$B$2:$B$4054,C309,'Market Listing'!$D$2:$D$4054,"Tier 3")</f>
        <v>0</v>
      </c>
      <c r="I309" s="5" t="n">
        <f aca="false">SUMIFS('Market Listing'!$E$2:$E$4054,'Market Listing'!$A$2:$A$4054,B309,'Market Listing'!$B$2:$B$4054,C309)</f>
        <v>3</v>
      </c>
      <c r="J309" s="5" t="n">
        <f aca="false">COUNTIFS('Product Rows'!$A$2:$A$696,B309,'Product Rows'!$B$2:$B$696,C309)</f>
        <v>2</v>
      </c>
      <c r="K309" s="5" t="n">
        <f aca="false">COUNTIFS('Product Rows'!$A$2:$A$696,B309,'Product Rows'!$B$2:$B$696,C309,'Product Rows'!$G$2:$G$696,"Vial")</f>
        <v>2</v>
      </c>
      <c r="L309" s="5" t="n">
        <f aca="false">COUNTIFS('Product Rows'!$A$2:$A$696,B309,'Product Rows'!$B$2:$B$696,C309,'Product Rows'!$G$2:$G$696,"Ampoule")</f>
        <v>0</v>
      </c>
      <c r="M309" s="5" t="n">
        <f aca="false">COUNTIFS('Product Rows'!$A$2:$A$696,B309,'Product Rows'!$B$2:$B$696,C309,'Product Rows'!$G$2:$G$696,"Prefilled syringe/pen")</f>
        <v>0</v>
      </c>
      <c r="N309" s="6" t="n">
        <f aca="false">IFERROR(AVERAGEIFS('Product Rows'!$H$2:$H$696,'Product Rows'!$A$2:$A$696,B309,'Product Rows'!$B$2:$B$696,C309),"")</f>
        <v>20.63</v>
      </c>
      <c r="O309" s="7" t="n">
        <f aca="false">INDEX('API Data'!$E$2:$E$152,MATCH(B309,'API Data'!$A$2:$A$152,0))</f>
        <v>6893.74421052632</v>
      </c>
      <c r="P309" s="5" t="n">
        <f aca="false">COUNTIF($B$5:$B$337,B309)</f>
        <v>3</v>
      </c>
      <c r="Q309" s="8" t="n">
        <f aca="false">IF(ISNUMBER(I309),PERCENTRANK($I$5:$I$337,I309),"")</f>
        <v>0.157</v>
      </c>
      <c r="R309" s="8" t="n">
        <f aca="false">IF(ISNUMBER(N309),PERCENTRANK($N$5:$N$337,N309),"")</f>
        <v>0.369</v>
      </c>
      <c r="S309" s="8" t="n">
        <f aca="false">IF(ISNUMBER(O309),PERCENTRANK($O$5:$O$337,O309),"")</f>
        <v>0.633</v>
      </c>
      <c r="T309" s="8" t="n">
        <f aca="false">IF(ISNUMBER(P309),PERCENTRANK($P$5:$P$337,P309),"")</f>
        <v>0.416</v>
      </c>
      <c r="U309" s="9" t="n">
        <f aca="false">IF((IF(ISNUMBER(Q309),Inputs!$B$4,0)+IF(ISNUMBER(R309),Inputs!$B$5,0)+IF(ISNUMBER(S309),Inputs!$B$6,0)+IF(ISNUMBER(T309),Inputs!$B$7,0))=0,"",(IF(ISNUMBER(Q309),Inputs!$B$4*Q309,0)+IF(ISNUMBER(R309),Inputs!$B$5*R309,0)+IF(ISNUMBER(S309),Inputs!$B$6*S309,0)+IF(ISNUMBER(T309),Inputs!$B$7*T309,0))/(IF(ISNUMBER(Q309),Inputs!$B$4,0)+IF(ISNUMBER(R309),Inputs!$B$5,0)+IF(ISNUMBER(S309),Inputs!$B$6,0)+IF(ISNUMBER(T309),Inputs!$B$7,0)))</f>
        <v>0.501</v>
      </c>
      <c r="V309" s="5" t="str">
        <f aca="false">IF(F309&gt;0,"Yes","No")</f>
        <v>Yes</v>
      </c>
      <c r="W309" s="5" t="str">
        <f aca="false">IF(ISNUMBER(N309),IF(N309&gt;=Inputs!$D$18,"Yes","No"),"No price")</f>
        <v>Yes</v>
      </c>
      <c r="X309" s="5" t="str">
        <f aca="false">IF(K309+L309&gt;0,"Yes",IF(M309&gt;0,"No","Unclear"))</f>
        <v>Yes</v>
      </c>
      <c r="Y309" s="5" t="str">
        <f aca="false">INDEX('API Data'!$H$2:$H$152,MATCH(B309,'API Data'!$A$2:$A$152,0))</f>
        <v>No</v>
      </c>
      <c r="Z309" s="5" t="str">
        <f aca="false">IF(COUNTIFS('Product Rows'!$A$2:$A$696,B309,'Product Rows'!$B$2:$B$696,C309,'Product Rows'!$I$2:$I$696,"Yes")&gt;0,"Yes","No")</f>
        <v>No</v>
      </c>
      <c r="AA309" s="5" t="str">
        <f aca="false">IF(P309&gt;=Inputs!$D$22,"Yes","No")</f>
        <v>Yes</v>
      </c>
      <c r="AB309" s="10" t="b">
        <f aca="false">AND(OR(Inputs!$B$17&lt;&gt;"Exclude",V309="Yes"),OR(Inputs!$B$18&lt;&gt;"Exclude",W309&lt;&gt;"No"),OR(Inputs!$B$19&lt;&gt;"Exclude",X309&lt;&gt;"No"),OR(Inputs!$B$20&lt;&gt;"Exclude",Y309="No"),OR(Inputs!$B$21&lt;&gt;"Exclude",Z309="No"),OR(Inputs!$B$22&lt;&gt;"Exclude",AA309="Yes"),ISNUMBER(U309))</f>
        <v>1</v>
      </c>
      <c r="AC309" s="5" t="n">
        <f aca="false">IF(AB309,COUNTIFS($C$5:$C$337,C309,$AB$5:$AB$337,TRUE(),$U$5:$U$337,"&gt;"&amp;U309)+COUNTIFS($C$5:C309,C309,$AB$5:AB309,TRUE(),$U$5:U309,U309),"")</f>
        <v>25</v>
      </c>
      <c r="AD309" s="5" t="str">
        <f aca="false">IF(AC309="","Not eligible",IF(AC309&lt;=Inputs!$B$25,"Lead",IF(AC309&lt;=Inputs!$B$25+Inputs!$B$26,"Next wave","Long list")))</f>
        <v>Long list</v>
      </c>
      <c r="AE309" s="5" t="str">
        <f aca="false">IF(AND(K309+L309=0,M309&gt;0),"Safety upgrade of existing prefilled syringe",IF(K309+L309+M309=0,"Confirm presentation (not stated in source)",IF(AA309="Yes","Differentiation in crowded generic market","Safety-device mandate compliance")))</f>
        <v>Differentiation in crowded generic market</v>
      </c>
      <c r="AF309" s="5" t="str">
        <f aca="false">IF(AC309="","",C309&amp;"|"&amp;AC309)</f>
        <v>Aurobindo Pharma|25</v>
      </c>
    </row>
    <row r="310" customFormat="false" ht="15" hidden="false" customHeight="false" outlineLevel="0" collapsed="false">
      <c r="A310" s="5" t="n">
        <f aca="false">IF(ISNUMBER(U310),RANK(U310,$U$5:$U$337),"")</f>
        <v>155</v>
      </c>
      <c r="B310" s="5" t="s">
        <v>187</v>
      </c>
      <c r="C310" s="5" t="s">
        <v>54</v>
      </c>
      <c r="D310" s="5" t="str">
        <f aca="false">INDEX('API Data'!$B$2:$B$152,MATCH(B310,'API Data'!$A$2:$A$152,0))</f>
        <v>Endocrinology – male hypogonadism (testosterone replacement)</v>
      </c>
      <c r="E310" s="5" t="n">
        <f aca="false">COUNTIFS('Market Listing'!$A$2:$A$4054,B310,'Market Listing'!$B$2:$B$4054,C310)</f>
        <v>1</v>
      </c>
      <c r="F310" s="5" t="n">
        <f aca="false">COUNTIFS('Market Listing'!$A$2:$A$4054,B310,'Market Listing'!$B$2:$B$4054,C310,'Market Listing'!$D$2:$D$4054,"Tier 1")</f>
        <v>1</v>
      </c>
      <c r="G310" s="5" t="n">
        <f aca="false">COUNTIFS('Market Listing'!$A$2:$A$4054,B310,'Market Listing'!$B$2:$B$4054,C310,'Market Listing'!$D$2:$D$4054,"Tier 2")</f>
        <v>0</v>
      </c>
      <c r="H310" s="5" t="n">
        <f aca="false">COUNTIFS('Market Listing'!$A$2:$A$4054,B310,'Market Listing'!$B$2:$B$4054,C310,'Market Listing'!$D$2:$D$4054,"Tier 3")</f>
        <v>0</v>
      </c>
      <c r="I310" s="5" t="n">
        <f aca="false">SUMIFS('Market Listing'!$E$2:$E$4054,'Market Listing'!$A$2:$A$4054,B310,'Market Listing'!$B$2:$B$4054,C310)</f>
        <v>3</v>
      </c>
      <c r="J310" s="5" t="n">
        <f aca="false">COUNTIFS('Product Rows'!$A$2:$A$696,B310,'Product Rows'!$B$2:$B$696,C310)</f>
        <v>2</v>
      </c>
      <c r="K310" s="5" t="n">
        <f aca="false">COUNTIFS('Product Rows'!$A$2:$A$696,B310,'Product Rows'!$B$2:$B$696,C310,'Product Rows'!$G$2:$G$696,"Vial")</f>
        <v>2</v>
      </c>
      <c r="L310" s="5" t="n">
        <f aca="false">COUNTIFS('Product Rows'!$A$2:$A$696,B310,'Product Rows'!$B$2:$B$696,C310,'Product Rows'!$G$2:$G$696,"Ampoule")</f>
        <v>0</v>
      </c>
      <c r="M310" s="5" t="n">
        <f aca="false">COUNTIFS('Product Rows'!$A$2:$A$696,B310,'Product Rows'!$B$2:$B$696,C310,'Product Rows'!$G$2:$G$696,"Prefilled syringe/pen")</f>
        <v>0</v>
      </c>
      <c r="N310" s="6" t="n">
        <f aca="false">IFERROR(AVERAGEIFS('Product Rows'!$H$2:$H$696,'Product Rows'!$A$2:$A$696,B310,'Product Rows'!$B$2:$B$696,C310),"")</f>
        <v>20.63</v>
      </c>
      <c r="O310" s="7" t="n">
        <f aca="false">INDEX('API Data'!$E$2:$E$152,MATCH(B310,'API Data'!$A$2:$A$152,0))</f>
        <v>6893.74421052632</v>
      </c>
      <c r="P310" s="5" t="n">
        <f aca="false">COUNTIF($B$5:$B$337,B310)</f>
        <v>3</v>
      </c>
      <c r="Q310" s="8" t="n">
        <f aca="false">IF(ISNUMBER(I310),PERCENTRANK($I$5:$I$337,I310),"")</f>
        <v>0.157</v>
      </c>
      <c r="R310" s="8" t="n">
        <f aca="false">IF(ISNUMBER(N310),PERCENTRANK($N$5:$N$337,N310),"")</f>
        <v>0.369</v>
      </c>
      <c r="S310" s="8" t="n">
        <f aca="false">IF(ISNUMBER(O310),PERCENTRANK($O$5:$O$337,O310),"")</f>
        <v>0.633</v>
      </c>
      <c r="T310" s="8" t="n">
        <f aca="false">IF(ISNUMBER(P310),PERCENTRANK($P$5:$P$337,P310),"")</f>
        <v>0.416</v>
      </c>
      <c r="U310" s="9" t="n">
        <f aca="false">IF((IF(ISNUMBER(Q310),Inputs!$B$4,0)+IF(ISNUMBER(R310),Inputs!$B$5,0)+IF(ISNUMBER(S310),Inputs!$B$6,0)+IF(ISNUMBER(T310),Inputs!$B$7,0))=0,"",(IF(ISNUMBER(Q310),Inputs!$B$4*Q310,0)+IF(ISNUMBER(R310),Inputs!$B$5*R310,0)+IF(ISNUMBER(S310),Inputs!$B$6*S310,0)+IF(ISNUMBER(T310),Inputs!$B$7*T310,0))/(IF(ISNUMBER(Q310),Inputs!$B$4,0)+IF(ISNUMBER(R310),Inputs!$B$5,0)+IF(ISNUMBER(S310),Inputs!$B$6,0)+IF(ISNUMBER(T310),Inputs!$B$7,0)))</f>
        <v>0.501</v>
      </c>
      <c r="V310" s="5" t="str">
        <f aca="false">IF(F310&gt;0,"Yes","No")</f>
        <v>Yes</v>
      </c>
      <c r="W310" s="5" t="str">
        <f aca="false">IF(ISNUMBER(N310),IF(N310&gt;=Inputs!$D$18,"Yes","No"),"No price")</f>
        <v>Yes</v>
      </c>
      <c r="X310" s="5" t="str">
        <f aca="false">IF(K310+L310&gt;0,"Yes",IF(M310&gt;0,"No","Unclear"))</f>
        <v>Yes</v>
      </c>
      <c r="Y310" s="5" t="str">
        <f aca="false">INDEX('API Data'!$H$2:$H$152,MATCH(B310,'API Data'!$A$2:$A$152,0))</f>
        <v>No</v>
      </c>
      <c r="Z310" s="5" t="str">
        <f aca="false">IF(COUNTIFS('Product Rows'!$A$2:$A$696,B310,'Product Rows'!$B$2:$B$696,C310,'Product Rows'!$I$2:$I$696,"Yes")&gt;0,"Yes","No")</f>
        <v>No</v>
      </c>
      <c r="AA310" s="5" t="str">
        <f aca="false">IF(P310&gt;=Inputs!$D$22,"Yes","No")</f>
        <v>Yes</v>
      </c>
      <c r="AB310" s="10" t="b">
        <f aca="false">AND(OR(Inputs!$B$17&lt;&gt;"Exclude",V310="Yes"),OR(Inputs!$B$18&lt;&gt;"Exclude",W310&lt;&gt;"No"),OR(Inputs!$B$19&lt;&gt;"Exclude",X310&lt;&gt;"No"),OR(Inputs!$B$20&lt;&gt;"Exclude",Y310="No"),OR(Inputs!$B$21&lt;&gt;"Exclude",Z310="No"),OR(Inputs!$B$22&lt;&gt;"Exclude",AA310="Yes"),ISNUMBER(U310))</f>
        <v>1</v>
      </c>
      <c r="AC310" s="5" t="n">
        <f aca="false">IF(AB310,COUNTIFS($C$5:$C$337,C310,$AB$5:$AB$337,TRUE(),$U$5:$U$337,"&gt;"&amp;U310)+COUNTIFS($C$5:C310,C310,$AB$5:AB310,TRUE(),$U$5:U310,U310),"")</f>
        <v>5</v>
      </c>
      <c r="AD310" s="5" t="str">
        <f aca="false">IF(AC310="","Not eligible",IF(AC310&lt;=Inputs!$B$25,"Lead",IF(AC310&lt;=Inputs!$B$25+Inputs!$B$26,"Next wave","Long list")))</f>
        <v>Lead</v>
      </c>
      <c r="AE310" s="5" t="str">
        <f aca="false">IF(AND(K310+L310=0,M310&gt;0),"Safety upgrade of existing prefilled syringe",IF(K310+L310+M310=0,"Confirm presentation (not stated in source)",IF(AA310="Yes","Differentiation in crowded generic market","Safety-device mandate compliance")))</f>
        <v>Differentiation in crowded generic market</v>
      </c>
      <c r="AF310" s="5" t="str">
        <f aca="false">IF(AC310="","",C310&amp;"|"&amp;AC310)</f>
        <v>Cipla|5</v>
      </c>
    </row>
    <row r="311" customFormat="false" ht="15" hidden="false" customHeight="false" outlineLevel="0" collapsed="false">
      <c r="A311" s="5" t="n">
        <f aca="false">IF(ISNUMBER(U311),RANK(U311,$U$5:$U$337),"")</f>
        <v>135</v>
      </c>
      <c r="B311" s="5" t="s">
        <v>187</v>
      </c>
      <c r="C311" s="5" t="s">
        <v>50</v>
      </c>
      <c r="D311" s="5" t="str">
        <f aca="false">INDEX('API Data'!$B$2:$B$152,MATCH(B311,'API Data'!$A$2:$A$152,0))</f>
        <v>Endocrinology – male hypogonadism (testosterone replacement)</v>
      </c>
      <c r="E311" s="5" t="n">
        <f aca="false">COUNTIFS('Market Listing'!$A$2:$A$4054,B311,'Market Listing'!$B$2:$B$4054,C311)</f>
        <v>1</v>
      </c>
      <c r="F311" s="5" t="n">
        <f aca="false">COUNTIFS('Market Listing'!$A$2:$A$4054,B311,'Market Listing'!$B$2:$B$4054,C311,'Market Listing'!$D$2:$D$4054,"Tier 1")</f>
        <v>1</v>
      </c>
      <c r="G311" s="5" t="n">
        <f aca="false">COUNTIFS('Market Listing'!$A$2:$A$4054,B311,'Market Listing'!$B$2:$B$4054,C311,'Market Listing'!$D$2:$D$4054,"Tier 2")</f>
        <v>0</v>
      </c>
      <c r="H311" s="5" t="n">
        <f aca="false">COUNTIFS('Market Listing'!$A$2:$A$4054,B311,'Market Listing'!$B$2:$B$4054,C311,'Market Listing'!$D$2:$D$4054,"Tier 3")</f>
        <v>0</v>
      </c>
      <c r="I311" s="5" t="n">
        <f aca="false">SUMIFS('Market Listing'!$E$2:$E$4054,'Market Listing'!$A$2:$A$4054,B311,'Market Listing'!$B$2:$B$4054,C311)</f>
        <v>3</v>
      </c>
      <c r="J311" s="5" t="n">
        <f aca="false">COUNTIFS('Product Rows'!$A$2:$A$696,B311,'Product Rows'!$B$2:$B$696,C311)</f>
        <v>1</v>
      </c>
      <c r="K311" s="5" t="n">
        <f aca="false">COUNTIFS('Product Rows'!$A$2:$A$696,B311,'Product Rows'!$B$2:$B$696,C311,'Product Rows'!$G$2:$G$696,"Vial")</f>
        <v>1</v>
      </c>
      <c r="L311" s="5" t="n">
        <f aca="false">COUNTIFS('Product Rows'!$A$2:$A$696,B311,'Product Rows'!$B$2:$B$696,C311,'Product Rows'!$G$2:$G$696,"Ampoule")</f>
        <v>0</v>
      </c>
      <c r="M311" s="5" t="n">
        <f aca="false">COUNTIFS('Product Rows'!$A$2:$A$696,B311,'Product Rows'!$B$2:$B$696,C311,'Product Rows'!$G$2:$G$696,"Prefilled syringe/pen")</f>
        <v>0</v>
      </c>
      <c r="N311" s="6" t="n">
        <f aca="false">IFERROR(AVERAGEIFS('Product Rows'!$H$2:$H$696,'Product Rows'!$A$2:$A$696,B311,'Product Rows'!$B$2:$B$696,C311),"")</f>
        <v>24.4146</v>
      </c>
      <c r="O311" s="7" t="n">
        <f aca="false">INDEX('API Data'!$E$2:$E$152,MATCH(B311,'API Data'!$A$2:$A$152,0))</f>
        <v>6893.74421052632</v>
      </c>
      <c r="P311" s="5" t="n">
        <f aca="false">COUNTIF($B$5:$B$337,B311)</f>
        <v>3</v>
      </c>
      <c r="Q311" s="8" t="n">
        <f aca="false">IF(ISNUMBER(I311),PERCENTRANK($I$5:$I$337,I311),"")</f>
        <v>0.157</v>
      </c>
      <c r="R311" s="8" t="n">
        <f aca="false">IF(ISNUMBER(N311),PERCENTRANK($N$5:$N$337,N311),"")</f>
        <v>0.43</v>
      </c>
      <c r="S311" s="8" t="n">
        <f aca="false">IF(ISNUMBER(O311),PERCENTRANK($O$5:$O$337,O311),"")</f>
        <v>0.633</v>
      </c>
      <c r="T311" s="8" t="n">
        <f aca="false">IF(ISNUMBER(P311),PERCENTRANK($P$5:$P$337,P311),"")</f>
        <v>0.416</v>
      </c>
      <c r="U311" s="9" t="n">
        <f aca="false">IF((IF(ISNUMBER(Q311),Inputs!$B$4,0)+IF(ISNUMBER(R311),Inputs!$B$5,0)+IF(ISNUMBER(S311),Inputs!$B$6,0)+IF(ISNUMBER(T311),Inputs!$B$7,0))=0,"",(IF(ISNUMBER(Q311),Inputs!$B$4*Q311,0)+IF(ISNUMBER(R311),Inputs!$B$5*R311,0)+IF(ISNUMBER(S311),Inputs!$B$6*S311,0)+IF(ISNUMBER(T311),Inputs!$B$7*T311,0))/(IF(ISNUMBER(Q311),Inputs!$B$4,0)+IF(ISNUMBER(R311),Inputs!$B$5,0)+IF(ISNUMBER(S311),Inputs!$B$6,0)+IF(ISNUMBER(T311),Inputs!$B$7,0)))</f>
        <v>0.5315</v>
      </c>
      <c r="V311" s="5" t="str">
        <f aca="false">IF(F311&gt;0,"Yes","No")</f>
        <v>Yes</v>
      </c>
      <c r="W311" s="5" t="str">
        <f aca="false">IF(ISNUMBER(N311),IF(N311&gt;=Inputs!$D$18,"Yes","No"),"No price")</f>
        <v>Yes</v>
      </c>
      <c r="X311" s="5" t="str">
        <f aca="false">IF(K311+L311&gt;0,"Yes",IF(M311&gt;0,"No","Unclear"))</f>
        <v>Yes</v>
      </c>
      <c r="Y311" s="5" t="str">
        <f aca="false">INDEX('API Data'!$H$2:$H$152,MATCH(B311,'API Data'!$A$2:$A$152,0))</f>
        <v>No</v>
      </c>
      <c r="Z311" s="5" t="str">
        <f aca="false">IF(COUNTIFS('Product Rows'!$A$2:$A$696,B311,'Product Rows'!$B$2:$B$696,C311,'Product Rows'!$I$2:$I$696,"Yes")&gt;0,"Yes","No")</f>
        <v>No</v>
      </c>
      <c r="AA311" s="5" t="str">
        <f aca="false">IF(P311&gt;=Inputs!$D$22,"Yes","No")</f>
        <v>Yes</v>
      </c>
      <c r="AB311" s="10" t="b">
        <f aca="false">AND(OR(Inputs!$B$17&lt;&gt;"Exclude",V311="Yes"),OR(Inputs!$B$18&lt;&gt;"Exclude",W311&lt;&gt;"No"),OR(Inputs!$B$19&lt;&gt;"Exclude",X311&lt;&gt;"No"),OR(Inputs!$B$20&lt;&gt;"Exclude",Y311="No"),OR(Inputs!$B$21&lt;&gt;"Exclude",Z311="No"),OR(Inputs!$B$22&lt;&gt;"Exclude",AA311="Yes"),ISNUMBER(U311))</f>
        <v>1</v>
      </c>
      <c r="AC311" s="5" t="n">
        <f aca="false">IF(AB311,COUNTIFS($C$5:$C$337,C311,$AB$5:$AB$337,TRUE(),$U$5:$U$337,"&gt;"&amp;U311)+COUNTIFS($C$5:C311,C311,$AB$5:AB311,TRUE(),$U$5:U311,U311),"")</f>
        <v>9</v>
      </c>
      <c r="AD311" s="5" t="str">
        <f aca="false">IF(AC311="","Not eligible",IF(AC311&lt;=Inputs!$B$25,"Lead",IF(AC311&lt;=Inputs!$B$25+Inputs!$B$26,"Next wave","Long list")))</f>
        <v>Next wave</v>
      </c>
      <c r="AE311" s="5" t="str">
        <f aca="false">IF(AND(K311+L311=0,M311&gt;0),"Safety upgrade of existing prefilled syringe",IF(K311+L311+M311=0,"Confirm presentation (not stated in source)",IF(AA311="Yes","Differentiation in crowded generic market","Safety-device mandate compliance")))</f>
        <v>Differentiation in crowded generic market</v>
      </c>
      <c r="AF311" s="5" t="str">
        <f aca="false">IF(AC311="","",C311&amp;"|"&amp;AC311)</f>
        <v>Sun Pharma|9</v>
      </c>
    </row>
    <row r="312" customFormat="false" ht="15" hidden="false" customHeight="false" outlineLevel="0" collapsed="false">
      <c r="A312" s="5" t="n">
        <f aca="false">IF(ISNUMBER(U312),RANK(U312,$U$5:$U$337),"")</f>
        <v>239</v>
      </c>
      <c r="B312" s="5" t="s">
        <v>188</v>
      </c>
      <c r="C312" s="5" t="s">
        <v>47</v>
      </c>
      <c r="D312" s="5" t="str">
        <f aca="false">INDEX('API Data'!$B$2:$B$152,MATCH(B312,'API Data'!$A$2:$A$152,0))</f>
        <v>Endocrinology – male hypogonadism; delayed puberty</v>
      </c>
      <c r="E312" s="5" t="n">
        <f aca="false">COUNTIFS('Market Listing'!$A$2:$A$4054,B312,'Market Listing'!$B$2:$B$4054,C312)</f>
        <v>1</v>
      </c>
      <c r="F312" s="5" t="n">
        <f aca="false">COUNTIFS('Market Listing'!$A$2:$A$4054,B312,'Market Listing'!$B$2:$B$4054,C312,'Market Listing'!$D$2:$D$4054,"Tier 1")</f>
        <v>1</v>
      </c>
      <c r="G312" s="5" t="n">
        <f aca="false">COUNTIFS('Market Listing'!$A$2:$A$4054,B312,'Market Listing'!$B$2:$B$4054,C312,'Market Listing'!$D$2:$D$4054,"Tier 2")</f>
        <v>0</v>
      </c>
      <c r="H312" s="5" t="n">
        <f aca="false">COUNTIFS('Market Listing'!$A$2:$A$4054,B312,'Market Listing'!$B$2:$B$4054,C312,'Market Listing'!$D$2:$D$4054,"Tier 3")</f>
        <v>0</v>
      </c>
      <c r="I312" s="5" t="n">
        <f aca="false">SUMIFS('Market Listing'!$E$2:$E$4054,'Market Listing'!$A$2:$A$4054,B312,'Market Listing'!$B$2:$B$4054,C312)</f>
        <v>3</v>
      </c>
      <c r="J312" s="5" t="n">
        <f aca="false">COUNTIFS('Product Rows'!$A$2:$A$696,B312,'Product Rows'!$B$2:$B$696,C312)</f>
        <v>1</v>
      </c>
      <c r="K312" s="5" t="n">
        <f aca="false">COUNTIFS('Product Rows'!$A$2:$A$696,B312,'Product Rows'!$B$2:$B$696,C312,'Product Rows'!$G$2:$G$696,"Vial")</f>
        <v>1</v>
      </c>
      <c r="L312" s="5" t="n">
        <f aca="false">COUNTIFS('Product Rows'!$A$2:$A$696,B312,'Product Rows'!$B$2:$B$696,C312,'Product Rows'!$G$2:$G$696,"Ampoule")</f>
        <v>0</v>
      </c>
      <c r="M312" s="5" t="n">
        <f aca="false">COUNTIFS('Product Rows'!$A$2:$A$696,B312,'Product Rows'!$B$2:$B$696,C312,'Product Rows'!$G$2:$G$696,"Prefilled syringe/pen")</f>
        <v>0</v>
      </c>
      <c r="N312" s="6" t="n">
        <f aca="false">IFERROR(AVERAGEIFS('Product Rows'!$H$2:$H$696,'Product Rows'!$A$2:$A$696,B312,'Product Rows'!$B$2:$B$696,C312),"")</f>
        <v>36.17</v>
      </c>
      <c r="O312" s="7" t="n">
        <f aca="false">INDEX('API Data'!$E$2:$E$152,MATCH(B312,'API Data'!$A$2:$A$152,0))</f>
        <v>1202.23</v>
      </c>
      <c r="P312" s="5" t="n">
        <f aca="false">COUNTIF($B$5:$B$337,B312)</f>
        <v>1</v>
      </c>
      <c r="Q312" s="8" t="n">
        <f aca="false">IF(ISNUMBER(I312),PERCENTRANK($I$5:$I$337,I312),"")</f>
        <v>0.157</v>
      </c>
      <c r="R312" s="8" t="n">
        <f aca="false">IF(ISNUMBER(N312),PERCENTRANK($N$5:$N$337,N312),"")</f>
        <v>0.545</v>
      </c>
      <c r="S312" s="8" t="n">
        <f aca="false">IF(ISNUMBER(O312),PERCENTRANK($O$5:$O$337,O312),"")</f>
        <v>0.172</v>
      </c>
      <c r="T312" s="8" t="n">
        <f aca="false">IF(ISNUMBER(P312),PERCENTRANK($P$5:$P$337,P312),"")</f>
        <v>0</v>
      </c>
      <c r="U312" s="9" t="n">
        <f aca="false">IF((IF(ISNUMBER(Q312),Inputs!$B$4,0)+IF(ISNUMBER(R312),Inputs!$B$5,0)+IF(ISNUMBER(S312),Inputs!$B$6,0)+IF(ISNUMBER(T312),Inputs!$B$7,0))=0,"",(IF(ISNUMBER(Q312),Inputs!$B$4*Q312,0)+IF(ISNUMBER(R312),Inputs!$B$5*R312,0)+IF(ISNUMBER(S312),Inputs!$B$6*S312,0)+IF(ISNUMBER(T312),Inputs!$B$7*T312,0))/(IF(ISNUMBER(Q312),Inputs!$B$4,0)+IF(ISNUMBER(R312),Inputs!$B$5,0)+IF(ISNUMBER(S312),Inputs!$B$6,0)+IF(ISNUMBER(T312),Inputs!$B$7,0)))</f>
        <v>0.3585</v>
      </c>
      <c r="V312" s="5" t="str">
        <f aca="false">IF(F312&gt;0,"Yes","No")</f>
        <v>Yes</v>
      </c>
      <c r="W312" s="5" t="str">
        <f aca="false">IF(ISNUMBER(N312),IF(N312&gt;=Inputs!$D$18,"Yes","No"),"No price")</f>
        <v>Yes</v>
      </c>
      <c r="X312" s="5" t="str">
        <f aca="false">IF(K312+L312&gt;0,"Yes",IF(M312&gt;0,"No","Unclear"))</f>
        <v>Yes</v>
      </c>
      <c r="Y312" s="5" t="str">
        <f aca="false">INDEX('API Data'!$H$2:$H$152,MATCH(B312,'API Data'!$A$2:$A$152,0))</f>
        <v>No</v>
      </c>
      <c r="Z312" s="5" t="str">
        <f aca="false">IF(COUNTIFS('Product Rows'!$A$2:$A$696,B312,'Product Rows'!$B$2:$B$696,C312,'Product Rows'!$I$2:$I$696,"Yes")&gt;0,"Yes","No")</f>
        <v>No</v>
      </c>
      <c r="AA312" s="5" t="str">
        <f aca="false">IF(P312&gt;=Inputs!$D$22,"Yes","No")</f>
        <v>No</v>
      </c>
      <c r="AB312" s="10" t="b">
        <f aca="false">AND(OR(Inputs!$B$17&lt;&gt;"Exclude",V312="Yes"),OR(Inputs!$B$18&lt;&gt;"Exclude",W312&lt;&gt;"No"),OR(Inputs!$B$19&lt;&gt;"Exclude",X312&lt;&gt;"No"),OR(Inputs!$B$20&lt;&gt;"Exclude",Y312="No"),OR(Inputs!$B$21&lt;&gt;"Exclude",Z312="No"),OR(Inputs!$B$22&lt;&gt;"Exclude",AA312="Yes"),ISNUMBER(U312))</f>
        <v>1</v>
      </c>
      <c r="AC312" s="5" t="n">
        <f aca="false">IF(AB312,COUNTIFS($C$5:$C$337,C312,$AB$5:$AB$337,TRUE(),$U$5:$U$337,"&gt;"&amp;U312)+COUNTIFS($C$5:C312,C312,$AB$5:AB312,TRUE(),$U$5:U312,U312),"")</f>
        <v>38</v>
      </c>
      <c r="AD312" s="5" t="str">
        <f aca="false">IF(AC312="","Not eligible",IF(AC312&lt;=Inputs!$B$25,"Lead",IF(AC312&lt;=Inputs!$B$25+Inputs!$B$26,"Next wave","Long list")))</f>
        <v>Long list</v>
      </c>
      <c r="AE312" s="5" t="str">
        <f aca="false">IF(AND(K312+L312=0,M312&gt;0),"Safety upgrade of existing prefilled syringe",IF(K312+L312+M312=0,"Confirm presentation (not stated in source)",IF(AA312="Yes","Differentiation in crowded generic market","Safety-device mandate compliance")))</f>
        <v>Safety-device mandate compliance</v>
      </c>
      <c r="AF312" s="5" t="str">
        <f aca="false">IF(AC312="","",C312&amp;"|"&amp;AC312)</f>
        <v>Aurobindo Pharma|38</v>
      </c>
    </row>
    <row r="313" customFormat="false" ht="15" hidden="false" customHeight="false" outlineLevel="0" collapsed="false">
      <c r="A313" s="5" t="n">
        <f aca="false">IF(ISNUMBER(U313),RANK(U313,$U$5:$U$337),"")</f>
        <v>211</v>
      </c>
      <c r="B313" s="5" t="s">
        <v>189</v>
      </c>
      <c r="C313" s="5" t="s">
        <v>54</v>
      </c>
      <c r="D313" s="5" t="str">
        <f aca="false">INDEX('API Data'!$B$2:$B$152,MATCH(B313,'API Data'!$A$2:$A$152,0))</f>
        <v>Endocrinology – male hypogonadism (long-acting, ~3-monthly)</v>
      </c>
      <c r="E313" s="5" t="n">
        <f aca="false">COUNTIFS('Market Listing'!$A$2:$A$4054,B313,'Market Listing'!$B$2:$B$4054,C313)</f>
        <v>1</v>
      </c>
      <c r="F313" s="5" t="n">
        <f aca="false">COUNTIFS('Market Listing'!$A$2:$A$4054,B313,'Market Listing'!$B$2:$B$4054,C313,'Market Listing'!$D$2:$D$4054,"Tier 1")</f>
        <v>0</v>
      </c>
      <c r="G313" s="5" t="n">
        <f aca="false">COUNTIFS('Market Listing'!$A$2:$A$4054,B313,'Market Listing'!$B$2:$B$4054,C313,'Market Listing'!$D$2:$D$4054,"Tier 2")</f>
        <v>1</v>
      </c>
      <c r="H313" s="5" t="n">
        <f aca="false">COUNTIFS('Market Listing'!$A$2:$A$4054,B313,'Market Listing'!$B$2:$B$4054,C313,'Market Listing'!$D$2:$D$4054,"Tier 3")</f>
        <v>0</v>
      </c>
      <c r="I313" s="5" t="n">
        <f aca="false">SUMIFS('Market Listing'!$E$2:$E$4054,'Market Listing'!$A$2:$A$4054,B313,'Market Listing'!$B$2:$B$4054,C313)</f>
        <v>2</v>
      </c>
      <c r="J313" s="5" t="n">
        <f aca="false">COUNTIFS('Product Rows'!$A$2:$A$696,B313,'Product Rows'!$B$2:$B$696,C313)</f>
        <v>1</v>
      </c>
      <c r="K313" s="5" t="n">
        <f aca="false">COUNTIFS('Product Rows'!$A$2:$A$696,B313,'Product Rows'!$B$2:$B$696,C313,'Product Rows'!$G$2:$G$696,"Vial")</f>
        <v>1</v>
      </c>
      <c r="L313" s="5" t="n">
        <f aca="false">COUNTIFS('Product Rows'!$A$2:$A$696,B313,'Product Rows'!$B$2:$B$696,C313,'Product Rows'!$G$2:$G$696,"Ampoule")</f>
        <v>0</v>
      </c>
      <c r="M313" s="5" t="n">
        <f aca="false">COUNTIFS('Product Rows'!$A$2:$A$696,B313,'Product Rows'!$B$2:$B$696,C313,'Product Rows'!$G$2:$G$696,"Prefilled syringe/pen")</f>
        <v>0</v>
      </c>
      <c r="N313" s="6" t="n">
        <f aca="false">IFERROR(AVERAGEIFS('Product Rows'!$H$2:$H$696,'Product Rows'!$A$2:$A$696,B313,'Product Rows'!$B$2:$B$696,C313),"")</f>
        <v>118.45</v>
      </c>
      <c r="O313" s="7" t="n">
        <f aca="false">INDEX('API Data'!$E$2:$E$152,MATCH(B313,'API Data'!$A$2:$A$152,0))</f>
        <v>184.926714285714</v>
      </c>
      <c r="P313" s="5" t="n">
        <f aca="false">COUNTIF($B$5:$B$337,B313)</f>
        <v>3</v>
      </c>
      <c r="Q313" s="8" t="n">
        <f aca="false">IF(ISNUMBER(I313),PERCENTRANK($I$5:$I$337,I313),"")</f>
        <v>0</v>
      </c>
      <c r="R313" s="8" t="n">
        <f aca="false">IF(ISNUMBER(N313),PERCENTRANK($N$5:$N$337,N313),"")</f>
        <v>0.767</v>
      </c>
      <c r="S313" s="8" t="n">
        <f aca="false">IF(ISNUMBER(O313),PERCENTRANK($O$5:$O$337,O313),"")</f>
        <v>0.0572</v>
      </c>
      <c r="T313" s="8" t="n">
        <f aca="false">IF(ISNUMBER(P313),PERCENTRANK($P$5:$P$337,P313),"")</f>
        <v>0.416</v>
      </c>
      <c r="U313" s="9" t="n">
        <f aca="false">IF((IF(ISNUMBER(Q313),Inputs!$B$4,0)+IF(ISNUMBER(R313),Inputs!$B$5,0)+IF(ISNUMBER(S313),Inputs!$B$6,0)+IF(ISNUMBER(T313),Inputs!$B$7,0))=0,"",(IF(ISNUMBER(Q313),Inputs!$B$4*Q313,0)+IF(ISNUMBER(R313),Inputs!$B$5*R313,0)+IF(ISNUMBER(S313),Inputs!$B$6*S313,0)+IF(ISNUMBER(T313),Inputs!$B$7*T313,0))/(IF(ISNUMBER(Q313),Inputs!$B$4,0)+IF(ISNUMBER(R313),Inputs!$B$5,0)+IF(ISNUMBER(S313),Inputs!$B$6,0)+IF(ISNUMBER(T313),Inputs!$B$7,0)))</f>
        <v>0.4121</v>
      </c>
      <c r="V313" s="5" t="str">
        <f aca="false">IF(F313&gt;0,"Yes","No")</f>
        <v>No</v>
      </c>
      <c r="W313" s="5" t="str">
        <f aca="false">IF(ISNUMBER(N313),IF(N313&gt;=Inputs!$D$18,"Yes","No"),"No price")</f>
        <v>Yes</v>
      </c>
      <c r="X313" s="5" t="str">
        <f aca="false">IF(K313+L313&gt;0,"Yes",IF(M313&gt;0,"No","Unclear"))</f>
        <v>Yes</v>
      </c>
      <c r="Y313" s="5" t="str">
        <f aca="false">INDEX('API Data'!$H$2:$H$152,MATCH(B313,'API Data'!$A$2:$A$152,0))</f>
        <v>No</v>
      </c>
      <c r="Z313" s="5" t="str">
        <f aca="false">IF(COUNTIFS('Product Rows'!$A$2:$A$696,B313,'Product Rows'!$B$2:$B$696,C313,'Product Rows'!$I$2:$I$696,"Yes")&gt;0,"Yes","No")</f>
        <v>No</v>
      </c>
      <c r="AA313" s="5" t="str">
        <f aca="false">IF(P313&gt;=Inputs!$D$22,"Yes","No")</f>
        <v>Yes</v>
      </c>
      <c r="AB313" s="10" t="b">
        <f aca="false">AND(OR(Inputs!$B$17&lt;&gt;"Exclude",V313="Yes"),OR(Inputs!$B$18&lt;&gt;"Exclude",W313&lt;&gt;"No"),OR(Inputs!$B$19&lt;&gt;"Exclude",X313&lt;&gt;"No"),OR(Inputs!$B$20&lt;&gt;"Exclude",Y313="No"),OR(Inputs!$B$21&lt;&gt;"Exclude",Z313="No"),OR(Inputs!$B$22&lt;&gt;"Exclude",AA313="Yes"),ISNUMBER(U313))</f>
        <v>0</v>
      </c>
      <c r="AC313" s="5" t="str">
        <f aca="false">IF(AB313,COUNTIFS($C$5:$C$337,C313,$AB$5:$AB$337,TRUE(),$U$5:$U$337,"&gt;"&amp;U313)+COUNTIFS($C$5:C313,C313,$AB$5:AB313,TRUE(),$U$5:U313,U313),"")</f>
        <v/>
      </c>
      <c r="AD313" s="5" t="str">
        <f aca="false">IF(AC313="","Not eligible",IF(AC313&lt;=Inputs!$B$25,"Lead",IF(AC313&lt;=Inputs!$B$25+Inputs!$B$26,"Next wave","Long list")))</f>
        <v>Not eligible</v>
      </c>
      <c r="AE313" s="5" t="str">
        <f aca="false">IF(AND(K313+L313=0,M313&gt;0),"Safety upgrade of existing prefilled syringe",IF(K313+L313+M313=0,"Confirm presentation (not stated in source)",IF(AA313="Yes","Differentiation in crowded generic market","Safety-device mandate compliance")))</f>
        <v>Differentiation in crowded generic market</v>
      </c>
      <c r="AF313" s="5" t="str">
        <f aca="false">IF(AC313="","",C313&amp;"|"&amp;AC313)</f>
        <v/>
      </c>
    </row>
    <row r="314" customFormat="false" ht="15" hidden="false" customHeight="false" outlineLevel="0" collapsed="false">
      <c r="A314" s="5" t="n">
        <f aca="false">IF(ISNUMBER(U314),RANK(U314,$U$5:$U$337),"")</f>
        <v>209</v>
      </c>
      <c r="B314" s="5" t="s">
        <v>189</v>
      </c>
      <c r="C314" s="5" t="s">
        <v>40</v>
      </c>
      <c r="D314" s="5" t="str">
        <f aca="false">INDEX('API Data'!$B$2:$B$152,MATCH(B314,'API Data'!$A$2:$A$152,0))</f>
        <v>Endocrinology – male hypogonadism (long-acting, ~3-monthly)</v>
      </c>
      <c r="E314" s="5" t="n">
        <f aca="false">COUNTIFS('Market Listing'!$A$2:$A$4054,B314,'Market Listing'!$B$2:$B$4054,C314)</f>
        <v>1</v>
      </c>
      <c r="F314" s="5" t="n">
        <f aca="false">COUNTIFS('Market Listing'!$A$2:$A$4054,B314,'Market Listing'!$B$2:$B$4054,C314,'Market Listing'!$D$2:$D$4054,"Tier 1")</f>
        <v>0</v>
      </c>
      <c r="G314" s="5" t="n">
        <f aca="false">COUNTIFS('Market Listing'!$A$2:$A$4054,B314,'Market Listing'!$B$2:$B$4054,C314,'Market Listing'!$D$2:$D$4054,"Tier 2")</f>
        <v>1</v>
      </c>
      <c r="H314" s="5" t="n">
        <f aca="false">COUNTIFS('Market Listing'!$A$2:$A$4054,B314,'Market Listing'!$B$2:$B$4054,C314,'Market Listing'!$D$2:$D$4054,"Tier 3")</f>
        <v>0</v>
      </c>
      <c r="I314" s="5" t="n">
        <f aca="false">SUMIFS('Market Listing'!$E$2:$E$4054,'Market Listing'!$A$2:$A$4054,B314,'Market Listing'!$B$2:$B$4054,C314)</f>
        <v>2</v>
      </c>
      <c r="J314" s="5" t="n">
        <f aca="false">COUNTIFS('Product Rows'!$A$2:$A$696,B314,'Product Rows'!$B$2:$B$696,C314)</f>
        <v>1</v>
      </c>
      <c r="K314" s="5" t="n">
        <f aca="false">COUNTIFS('Product Rows'!$A$2:$A$696,B314,'Product Rows'!$B$2:$B$696,C314,'Product Rows'!$G$2:$G$696,"Vial")</f>
        <v>1</v>
      </c>
      <c r="L314" s="5" t="n">
        <f aca="false">COUNTIFS('Product Rows'!$A$2:$A$696,B314,'Product Rows'!$B$2:$B$696,C314,'Product Rows'!$G$2:$G$696,"Ampoule")</f>
        <v>0</v>
      </c>
      <c r="M314" s="5" t="n">
        <f aca="false">COUNTIFS('Product Rows'!$A$2:$A$696,B314,'Product Rows'!$B$2:$B$696,C314,'Product Rows'!$G$2:$G$696,"Prefilled syringe/pen")</f>
        <v>0</v>
      </c>
      <c r="N314" s="6" t="n">
        <f aca="false">IFERROR(AVERAGEIFS('Product Rows'!$H$2:$H$696,'Product Rows'!$A$2:$A$696,B314,'Product Rows'!$B$2:$B$696,C314),"")</f>
        <v>125.38</v>
      </c>
      <c r="O314" s="7" t="n">
        <f aca="false">INDEX('API Data'!$E$2:$E$152,MATCH(B314,'API Data'!$A$2:$A$152,0))</f>
        <v>184.926714285714</v>
      </c>
      <c r="P314" s="5" t="n">
        <f aca="false">COUNTIF($B$5:$B$337,B314)</f>
        <v>3</v>
      </c>
      <c r="Q314" s="8" t="n">
        <f aca="false">IF(ISNUMBER(I314),PERCENTRANK($I$5:$I$337,I314),"")</f>
        <v>0</v>
      </c>
      <c r="R314" s="8" t="n">
        <f aca="false">IF(ISNUMBER(N314),PERCENTRANK($N$5:$N$337,N314),"")</f>
        <v>0.778</v>
      </c>
      <c r="S314" s="8" t="n">
        <f aca="false">IF(ISNUMBER(O314),PERCENTRANK($O$5:$O$337,O314),"")</f>
        <v>0.0572</v>
      </c>
      <c r="T314" s="8" t="n">
        <f aca="false">IF(ISNUMBER(P314),PERCENTRANK($P$5:$P$337,P314),"")</f>
        <v>0.416</v>
      </c>
      <c r="U314" s="9" t="n">
        <f aca="false">IF((IF(ISNUMBER(Q314),Inputs!$B$4,0)+IF(ISNUMBER(R314),Inputs!$B$5,0)+IF(ISNUMBER(S314),Inputs!$B$6,0)+IF(ISNUMBER(T314),Inputs!$B$7,0))=0,"",(IF(ISNUMBER(Q314),Inputs!$B$4*Q314,0)+IF(ISNUMBER(R314),Inputs!$B$5*R314,0)+IF(ISNUMBER(S314),Inputs!$B$6*S314,0)+IF(ISNUMBER(T314),Inputs!$B$7*T314,0))/(IF(ISNUMBER(Q314),Inputs!$B$4,0)+IF(ISNUMBER(R314),Inputs!$B$5,0)+IF(ISNUMBER(S314),Inputs!$B$6,0)+IF(ISNUMBER(T314),Inputs!$B$7,0)))</f>
        <v>0.4176</v>
      </c>
      <c r="V314" s="5" t="str">
        <f aca="false">IF(F314&gt;0,"Yes","No")</f>
        <v>No</v>
      </c>
      <c r="W314" s="5" t="str">
        <f aca="false">IF(ISNUMBER(N314),IF(N314&gt;=Inputs!$D$18,"Yes","No"),"No price")</f>
        <v>Yes</v>
      </c>
      <c r="X314" s="5" t="str">
        <f aca="false">IF(K314+L314&gt;0,"Yes",IF(M314&gt;0,"No","Unclear"))</f>
        <v>Yes</v>
      </c>
      <c r="Y314" s="5" t="str">
        <f aca="false">INDEX('API Data'!$H$2:$H$152,MATCH(B314,'API Data'!$A$2:$A$152,0))</f>
        <v>No</v>
      </c>
      <c r="Z314" s="5" t="str">
        <f aca="false">IF(COUNTIFS('Product Rows'!$A$2:$A$696,B314,'Product Rows'!$B$2:$B$696,C314,'Product Rows'!$I$2:$I$696,"Yes")&gt;0,"Yes","No")</f>
        <v>No</v>
      </c>
      <c r="AA314" s="5" t="str">
        <f aca="false">IF(P314&gt;=Inputs!$D$22,"Yes","No")</f>
        <v>Yes</v>
      </c>
      <c r="AB314" s="10" t="b">
        <f aca="false">AND(OR(Inputs!$B$17&lt;&gt;"Exclude",V314="Yes"),OR(Inputs!$B$18&lt;&gt;"Exclude",W314&lt;&gt;"No"),OR(Inputs!$B$19&lt;&gt;"Exclude",X314&lt;&gt;"No"),OR(Inputs!$B$20&lt;&gt;"Exclude",Y314="No"),OR(Inputs!$B$21&lt;&gt;"Exclude",Z314="No"),OR(Inputs!$B$22&lt;&gt;"Exclude",AA314="Yes"),ISNUMBER(U314))</f>
        <v>0</v>
      </c>
      <c r="AC314" s="5" t="str">
        <f aca="false">IF(AB314,COUNTIFS($C$5:$C$337,C314,$AB$5:$AB$337,TRUE(),$U$5:$U$337,"&gt;"&amp;U314)+COUNTIFS($C$5:C314,C314,$AB$5:AB314,TRUE(),$U$5:U314,U314),"")</f>
        <v/>
      </c>
      <c r="AD314" s="5" t="str">
        <f aca="false">IF(AC314="","Not eligible",IF(AC314&lt;=Inputs!$B$25,"Lead",IF(AC314&lt;=Inputs!$B$25+Inputs!$B$26,"Next wave","Long list")))</f>
        <v>Not eligible</v>
      </c>
      <c r="AE314" s="5" t="str">
        <f aca="false">IF(AND(K314+L314=0,M314&gt;0),"Safety upgrade of existing prefilled syringe",IF(K314+L314+M314=0,"Confirm presentation (not stated in source)",IF(AA314="Yes","Differentiation in crowded generic market","Safety-device mandate compliance")))</f>
        <v>Differentiation in crowded generic market</v>
      </c>
      <c r="AF314" s="5" t="str">
        <f aca="false">IF(AC314="","",C314&amp;"|"&amp;AC314)</f>
        <v/>
      </c>
    </row>
    <row r="315" customFormat="false" ht="15" hidden="false" customHeight="false" outlineLevel="0" collapsed="false">
      <c r="A315" s="5" t="n">
        <f aca="false">IF(ISNUMBER(U315),RANK(U315,$U$5:$U$337),"")</f>
        <v>238</v>
      </c>
      <c r="B315" s="5" t="s">
        <v>189</v>
      </c>
      <c r="C315" s="5" t="s">
        <v>50</v>
      </c>
      <c r="D315" s="5" t="str">
        <f aca="false">INDEX('API Data'!$B$2:$B$152,MATCH(B315,'API Data'!$A$2:$A$152,0))</f>
        <v>Endocrinology – male hypogonadism (long-acting, ~3-monthly)</v>
      </c>
      <c r="E315" s="5" t="n">
        <f aca="false">COUNTIFS('Market Listing'!$A$2:$A$4054,B315,'Market Listing'!$B$2:$B$4054,C315)</f>
        <v>30</v>
      </c>
      <c r="F315" s="5" t="n">
        <f aca="false">COUNTIFS('Market Listing'!$A$2:$A$4054,B315,'Market Listing'!$B$2:$B$4054,C315,'Market Listing'!$D$2:$D$4054,"Tier 1")</f>
        <v>6</v>
      </c>
      <c r="G315" s="5" t="n">
        <f aca="false">COUNTIFS('Market Listing'!$A$2:$A$4054,B315,'Market Listing'!$B$2:$B$4054,C315,'Market Listing'!$D$2:$D$4054,"Tier 2")</f>
        <v>4</v>
      </c>
      <c r="H315" s="5" t="n">
        <f aca="false">COUNTIFS('Market Listing'!$A$2:$A$4054,B315,'Market Listing'!$B$2:$B$4054,C315,'Market Listing'!$D$2:$D$4054,"Tier 3")</f>
        <v>20</v>
      </c>
      <c r="I315" s="5" t="n">
        <f aca="false">SUMIFS('Market Listing'!$E$2:$E$4054,'Market Listing'!$A$2:$A$4054,B315,'Market Listing'!$B$2:$B$4054,C315)</f>
        <v>46</v>
      </c>
      <c r="J315" s="5" t="n">
        <f aca="false">COUNTIFS('Product Rows'!$A$2:$A$696,B315,'Product Rows'!$B$2:$B$696,C315)</f>
        <v>3</v>
      </c>
      <c r="K315" s="5" t="n">
        <f aca="false">COUNTIFS('Product Rows'!$A$2:$A$696,B315,'Product Rows'!$B$2:$B$696,C315,'Product Rows'!$G$2:$G$696,"Vial")</f>
        <v>3</v>
      </c>
      <c r="L315" s="5" t="n">
        <f aca="false">COUNTIFS('Product Rows'!$A$2:$A$696,B315,'Product Rows'!$B$2:$B$696,C315,'Product Rows'!$G$2:$G$696,"Ampoule")</f>
        <v>0</v>
      </c>
      <c r="M315" s="5" t="n">
        <f aca="false">COUNTIFS('Product Rows'!$A$2:$A$696,B315,'Product Rows'!$B$2:$B$696,C315,'Product Rows'!$G$2:$G$696,"Prefilled syringe/pen")</f>
        <v>0</v>
      </c>
      <c r="N315" s="6" t="n">
        <f aca="false">IFERROR(AVERAGEIFS('Product Rows'!$H$2:$H$696,'Product Rows'!$A$2:$A$696,B315,'Product Rows'!$B$2:$B$696,C315),"")</f>
        <v>64.258</v>
      </c>
      <c r="O315" s="7" t="n">
        <f aca="false">INDEX('API Data'!$E$2:$E$152,MATCH(B315,'API Data'!$A$2:$A$152,0))</f>
        <v>184.926714285714</v>
      </c>
      <c r="P315" s="5" t="n">
        <f aca="false">COUNTIF($B$5:$B$337,B315)</f>
        <v>3</v>
      </c>
      <c r="Q315" s="8" t="n">
        <f aca="false">IF(ISNUMBER(I315),PERCENTRANK($I$5:$I$337,I315),"")</f>
        <v>0.846</v>
      </c>
      <c r="R315" s="8" t="n">
        <f aca="false">IF(ISNUMBER(N315),PERCENTRANK($N$5:$N$337,N315),"")</f>
        <v>0.663</v>
      </c>
      <c r="S315" s="8" t="n">
        <f aca="false">IF(ISNUMBER(O315),PERCENTRANK($O$5:$O$337,O315),"")</f>
        <v>0.0572</v>
      </c>
      <c r="T315" s="8" t="n">
        <f aca="false">IF(ISNUMBER(P315),PERCENTRANK($P$5:$P$337,P315),"")</f>
        <v>0.416</v>
      </c>
      <c r="U315" s="9" t="n">
        <f aca="false">IF((IF(ISNUMBER(Q315),Inputs!$B$4,0)+IF(ISNUMBER(R315),Inputs!$B$5,0)+IF(ISNUMBER(S315),Inputs!$B$6,0)+IF(ISNUMBER(T315),Inputs!$B$7,0))=0,"",(IF(ISNUMBER(Q315),Inputs!$B$4*Q315,0)+IF(ISNUMBER(R315),Inputs!$B$5*R315,0)+IF(ISNUMBER(S315),Inputs!$B$6*S315,0)+IF(ISNUMBER(T315),Inputs!$B$7*T315,0))/(IF(ISNUMBER(Q315),Inputs!$B$4,0)+IF(ISNUMBER(R315),Inputs!$B$5,0)+IF(ISNUMBER(S315),Inputs!$B$6,0)+IF(ISNUMBER(T315),Inputs!$B$7,0)))</f>
        <v>0.3601</v>
      </c>
      <c r="V315" s="5" t="str">
        <f aca="false">IF(F315&gt;0,"Yes","No")</f>
        <v>Yes</v>
      </c>
      <c r="W315" s="5" t="str">
        <f aca="false">IF(ISNUMBER(N315),IF(N315&gt;=Inputs!$D$18,"Yes","No"),"No price")</f>
        <v>Yes</v>
      </c>
      <c r="X315" s="5" t="str">
        <f aca="false">IF(K315+L315&gt;0,"Yes",IF(M315&gt;0,"No","Unclear"))</f>
        <v>Yes</v>
      </c>
      <c r="Y315" s="5" t="str">
        <f aca="false">INDEX('API Data'!$H$2:$H$152,MATCH(B315,'API Data'!$A$2:$A$152,0))</f>
        <v>No</v>
      </c>
      <c r="Z315" s="5" t="str">
        <f aca="false">IF(COUNTIFS('Product Rows'!$A$2:$A$696,B315,'Product Rows'!$B$2:$B$696,C315,'Product Rows'!$I$2:$I$696,"Yes")&gt;0,"Yes","No")</f>
        <v>No</v>
      </c>
      <c r="AA315" s="5" t="str">
        <f aca="false">IF(P315&gt;=Inputs!$D$22,"Yes","No")</f>
        <v>Yes</v>
      </c>
      <c r="AB315" s="10" t="b">
        <f aca="false">AND(OR(Inputs!$B$17&lt;&gt;"Exclude",V315="Yes"),OR(Inputs!$B$18&lt;&gt;"Exclude",W315&lt;&gt;"No"),OR(Inputs!$B$19&lt;&gt;"Exclude",X315&lt;&gt;"No"),OR(Inputs!$B$20&lt;&gt;"Exclude",Y315="No"),OR(Inputs!$B$21&lt;&gt;"Exclude",Z315="No"),OR(Inputs!$B$22&lt;&gt;"Exclude",AA315="Yes"),ISNUMBER(U315))</f>
        <v>1</v>
      </c>
      <c r="AC315" s="5" t="n">
        <f aca="false">IF(AB315,COUNTIFS($C$5:$C$337,C315,$AB$5:$AB$337,TRUE(),$U$5:$U$337,"&gt;"&amp;U315)+COUNTIFS($C$5:C315,C315,$AB$5:AB315,TRUE(),$U$5:U315,U315),"")</f>
        <v>14</v>
      </c>
      <c r="AD315" s="5" t="str">
        <f aca="false">IF(AC315="","Not eligible",IF(AC315&lt;=Inputs!$B$25,"Lead",IF(AC315&lt;=Inputs!$B$25+Inputs!$B$26,"Next wave","Long list")))</f>
        <v>Long list</v>
      </c>
      <c r="AE315" s="5" t="str">
        <f aca="false">IF(AND(K315+L315=0,M315&gt;0),"Safety upgrade of existing prefilled syringe",IF(K315+L315+M315=0,"Confirm presentation (not stated in source)",IF(AA315="Yes","Differentiation in crowded generic market","Safety-device mandate compliance")))</f>
        <v>Differentiation in crowded generic market</v>
      </c>
      <c r="AF315" s="5" t="str">
        <f aca="false">IF(AC315="","",C315&amp;"|"&amp;AC315)</f>
        <v>Sun Pharma|14</v>
      </c>
    </row>
    <row r="316" customFormat="false" ht="15" hidden="false" customHeight="false" outlineLevel="0" collapsed="false">
      <c r="A316" s="5" t="n">
        <f aca="false">IF(ISNUMBER(U316),RANK(U316,$U$5:$U$337),"")</f>
        <v>53</v>
      </c>
      <c r="B316" s="5" t="s">
        <v>190</v>
      </c>
      <c r="C316" s="5" t="s">
        <v>55</v>
      </c>
      <c r="D316" s="5" t="str">
        <f aca="false">INDEX('API Data'!$B$2:$B$152,MATCH(B316,'API Data'!$A$2:$A$152,0))</f>
        <v>Oncology – stem-cell transplant conditioning; breast, ovarian &amp; bladder cancers</v>
      </c>
      <c r="E316" s="5" t="n">
        <f aca="false">COUNTIFS('Market Listing'!$A$2:$A$4054,B316,'Market Listing'!$B$2:$B$4054,C316)</f>
        <v>1</v>
      </c>
      <c r="F316" s="5" t="n">
        <f aca="false">COUNTIFS('Market Listing'!$A$2:$A$4054,B316,'Market Listing'!$B$2:$B$4054,C316,'Market Listing'!$D$2:$D$4054,"Tier 1")</f>
        <v>1</v>
      </c>
      <c r="G316" s="5" t="n">
        <f aca="false">COUNTIFS('Market Listing'!$A$2:$A$4054,B316,'Market Listing'!$B$2:$B$4054,C316,'Market Listing'!$D$2:$D$4054,"Tier 2")</f>
        <v>0</v>
      </c>
      <c r="H316" s="5" t="n">
        <f aca="false">COUNTIFS('Market Listing'!$A$2:$A$4054,B316,'Market Listing'!$B$2:$B$4054,C316,'Market Listing'!$D$2:$D$4054,"Tier 3")</f>
        <v>0</v>
      </c>
      <c r="I316" s="5" t="n">
        <f aca="false">SUMIFS('Market Listing'!$E$2:$E$4054,'Market Listing'!$A$2:$A$4054,B316,'Market Listing'!$B$2:$B$4054,C316)</f>
        <v>3</v>
      </c>
      <c r="J316" s="5" t="n">
        <f aca="false">COUNTIFS('Product Rows'!$A$2:$A$696,B316,'Product Rows'!$B$2:$B$696,C316)</f>
        <v>1</v>
      </c>
      <c r="K316" s="5" t="n">
        <f aca="false">COUNTIFS('Product Rows'!$A$2:$A$696,B316,'Product Rows'!$B$2:$B$696,C316,'Product Rows'!$G$2:$G$696,"Vial")</f>
        <v>1</v>
      </c>
      <c r="L316" s="5" t="n">
        <f aca="false">COUNTIFS('Product Rows'!$A$2:$A$696,B316,'Product Rows'!$B$2:$B$696,C316,'Product Rows'!$G$2:$G$696,"Ampoule")</f>
        <v>0</v>
      </c>
      <c r="M316" s="5" t="n">
        <f aca="false">COUNTIFS('Product Rows'!$A$2:$A$696,B316,'Product Rows'!$B$2:$B$696,C316,'Product Rows'!$G$2:$G$696,"Prefilled syringe/pen")</f>
        <v>0</v>
      </c>
      <c r="N316" s="6" t="n">
        <f aca="false">IFERROR(AVERAGEIFS('Product Rows'!$H$2:$H$696,'Product Rows'!$A$2:$A$696,B316,'Product Rows'!$B$2:$B$696,C316),"")</f>
        <v>154.8</v>
      </c>
      <c r="O316" s="7" t="n">
        <f aca="false">INDEX('API Data'!$E$2:$E$152,MATCH(B316,'API Data'!$A$2:$A$152,0))</f>
        <v>11040.91</v>
      </c>
      <c r="P316" s="5" t="n">
        <f aca="false">COUNTIF($B$5:$B$337,B316)</f>
        <v>1</v>
      </c>
      <c r="Q316" s="8" t="n">
        <f aca="false">IF(ISNUMBER(I316),PERCENTRANK($I$5:$I$337,I316),"")</f>
        <v>0.157</v>
      </c>
      <c r="R316" s="8" t="n">
        <f aca="false">IF(ISNUMBER(N316),PERCENTRANK($N$5:$N$337,N316),"")</f>
        <v>0.803</v>
      </c>
      <c r="S316" s="8" t="n">
        <f aca="false">IF(ISNUMBER(O316),PERCENTRANK($O$5:$O$337,O316),"")</f>
        <v>0.684</v>
      </c>
      <c r="T316" s="8" t="n">
        <f aca="false">IF(ISNUMBER(P316),PERCENTRANK($P$5:$P$337,P316),"")</f>
        <v>0</v>
      </c>
      <c r="U316" s="9" t="n">
        <f aca="false">IF((IF(ISNUMBER(Q316),Inputs!$B$4,0)+IF(ISNUMBER(R316),Inputs!$B$5,0)+IF(ISNUMBER(S316),Inputs!$B$6,0)+IF(ISNUMBER(T316),Inputs!$B$7,0))=0,"",(IF(ISNUMBER(Q316),Inputs!$B$4*Q316,0)+IF(ISNUMBER(R316),Inputs!$B$5*R316,0)+IF(ISNUMBER(S316),Inputs!$B$6*S316,0)+IF(ISNUMBER(T316),Inputs!$B$7*T316,0))/(IF(ISNUMBER(Q316),Inputs!$B$4,0)+IF(ISNUMBER(R316),Inputs!$B$5,0)+IF(ISNUMBER(S316),Inputs!$B$6,0)+IF(ISNUMBER(T316),Inputs!$B$7,0)))</f>
        <v>0.7435</v>
      </c>
      <c r="V316" s="5" t="str">
        <f aca="false">IF(F316&gt;0,"Yes","No")</f>
        <v>Yes</v>
      </c>
      <c r="W316" s="5" t="str">
        <f aca="false">IF(ISNUMBER(N316),IF(N316&gt;=Inputs!$D$18,"Yes","No"),"No price")</f>
        <v>Yes</v>
      </c>
      <c r="X316" s="5" t="str">
        <f aca="false">IF(K316+L316&gt;0,"Yes",IF(M316&gt;0,"No","Unclear"))</f>
        <v>Yes</v>
      </c>
      <c r="Y316" s="5" t="str">
        <f aca="false">INDEX('API Data'!$H$2:$H$152,MATCH(B316,'API Data'!$A$2:$A$152,0))</f>
        <v>Yes</v>
      </c>
      <c r="Z316" s="5" t="str">
        <f aca="false">IF(COUNTIFS('Product Rows'!$A$2:$A$696,B316,'Product Rows'!$B$2:$B$696,C316,'Product Rows'!$I$2:$I$696,"Yes")&gt;0,"Yes","No")</f>
        <v>Yes</v>
      </c>
      <c r="AA316" s="5" t="str">
        <f aca="false">IF(P316&gt;=Inputs!$D$22,"Yes","No")</f>
        <v>No</v>
      </c>
      <c r="AB316" s="10" t="b">
        <f aca="false">AND(OR(Inputs!$B$17&lt;&gt;"Exclude",V316="Yes"),OR(Inputs!$B$18&lt;&gt;"Exclude",W316&lt;&gt;"No"),OR(Inputs!$B$19&lt;&gt;"Exclude",X316&lt;&gt;"No"),OR(Inputs!$B$20&lt;&gt;"Exclude",Y316="No"),OR(Inputs!$B$21&lt;&gt;"Exclude",Z316="No"),OR(Inputs!$B$22&lt;&gt;"Exclude",AA316="Yes"),ISNUMBER(U316))</f>
        <v>1</v>
      </c>
      <c r="AC316" s="5" t="n">
        <f aca="false">IF(AB316,COUNTIFS($C$5:$C$337,C316,$AB$5:$AB$337,TRUE(),$U$5:$U$337,"&gt;"&amp;U316)+COUNTIFS($C$5:C316,C316,$AB$5:AB316,TRUE(),$U$5:U316,U316),"")</f>
        <v>6</v>
      </c>
      <c r="AD316" s="5" t="str">
        <f aca="false">IF(AC316="","Not eligible",IF(AC316&lt;=Inputs!$B$25,"Lead",IF(AC316&lt;=Inputs!$B$25+Inputs!$B$26,"Next wave","Long list")))</f>
        <v>Next wave</v>
      </c>
      <c r="AE316" s="5" t="str">
        <f aca="false">IF(AND(K316+L316=0,M316&gt;0),"Safety upgrade of existing prefilled syringe",IF(K316+L316+M316=0,"Confirm presentation (not stated in source)",IF(AA316="Yes","Differentiation in crowded generic market","Safety-device mandate compliance")))</f>
        <v>Safety-device mandate compliance</v>
      </c>
      <c r="AF316" s="5" t="str">
        <f aca="false">IF(AC316="","",C316&amp;"|"&amp;AC316)</f>
        <v>Dr. Reddy's Laboratories|6</v>
      </c>
    </row>
    <row r="317" customFormat="false" ht="15" hidden="false" customHeight="false" outlineLevel="0" collapsed="false">
      <c r="A317" s="5" t="n">
        <f aca="false">IF(ISNUMBER(U317),RANK(U317,$U$5:$U$337),"")</f>
        <v>86</v>
      </c>
      <c r="B317" s="5" t="s">
        <v>191</v>
      </c>
      <c r="C317" s="5" t="s">
        <v>44</v>
      </c>
      <c r="D317" s="5" t="str">
        <f aca="false">INDEX('API Data'!$B$2:$B$152,MATCH(B317,'API Data'!$A$2:$A$152,0))</f>
        <v>Anti-infective – complicated skin &amp; intra-abdominal infections, MDR organisms</v>
      </c>
      <c r="E317" s="5" t="n">
        <f aca="false">COUNTIFS('Market Listing'!$A$2:$A$4054,B317,'Market Listing'!$B$2:$B$4054,C317)</f>
        <v>1</v>
      </c>
      <c r="F317" s="5" t="n">
        <f aca="false">COUNTIFS('Market Listing'!$A$2:$A$4054,B317,'Market Listing'!$B$2:$B$4054,C317,'Market Listing'!$D$2:$D$4054,"Tier 1")</f>
        <v>0</v>
      </c>
      <c r="G317" s="5" t="n">
        <f aca="false">COUNTIFS('Market Listing'!$A$2:$A$4054,B317,'Market Listing'!$B$2:$B$4054,C317,'Market Listing'!$D$2:$D$4054,"Tier 2")</f>
        <v>1</v>
      </c>
      <c r="H317" s="5" t="n">
        <f aca="false">COUNTIFS('Market Listing'!$A$2:$A$4054,B317,'Market Listing'!$B$2:$B$4054,C317,'Market Listing'!$D$2:$D$4054,"Tier 3")</f>
        <v>0</v>
      </c>
      <c r="I317" s="5" t="n">
        <f aca="false">SUMIFS('Market Listing'!$E$2:$E$4054,'Market Listing'!$A$2:$A$4054,B317,'Market Listing'!$B$2:$B$4054,C317)</f>
        <v>2</v>
      </c>
      <c r="J317" s="5" t="n">
        <f aca="false">COUNTIFS('Product Rows'!$A$2:$A$696,B317,'Product Rows'!$B$2:$B$696,C317)</f>
        <v>1</v>
      </c>
      <c r="K317" s="5" t="n">
        <f aca="false">COUNTIFS('Product Rows'!$A$2:$A$696,B317,'Product Rows'!$B$2:$B$696,C317,'Product Rows'!$G$2:$G$696,"Vial")</f>
        <v>1</v>
      </c>
      <c r="L317" s="5" t="n">
        <f aca="false">COUNTIFS('Product Rows'!$A$2:$A$696,B317,'Product Rows'!$B$2:$B$696,C317,'Product Rows'!$G$2:$G$696,"Ampoule")</f>
        <v>0</v>
      </c>
      <c r="M317" s="5" t="n">
        <f aca="false">COUNTIFS('Product Rows'!$A$2:$A$696,B317,'Product Rows'!$B$2:$B$696,C317,'Product Rows'!$G$2:$G$696,"Prefilled syringe/pen")</f>
        <v>0</v>
      </c>
      <c r="N317" s="6" t="str">
        <f aca="false">IFERROR(AVERAGEIFS('Product Rows'!$H$2:$H$696,'Product Rows'!$A$2:$A$696,B317,'Product Rows'!$B$2:$B$696,C317),"")</f>
        <v/>
      </c>
      <c r="O317" s="7" t="n">
        <f aca="false">INDEX('API Data'!$E$2:$E$152,MATCH(B317,'API Data'!$A$2:$A$152,0))</f>
        <v>6618.8266509434</v>
      </c>
      <c r="P317" s="5" t="n">
        <f aca="false">COUNTIF($B$5:$B$337,B317)</f>
        <v>1</v>
      </c>
      <c r="Q317" s="8" t="n">
        <f aca="false">IF(ISNUMBER(I317),PERCENTRANK($I$5:$I$337,I317),"")</f>
        <v>0</v>
      </c>
      <c r="R317" s="8" t="str">
        <f aca="false">IF(ISNUMBER(N317),PERCENTRANK($N$5:$N$337,N317),"")</f>
        <v/>
      </c>
      <c r="S317" s="8" t="n">
        <f aca="false">IF(ISNUMBER(O317),PERCENTRANK($O$5:$O$337,O317),"")</f>
        <v>0.608</v>
      </c>
      <c r="T317" s="8" t="n">
        <f aca="false">IF(ISNUMBER(P317),PERCENTRANK($P$5:$P$337,P317),"")</f>
        <v>0</v>
      </c>
      <c r="U317" s="9" t="n">
        <f aca="false">IF((IF(ISNUMBER(Q317),Inputs!$B$4,0)+IF(ISNUMBER(R317),Inputs!$B$5,0)+IF(ISNUMBER(S317),Inputs!$B$6,0)+IF(ISNUMBER(T317),Inputs!$B$7,0))=0,"",(IF(ISNUMBER(Q317),Inputs!$B$4*Q317,0)+IF(ISNUMBER(R317),Inputs!$B$5*R317,0)+IF(ISNUMBER(S317),Inputs!$B$6*S317,0)+IF(ISNUMBER(T317),Inputs!$B$7*T317,0))/(IF(ISNUMBER(Q317),Inputs!$B$4,0)+IF(ISNUMBER(R317),Inputs!$B$5,0)+IF(ISNUMBER(S317),Inputs!$B$6,0)+IF(ISNUMBER(T317),Inputs!$B$7,0)))</f>
        <v>0.608</v>
      </c>
      <c r="V317" s="5" t="str">
        <f aca="false">IF(F317&gt;0,"Yes","No")</f>
        <v>No</v>
      </c>
      <c r="W317" s="5" t="str">
        <f aca="false">IF(ISNUMBER(N317),IF(N317&gt;=Inputs!$D$18,"Yes","No"),"No price")</f>
        <v>No price</v>
      </c>
      <c r="X317" s="5" t="str">
        <f aca="false">IF(K317+L317&gt;0,"Yes",IF(M317&gt;0,"No","Unclear"))</f>
        <v>Yes</v>
      </c>
      <c r="Y317" s="5" t="str">
        <f aca="false">INDEX('API Data'!$H$2:$H$152,MATCH(B317,'API Data'!$A$2:$A$152,0))</f>
        <v>No</v>
      </c>
      <c r="Z317" s="5" t="str">
        <f aca="false">IF(COUNTIFS('Product Rows'!$A$2:$A$696,B317,'Product Rows'!$B$2:$B$696,C317,'Product Rows'!$I$2:$I$696,"Yes")&gt;0,"Yes","No")</f>
        <v>Yes</v>
      </c>
      <c r="AA317" s="5" t="str">
        <f aca="false">IF(P317&gt;=Inputs!$D$22,"Yes","No")</f>
        <v>No</v>
      </c>
      <c r="AB317" s="10" t="b">
        <f aca="false">AND(OR(Inputs!$B$17&lt;&gt;"Exclude",V317="Yes"),OR(Inputs!$B$18&lt;&gt;"Exclude",W317&lt;&gt;"No"),OR(Inputs!$B$19&lt;&gt;"Exclude",X317&lt;&gt;"No"),OR(Inputs!$B$20&lt;&gt;"Exclude",Y317="No"),OR(Inputs!$B$21&lt;&gt;"Exclude",Z317="No"),OR(Inputs!$B$22&lt;&gt;"Exclude",AA317="Yes"),ISNUMBER(U317))</f>
        <v>0</v>
      </c>
      <c r="AC317" s="5" t="str">
        <f aca="false">IF(AB317,COUNTIFS($C$5:$C$337,C317,$AB$5:$AB$337,TRUE(),$U$5:$U$337,"&gt;"&amp;U317)+COUNTIFS($C$5:C317,C317,$AB$5:AB317,TRUE(),$U$5:U317,U317),"")</f>
        <v/>
      </c>
      <c r="AD317" s="5" t="str">
        <f aca="false">IF(AC317="","Not eligible",IF(AC317&lt;=Inputs!$B$25,"Lead",IF(AC317&lt;=Inputs!$B$25+Inputs!$B$26,"Next wave","Long list")))</f>
        <v>Not eligible</v>
      </c>
      <c r="AE317" s="5" t="str">
        <f aca="false">IF(AND(K317+L317=0,M317&gt;0),"Safety upgrade of existing prefilled syringe",IF(K317+L317+M317=0,"Confirm presentation (not stated in source)",IF(AA317="Yes","Differentiation in crowded generic market","Safety-device mandate compliance")))</f>
        <v>Safety-device mandate compliance</v>
      </c>
      <c r="AF317" s="5" t="str">
        <f aca="false">IF(AC317="","",C317&amp;"|"&amp;AC317)</f>
        <v/>
      </c>
    </row>
    <row r="318" customFormat="false" ht="15" hidden="false" customHeight="false" outlineLevel="0" collapsed="false">
      <c r="A318" s="5" t="n">
        <f aca="false">IF(ISNUMBER(U318),RANK(U318,$U$5:$U$337),"")</f>
        <v>112</v>
      </c>
      <c r="B318" s="5" t="s">
        <v>192</v>
      </c>
      <c r="C318" s="5" t="s">
        <v>47</v>
      </c>
      <c r="D318" s="5" t="str">
        <f aca="false">INDEX('API Data'!$B$2:$B$152,MATCH(B318,'API Data'!$A$2:$A$152,0))</f>
        <v>Cardiovascular – acute coronary syndrome (antiplatelet)</v>
      </c>
      <c r="E318" s="5" t="n">
        <f aca="false">COUNTIFS('Market Listing'!$A$2:$A$4054,B318,'Market Listing'!$B$2:$B$4054,C318)</f>
        <v>1</v>
      </c>
      <c r="F318" s="5" t="n">
        <f aca="false">COUNTIFS('Market Listing'!$A$2:$A$4054,B318,'Market Listing'!$B$2:$B$4054,C318,'Market Listing'!$D$2:$D$4054,"Tier 1")</f>
        <v>1</v>
      </c>
      <c r="G318" s="5" t="n">
        <f aca="false">COUNTIFS('Market Listing'!$A$2:$A$4054,B318,'Market Listing'!$B$2:$B$4054,C318,'Market Listing'!$D$2:$D$4054,"Tier 2")</f>
        <v>0</v>
      </c>
      <c r="H318" s="5" t="n">
        <f aca="false">COUNTIFS('Market Listing'!$A$2:$A$4054,B318,'Market Listing'!$B$2:$B$4054,C318,'Market Listing'!$D$2:$D$4054,"Tier 3")</f>
        <v>0</v>
      </c>
      <c r="I318" s="5" t="n">
        <f aca="false">SUMIFS('Market Listing'!$E$2:$E$4054,'Market Listing'!$A$2:$A$4054,B318,'Market Listing'!$B$2:$B$4054,C318)</f>
        <v>3</v>
      </c>
      <c r="J318" s="5" t="n">
        <f aca="false">COUNTIFS('Product Rows'!$A$2:$A$696,B318,'Product Rows'!$B$2:$B$696,C318)</f>
        <v>2</v>
      </c>
      <c r="K318" s="5" t="n">
        <f aca="false">COUNTIFS('Product Rows'!$A$2:$A$696,B318,'Product Rows'!$B$2:$B$696,C318,'Product Rows'!$G$2:$G$696,"Vial")</f>
        <v>0</v>
      </c>
      <c r="L318" s="5" t="n">
        <f aca="false">COUNTIFS('Product Rows'!$A$2:$A$696,B318,'Product Rows'!$B$2:$B$696,C318,'Product Rows'!$G$2:$G$696,"Ampoule")</f>
        <v>0</v>
      </c>
      <c r="M318" s="5" t="n">
        <f aca="false">COUNTIFS('Product Rows'!$A$2:$A$696,B318,'Product Rows'!$B$2:$B$696,C318,'Product Rows'!$G$2:$G$696,"Prefilled syringe/pen")</f>
        <v>0</v>
      </c>
      <c r="N318" s="6" t="n">
        <f aca="false">IFERROR(AVERAGEIFS('Product Rows'!$H$2:$H$696,'Product Rows'!$A$2:$A$696,B318,'Product Rows'!$B$2:$B$696,C318),"")</f>
        <v>139.81</v>
      </c>
      <c r="O318" s="7" t="n">
        <f aca="false">INDEX('API Data'!$E$2:$E$152,MATCH(B318,'API Data'!$A$2:$A$152,0))</f>
        <v>2812.77</v>
      </c>
      <c r="P318" s="5" t="n">
        <f aca="false">COUNTIF($B$5:$B$337,B318)</f>
        <v>1</v>
      </c>
      <c r="Q318" s="8" t="n">
        <f aca="false">IF(ISNUMBER(I318),PERCENTRANK($I$5:$I$337,I318),"")</f>
        <v>0.157</v>
      </c>
      <c r="R318" s="8" t="n">
        <f aca="false">IF(ISNUMBER(N318),PERCENTRANK($N$5:$N$337,N318),"")</f>
        <v>0.789</v>
      </c>
      <c r="S318" s="8" t="n">
        <f aca="false">IF(ISNUMBER(O318),PERCENTRANK($O$5:$O$337,O318),"")</f>
        <v>0.367</v>
      </c>
      <c r="T318" s="8" t="n">
        <f aca="false">IF(ISNUMBER(P318),PERCENTRANK($P$5:$P$337,P318),"")</f>
        <v>0</v>
      </c>
      <c r="U318" s="9" t="n">
        <f aca="false">IF((IF(ISNUMBER(Q318),Inputs!$B$4,0)+IF(ISNUMBER(R318),Inputs!$B$5,0)+IF(ISNUMBER(S318),Inputs!$B$6,0)+IF(ISNUMBER(T318),Inputs!$B$7,0))=0,"",(IF(ISNUMBER(Q318),Inputs!$B$4*Q318,0)+IF(ISNUMBER(R318),Inputs!$B$5*R318,0)+IF(ISNUMBER(S318),Inputs!$B$6*S318,0)+IF(ISNUMBER(T318),Inputs!$B$7*T318,0))/(IF(ISNUMBER(Q318),Inputs!$B$4,0)+IF(ISNUMBER(R318),Inputs!$B$5,0)+IF(ISNUMBER(S318),Inputs!$B$6,0)+IF(ISNUMBER(T318),Inputs!$B$7,0)))</f>
        <v>0.578</v>
      </c>
      <c r="V318" s="5" t="str">
        <f aca="false">IF(F318&gt;0,"Yes","No")</f>
        <v>Yes</v>
      </c>
      <c r="W318" s="5" t="str">
        <f aca="false">IF(ISNUMBER(N318),IF(N318&gt;=Inputs!$D$18,"Yes","No"),"No price")</f>
        <v>Yes</v>
      </c>
      <c r="X318" s="5" t="str">
        <f aca="false">IF(K318+L318&gt;0,"Yes",IF(M318&gt;0,"No","Unclear"))</f>
        <v>Unclear</v>
      </c>
      <c r="Y318" s="5" t="str">
        <f aca="false">INDEX('API Data'!$H$2:$H$152,MATCH(B318,'API Data'!$A$2:$A$152,0))</f>
        <v>No</v>
      </c>
      <c r="Z318" s="5" t="str">
        <f aca="false">IF(COUNTIFS('Product Rows'!$A$2:$A$696,B318,'Product Rows'!$B$2:$B$696,C318,'Product Rows'!$I$2:$I$696,"Yes")&gt;0,"Yes","No")</f>
        <v>No</v>
      </c>
      <c r="AA318" s="5" t="str">
        <f aca="false">IF(P318&gt;=Inputs!$D$22,"Yes","No")</f>
        <v>No</v>
      </c>
      <c r="AB318" s="10" t="b">
        <f aca="false">AND(OR(Inputs!$B$17&lt;&gt;"Exclude",V318="Yes"),OR(Inputs!$B$18&lt;&gt;"Exclude",W318&lt;&gt;"No"),OR(Inputs!$B$19&lt;&gt;"Exclude",X318&lt;&gt;"No"),OR(Inputs!$B$20&lt;&gt;"Exclude",Y318="No"),OR(Inputs!$B$21&lt;&gt;"Exclude",Z318="No"),OR(Inputs!$B$22&lt;&gt;"Exclude",AA318="Yes"),ISNUMBER(U318))</f>
        <v>1</v>
      </c>
      <c r="AC318" s="5" t="n">
        <f aca="false">IF(AB318,COUNTIFS($C$5:$C$337,C318,$AB$5:$AB$337,TRUE(),$U$5:$U$337,"&gt;"&amp;U318)+COUNTIFS($C$5:C318,C318,$AB$5:AB318,TRUE(),$U$5:U318,U318),"")</f>
        <v>14</v>
      </c>
      <c r="AD318" s="5" t="str">
        <f aca="false">IF(AC318="","Not eligible",IF(AC318&lt;=Inputs!$B$25,"Lead",IF(AC318&lt;=Inputs!$B$25+Inputs!$B$26,"Next wave","Long list")))</f>
        <v>Long list</v>
      </c>
      <c r="AE318" s="5" t="str">
        <f aca="false">IF(AND(K318+L318=0,M318&gt;0),"Safety upgrade of existing prefilled syringe",IF(K318+L318+M318=0,"Confirm presentation (not stated in source)",IF(AA318="Yes","Differentiation in crowded generic market","Safety-device mandate compliance")))</f>
        <v>Confirm presentation (not stated in source)</v>
      </c>
      <c r="AF318" s="5" t="str">
        <f aca="false">IF(AC318="","",C318&amp;"|"&amp;AC318)</f>
        <v>Aurobindo Pharma|14</v>
      </c>
    </row>
    <row r="319" customFormat="false" ht="15" hidden="false" customHeight="false" outlineLevel="0" collapsed="false">
      <c r="A319" s="5" t="n">
        <f aca="false">IF(ISNUMBER(U319),RANK(U319,$U$5:$U$337),"")</f>
        <v>140</v>
      </c>
      <c r="B319" s="5" t="s">
        <v>193</v>
      </c>
      <c r="C319" s="5" t="s">
        <v>47</v>
      </c>
      <c r="D319" s="5" t="str">
        <f aca="false">INDEX('API Data'!$B$2:$B$152,MATCH(B319,'API Data'!$A$2:$A$152,0))</f>
        <v>Haematology – bleeding control (surgery, trauma, postpartum haemorrhage)</v>
      </c>
      <c r="E319" s="5" t="n">
        <f aca="false">COUNTIFS('Market Listing'!$A$2:$A$4054,B319,'Market Listing'!$B$2:$B$4054,C319)</f>
        <v>1</v>
      </c>
      <c r="F319" s="5" t="n">
        <f aca="false">COUNTIFS('Market Listing'!$A$2:$A$4054,B319,'Market Listing'!$B$2:$B$4054,C319,'Market Listing'!$D$2:$D$4054,"Tier 1")</f>
        <v>1</v>
      </c>
      <c r="G319" s="5" t="n">
        <f aca="false">COUNTIFS('Market Listing'!$A$2:$A$4054,B319,'Market Listing'!$B$2:$B$4054,C319,'Market Listing'!$D$2:$D$4054,"Tier 2")</f>
        <v>0</v>
      </c>
      <c r="H319" s="5" t="n">
        <f aca="false">COUNTIFS('Market Listing'!$A$2:$A$4054,B319,'Market Listing'!$B$2:$B$4054,C319,'Market Listing'!$D$2:$D$4054,"Tier 3")</f>
        <v>0</v>
      </c>
      <c r="I319" s="5" t="n">
        <f aca="false">SUMIFS('Market Listing'!$E$2:$E$4054,'Market Listing'!$A$2:$A$4054,B319,'Market Listing'!$B$2:$B$4054,C319)</f>
        <v>3</v>
      </c>
      <c r="J319" s="5" t="n">
        <f aca="false">COUNTIFS('Product Rows'!$A$2:$A$696,B319,'Product Rows'!$B$2:$B$696,C319)</f>
        <v>3</v>
      </c>
      <c r="K319" s="5" t="n">
        <f aca="false">COUNTIFS('Product Rows'!$A$2:$A$696,B319,'Product Rows'!$B$2:$B$696,C319,'Product Rows'!$G$2:$G$696,"Vial")</f>
        <v>1</v>
      </c>
      <c r="L319" s="5" t="n">
        <f aca="false">COUNTIFS('Product Rows'!$A$2:$A$696,B319,'Product Rows'!$B$2:$B$696,C319,'Product Rows'!$G$2:$G$696,"Ampoule")</f>
        <v>2</v>
      </c>
      <c r="M319" s="5" t="n">
        <f aca="false">COUNTIFS('Product Rows'!$A$2:$A$696,B319,'Product Rows'!$B$2:$B$696,C319,'Product Rows'!$G$2:$G$696,"Prefilled syringe/pen")</f>
        <v>0</v>
      </c>
      <c r="N319" s="6" t="n">
        <f aca="false">IFERROR(AVERAGEIFS('Product Rows'!$H$2:$H$696,'Product Rows'!$A$2:$A$696,B319,'Product Rows'!$B$2:$B$696,C319),"")</f>
        <v>13.5339166666667</v>
      </c>
      <c r="O319" s="7" t="n">
        <f aca="false">INDEX('API Data'!$E$2:$E$152,MATCH(B319,'API Data'!$A$2:$A$152,0))</f>
        <v>22518.6454353437</v>
      </c>
      <c r="P319" s="5" t="n">
        <f aca="false">COUNTIF($B$5:$B$337,B319)</f>
        <v>1</v>
      </c>
      <c r="Q319" s="8" t="n">
        <f aca="false">IF(ISNUMBER(I319),PERCENTRANK($I$5:$I$337,I319),"")</f>
        <v>0.157</v>
      </c>
      <c r="R319" s="8" t="n">
        <f aca="false">IF(ISNUMBER(N319),PERCENTRANK($N$5:$N$337,N319),"")</f>
        <v>0.262</v>
      </c>
      <c r="S319" s="8" t="n">
        <f aca="false">IF(ISNUMBER(O319),PERCENTRANK($O$5:$O$337,O319),"")</f>
        <v>0.786</v>
      </c>
      <c r="T319" s="8" t="n">
        <f aca="false">IF(ISNUMBER(P319),PERCENTRANK($P$5:$P$337,P319),"")</f>
        <v>0</v>
      </c>
      <c r="U319" s="9" t="n">
        <f aca="false">IF((IF(ISNUMBER(Q319),Inputs!$B$4,0)+IF(ISNUMBER(R319),Inputs!$B$5,0)+IF(ISNUMBER(S319),Inputs!$B$6,0)+IF(ISNUMBER(T319),Inputs!$B$7,0))=0,"",(IF(ISNUMBER(Q319),Inputs!$B$4*Q319,0)+IF(ISNUMBER(R319),Inputs!$B$5*R319,0)+IF(ISNUMBER(S319),Inputs!$B$6*S319,0)+IF(ISNUMBER(T319),Inputs!$B$7*T319,0))/(IF(ISNUMBER(Q319),Inputs!$B$4,0)+IF(ISNUMBER(R319),Inputs!$B$5,0)+IF(ISNUMBER(S319),Inputs!$B$6,0)+IF(ISNUMBER(T319),Inputs!$B$7,0)))</f>
        <v>0.524</v>
      </c>
      <c r="V319" s="5" t="str">
        <f aca="false">IF(F319&gt;0,"Yes","No")</f>
        <v>Yes</v>
      </c>
      <c r="W319" s="5" t="str">
        <f aca="false">IF(ISNUMBER(N319),IF(N319&gt;=Inputs!$D$18,"Yes","No"),"No price")</f>
        <v>Yes</v>
      </c>
      <c r="X319" s="5" t="str">
        <f aca="false">IF(K319+L319&gt;0,"Yes",IF(M319&gt;0,"No","Unclear"))</f>
        <v>Yes</v>
      </c>
      <c r="Y319" s="5" t="str">
        <f aca="false">INDEX('API Data'!$H$2:$H$152,MATCH(B319,'API Data'!$A$2:$A$152,0))</f>
        <v>No</v>
      </c>
      <c r="Z319" s="5" t="str">
        <f aca="false">IF(COUNTIFS('Product Rows'!$A$2:$A$696,B319,'Product Rows'!$B$2:$B$696,C319,'Product Rows'!$I$2:$I$696,"Yes")&gt;0,"Yes","No")</f>
        <v>No</v>
      </c>
      <c r="AA319" s="5" t="str">
        <f aca="false">IF(P319&gt;=Inputs!$D$22,"Yes","No")</f>
        <v>No</v>
      </c>
      <c r="AB319" s="10" t="b">
        <f aca="false">AND(OR(Inputs!$B$17&lt;&gt;"Exclude",V319="Yes"),OR(Inputs!$B$18&lt;&gt;"Exclude",W319&lt;&gt;"No"),OR(Inputs!$B$19&lt;&gt;"Exclude",X319&lt;&gt;"No"),OR(Inputs!$B$20&lt;&gt;"Exclude",Y319="No"),OR(Inputs!$B$21&lt;&gt;"Exclude",Z319="No"),OR(Inputs!$B$22&lt;&gt;"Exclude",AA319="Yes"),ISNUMBER(U319))</f>
        <v>1</v>
      </c>
      <c r="AC319" s="5" t="n">
        <f aca="false">IF(AB319,COUNTIFS($C$5:$C$337,C319,$AB$5:$AB$337,TRUE(),$U$5:$U$337,"&gt;"&amp;U319)+COUNTIFS($C$5:C319,C319,$AB$5:AB319,TRUE(),$U$5:U319,U319),"")</f>
        <v>20</v>
      </c>
      <c r="AD319" s="5" t="str">
        <f aca="false">IF(AC319="","Not eligible",IF(AC319&lt;=Inputs!$B$25,"Lead",IF(AC319&lt;=Inputs!$B$25+Inputs!$B$26,"Next wave","Long list")))</f>
        <v>Long list</v>
      </c>
      <c r="AE319" s="5" t="str">
        <f aca="false">IF(AND(K319+L319=0,M319&gt;0),"Safety upgrade of existing prefilled syringe",IF(K319+L319+M319=0,"Confirm presentation (not stated in source)",IF(AA319="Yes","Differentiation in crowded generic market","Safety-device mandate compliance")))</f>
        <v>Safety-device mandate compliance</v>
      </c>
      <c r="AF319" s="5" t="str">
        <f aca="false">IF(AC319="","",C319&amp;"|"&amp;AC319)</f>
        <v>Aurobindo Pharma|20</v>
      </c>
    </row>
    <row r="320" customFormat="false" ht="15" hidden="false" customHeight="false" outlineLevel="0" collapsed="false">
      <c r="A320" s="5" t="n">
        <f aca="false">IF(ISNUMBER(U320),RANK(U320,$U$5:$U$337),"")</f>
        <v>1</v>
      </c>
      <c r="B320" s="5" t="s">
        <v>194</v>
      </c>
      <c r="C320" s="5" t="s">
        <v>54</v>
      </c>
      <c r="D320" s="5" t="str">
        <f aca="false">INDEX('API Data'!$B$2:$B$152,MATCH(B320,'API Data'!$A$2:$A$152,0))</f>
        <v>Oncology – HER2+ breast &amp; gastric cancer (biosimilar)</v>
      </c>
      <c r="E320" s="5" t="n">
        <f aca="false">COUNTIFS('Market Listing'!$A$2:$A$4054,B320,'Market Listing'!$B$2:$B$4054,C320)</f>
        <v>1</v>
      </c>
      <c r="F320" s="5" t="n">
        <f aca="false">COUNTIFS('Market Listing'!$A$2:$A$4054,B320,'Market Listing'!$B$2:$B$4054,C320,'Market Listing'!$D$2:$D$4054,"Tier 1")</f>
        <v>0</v>
      </c>
      <c r="G320" s="5" t="n">
        <f aca="false">COUNTIFS('Market Listing'!$A$2:$A$4054,B320,'Market Listing'!$B$2:$B$4054,C320,'Market Listing'!$D$2:$D$4054,"Tier 2")</f>
        <v>1</v>
      </c>
      <c r="H320" s="5" t="n">
        <f aca="false">COUNTIFS('Market Listing'!$A$2:$A$4054,B320,'Market Listing'!$B$2:$B$4054,C320,'Market Listing'!$D$2:$D$4054,"Tier 3")</f>
        <v>0</v>
      </c>
      <c r="I320" s="5" t="n">
        <f aca="false">SUMIFS('Market Listing'!$E$2:$E$4054,'Market Listing'!$A$2:$A$4054,B320,'Market Listing'!$B$2:$B$4054,C320)</f>
        <v>2</v>
      </c>
      <c r="J320" s="5" t="n">
        <f aca="false">COUNTIFS('Product Rows'!$A$2:$A$696,B320,'Product Rows'!$B$2:$B$696,C320)</f>
        <v>1</v>
      </c>
      <c r="K320" s="5" t="n">
        <f aca="false">COUNTIFS('Product Rows'!$A$2:$A$696,B320,'Product Rows'!$B$2:$B$696,C320,'Product Rows'!$G$2:$G$696,"Vial")</f>
        <v>1</v>
      </c>
      <c r="L320" s="5" t="n">
        <f aca="false">COUNTIFS('Product Rows'!$A$2:$A$696,B320,'Product Rows'!$B$2:$B$696,C320,'Product Rows'!$G$2:$G$696,"Ampoule")</f>
        <v>0</v>
      </c>
      <c r="M320" s="5" t="n">
        <f aca="false">COUNTIFS('Product Rows'!$A$2:$A$696,B320,'Product Rows'!$B$2:$B$696,C320,'Product Rows'!$G$2:$G$696,"Prefilled syringe/pen")</f>
        <v>0</v>
      </c>
      <c r="N320" s="6" t="str">
        <f aca="false">IFERROR(AVERAGEIFS('Product Rows'!$H$2:$H$696,'Product Rows'!$A$2:$A$696,B320,'Product Rows'!$B$2:$B$696,C320),"")</f>
        <v/>
      </c>
      <c r="O320" s="7" t="n">
        <f aca="false">INDEX('API Data'!$E$2:$E$152,MATCH(B320,'API Data'!$A$2:$A$152,0))</f>
        <v>132723.051859193</v>
      </c>
      <c r="P320" s="5" t="n">
        <f aca="false">COUNTIF($B$5:$B$337,B320)</f>
        <v>1</v>
      </c>
      <c r="Q320" s="8" t="n">
        <f aca="false">IF(ISNUMBER(I320),PERCENTRANK($I$5:$I$337,I320),"")</f>
        <v>0</v>
      </c>
      <c r="R320" s="8" t="str">
        <f aca="false">IF(ISNUMBER(N320),PERCENTRANK($N$5:$N$337,N320),"")</f>
        <v/>
      </c>
      <c r="S320" s="8" t="n">
        <f aca="false">IF(ISNUMBER(O320),PERCENTRANK($O$5:$O$337,O320),"")</f>
        <v>0.997</v>
      </c>
      <c r="T320" s="8" t="n">
        <f aca="false">IF(ISNUMBER(P320),PERCENTRANK($P$5:$P$337,P320),"")</f>
        <v>0</v>
      </c>
      <c r="U320" s="9" t="n">
        <f aca="false">IF((IF(ISNUMBER(Q320),Inputs!$B$4,0)+IF(ISNUMBER(R320),Inputs!$B$5,0)+IF(ISNUMBER(S320),Inputs!$B$6,0)+IF(ISNUMBER(T320),Inputs!$B$7,0))=0,"",(IF(ISNUMBER(Q320),Inputs!$B$4*Q320,0)+IF(ISNUMBER(R320),Inputs!$B$5*R320,0)+IF(ISNUMBER(S320),Inputs!$B$6*S320,0)+IF(ISNUMBER(T320),Inputs!$B$7*T320,0))/(IF(ISNUMBER(Q320),Inputs!$B$4,0)+IF(ISNUMBER(R320),Inputs!$B$5,0)+IF(ISNUMBER(S320),Inputs!$B$6,0)+IF(ISNUMBER(T320),Inputs!$B$7,0)))</f>
        <v>0.997</v>
      </c>
      <c r="V320" s="5" t="str">
        <f aca="false">IF(F320&gt;0,"Yes","No")</f>
        <v>No</v>
      </c>
      <c r="W320" s="5" t="str">
        <f aca="false">IF(ISNUMBER(N320),IF(N320&gt;=Inputs!$D$18,"Yes","No"),"No price")</f>
        <v>No price</v>
      </c>
      <c r="X320" s="5" t="str">
        <f aca="false">IF(K320+L320&gt;0,"Yes",IF(M320&gt;0,"No","Unclear"))</f>
        <v>Yes</v>
      </c>
      <c r="Y320" s="5" t="str">
        <f aca="false">INDEX('API Data'!$H$2:$H$152,MATCH(B320,'API Data'!$A$2:$A$152,0))</f>
        <v>No</v>
      </c>
      <c r="Z320" s="5" t="str">
        <f aca="false">IF(COUNTIFS('Product Rows'!$A$2:$A$696,B320,'Product Rows'!$B$2:$B$696,C320,'Product Rows'!$I$2:$I$696,"Yes")&gt;0,"Yes","No")</f>
        <v>Yes</v>
      </c>
      <c r="AA320" s="5" t="str">
        <f aca="false">IF(P320&gt;=Inputs!$D$22,"Yes","No")</f>
        <v>No</v>
      </c>
      <c r="AB320" s="10" t="b">
        <f aca="false">AND(OR(Inputs!$B$17&lt;&gt;"Exclude",V320="Yes"),OR(Inputs!$B$18&lt;&gt;"Exclude",W320&lt;&gt;"No"),OR(Inputs!$B$19&lt;&gt;"Exclude",X320&lt;&gt;"No"),OR(Inputs!$B$20&lt;&gt;"Exclude",Y320="No"),OR(Inputs!$B$21&lt;&gt;"Exclude",Z320="No"),OR(Inputs!$B$22&lt;&gt;"Exclude",AA320="Yes"),ISNUMBER(U320))</f>
        <v>0</v>
      </c>
      <c r="AC320" s="5" t="str">
        <f aca="false">IF(AB320,COUNTIFS($C$5:$C$337,C320,$AB$5:$AB$337,TRUE(),$U$5:$U$337,"&gt;"&amp;U320)+COUNTIFS($C$5:C320,C320,$AB$5:AB320,TRUE(),$U$5:U320,U320),"")</f>
        <v/>
      </c>
      <c r="AD320" s="5" t="str">
        <f aca="false">IF(AC320="","Not eligible",IF(AC320&lt;=Inputs!$B$25,"Lead",IF(AC320&lt;=Inputs!$B$25+Inputs!$B$26,"Next wave","Long list")))</f>
        <v>Not eligible</v>
      </c>
      <c r="AE320" s="5" t="str">
        <f aca="false">IF(AND(K320+L320=0,M320&gt;0),"Safety upgrade of existing prefilled syringe",IF(K320+L320+M320=0,"Confirm presentation (not stated in source)",IF(AA320="Yes","Differentiation in crowded generic market","Safety-device mandate compliance")))</f>
        <v>Safety-device mandate compliance</v>
      </c>
      <c r="AF320" s="5" t="str">
        <f aca="false">IF(AC320="","",C320&amp;"|"&amp;AC320)</f>
        <v/>
      </c>
    </row>
    <row r="321" customFormat="false" ht="15" hidden="false" customHeight="false" outlineLevel="0" collapsed="false">
      <c r="A321" s="5" t="n">
        <f aca="false">IF(ISNUMBER(U321),RANK(U321,$U$5:$U$337),"")</f>
        <v>145</v>
      </c>
      <c r="B321" s="5" t="s">
        <v>195</v>
      </c>
      <c r="C321" s="5" t="s">
        <v>70</v>
      </c>
      <c r="D321" s="5" t="str">
        <f aca="false">INDEX('API Data'!$B$2:$B$152,MATCH(B321,'API Data'!$A$2:$A$152,0))</f>
        <v>Ortho / Immunology – joint &amp; soft-tissue injections; allergic &amp; skin conditions</v>
      </c>
      <c r="E321" s="5" t="n">
        <f aca="false">COUNTIFS('Market Listing'!$A$2:$A$4054,B321,'Market Listing'!$B$2:$B$4054,C321)</f>
        <v>1</v>
      </c>
      <c r="F321" s="5" t="n">
        <f aca="false">COUNTIFS('Market Listing'!$A$2:$A$4054,B321,'Market Listing'!$B$2:$B$4054,C321,'Market Listing'!$D$2:$D$4054,"Tier 1")</f>
        <v>1</v>
      </c>
      <c r="G321" s="5" t="n">
        <f aca="false">COUNTIFS('Market Listing'!$A$2:$A$4054,B321,'Market Listing'!$B$2:$B$4054,C321,'Market Listing'!$D$2:$D$4054,"Tier 2")</f>
        <v>0</v>
      </c>
      <c r="H321" s="5" t="n">
        <f aca="false">COUNTIFS('Market Listing'!$A$2:$A$4054,B321,'Market Listing'!$B$2:$B$4054,C321,'Market Listing'!$D$2:$D$4054,"Tier 3")</f>
        <v>0</v>
      </c>
      <c r="I321" s="5" t="n">
        <f aca="false">SUMIFS('Market Listing'!$E$2:$E$4054,'Market Listing'!$A$2:$A$4054,B321,'Market Listing'!$B$2:$B$4054,C321)</f>
        <v>3</v>
      </c>
      <c r="J321" s="5" t="n">
        <f aca="false">COUNTIFS('Product Rows'!$A$2:$A$696,B321,'Product Rows'!$B$2:$B$696,C321)</f>
        <v>1</v>
      </c>
      <c r="K321" s="5" t="n">
        <f aca="false">COUNTIFS('Product Rows'!$A$2:$A$696,B321,'Product Rows'!$B$2:$B$696,C321,'Product Rows'!$G$2:$G$696,"Vial")</f>
        <v>0</v>
      </c>
      <c r="L321" s="5" t="n">
        <f aca="false">COUNTIFS('Product Rows'!$A$2:$A$696,B321,'Product Rows'!$B$2:$B$696,C321,'Product Rows'!$G$2:$G$696,"Ampoule")</f>
        <v>0</v>
      </c>
      <c r="M321" s="5" t="n">
        <f aca="false">COUNTIFS('Product Rows'!$A$2:$A$696,B321,'Product Rows'!$B$2:$B$696,C321,'Product Rows'!$G$2:$G$696,"Prefilled syringe/pen")</f>
        <v>0</v>
      </c>
      <c r="N321" s="6" t="str">
        <f aca="false">IFERROR(AVERAGEIFS('Product Rows'!$H$2:$H$696,'Product Rows'!$A$2:$A$696,B321,'Product Rows'!$B$2:$B$696,C321),"")</f>
        <v/>
      </c>
      <c r="O321" s="7" t="n">
        <f aca="false">INDEX('API Data'!$E$2:$E$152,MATCH(B321,'API Data'!$A$2:$A$152,0))</f>
        <v>4256.82552912915</v>
      </c>
      <c r="P321" s="5" t="n">
        <f aca="false">COUNTIF($B$5:$B$337,B321)</f>
        <v>3</v>
      </c>
      <c r="Q321" s="8" t="n">
        <f aca="false">IF(ISNUMBER(I321),PERCENTRANK($I$5:$I$337,I321),"")</f>
        <v>0.157</v>
      </c>
      <c r="R321" s="8" t="str">
        <f aca="false">IF(ISNUMBER(N321),PERCENTRANK($N$5:$N$337,N321),"")</f>
        <v/>
      </c>
      <c r="S321" s="8" t="n">
        <f aca="false">IF(ISNUMBER(O321),PERCENTRANK($O$5:$O$337,O321),"")</f>
        <v>0.512</v>
      </c>
      <c r="T321" s="8" t="n">
        <f aca="false">IF(ISNUMBER(P321),PERCENTRANK($P$5:$P$337,P321),"")</f>
        <v>0.416</v>
      </c>
      <c r="U321" s="9" t="n">
        <f aca="false">IF((IF(ISNUMBER(Q321),Inputs!$B$4,0)+IF(ISNUMBER(R321),Inputs!$B$5,0)+IF(ISNUMBER(S321),Inputs!$B$6,0)+IF(ISNUMBER(T321),Inputs!$B$7,0))=0,"",(IF(ISNUMBER(Q321),Inputs!$B$4*Q321,0)+IF(ISNUMBER(R321),Inputs!$B$5*R321,0)+IF(ISNUMBER(S321),Inputs!$B$6*S321,0)+IF(ISNUMBER(T321),Inputs!$B$7*T321,0))/(IF(ISNUMBER(Q321),Inputs!$B$4,0)+IF(ISNUMBER(R321),Inputs!$B$5,0)+IF(ISNUMBER(S321),Inputs!$B$6,0)+IF(ISNUMBER(T321),Inputs!$B$7,0)))</f>
        <v>0.512</v>
      </c>
      <c r="V321" s="5" t="str">
        <f aca="false">IF(F321&gt;0,"Yes","No")</f>
        <v>Yes</v>
      </c>
      <c r="W321" s="5" t="str">
        <f aca="false">IF(ISNUMBER(N321),IF(N321&gt;=Inputs!$D$18,"Yes","No"),"No price")</f>
        <v>No price</v>
      </c>
      <c r="X321" s="5" t="str">
        <f aca="false">IF(K321+L321&gt;0,"Yes",IF(M321&gt;0,"No","Unclear"))</f>
        <v>Unclear</v>
      </c>
      <c r="Y321" s="5" t="str">
        <f aca="false">INDEX('API Data'!$H$2:$H$152,MATCH(B321,'API Data'!$A$2:$A$152,0))</f>
        <v>No</v>
      </c>
      <c r="Z321" s="5" t="str">
        <f aca="false">IF(COUNTIFS('Product Rows'!$A$2:$A$696,B321,'Product Rows'!$B$2:$B$696,C321,'Product Rows'!$I$2:$I$696,"Yes")&gt;0,"Yes","No")</f>
        <v>No</v>
      </c>
      <c r="AA321" s="5" t="str">
        <f aca="false">IF(P321&gt;=Inputs!$D$22,"Yes","No")</f>
        <v>Yes</v>
      </c>
      <c r="AB321" s="10" t="b">
        <f aca="false">AND(OR(Inputs!$B$17&lt;&gt;"Exclude",V321="Yes"),OR(Inputs!$B$18&lt;&gt;"Exclude",W321&lt;&gt;"No"),OR(Inputs!$B$19&lt;&gt;"Exclude",X321&lt;&gt;"No"),OR(Inputs!$B$20&lt;&gt;"Exclude",Y321="No"),OR(Inputs!$B$21&lt;&gt;"Exclude",Z321="No"),OR(Inputs!$B$22&lt;&gt;"Exclude",AA321="Yes"),ISNUMBER(U321))</f>
        <v>1</v>
      </c>
      <c r="AC321" s="5" t="n">
        <f aca="false">IF(AB321,COUNTIFS($C$5:$C$337,C321,$AB$5:$AB$337,TRUE(),$U$5:$U$337,"&gt;"&amp;U321)+COUNTIFS($C$5:C321,C321,$AB$5:AB321,TRUE(),$U$5:U321,U321),"")</f>
        <v>3</v>
      </c>
      <c r="AD321" s="5" t="str">
        <f aca="false">IF(AC321="","Not eligible",IF(AC321&lt;=Inputs!$B$25,"Lead",IF(AC321&lt;=Inputs!$B$25+Inputs!$B$26,"Next wave","Long list")))</f>
        <v>Lead</v>
      </c>
      <c r="AE321" s="5" t="str">
        <f aca="false">IF(AND(K321+L321=0,M321&gt;0),"Safety upgrade of existing prefilled syringe",IF(K321+L321+M321=0,"Confirm presentation (not stated in source)",IF(AA321="Yes","Differentiation in crowded generic market","Safety-device mandate compliance")))</f>
        <v>Confirm presentation (not stated in source)</v>
      </c>
      <c r="AF321" s="5" t="str">
        <f aca="false">IF(AC321="","",C321&amp;"|"&amp;AC321)</f>
        <v>Alembic Pharmaceuticals|3</v>
      </c>
    </row>
    <row r="322" customFormat="false" ht="15" hidden="false" customHeight="false" outlineLevel="0" collapsed="false">
      <c r="A322" s="5" t="n">
        <f aca="false">IF(ISNUMBER(U322),RANK(U322,$U$5:$U$337),"")</f>
        <v>145</v>
      </c>
      <c r="B322" s="5" t="s">
        <v>195</v>
      </c>
      <c r="C322" s="5" t="s">
        <v>47</v>
      </c>
      <c r="D322" s="5" t="str">
        <f aca="false">INDEX('API Data'!$B$2:$B$152,MATCH(B322,'API Data'!$A$2:$A$152,0))</f>
        <v>Ortho / Immunology – joint &amp; soft-tissue injections; allergic &amp; skin conditions</v>
      </c>
      <c r="E322" s="5" t="n">
        <f aca="false">COUNTIFS('Market Listing'!$A$2:$A$4054,B322,'Market Listing'!$B$2:$B$4054,C322)</f>
        <v>1</v>
      </c>
      <c r="F322" s="5" t="n">
        <f aca="false">COUNTIFS('Market Listing'!$A$2:$A$4054,B322,'Market Listing'!$B$2:$B$4054,C322,'Market Listing'!$D$2:$D$4054,"Tier 1")</f>
        <v>1</v>
      </c>
      <c r="G322" s="5" t="n">
        <f aca="false">COUNTIFS('Market Listing'!$A$2:$A$4054,B322,'Market Listing'!$B$2:$B$4054,C322,'Market Listing'!$D$2:$D$4054,"Tier 2")</f>
        <v>0</v>
      </c>
      <c r="H322" s="5" t="n">
        <f aca="false">COUNTIFS('Market Listing'!$A$2:$A$4054,B322,'Market Listing'!$B$2:$B$4054,C322,'Market Listing'!$D$2:$D$4054,"Tier 3")</f>
        <v>0</v>
      </c>
      <c r="I322" s="5" t="n">
        <f aca="false">SUMIFS('Market Listing'!$E$2:$E$4054,'Market Listing'!$A$2:$A$4054,B322,'Market Listing'!$B$2:$B$4054,C322)</f>
        <v>3</v>
      </c>
      <c r="J322" s="5" t="n">
        <f aca="false">COUNTIFS('Product Rows'!$A$2:$A$696,B322,'Product Rows'!$B$2:$B$696,C322)</f>
        <v>1</v>
      </c>
      <c r="K322" s="5" t="n">
        <f aca="false">COUNTIFS('Product Rows'!$A$2:$A$696,B322,'Product Rows'!$B$2:$B$696,C322,'Product Rows'!$G$2:$G$696,"Vial")</f>
        <v>0</v>
      </c>
      <c r="L322" s="5" t="n">
        <f aca="false">COUNTIFS('Product Rows'!$A$2:$A$696,B322,'Product Rows'!$B$2:$B$696,C322,'Product Rows'!$G$2:$G$696,"Ampoule")</f>
        <v>0</v>
      </c>
      <c r="M322" s="5" t="n">
        <f aca="false">COUNTIFS('Product Rows'!$A$2:$A$696,B322,'Product Rows'!$B$2:$B$696,C322,'Product Rows'!$G$2:$G$696,"Prefilled syringe/pen")</f>
        <v>0</v>
      </c>
      <c r="N322" s="6" t="str">
        <f aca="false">IFERROR(AVERAGEIFS('Product Rows'!$H$2:$H$696,'Product Rows'!$A$2:$A$696,B322,'Product Rows'!$B$2:$B$696,C322),"")</f>
        <v/>
      </c>
      <c r="O322" s="7" t="n">
        <f aca="false">INDEX('API Data'!$E$2:$E$152,MATCH(B322,'API Data'!$A$2:$A$152,0))</f>
        <v>4256.82552912915</v>
      </c>
      <c r="P322" s="5" t="n">
        <f aca="false">COUNTIF($B$5:$B$337,B322)</f>
        <v>3</v>
      </c>
      <c r="Q322" s="8" t="n">
        <f aca="false">IF(ISNUMBER(I322),PERCENTRANK($I$5:$I$337,I322),"")</f>
        <v>0.157</v>
      </c>
      <c r="R322" s="8" t="str">
        <f aca="false">IF(ISNUMBER(N322),PERCENTRANK($N$5:$N$337,N322),"")</f>
        <v/>
      </c>
      <c r="S322" s="8" t="n">
        <f aca="false">IF(ISNUMBER(O322),PERCENTRANK($O$5:$O$337,O322),"")</f>
        <v>0.512</v>
      </c>
      <c r="T322" s="8" t="n">
        <f aca="false">IF(ISNUMBER(P322),PERCENTRANK($P$5:$P$337,P322),"")</f>
        <v>0.416</v>
      </c>
      <c r="U322" s="9" t="n">
        <f aca="false">IF((IF(ISNUMBER(Q322),Inputs!$B$4,0)+IF(ISNUMBER(R322),Inputs!$B$5,0)+IF(ISNUMBER(S322),Inputs!$B$6,0)+IF(ISNUMBER(T322),Inputs!$B$7,0))=0,"",(IF(ISNUMBER(Q322),Inputs!$B$4*Q322,0)+IF(ISNUMBER(R322),Inputs!$B$5*R322,0)+IF(ISNUMBER(S322),Inputs!$B$6*S322,0)+IF(ISNUMBER(T322),Inputs!$B$7*T322,0))/(IF(ISNUMBER(Q322),Inputs!$B$4,0)+IF(ISNUMBER(R322),Inputs!$B$5,0)+IF(ISNUMBER(S322),Inputs!$B$6,0)+IF(ISNUMBER(T322),Inputs!$B$7,0)))</f>
        <v>0.512</v>
      </c>
      <c r="V322" s="5" t="str">
        <f aca="false">IF(F322&gt;0,"Yes","No")</f>
        <v>Yes</v>
      </c>
      <c r="W322" s="5" t="str">
        <f aca="false">IF(ISNUMBER(N322),IF(N322&gt;=Inputs!$D$18,"Yes","No"),"No price")</f>
        <v>No price</v>
      </c>
      <c r="X322" s="5" t="str">
        <f aca="false">IF(K322+L322&gt;0,"Yes",IF(M322&gt;0,"No","Unclear"))</f>
        <v>Unclear</v>
      </c>
      <c r="Y322" s="5" t="str">
        <f aca="false">INDEX('API Data'!$H$2:$H$152,MATCH(B322,'API Data'!$A$2:$A$152,0))</f>
        <v>No</v>
      </c>
      <c r="Z322" s="5" t="str">
        <f aca="false">IF(COUNTIFS('Product Rows'!$A$2:$A$696,B322,'Product Rows'!$B$2:$B$696,C322,'Product Rows'!$I$2:$I$696,"Yes")&gt;0,"Yes","No")</f>
        <v>No</v>
      </c>
      <c r="AA322" s="5" t="str">
        <f aca="false">IF(P322&gt;=Inputs!$D$22,"Yes","No")</f>
        <v>Yes</v>
      </c>
      <c r="AB322" s="10" t="b">
        <f aca="false">AND(OR(Inputs!$B$17&lt;&gt;"Exclude",V322="Yes"),OR(Inputs!$B$18&lt;&gt;"Exclude",W322&lt;&gt;"No"),OR(Inputs!$B$19&lt;&gt;"Exclude",X322&lt;&gt;"No"),OR(Inputs!$B$20&lt;&gt;"Exclude",Y322="No"),OR(Inputs!$B$21&lt;&gt;"Exclude",Z322="No"),OR(Inputs!$B$22&lt;&gt;"Exclude",AA322="Yes"),ISNUMBER(U322))</f>
        <v>1</v>
      </c>
      <c r="AC322" s="5" t="n">
        <f aca="false">IF(AB322,COUNTIFS($C$5:$C$337,C322,$AB$5:$AB$337,TRUE(),$U$5:$U$337,"&gt;"&amp;U322)+COUNTIFS($C$5:C322,C322,$AB$5:AB322,TRUE(),$U$5:U322,U322),"")</f>
        <v>21</v>
      </c>
      <c r="AD322" s="5" t="str">
        <f aca="false">IF(AC322="","Not eligible",IF(AC322&lt;=Inputs!$B$25,"Lead",IF(AC322&lt;=Inputs!$B$25+Inputs!$B$26,"Next wave","Long list")))</f>
        <v>Long list</v>
      </c>
      <c r="AE322" s="5" t="str">
        <f aca="false">IF(AND(K322+L322=0,M322&gt;0),"Safety upgrade of existing prefilled syringe",IF(K322+L322+M322=0,"Confirm presentation (not stated in source)",IF(AA322="Yes","Differentiation in crowded generic market","Safety-device mandate compliance")))</f>
        <v>Confirm presentation (not stated in source)</v>
      </c>
      <c r="AF322" s="5" t="str">
        <f aca="false">IF(AC322="","",C322&amp;"|"&amp;AC322)</f>
        <v>Aurobindo Pharma|21</v>
      </c>
    </row>
    <row r="323" customFormat="false" ht="15" hidden="false" customHeight="false" outlineLevel="0" collapsed="false">
      <c r="A323" s="5" t="n">
        <f aca="false">IF(ISNUMBER(U323),RANK(U323,$U$5:$U$337),"")</f>
        <v>145</v>
      </c>
      <c r="B323" s="5" t="s">
        <v>195</v>
      </c>
      <c r="C323" s="5" t="s">
        <v>55</v>
      </c>
      <c r="D323" s="5" t="str">
        <f aca="false">INDEX('API Data'!$B$2:$B$152,MATCH(B323,'API Data'!$A$2:$A$152,0))</f>
        <v>Ortho / Immunology – joint &amp; soft-tissue injections; allergic &amp; skin conditions</v>
      </c>
      <c r="E323" s="5" t="n">
        <f aca="false">COUNTIFS('Market Listing'!$A$2:$A$4054,B323,'Market Listing'!$B$2:$B$4054,C323)</f>
        <v>1</v>
      </c>
      <c r="F323" s="5" t="n">
        <f aca="false">COUNTIFS('Market Listing'!$A$2:$A$4054,B323,'Market Listing'!$B$2:$B$4054,C323,'Market Listing'!$D$2:$D$4054,"Tier 1")</f>
        <v>1</v>
      </c>
      <c r="G323" s="5" t="n">
        <f aca="false">COUNTIFS('Market Listing'!$A$2:$A$4054,B323,'Market Listing'!$B$2:$B$4054,C323,'Market Listing'!$D$2:$D$4054,"Tier 2")</f>
        <v>0</v>
      </c>
      <c r="H323" s="5" t="n">
        <f aca="false">COUNTIFS('Market Listing'!$A$2:$A$4054,B323,'Market Listing'!$B$2:$B$4054,C323,'Market Listing'!$D$2:$D$4054,"Tier 3")</f>
        <v>0</v>
      </c>
      <c r="I323" s="5" t="n">
        <f aca="false">SUMIFS('Market Listing'!$E$2:$E$4054,'Market Listing'!$A$2:$A$4054,B323,'Market Listing'!$B$2:$B$4054,C323)</f>
        <v>3</v>
      </c>
      <c r="J323" s="5" t="n">
        <f aca="false">COUNTIFS('Product Rows'!$A$2:$A$696,B323,'Product Rows'!$B$2:$B$696,C323)</f>
        <v>2</v>
      </c>
      <c r="K323" s="5" t="n">
        <f aca="false">COUNTIFS('Product Rows'!$A$2:$A$696,B323,'Product Rows'!$B$2:$B$696,C323,'Product Rows'!$G$2:$G$696,"Vial")</f>
        <v>0</v>
      </c>
      <c r="L323" s="5" t="n">
        <f aca="false">COUNTIFS('Product Rows'!$A$2:$A$696,B323,'Product Rows'!$B$2:$B$696,C323,'Product Rows'!$G$2:$G$696,"Ampoule")</f>
        <v>0</v>
      </c>
      <c r="M323" s="5" t="n">
        <f aca="false">COUNTIFS('Product Rows'!$A$2:$A$696,B323,'Product Rows'!$B$2:$B$696,C323,'Product Rows'!$G$2:$G$696,"Prefilled syringe/pen")</f>
        <v>0</v>
      </c>
      <c r="N323" s="6" t="str">
        <f aca="false">IFERROR(AVERAGEIFS('Product Rows'!$H$2:$H$696,'Product Rows'!$A$2:$A$696,B323,'Product Rows'!$B$2:$B$696,C323),"")</f>
        <v/>
      </c>
      <c r="O323" s="7" t="n">
        <f aca="false">INDEX('API Data'!$E$2:$E$152,MATCH(B323,'API Data'!$A$2:$A$152,0))</f>
        <v>4256.82552912915</v>
      </c>
      <c r="P323" s="5" t="n">
        <f aca="false">COUNTIF($B$5:$B$337,B323)</f>
        <v>3</v>
      </c>
      <c r="Q323" s="8" t="n">
        <f aca="false">IF(ISNUMBER(I323),PERCENTRANK($I$5:$I$337,I323),"")</f>
        <v>0.157</v>
      </c>
      <c r="R323" s="8" t="str">
        <f aca="false">IF(ISNUMBER(N323),PERCENTRANK($N$5:$N$337,N323),"")</f>
        <v/>
      </c>
      <c r="S323" s="8" t="n">
        <f aca="false">IF(ISNUMBER(O323),PERCENTRANK($O$5:$O$337,O323),"")</f>
        <v>0.512</v>
      </c>
      <c r="T323" s="8" t="n">
        <f aca="false">IF(ISNUMBER(P323),PERCENTRANK($P$5:$P$337,P323),"")</f>
        <v>0.416</v>
      </c>
      <c r="U323" s="9" t="n">
        <f aca="false">IF((IF(ISNUMBER(Q323),Inputs!$B$4,0)+IF(ISNUMBER(R323),Inputs!$B$5,0)+IF(ISNUMBER(S323),Inputs!$B$6,0)+IF(ISNUMBER(T323),Inputs!$B$7,0))=0,"",(IF(ISNUMBER(Q323),Inputs!$B$4*Q323,0)+IF(ISNUMBER(R323),Inputs!$B$5*R323,0)+IF(ISNUMBER(S323),Inputs!$B$6*S323,0)+IF(ISNUMBER(T323),Inputs!$B$7*T323,0))/(IF(ISNUMBER(Q323),Inputs!$B$4,0)+IF(ISNUMBER(R323),Inputs!$B$5,0)+IF(ISNUMBER(S323),Inputs!$B$6,0)+IF(ISNUMBER(T323),Inputs!$B$7,0)))</f>
        <v>0.512</v>
      </c>
      <c r="V323" s="5" t="str">
        <f aca="false">IF(F323&gt;0,"Yes","No")</f>
        <v>Yes</v>
      </c>
      <c r="W323" s="5" t="str">
        <f aca="false">IF(ISNUMBER(N323),IF(N323&gt;=Inputs!$D$18,"Yes","No"),"No price")</f>
        <v>No price</v>
      </c>
      <c r="X323" s="5" t="str">
        <f aca="false">IF(K323+L323&gt;0,"Yes",IF(M323&gt;0,"No","Unclear"))</f>
        <v>Unclear</v>
      </c>
      <c r="Y323" s="5" t="str">
        <f aca="false">INDEX('API Data'!$H$2:$H$152,MATCH(B323,'API Data'!$A$2:$A$152,0))</f>
        <v>No</v>
      </c>
      <c r="Z323" s="5" t="str">
        <f aca="false">IF(COUNTIFS('Product Rows'!$A$2:$A$696,B323,'Product Rows'!$B$2:$B$696,C323,'Product Rows'!$I$2:$I$696,"Yes")&gt;0,"Yes","No")</f>
        <v>No</v>
      </c>
      <c r="AA323" s="5" t="str">
        <f aca="false">IF(P323&gt;=Inputs!$D$22,"Yes","No")</f>
        <v>Yes</v>
      </c>
      <c r="AB323" s="10" t="b">
        <f aca="false">AND(OR(Inputs!$B$17&lt;&gt;"Exclude",V323="Yes"),OR(Inputs!$B$18&lt;&gt;"Exclude",W323&lt;&gt;"No"),OR(Inputs!$B$19&lt;&gt;"Exclude",X323&lt;&gt;"No"),OR(Inputs!$B$20&lt;&gt;"Exclude",Y323="No"),OR(Inputs!$B$21&lt;&gt;"Exclude",Z323="No"),OR(Inputs!$B$22&lt;&gt;"Exclude",AA323="Yes"),ISNUMBER(U323))</f>
        <v>1</v>
      </c>
      <c r="AC323" s="5" t="n">
        <f aca="false">IF(AB323,COUNTIFS($C$5:$C$337,C323,$AB$5:$AB$337,TRUE(),$U$5:$U$337,"&gt;"&amp;U323)+COUNTIFS($C$5:C323,C323,$AB$5:AB323,TRUE(),$U$5:U323,U323),"")</f>
        <v>11</v>
      </c>
      <c r="AD323" s="5" t="str">
        <f aca="false">IF(AC323="","Not eligible",IF(AC323&lt;=Inputs!$B$25,"Lead",IF(AC323&lt;=Inputs!$B$25+Inputs!$B$26,"Next wave","Long list")))</f>
        <v>Long list</v>
      </c>
      <c r="AE323" s="5" t="str">
        <f aca="false">IF(AND(K323+L323=0,M323&gt;0),"Safety upgrade of existing prefilled syringe",IF(K323+L323+M323=0,"Confirm presentation (not stated in source)",IF(AA323="Yes","Differentiation in crowded generic market","Safety-device mandate compliance")))</f>
        <v>Confirm presentation (not stated in source)</v>
      </c>
      <c r="AF323" s="5" t="str">
        <f aca="false">IF(AC323="","",C323&amp;"|"&amp;AC323)</f>
        <v>Dr. Reddy's Laboratories|11</v>
      </c>
    </row>
    <row r="324" customFormat="false" ht="15" hidden="false" customHeight="false" outlineLevel="0" collapsed="false">
      <c r="A324" s="5" t="n">
        <f aca="false">IF(ISNUMBER(U324),RANK(U324,$U$5:$U$337),"")</f>
        <v>79</v>
      </c>
      <c r="B324" s="5" t="s">
        <v>196</v>
      </c>
      <c r="C324" s="5" t="s">
        <v>44</v>
      </c>
      <c r="D324" s="5" t="str">
        <f aca="false">INDEX('API Data'!$B$2:$B$152,MATCH(B324,'API Data'!$A$2:$A$152,0))</f>
        <v>Immunology – psoriasis, psoriatic arthritis, Crohn's disease, ulcerative colitis</v>
      </c>
      <c r="E324" s="5" t="n">
        <f aca="false">COUNTIFS('Market Listing'!$A$2:$A$4054,B324,'Market Listing'!$B$2:$B$4054,C324)</f>
        <v>1</v>
      </c>
      <c r="F324" s="5" t="n">
        <f aca="false">COUNTIFS('Market Listing'!$A$2:$A$4054,B324,'Market Listing'!$B$2:$B$4054,C324,'Market Listing'!$D$2:$D$4054,"Tier 1")</f>
        <v>1</v>
      </c>
      <c r="G324" s="5" t="n">
        <f aca="false">COUNTIFS('Market Listing'!$A$2:$A$4054,B324,'Market Listing'!$B$2:$B$4054,C324,'Market Listing'!$D$2:$D$4054,"Tier 2")</f>
        <v>0</v>
      </c>
      <c r="H324" s="5" t="n">
        <f aca="false">COUNTIFS('Market Listing'!$A$2:$A$4054,B324,'Market Listing'!$B$2:$B$4054,C324,'Market Listing'!$D$2:$D$4054,"Tier 3")</f>
        <v>0</v>
      </c>
      <c r="I324" s="5" t="n">
        <f aca="false">SUMIFS('Market Listing'!$E$2:$E$4054,'Market Listing'!$A$2:$A$4054,B324,'Market Listing'!$B$2:$B$4054,C324)</f>
        <v>3</v>
      </c>
      <c r="J324" s="5" t="n">
        <f aca="false">COUNTIFS('Product Rows'!$A$2:$A$696,B324,'Product Rows'!$B$2:$B$696,C324)</f>
        <v>1</v>
      </c>
      <c r="K324" s="5" t="n">
        <f aca="false">COUNTIFS('Product Rows'!$A$2:$A$696,B324,'Product Rows'!$B$2:$B$696,C324,'Product Rows'!$G$2:$G$696,"Vial")</f>
        <v>0</v>
      </c>
      <c r="L324" s="5" t="n">
        <f aca="false">COUNTIFS('Product Rows'!$A$2:$A$696,B324,'Product Rows'!$B$2:$B$696,C324,'Product Rows'!$G$2:$G$696,"Ampoule")</f>
        <v>0</v>
      </c>
      <c r="M324" s="5" t="n">
        <f aca="false">COUNTIFS('Product Rows'!$A$2:$A$696,B324,'Product Rows'!$B$2:$B$696,C324,'Product Rows'!$G$2:$G$696,"Prefilled syringe/pen")</f>
        <v>1</v>
      </c>
      <c r="N324" s="6" t="n">
        <f aca="false">IFERROR(AVERAGEIFS('Product Rows'!$H$2:$H$696,'Product Rows'!$A$2:$A$696,B324,'Product Rows'!$B$2:$B$696,C324),"")</f>
        <v>2838.33</v>
      </c>
      <c r="O324" s="7" t="n">
        <f aca="false">INDEX('API Data'!$E$2:$E$152,MATCH(B324,'API Data'!$A$2:$A$152,0))</f>
        <v>2485.93</v>
      </c>
      <c r="P324" s="5" t="n">
        <f aca="false">COUNTIF($B$5:$B$337,B324)</f>
        <v>1</v>
      </c>
      <c r="Q324" s="8" t="n">
        <f aca="false">IF(ISNUMBER(I324),PERCENTRANK($I$5:$I$337,I324),"")</f>
        <v>0.157</v>
      </c>
      <c r="R324" s="8" t="n">
        <f aca="false">IF(ISNUMBER(N324),PERCENTRANK($N$5:$N$337,N324),"")</f>
        <v>0.975</v>
      </c>
      <c r="S324" s="8" t="n">
        <f aca="false">IF(ISNUMBER(O324),PERCENTRANK($O$5:$O$337,O324),"")</f>
        <v>0.307</v>
      </c>
      <c r="T324" s="8" t="n">
        <f aca="false">IF(ISNUMBER(P324),PERCENTRANK($P$5:$P$337,P324),"")</f>
        <v>0</v>
      </c>
      <c r="U324" s="9" t="n">
        <f aca="false">IF((IF(ISNUMBER(Q324),Inputs!$B$4,0)+IF(ISNUMBER(R324),Inputs!$B$5,0)+IF(ISNUMBER(S324),Inputs!$B$6,0)+IF(ISNUMBER(T324),Inputs!$B$7,0))=0,"",(IF(ISNUMBER(Q324),Inputs!$B$4*Q324,0)+IF(ISNUMBER(R324),Inputs!$B$5*R324,0)+IF(ISNUMBER(S324),Inputs!$B$6*S324,0)+IF(ISNUMBER(T324),Inputs!$B$7*T324,0))/(IF(ISNUMBER(Q324),Inputs!$B$4,0)+IF(ISNUMBER(R324),Inputs!$B$5,0)+IF(ISNUMBER(S324),Inputs!$B$6,0)+IF(ISNUMBER(T324),Inputs!$B$7,0)))</f>
        <v>0.641</v>
      </c>
      <c r="V324" s="5" t="str">
        <f aca="false">IF(F324&gt;0,"Yes","No")</f>
        <v>Yes</v>
      </c>
      <c r="W324" s="5" t="str">
        <f aca="false">IF(ISNUMBER(N324),IF(N324&gt;=Inputs!$D$18,"Yes","No"),"No price")</f>
        <v>Yes</v>
      </c>
      <c r="X324" s="5" t="str">
        <f aca="false">IF(K324+L324&gt;0,"Yes",IF(M324&gt;0,"No","Unclear"))</f>
        <v>No</v>
      </c>
      <c r="Y324" s="5" t="str">
        <f aca="false">INDEX('API Data'!$H$2:$H$152,MATCH(B324,'API Data'!$A$2:$A$152,0))</f>
        <v>No</v>
      </c>
      <c r="Z324" s="5" t="str">
        <f aca="false">IF(COUNTIFS('Product Rows'!$A$2:$A$696,B324,'Product Rows'!$B$2:$B$696,C324,'Product Rows'!$I$2:$I$696,"Yes")&gt;0,"Yes","No")</f>
        <v>No</v>
      </c>
      <c r="AA324" s="5" t="str">
        <f aca="false">IF(P324&gt;=Inputs!$D$22,"Yes","No")</f>
        <v>No</v>
      </c>
      <c r="AB324" s="10" t="b">
        <f aca="false">AND(OR(Inputs!$B$17&lt;&gt;"Exclude",V324="Yes"),OR(Inputs!$B$18&lt;&gt;"Exclude",W324&lt;&gt;"No"),OR(Inputs!$B$19&lt;&gt;"Exclude",X324&lt;&gt;"No"),OR(Inputs!$B$20&lt;&gt;"Exclude",Y324="No"),OR(Inputs!$B$21&lt;&gt;"Exclude",Z324="No"),OR(Inputs!$B$22&lt;&gt;"Exclude",AA324="Yes"),ISNUMBER(U324))</f>
        <v>1</v>
      </c>
      <c r="AC324" s="5" t="n">
        <f aca="false">IF(AB324,COUNTIFS($C$5:$C$337,C324,$AB$5:$AB$337,TRUE(),$U$5:$U$337,"&gt;"&amp;U324)+COUNTIFS($C$5:C324,C324,$AB$5:AB324,TRUE(),$U$5:U324,U324),"")</f>
        <v>15</v>
      </c>
      <c r="AD324" s="5" t="str">
        <f aca="false">IF(AC324="","Not eligible",IF(AC324&lt;=Inputs!$B$25,"Lead",IF(AC324&lt;=Inputs!$B$25+Inputs!$B$26,"Next wave","Long list")))</f>
        <v>Long list</v>
      </c>
      <c r="AE324" s="5" t="str">
        <f aca="false">IF(AND(K324+L324=0,M324&gt;0),"Safety upgrade of existing prefilled syringe",IF(K324+L324+M324=0,"Confirm presentation (not stated in source)",IF(AA324="Yes","Differentiation in crowded generic market","Safety-device mandate compliance")))</f>
        <v>Safety upgrade of existing prefilled syringe</v>
      </c>
      <c r="AF324" s="5" t="str">
        <f aca="false">IF(AC324="","",C324&amp;"|"&amp;AC324)</f>
        <v>Intas Pharmaceuticals|15</v>
      </c>
    </row>
    <row r="325" customFormat="false" ht="15" hidden="false" customHeight="false" outlineLevel="0" collapsed="false">
      <c r="A325" s="5" t="n">
        <f aca="false">IF(ISNUMBER(U325),RANK(U325,$U$5:$U$337),"")</f>
        <v>153</v>
      </c>
      <c r="B325" s="5" t="s">
        <v>197</v>
      </c>
      <c r="C325" s="5" t="s">
        <v>38</v>
      </c>
      <c r="D325" s="5" t="str">
        <f aca="false">INDEX('API Data'!$B$2:$B$152,MATCH(B325,'API Data'!$A$2:$A$152,0))</f>
        <v>Anti-infective – MRSA &amp; serious Gram-positive infections</v>
      </c>
      <c r="E325" s="5" t="n">
        <f aca="false">COUNTIFS('Market Listing'!$A$2:$A$4054,B325,'Market Listing'!$B$2:$B$4054,C325)</f>
        <v>27</v>
      </c>
      <c r="F325" s="5" t="n">
        <f aca="false">COUNTIFS('Market Listing'!$A$2:$A$4054,B325,'Market Listing'!$B$2:$B$4054,C325,'Market Listing'!$D$2:$D$4054,"Tier 1")</f>
        <v>5</v>
      </c>
      <c r="G325" s="5" t="n">
        <f aca="false">COUNTIFS('Market Listing'!$A$2:$A$4054,B325,'Market Listing'!$B$2:$B$4054,C325,'Market Listing'!$D$2:$D$4054,"Tier 2")</f>
        <v>3</v>
      </c>
      <c r="H325" s="5" t="n">
        <f aca="false">COUNTIFS('Market Listing'!$A$2:$A$4054,B325,'Market Listing'!$B$2:$B$4054,C325,'Market Listing'!$D$2:$D$4054,"Tier 3")</f>
        <v>19</v>
      </c>
      <c r="I325" s="5" t="n">
        <f aca="false">SUMIFS('Market Listing'!$E$2:$E$4054,'Market Listing'!$A$2:$A$4054,B325,'Market Listing'!$B$2:$B$4054,C325)</f>
        <v>40</v>
      </c>
      <c r="J325" s="5" t="n">
        <f aca="false">COUNTIFS('Product Rows'!$A$2:$A$696,B325,'Product Rows'!$B$2:$B$696,C325)</f>
        <v>1</v>
      </c>
      <c r="K325" s="5" t="n">
        <f aca="false">COUNTIFS('Product Rows'!$A$2:$A$696,B325,'Product Rows'!$B$2:$B$696,C325,'Product Rows'!$G$2:$G$696,"Vial")</f>
        <v>1</v>
      </c>
      <c r="L325" s="5" t="n">
        <f aca="false">COUNTIFS('Product Rows'!$A$2:$A$696,B325,'Product Rows'!$B$2:$B$696,C325,'Product Rows'!$G$2:$G$696,"Ampoule")</f>
        <v>0</v>
      </c>
      <c r="M325" s="5" t="n">
        <f aca="false">COUNTIFS('Product Rows'!$A$2:$A$696,B325,'Product Rows'!$B$2:$B$696,C325,'Product Rows'!$G$2:$G$696,"Prefilled syringe/pen")</f>
        <v>0</v>
      </c>
      <c r="N325" s="6" t="n">
        <f aca="false">IFERROR(AVERAGEIFS('Product Rows'!$H$2:$H$696,'Product Rows'!$A$2:$A$696,B325,'Product Rows'!$B$2:$B$696,C325),"")</f>
        <v>6.7348</v>
      </c>
      <c r="O325" s="7" t="n">
        <f aca="false">INDEX('API Data'!$E$2:$E$152,MATCH(B325,'API Data'!$A$2:$A$152,0))</f>
        <v>44038.9187717876</v>
      </c>
      <c r="P325" s="5" t="n">
        <f aca="false">COUNTIF($B$5:$B$337,B325)</f>
        <v>1</v>
      </c>
      <c r="Q325" s="8" t="n">
        <f aca="false">IF(ISNUMBER(I325),PERCENTRANK($I$5:$I$337,I325),"")</f>
        <v>0.699</v>
      </c>
      <c r="R325" s="8" t="n">
        <f aca="false">IF(ISNUMBER(N325),PERCENTRANK($N$5:$N$337,N325),"")</f>
        <v>0.086</v>
      </c>
      <c r="S325" s="8" t="n">
        <f aca="false">IF(ISNUMBER(O325),PERCENTRANK($O$5:$O$337,O325),"")</f>
        <v>0.919</v>
      </c>
      <c r="T325" s="8" t="n">
        <f aca="false">IF(ISNUMBER(P325),PERCENTRANK($P$5:$P$337,P325),"")</f>
        <v>0</v>
      </c>
      <c r="U325" s="9" t="n">
        <f aca="false">IF((IF(ISNUMBER(Q325),Inputs!$B$4,0)+IF(ISNUMBER(R325),Inputs!$B$5,0)+IF(ISNUMBER(S325),Inputs!$B$6,0)+IF(ISNUMBER(T325),Inputs!$B$7,0))=0,"",(IF(ISNUMBER(Q325),Inputs!$B$4*Q325,0)+IF(ISNUMBER(R325),Inputs!$B$5*R325,0)+IF(ISNUMBER(S325),Inputs!$B$6*S325,0)+IF(ISNUMBER(T325),Inputs!$B$7*T325,0))/(IF(ISNUMBER(Q325),Inputs!$B$4,0)+IF(ISNUMBER(R325),Inputs!$B$5,0)+IF(ISNUMBER(S325),Inputs!$B$6,0)+IF(ISNUMBER(T325),Inputs!$B$7,0)))</f>
        <v>0.5025</v>
      </c>
      <c r="V325" s="5" t="str">
        <f aca="false">IF(F325&gt;0,"Yes","No")</f>
        <v>Yes</v>
      </c>
      <c r="W325" s="5" t="str">
        <f aca="false">IF(ISNUMBER(N325),IF(N325&gt;=Inputs!$D$18,"Yes","No"),"No price")</f>
        <v>Yes</v>
      </c>
      <c r="X325" s="5" t="str">
        <f aca="false">IF(K325+L325&gt;0,"Yes",IF(M325&gt;0,"No","Unclear"))</f>
        <v>Yes</v>
      </c>
      <c r="Y325" s="5" t="str">
        <f aca="false">INDEX('API Data'!$H$2:$H$152,MATCH(B325,'API Data'!$A$2:$A$152,0))</f>
        <v>No</v>
      </c>
      <c r="Z325" s="5" t="str">
        <f aca="false">IF(COUNTIFS('Product Rows'!$A$2:$A$696,B325,'Product Rows'!$B$2:$B$696,C325,'Product Rows'!$I$2:$I$696,"Yes")&gt;0,"Yes","No")</f>
        <v>Yes</v>
      </c>
      <c r="AA325" s="5" t="str">
        <f aca="false">IF(P325&gt;=Inputs!$D$22,"Yes","No")</f>
        <v>No</v>
      </c>
      <c r="AB325" s="10" t="b">
        <f aca="false">AND(OR(Inputs!$B$17&lt;&gt;"Exclude",V325="Yes"),OR(Inputs!$B$18&lt;&gt;"Exclude",W325&lt;&gt;"No"),OR(Inputs!$B$19&lt;&gt;"Exclude",X325&lt;&gt;"No"),OR(Inputs!$B$20&lt;&gt;"Exclude",Y325="No"),OR(Inputs!$B$21&lt;&gt;"Exclude",Z325="No"),OR(Inputs!$B$22&lt;&gt;"Exclude",AA325="Yes"),ISNUMBER(U325))</f>
        <v>1</v>
      </c>
      <c r="AC325" s="5" t="n">
        <f aca="false">IF(AB325,COUNTIFS($C$5:$C$337,C325,$AB$5:$AB$337,TRUE(),$U$5:$U$337,"&gt;"&amp;U325)+COUNTIFS($C$5:C325,C325,$AB$5:AB325,TRUE(),$U$5:U325,U325),"")</f>
        <v>4</v>
      </c>
      <c r="AD325" s="5" t="str">
        <f aca="false">IF(AC325="","Not eligible",IF(AC325&lt;=Inputs!$B$25,"Lead",IF(AC325&lt;=Inputs!$B$25+Inputs!$B$26,"Next wave","Long list")))</f>
        <v>Lead</v>
      </c>
      <c r="AE325" s="5" t="str">
        <f aca="false">IF(AND(K325+L325=0,M325&gt;0),"Safety upgrade of existing prefilled syringe",IF(K325+L325+M325=0,"Confirm presentation (not stated in source)",IF(AA325="Yes","Differentiation in crowded generic market","Safety-device mandate compliance")))</f>
        <v>Safety-device mandate compliance</v>
      </c>
      <c r="AF325" s="5" t="str">
        <f aca="false">IF(AC325="","",C325&amp;"|"&amp;AC325)</f>
        <v>Wockhardt|4</v>
      </c>
    </row>
    <row r="326" customFormat="false" ht="15" hidden="false" customHeight="false" outlineLevel="0" collapsed="false">
      <c r="A326" s="5" t="n">
        <f aca="false">IF(ISNUMBER(U326),RANK(U326,$U$5:$U$337),"")</f>
        <v>164</v>
      </c>
      <c r="B326" s="5" t="s">
        <v>198</v>
      </c>
      <c r="C326" s="5" t="s">
        <v>47</v>
      </c>
      <c r="D326" s="5" t="str">
        <f aca="false">INDEX('API Data'!$B$2:$B$152,MATCH(B326,'API Data'!$A$2:$A$152,0))</f>
        <v>Anaesthesia – muscle relaxant for intubation &amp; surgery</v>
      </c>
      <c r="E326" s="5" t="n">
        <f aca="false">COUNTIFS('Market Listing'!$A$2:$A$4054,B326,'Market Listing'!$B$2:$B$4054,C326)</f>
        <v>1</v>
      </c>
      <c r="F326" s="5" t="n">
        <f aca="false">COUNTIFS('Market Listing'!$A$2:$A$4054,B326,'Market Listing'!$B$2:$B$4054,C326,'Market Listing'!$D$2:$D$4054,"Tier 1")</f>
        <v>1</v>
      </c>
      <c r="G326" s="5" t="n">
        <f aca="false">COUNTIFS('Market Listing'!$A$2:$A$4054,B326,'Market Listing'!$B$2:$B$4054,C326,'Market Listing'!$D$2:$D$4054,"Tier 2")</f>
        <v>0</v>
      </c>
      <c r="H326" s="5" t="n">
        <f aca="false">COUNTIFS('Market Listing'!$A$2:$A$4054,B326,'Market Listing'!$B$2:$B$4054,C326,'Market Listing'!$D$2:$D$4054,"Tier 3")</f>
        <v>0</v>
      </c>
      <c r="I326" s="5" t="n">
        <f aca="false">SUMIFS('Market Listing'!$E$2:$E$4054,'Market Listing'!$A$2:$A$4054,B326,'Market Listing'!$B$2:$B$4054,C326)</f>
        <v>3</v>
      </c>
      <c r="J326" s="5" t="n">
        <f aca="false">COUNTIFS('Product Rows'!$A$2:$A$696,B326,'Product Rows'!$B$2:$B$696,C326)</f>
        <v>2</v>
      </c>
      <c r="K326" s="5" t="n">
        <f aca="false">COUNTIFS('Product Rows'!$A$2:$A$696,B326,'Product Rows'!$B$2:$B$696,C326,'Product Rows'!$G$2:$G$696,"Vial")</f>
        <v>2</v>
      </c>
      <c r="L326" s="5" t="n">
        <f aca="false">COUNTIFS('Product Rows'!$A$2:$A$696,B326,'Product Rows'!$B$2:$B$696,C326,'Product Rows'!$G$2:$G$696,"Ampoule")</f>
        <v>0</v>
      </c>
      <c r="M326" s="5" t="n">
        <f aca="false">COUNTIFS('Product Rows'!$A$2:$A$696,B326,'Product Rows'!$B$2:$B$696,C326,'Product Rows'!$G$2:$G$696,"Prefilled syringe/pen")</f>
        <v>0</v>
      </c>
      <c r="N326" s="6" t="str">
        <f aca="false">IFERROR(AVERAGEIFS('Product Rows'!$H$2:$H$696,'Product Rows'!$A$2:$A$696,B326,'Product Rows'!$B$2:$B$696,C326),"")</f>
        <v/>
      </c>
      <c r="O326" s="7" t="n">
        <f aca="false">INDEX('API Data'!$E$2:$E$152,MATCH(B326,'API Data'!$A$2:$A$152,0))</f>
        <v>3923.58</v>
      </c>
      <c r="P326" s="5" t="n">
        <f aca="false">COUNTIF($B$5:$B$337,B326)</f>
        <v>2</v>
      </c>
      <c r="Q326" s="8" t="n">
        <f aca="false">IF(ISNUMBER(I326),PERCENTRANK($I$5:$I$337,I326),"")</f>
        <v>0.157</v>
      </c>
      <c r="R326" s="8" t="str">
        <f aca="false">IF(ISNUMBER(N326),PERCENTRANK($N$5:$N$337,N326),"")</f>
        <v/>
      </c>
      <c r="S326" s="8" t="n">
        <f aca="false">IF(ISNUMBER(O326),PERCENTRANK($O$5:$O$337,O326),"")</f>
        <v>0.488</v>
      </c>
      <c r="T326" s="8" t="n">
        <f aca="false">IF(ISNUMBER(P326),PERCENTRANK($P$5:$P$337,P326),"")</f>
        <v>0.235</v>
      </c>
      <c r="U326" s="9" t="n">
        <f aca="false">IF((IF(ISNUMBER(Q326),Inputs!$B$4,0)+IF(ISNUMBER(R326),Inputs!$B$5,0)+IF(ISNUMBER(S326),Inputs!$B$6,0)+IF(ISNUMBER(T326),Inputs!$B$7,0))=0,"",(IF(ISNUMBER(Q326),Inputs!$B$4*Q326,0)+IF(ISNUMBER(R326),Inputs!$B$5*R326,0)+IF(ISNUMBER(S326),Inputs!$B$6*S326,0)+IF(ISNUMBER(T326),Inputs!$B$7*T326,0))/(IF(ISNUMBER(Q326),Inputs!$B$4,0)+IF(ISNUMBER(R326),Inputs!$B$5,0)+IF(ISNUMBER(S326),Inputs!$B$6,0)+IF(ISNUMBER(T326),Inputs!$B$7,0)))</f>
        <v>0.488</v>
      </c>
      <c r="V326" s="5" t="str">
        <f aca="false">IF(F326&gt;0,"Yes","No")</f>
        <v>Yes</v>
      </c>
      <c r="W326" s="5" t="str">
        <f aca="false">IF(ISNUMBER(N326),IF(N326&gt;=Inputs!$D$18,"Yes","No"),"No price")</f>
        <v>No price</v>
      </c>
      <c r="X326" s="5" t="str">
        <f aca="false">IF(K326+L326&gt;0,"Yes",IF(M326&gt;0,"No","Unclear"))</f>
        <v>Yes</v>
      </c>
      <c r="Y326" s="5" t="str">
        <f aca="false">INDEX('API Data'!$H$2:$H$152,MATCH(B326,'API Data'!$A$2:$A$152,0))</f>
        <v>No</v>
      </c>
      <c r="Z326" s="5" t="str">
        <f aca="false">IF(COUNTIFS('Product Rows'!$A$2:$A$696,B326,'Product Rows'!$B$2:$B$696,C326,'Product Rows'!$I$2:$I$696,"Yes")&gt;0,"Yes","No")</f>
        <v>No</v>
      </c>
      <c r="AA326" s="5" t="str">
        <f aca="false">IF(P326&gt;=Inputs!$D$22,"Yes","No")</f>
        <v>No</v>
      </c>
      <c r="AB326" s="10" t="b">
        <f aca="false">AND(OR(Inputs!$B$17&lt;&gt;"Exclude",V326="Yes"),OR(Inputs!$B$18&lt;&gt;"Exclude",W326&lt;&gt;"No"),OR(Inputs!$B$19&lt;&gt;"Exclude",X326&lt;&gt;"No"),OR(Inputs!$B$20&lt;&gt;"Exclude",Y326="No"),OR(Inputs!$B$21&lt;&gt;"Exclude",Z326="No"),OR(Inputs!$B$22&lt;&gt;"Exclude",AA326="Yes"),ISNUMBER(U326))</f>
        <v>1</v>
      </c>
      <c r="AC326" s="5" t="n">
        <f aca="false">IF(AB326,COUNTIFS($C$5:$C$337,C326,$AB$5:$AB$337,TRUE(),$U$5:$U$337,"&gt;"&amp;U326)+COUNTIFS($C$5:C326,C326,$AB$5:AB326,TRUE(),$U$5:U326,U326),"")</f>
        <v>27</v>
      </c>
      <c r="AD326" s="5" t="str">
        <f aca="false">IF(AC326="","Not eligible",IF(AC326&lt;=Inputs!$B$25,"Lead",IF(AC326&lt;=Inputs!$B$25+Inputs!$B$26,"Next wave","Long list")))</f>
        <v>Long list</v>
      </c>
      <c r="AE326" s="5" t="str">
        <f aca="false">IF(AND(K326+L326=0,M326&gt;0),"Safety upgrade of existing prefilled syringe",IF(K326+L326+M326=0,"Confirm presentation (not stated in source)",IF(AA326="Yes","Differentiation in crowded generic market","Safety-device mandate compliance")))</f>
        <v>Safety-device mandate compliance</v>
      </c>
      <c r="AF326" s="5" t="str">
        <f aca="false">IF(AC326="","",C326&amp;"|"&amp;AC326)</f>
        <v>Aurobindo Pharma|27</v>
      </c>
    </row>
    <row r="327" customFormat="false" ht="15" hidden="false" customHeight="false" outlineLevel="0" collapsed="false">
      <c r="A327" s="5" t="n">
        <f aca="false">IF(ISNUMBER(U327),RANK(U327,$U$5:$U$337),"")</f>
        <v>248</v>
      </c>
      <c r="B327" s="5" t="s">
        <v>198</v>
      </c>
      <c r="C327" s="5" t="s">
        <v>50</v>
      </c>
      <c r="D327" s="5" t="str">
        <f aca="false">INDEX('API Data'!$B$2:$B$152,MATCH(B327,'API Data'!$A$2:$A$152,0))</f>
        <v>Anaesthesia – muscle relaxant for intubation &amp; surgery</v>
      </c>
      <c r="E327" s="5" t="n">
        <f aca="false">COUNTIFS('Market Listing'!$A$2:$A$4054,B327,'Market Listing'!$B$2:$B$4054,C327)</f>
        <v>9</v>
      </c>
      <c r="F327" s="5" t="n">
        <f aca="false">COUNTIFS('Market Listing'!$A$2:$A$4054,B327,'Market Listing'!$B$2:$B$4054,C327,'Market Listing'!$D$2:$D$4054,"Tier 1")</f>
        <v>4</v>
      </c>
      <c r="G327" s="5" t="n">
        <f aca="false">COUNTIFS('Market Listing'!$A$2:$A$4054,B327,'Market Listing'!$B$2:$B$4054,C327,'Market Listing'!$D$2:$D$4054,"Tier 2")</f>
        <v>2</v>
      </c>
      <c r="H327" s="5" t="n">
        <f aca="false">COUNTIFS('Market Listing'!$A$2:$A$4054,B327,'Market Listing'!$B$2:$B$4054,C327,'Market Listing'!$D$2:$D$4054,"Tier 3")</f>
        <v>3</v>
      </c>
      <c r="I327" s="5" t="n">
        <f aca="false">SUMIFS('Market Listing'!$E$2:$E$4054,'Market Listing'!$A$2:$A$4054,B327,'Market Listing'!$B$2:$B$4054,C327)</f>
        <v>19</v>
      </c>
      <c r="J327" s="5" t="n">
        <f aca="false">COUNTIFS('Product Rows'!$A$2:$A$696,B327,'Product Rows'!$B$2:$B$696,C327)</f>
        <v>5</v>
      </c>
      <c r="K327" s="5" t="n">
        <f aca="false">COUNTIFS('Product Rows'!$A$2:$A$696,B327,'Product Rows'!$B$2:$B$696,C327,'Product Rows'!$G$2:$G$696,"Vial")</f>
        <v>5</v>
      </c>
      <c r="L327" s="5" t="n">
        <f aca="false">COUNTIFS('Product Rows'!$A$2:$A$696,B327,'Product Rows'!$B$2:$B$696,C327,'Product Rows'!$G$2:$G$696,"Ampoule")</f>
        <v>0</v>
      </c>
      <c r="M327" s="5" t="n">
        <f aca="false">COUNTIFS('Product Rows'!$A$2:$A$696,B327,'Product Rows'!$B$2:$B$696,C327,'Product Rows'!$G$2:$G$696,"Prefilled syringe/pen")</f>
        <v>0</v>
      </c>
      <c r="N327" s="6" t="n">
        <f aca="false">IFERROR(AVERAGEIFS('Product Rows'!$H$2:$H$696,'Product Rows'!$A$2:$A$696,B327,'Product Rows'!$B$2:$B$696,C327),"")</f>
        <v>9.75015</v>
      </c>
      <c r="O327" s="7" t="n">
        <f aca="false">INDEX('API Data'!$E$2:$E$152,MATCH(B327,'API Data'!$A$2:$A$152,0))</f>
        <v>3923.58</v>
      </c>
      <c r="P327" s="5" t="n">
        <f aca="false">COUNTIF($B$5:$B$337,B327)</f>
        <v>2</v>
      </c>
      <c r="Q327" s="8" t="n">
        <f aca="false">IF(ISNUMBER(I327),PERCENTRANK($I$5:$I$337,I327),"")</f>
        <v>0.596</v>
      </c>
      <c r="R327" s="8" t="n">
        <f aca="false">IF(ISNUMBER(N327),PERCENTRANK($N$5:$N$337,N327),"")</f>
        <v>0.194</v>
      </c>
      <c r="S327" s="8" t="n">
        <f aca="false">IF(ISNUMBER(O327),PERCENTRANK($O$5:$O$337,O327),"")</f>
        <v>0.488</v>
      </c>
      <c r="T327" s="8" t="n">
        <f aca="false">IF(ISNUMBER(P327),PERCENTRANK($P$5:$P$337,P327),"")</f>
        <v>0.235</v>
      </c>
      <c r="U327" s="9" t="n">
        <f aca="false">IF((IF(ISNUMBER(Q327),Inputs!$B$4,0)+IF(ISNUMBER(R327),Inputs!$B$5,0)+IF(ISNUMBER(S327),Inputs!$B$6,0)+IF(ISNUMBER(T327),Inputs!$B$7,0))=0,"",(IF(ISNUMBER(Q327),Inputs!$B$4*Q327,0)+IF(ISNUMBER(R327),Inputs!$B$5*R327,0)+IF(ISNUMBER(S327),Inputs!$B$6*S327,0)+IF(ISNUMBER(T327),Inputs!$B$7*T327,0))/(IF(ISNUMBER(Q327),Inputs!$B$4,0)+IF(ISNUMBER(R327),Inputs!$B$5,0)+IF(ISNUMBER(S327),Inputs!$B$6,0)+IF(ISNUMBER(T327),Inputs!$B$7,0)))</f>
        <v>0.341</v>
      </c>
      <c r="V327" s="5" t="str">
        <f aca="false">IF(F327&gt;0,"Yes","No")</f>
        <v>Yes</v>
      </c>
      <c r="W327" s="5" t="str">
        <f aca="false">IF(ISNUMBER(N327),IF(N327&gt;=Inputs!$D$18,"Yes","No"),"No price")</f>
        <v>Yes</v>
      </c>
      <c r="X327" s="5" t="str">
        <f aca="false">IF(K327+L327&gt;0,"Yes",IF(M327&gt;0,"No","Unclear"))</f>
        <v>Yes</v>
      </c>
      <c r="Y327" s="5" t="str">
        <f aca="false">INDEX('API Data'!$H$2:$H$152,MATCH(B327,'API Data'!$A$2:$A$152,0))</f>
        <v>No</v>
      </c>
      <c r="Z327" s="5" t="str">
        <f aca="false">IF(COUNTIFS('Product Rows'!$A$2:$A$696,B327,'Product Rows'!$B$2:$B$696,C327,'Product Rows'!$I$2:$I$696,"Yes")&gt;0,"Yes","No")</f>
        <v>Yes</v>
      </c>
      <c r="AA327" s="5" t="str">
        <f aca="false">IF(P327&gt;=Inputs!$D$22,"Yes","No")</f>
        <v>No</v>
      </c>
      <c r="AB327" s="10" t="b">
        <f aca="false">AND(OR(Inputs!$B$17&lt;&gt;"Exclude",V327="Yes"),OR(Inputs!$B$18&lt;&gt;"Exclude",W327&lt;&gt;"No"),OR(Inputs!$B$19&lt;&gt;"Exclude",X327&lt;&gt;"No"),OR(Inputs!$B$20&lt;&gt;"Exclude",Y327="No"),OR(Inputs!$B$21&lt;&gt;"Exclude",Z327="No"),OR(Inputs!$B$22&lt;&gt;"Exclude",AA327="Yes"),ISNUMBER(U327))</f>
        <v>1</v>
      </c>
      <c r="AC327" s="5" t="n">
        <f aca="false">IF(AB327,COUNTIFS($C$5:$C$337,C327,$AB$5:$AB$337,TRUE(),$U$5:$U$337,"&gt;"&amp;U327)+COUNTIFS($C$5:C327,C327,$AB$5:AB327,TRUE(),$U$5:U327,U327),"")</f>
        <v>15</v>
      </c>
      <c r="AD327" s="5" t="str">
        <f aca="false">IF(AC327="","Not eligible",IF(AC327&lt;=Inputs!$B$25,"Lead",IF(AC327&lt;=Inputs!$B$25+Inputs!$B$26,"Next wave","Long list")))</f>
        <v>Long list</v>
      </c>
      <c r="AE327" s="5" t="str">
        <f aca="false">IF(AND(K327+L327=0,M327&gt;0),"Safety upgrade of existing prefilled syringe",IF(K327+L327+M327=0,"Confirm presentation (not stated in source)",IF(AA327="Yes","Differentiation in crowded generic market","Safety-device mandate compliance")))</f>
        <v>Safety-device mandate compliance</v>
      </c>
      <c r="AF327" s="5" t="str">
        <f aca="false">IF(AC327="","",C327&amp;"|"&amp;AC327)</f>
        <v>Sun Pharma|15</v>
      </c>
    </row>
    <row r="328" customFormat="false" ht="15" hidden="false" customHeight="false" outlineLevel="0" collapsed="false">
      <c r="A328" s="5" t="n">
        <f aca="false">IF(ISNUMBER(U328),RANK(U328,$U$5:$U$337),"")</f>
        <v>273</v>
      </c>
      <c r="B328" s="5" t="s">
        <v>199</v>
      </c>
      <c r="C328" s="5" t="s">
        <v>47</v>
      </c>
      <c r="D328" s="5" t="str">
        <f aca="false">INDEX('API Data'!$B$2:$B$152,MATCH(B328,'API Data'!$A$2:$A$152,0))</f>
        <v>Cardiovascular – supraventricular tachycardia, atrial fibrillation rate control</v>
      </c>
      <c r="E328" s="5" t="n">
        <f aca="false">COUNTIFS('Market Listing'!$A$2:$A$4054,B328,'Market Listing'!$B$2:$B$4054,C328)</f>
        <v>1</v>
      </c>
      <c r="F328" s="5" t="n">
        <f aca="false">COUNTIFS('Market Listing'!$A$2:$A$4054,B328,'Market Listing'!$B$2:$B$4054,C328,'Market Listing'!$D$2:$D$4054,"Tier 1")</f>
        <v>1</v>
      </c>
      <c r="G328" s="5" t="n">
        <f aca="false">COUNTIFS('Market Listing'!$A$2:$A$4054,B328,'Market Listing'!$B$2:$B$4054,C328,'Market Listing'!$D$2:$D$4054,"Tier 2")</f>
        <v>0</v>
      </c>
      <c r="H328" s="5" t="n">
        <f aca="false">COUNTIFS('Market Listing'!$A$2:$A$4054,B328,'Market Listing'!$B$2:$B$4054,C328,'Market Listing'!$D$2:$D$4054,"Tier 3")</f>
        <v>0</v>
      </c>
      <c r="I328" s="5" t="n">
        <f aca="false">SUMIFS('Market Listing'!$E$2:$E$4054,'Market Listing'!$A$2:$A$4054,B328,'Market Listing'!$B$2:$B$4054,C328)</f>
        <v>3</v>
      </c>
      <c r="J328" s="5" t="n">
        <f aca="false">COUNTIFS('Product Rows'!$A$2:$A$696,B328,'Product Rows'!$B$2:$B$696,C328)</f>
        <v>1</v>
      </c>
      <c r="K328" s="5" t="n">
        <f aca="false">COUNTIFS('Product Rows'!$A$2:$A$696,B328,'Product Rows'!$B$2:$B$696,C328,'Product Rows'!$G$2:$G$696,"Vial")</f>
        <v>1</v>
      </c>
      <c r="L328" s="5" t="n">
        <f aca="false">COUNTIFS('Product Rows'!$A$2:$A$696,B328,'Product Rows'!$B$2:$B$696,C328,'Product Rows'!$G$2:$G$696,"Ampoule")</f>
        <v>0</v>
      </c>
      <c r="M328" s="5" t="n">
        <f aca="false">COUNTIFS('Product Rows'!$A$2:$A$696,B328,'Product Rows'!$B$2:$B$696,C328,'Product Rows'!$G$2:$G$696,"Prefilled syringe/pen")</f>
        <v>0</v>
      </c>
      <c r="N328" s="6" t="n">
        <f aca="false">IFERROR(AVERAGEIFS('Product Rows'!$H$2:$H$696,'Product Rows'!$A$2:$A$696,B328,'Product Rows'!$B$2:$B$696,C328),"")</f>
        <v>13.63</v>
      </c>
      <c r="O328" s="7" t="n">
        <f aca="false">INDEX('API Data'!$E$2:$E$152,MATCH(B328,'API Data'!$A$2:$A$152,0))</f>
        <v>2476.9006570147</v>
      </c>
      <c r="P328" s="5" t="n">
        <f aca="false">COUNTIF($B$5:$B$337,B328)</f>
        <v>4</v>
      </c>
      <c r="Q328" s="8" t="n">
        <f aca="false">IF(ISNUMBER(I328),PERCENTRANK($I$5:$I$337,I328),"")</f>
        <v>0.157</v>
      </c>
      <c r="R328" s="8" t="n">
        <f aca="false">IF(ISNUMBER(N328),PERCENTRANK($N$5:$N$337,N328),"")</f>
        <v>0.269</v>
      </c>
      <c r="S328" s="8" t="n">
        <f aca="false">IF(ISNUMBER(O328),PERCENTRANK($O$5:$O$337,O328),"")</f>
        <v>0.295</v>
      </c>
      <c r="T328" s="8" t="n">
        <f aca="false">IF(ISNUMBER(P328),PERCENTRANK($P$5:$P$337,P328),"")</f>
        <v>0.569</v>
      </c>
      <c r="U328" s="9" t="n">
        <f aca="false">IF((IF(ISNUMBER(Q328),Inputs!$B$4,0)+IF(ISNUMBER(R328),Inputs!$B$5,0)+IF(ISNUMBER(S328),Inputs!$B$6,0)+IF(ISNUMBER(T328),Inputs!$B$7,0))=0,"",(IF(ISNUMBER(Q328),Inputs!$B$4*Q328,0)+IF(ISNUMBER(R328),Inputs!$B$5*R328,0)+IF(ISNUMBER(S328),Inputs!$B$6*S328,0)+IF(ISNUMBER(T328),Inputs!$B$7*T328,0))/(IF(ISNUMBER(Q328),Inputs!$B$4,0)+IF(ISNUMBER(R328),Inputs!$B$5,0)+IF(ISNUMBER(S328),Inputs!$B$6,0)+IF(ISNUMBER(T328),Inputs!$B$7,0)))</f>
        <v>0.282</v>
      </c>
      <c r="V328" s="5" t="str">
        <f aca="false">IF(F328&gt;0,"Yes","No")</f>
        <v>Yes</v>
      </c>
      <c r="W328" s="5" t="str">
        <f aca="false">IF(ISNUMBER(N328),IF(N328&gt;=Inputs!$D$18,"Yes","No"),"No price")</f>
        <v>Yes</v>
      </c>
      <c r="X328" s="5" t="str">
        <f aca="false">IF(K328+L328&gt;0,"Yes",IF(M328&gt;0,"No","Unclear"))</f>
        <v>Yes</v>
      </c>
      <c r="Y328" s="5" t="str">
        <f aca="false">INDEX('API Data'!$H$2:$H$152,MATCH(B328,'API Data'!$A$2:$A$152,0))</f>
        <v>No</v>
      </c>
      <c r="Z328" s="5" t="str">
        <f aca="false">IF(COUNTIFS('Product Rows'!$A$2:$A$696,B328,'Product Rows'!$B$2:$B$696,C328,'Product Rows'!$I$2:$I$696,"Yes")&gt;0,"Yes","No")</f>
        <v>No</v>
      </c>
      <c r="AA328" s="5" t="str">
        <f aca="false">IF(P328&gt;=Inputs!$D$22,"Yes","No")</f>
        <v>Yes</v>
      </c>
      <c r="AB328" s="10" t="b">
        <f aca="false">AND(OR(Inputs!$B$17&lt;&gt;"Exclude",V328="Yes"),OR(Inputs!$B$18&lt;&gt;"Exclude",W328&lt;&gt;"No"),OR(Inputs!$B$19&lt;&gt;"Exclude",X328&lt;&gt;"No"),OR(Inputs!$B$20&lt;&gt;"Exclude",Y328="No"),OR(Inputs!$B$21&lt;&gt;"Exclude",Z328="No"),OR(Inputs!$B$22&lt;&gt;"Exclude",AA328="Yes"),ISNUMBER(U328))</f>
        <v>1</v>
      </c>
      <c r="AC328" s="5" t="n">
        <f aca="false">IF(AB328,COUNTIFS($C$5:$C$337,C328,$AB$5:$AB$337,TRUE(),$U$5:$U$337,"&gt;"&amp;U328)+COUNTIFS($C$5:C328,C328,$AB$5:AB328,TRUE(),$U$5:U328,U328),"")</f>
        <v>42</v>
      </c>
      <c r="AD328" s="5" t="str">
        <f aca="false">IF(AC328="","Not eligible",IF(AC328&lt;=Inputs!$B$25,"Lead",IF(AC328&lt;=Inputs!$B$25+Inputs!$B$26,"Next wave","Long list")))</f>
        <v>Long list</v>
      </c>
      <c r="AE328" s="5" t="str">
        <f aca="false">IF(AND(K328+L328=0,M328&gt;0),"Safety upgrade of existing prefilled syringe",IF(K328+L328+M328=0,"Confirm presentation (not stated in source)",IF(AA328="Yes","Differentiation in crowded generic market","Safety-device mandate compliance")))</f>
        <v>Differentiation in crowded generic market</v>
      </c>
      <c r="AF328" s="5" t="str">
        <f aca="false">IF(AC328="","",C328&amp;"|"&amp;AC328)</f>
        <v>Aurobindo Pharma|42</v>
      </c>
    </row>
    <row r="329" customFormat="false" ht="15" hidden="false" customHeight="false" outlineLevel="0" collapsed="false">
      <c r="A329" s="5" t="n">
        <f aca="false">IF(ISNUMBER(U329),RANK(U329,$U$5:$U$337),"")</f>
        <v>266</v>
      </c>
      <c r="B329" s="5" t="s">
        <v>199</v>
      </c>
      <c r="C329" s="5" t="s">
        <v>57</v>
      </c>
      <c r="D329" s="5" t="str">
        <f aca="false">INDEX('API Data'!$B$2:$B$152,MATCH(B329,'API Data'!$A$2:$A$152,0))</f>
        <v>Cardiovascular – supraventricular tachycardia, atrial fibrillation rate control</v>
      </c>
      <c r="E329" s="5" t="n">
        <f aca="false">COUNTIFS('Market Listing'!$A$2:$A$4054,B329,'Market Listing'!$B$2:$B$4054,C329)</f>
        <v>1</v>
      </c>
      <c r="F329" s="5" t="n">
        <f aca="false">COUNTIFS('Market Listing'!$A$2:$A$4054,B329,'Market Listing'!$B$2:$B$4054,C329,'Market Listing'!$D$2:$D$4054,"Tier 1")</f>
        <v>1</v>
      </c>
      <c r="G329" s="5" t="n">
        <f aca="false">COUNTIFS('Market Listing'!$A$2:$A$4054,B329,'Market Listing'!$B$2:$B$4054,C329,'Market Listing'!$D$2:$D$4054,"Tier 2")</f>
        <v>0</v>
      </c>
      <c r="H329" s="5" t="n">
        <f aca="false">COUNTIFS('Market Listing'!$A$2:$A$4054,B329,'Market Listing'!$B$2:$B$4054,C329,'Market Listing'!$D$2:$D$4054,"Tier 3")</f>
        <v>0</v>
      </c>
      <c r="I329" s="5" t="n">
        <f aca="false">SUMIFS('Market Listing'!$E$2:$E$4054,'Market Listing'!$A$2:$A$4054,B329,'Market Listing'!$B$2:$B$4054,C329)</f>
        <v>3</v>
      </c>
      <c r="J329" s="5" t="n">
        <f aca="false">COUNTIFS('Product Rows'!$A$2:$A$696,B329,'Product Rows'!$B$2:$B$696,C329)</f>
        <v>1</v>
      </c>
      <c r="K329" s="5" t="n">
        <f aca="false">COUNTIFS('Product Rows'!$A$2:$A$696,B329,'Product Rows'!$B$2:$B$696,C329,'Product Rows'!$G$2:$G$696,"Vial")</f>
        <v>0</v>
      </c>
      <c r="L329" s="5" t="n">
        <f aca="false">COUNTIFS('Product Rows'!$A$2:$A$696,B329,'Product Rows'!$B$2:$B$696,C329,'Product Rows'!$G$2:$G$696,"Ampoule")</f>
        <v>0</v>
      </c>
      <c r="M329" s="5" t="n">
        <f aca="false">COUNTIFS('Product Rows'!$A$2:$A$696,B329,'Product Rows'!$B$2:$B$696,C329,'Product Rows'!$G$2:$G$696,"Prefilled syringe/pen")</f>
        <v>0</v>
      </c>
      <c r="N329" s="6" t="str">
        <f aca="false">IFERROR(AVERAGEIFS('Product Rows'!$H$2:$H$696,'Product Rows'!$A$2:$A$696,B329,'Product Rows'!$B$2:$B$696,C329),"")</f>
        <v/>
      </c>
      <c r="O329" s="7" t="n">
        <f aca="false">INDEX('API Data'!$E$2:$E$152,MATCH(B329,'API Data'!$A$2:$A$152,0))</f>
        <v>2476.9006570147</v>
      </c>
      <c r="P329" s="5" t="n">
        <f aca="false">COUNTIF($B$5:$B$337,B329)</f>
        <v>4</v>
      </c>
      <c r="Q329" s="8" t="n">
        <f aca="false">IF(ISNUMBER(I329),PERCENTRANK($I$5:$I$337,I329),"")</f>
        <v>0.157</v>
      </c>
      <c r="R329" s="8" t="str">
        <f aca="false">IF(ISNUMBER(N329),PERCENTRANK($N$5:$N$337,N329),"")</f>
        <v/>
      </c>
      <c r="S329" s="8" t="n">
        <f aca="false">IF(ISNUMBER(O329),PERCENTRANK($O$5:$O$337,O329),"")</f>
        <v>0.295</v>
      </c>
      <c r="T329" s="8" t="n">
        <f aca="false">IF(ISNUMBER(P329),PERCENTRANK($P$5:$P$337,P329),"")</f>
        <v>0.569</v>
      </c>
      <c r="U329" s="9" t="n">
        <f aca="false">IF((IF(ISNUMBER(Q329),Inputs!$B$4,0)+IF(ISNUMBER(R329),Inputs!$B$5,0)+IF(ISNUMBER(S329),Inputs!$B$6,0)+IF(ISNUMBER(T329),Inputs!$B$7,0))=0,"",(IF(ISNUMBER(Q329),Inputs!$B$4*Q329,0)+IF(ISNUMBER(R329),Inputs!$B$5*R329,0)+IF(ISNUMBER(S329),Inputs!$B$6*S329,0)+IF(ISNUMBER(T329),Inputs!$B$7*T329,0))/(IF(ISNUMBER(Q329),Inputs!$B$4,0)+IF(ISNUMBER(R329),Inputs!$B$5,0)+IF(ISNUMBER(S329),Inputs!$B$6,0)+IF(ISNUMBER(T329),Inputs!$B$7,0)))</f>
        <v>0.295</v>
      </c>
      <c r="V329" s="5" t="str">
        <f aca="false">IF(F329&gt;0,"Yes","No")</f>
        <v>Yes</v>
      </c>
      <c r="W329" s="5" t="str">
        <f aca="false">IF(ISNUMBER(N329),IF(N329&gt;=Inputs!$D$18,"Yes","No"),"No price")</f>
        <v>No price</v>
      </c>
      <c r="X329" s="5" t="str">
        <f aca="false">IF(K329+L329&gt;0,"Yes",IF(M329&gt;0,"No","Unclear"))</f>
        <v>Unclear</v>
      </c>
      <c r="Y329" s="5" t="str">
        <f aca="false">INDEX('API Data'!$H$2:$H$152,MATCH(B329,'API Data'!$A$2:$A$152,0))</f>
        <v>No</v>
      </c>
      <c r="Z329" s="5" t="str">
        <f aca="false">IF(COUNTIFS('Product Rows'!$A$2:$A$696,B329,'Product Rows'!$B$2:$B$696,C329,'Product Rows'!$I$2:$I$696,"Yes")&gt;0,"Yes","No")</f>
        <v>No</v>
      </c>
      <c r="AA329" s="5" t="str">
        <f aca="false">IF(P329&gt;=Inputs!$D$22,"Yes","No")</f>
        <v>Yes</v>
      </c>
      <c r="AB329" s="10" t="b">
        <f aca="false">AND(OR(Inputs!$B$17&lt;&gt;"Exclude",V329="Yes"),OR(Inputs!$B$18&lt;&gt;"Exclude",W329&lt;&gt;"No"),OR(Inputs!$B$19&lt;&gt;"Exclude",X329&lt;&gt;"No"),OR(Inputs!$B$20&lt;&gt;"Exclude",Y329="No"),OR(Inputs!$B$21&lt;&gt;"Exclude",Z329="No"),OR(Inputs!$B$22&lt;&gt;"Exclude",AA329="Yes"),ISNUMBER(U329))</f>
        <v>1</v>
      </c>
      <c r="AC329" s="5" t="n">
        <f aca="false">IF(AB329,COUNTIFS($C$5:$C$337,C329,$AB$5:$AB$337,TRUE(),$U$5:$U$337,"&gt;"&amp;U329)+COUNTIFS($C$5:C329,C329,$AB$5:AB329,TRUE(),$U$5:U329,U329),"")</f>
        <v>16</v>
      </c>
      <c r="AD329" s="5" t="str">
        <f aca="false">IF(AC329="","Not eligible",IF(AC329&lt;=Inputs!$B$25,"Lead",IF(AC329&lt;=Inputs!$B$25+Inputs!$B$26,"Next wave","Long list")))</f>
        <v>Long list</v>
      </c>
      <c r="AE329" s="5" t="str">
        <f aca="false">IF(AND(K329+L329=0,M329&gt;0),"Safety upgrade of existing prefilled syringe",IF(K329+L329+M329=0,"Confirm presentation (not stated in source)",IF(AA329="Yes","Differentiation in crowded generic market","Safety-device mandate compliance")))</f>
        <v>Confirm presentation (not stated in source)</v>
      </c>
      <c r="AF329" s="5" t="str">
        <f aca="false">IF(AC329="","",C329&amp;"|"&amp;AC329)</f>
        <v>Hetero Labs|16</v>
      </c>
    </row>
    <row r="330" customFormat="false" ht="15" hidden="false" customHeight="false" outlineLevel="0" collapsed="false">
      <c r="A330" s="5" t="n">
        <f aca="false">IF(ISNUMBER(U330),RANK(U330,$U$5:$U$337),"")</f>
        <v>287</v>
      </c>
      <c r="B330" s="5" t="s">
        <v>199</v>
      </c>
      <c r="C330" s="5" t="s">
        <v>65</v>
      </c>
      <c r="D330" s="5" t="str">
        <f aca="false">INDEX('API Data'!$B$2:$B$152,MATCH(B330,'API Data'!$A$2:$A$152,0))</f>
        <v>Cardiovascular – supraventricular tachycardia, atrial fibrillation rate control</v>
      </c>
      <c r="E330" s="5" t="n">
        <f aca="false">COUNTIFS('Market Listing'!$A$2:$A$4054,B330,'Market Listing'!$B$2:$B$4054,C330)</f>
        <v>1</v>
      </c>
      <c r="F330" s="5" t="n">
        <f aca="false">COUNTIFS('Market Listing'!$A$2:$A$4054,B330,'Market Listing'!$B$2:$B$4054,C330,'Market Listing'!$D$2:$D$4054,"Tier 1")</f>
        <v>1</v>
      </c>
      <c r="G330" s="5" t="n">
        <f aca="false">COUNTIFS('Market Listing'!$A$2:$A$4054,B330,'Market Listing'!$B$2:$B$4054,C330,'Market Listing'!$D$2:$D$4054,"Tier 2")</f>
        <v>0</v>
      </c>
      <c r="H330" s="5" t="n">
        <f aca="false">COUNTIFS('Market Listing'!$A$2:$A$4054,B330,'Market Listing'!$B$2:$B$4054,C330,'Market Listing'!$D$2:$D$4054,"Tier 3")</f>
        <v>0</v>
      </c>
      <c r="I330" s="5" t="n">
        <f aca="false">SUMIFS('Market Listing'!$E$2:$E$4054,'Market Listing'!$A$2:$A$4054,B330,'Market Listing'!$B$2:$B$4054,C330)</f>
        <v>3</v>
      </c>
      <c r="J330" s="5" t="n">
        <f aca="false">COUNTIFS('Product Rows'!$A$2:$A$696,B330,'Product Rows'!$B$2:$B$696,C330)</f>
        <v>2</v>
      </c>
      <c r="K330" s="5" t="n">
        <f aca="false">COUNTIFS('Product Rows'!$A$2:$A$696,B330,'Product Rows'!$B$2:$B$696,C330,'Product Rows'!$G$2:$G$696,"Vial")</f>
        <v>2</v>
      </c>
      <c r="L330" s="5" t="n">
        <f aca="false">COUNTIFS('Product Rows'!$A$2:$A$696,B330,'Product Rows'!$B$2:$B$696,C330,'Product Rows'!$G$2:$G$696,"Ampoule")</f>
        <v>0</v>
      </c>
      <c r="M330" s="5" t="n">
        <f aca="false">COUNTIFS('Product Rows'!$A$2:$A$696,B330,'Product Rows'!$B$2:$B$696,C330,'Product Rows'!$G$2:$G$696,"Prefilled syringe/pen")</f>
        <v>0</v>
      </c>
      <c r="N330" s="6" t="n">
        <f aca="false">IFERROR(AVERAGEIFS('Product Rows'!$H$2:$H$696,'Product Rows'!$A$2:$A$696,B330,'Product Rows'!$B$2:$B$696,C330),"")</f>
        <v>10.125</v>
      </c>
      <c r="O330" s="7" t="n">
        <f aca="false">INDEX('API Data'!$E$2:$E$152,MATCH(B330,'API Data'!$A$2:$A$152,0))</f>
        <v>2476.9006570147</v>
      </c>
      <c r="P330" s="5" t="n">
        <f aca="false">COUNTIF($B$5:$B$337,B330)</f>
        <v>4</v>
      </c>
      <c r="Q330" s="8" t="n">
        <f aca="false">IF(ISNUMBER(I330),PERCENTRANK($I$5:$I$337,I330),"")</f>
        <v>0.157</v>
      </c>
      <c r="R330" s="8" t="n">
        <f aca="false">IF(ISNUMBER(N330),PERCENTRANK($N$5:$N$337,N330),"")</f>
        <v>0.211</v>
      </c>
      <c r="S330" s="8" t="n">
        <f aca="false">IF(ISNUMBER(O330),PERCENTRANK($O$5:$O$337,O330),"")</f>
        <v>0.295</v>
      </c>
      <c r="T330" s="8" t="n">
        <f aca="false">IF(ISNUMBER(P330),PERCENTRANK($P$5:$P$337,P330),"")</f>
        <v>0.569</v>
      </c>
      <c r="U330" s="9" t="n">
        <f aca="false">IF((IF(ISNUMBER(Q330),Inputs!$B$4,0)+IF(ISNUMBER(R330),Inputs!$B$5,0)+IF(ISNUMBER(S330),Inputs!$B$6,0)+IF(ISNUMBER(T330),Inputs!$B$7,0))=0,"",(IF(ISNUMBER(Q330),Inputs!$B$4*Q330,0)+IF(ISNUMBER(R330),Inputs!$B$5*R330,0)+IF(ISNUMBER(S330),Inputs!$B$6*S330,0)+IF(ISNUMBER(T330),Inputs!$B$7*T330,0))/(IF(ISNUMBER(Q330),Inputs!$B$4,0)+IF(ISNUMBER(R330),Inputs!$B$5,0)+IF(ISNUMBER(S330),Inputs!$B$6,0)+IF(ISNUMBER(T330),Inputs!$B$7,0)))</f>
        <v>0.253</v>
      </c>
      <c r="V330" s="5" t="str">
        <f aca="false">IF(F330&gt;0,"Yes","No")</f>
        <v>Yes</v>
      </c>
      <c r="W330" s="5" t="str">
        <f aca="false">IF(ISNUMBER(N330),IF(N330&gt;=Inputs!$D$18,"Yes","No"),"No price")</f>
        <v>Yes</v>
      </c>
      <c r="X330" s="5" t="str">
        <f aca="false">IF(K330+L330&gt;0,"Yes",IF(M330&gt;0,"No","Unclear"))</f>
        <v>Yes</v>
      </c>
      <c r="Y330" s="5" t="str">
        <f aca="false">INDEX('API Data'!$H$2:$H$152,MATCH(B330,'API Data'!$A$2:$A$152,0))</f>
        <v>No</v>
      </c>
      <c r="Z330" s="5" t="str">
        <f aca="false">IF(COUNTIFS('Product Rows'!$A$2:$A$696,B330,'Product Rows'!$B$2:$B$696,C330,'Product Rows'!$I$2:$I$696,"Yes")&gt;0,"Yes","No")</f>
        <v>No</v>
      </c>
      <c r="AA330" s="5" t="str">
        <f aca="false">IF(P330&gt;=Inputs!$D$22,"Yes","No")</f>
        <v>Yes</v>
      </c>
      <c r="AB330" s="10" t="b">
        <f aca="false">AND(OR(Inputs!$B$17&lt;&gt;"Exclude",V330="Yes"),OR(Inputs!$B$18&lt;&gt;"Exclude",W330&lt;&gt;"No"),OR(Inputs!$B$19&lt;&gt;"Exclude",X330&lt;&gt;"No"),OR(Inputs!$B$20&lt;&gt;"Exclude",Y330="No"),OR(Inputs!$B$21&lt;&gt;"Exclude",Z330="No"),OR(Inputs!$B$22&lt;&gt;"Exclude",AA330="Yes"),ISNUMBER(U330))</f>
        <v>1</v>
      </c>
      <c r="AC330" s="5" t="n">
        <f aca="false">IF(AB330,COUNTIFS($C$5:$C$337,C330,$AB$5:$AB$337,TRUE(),$U$5:$U$337,"&gt;"&amp;U330)+COUNTIFS($C$5:C330,C330,$AB$5:AB330,TRUE(),$U$5:U330,U330),"")</f>
        <v>7</v>
      </c>
      <c r="AD330" s="5" t="str">
        <f aca="false">IF(AC330="","Not eligible",IF(AC330&lt;=Inputs!$B$25,"Lead",IF(AC330&lt;=Inputs!$B$25+Inputs!$B$26,"Next wave","Long list")))</f>
        <v>Next wave</v>
      </c>
      <c r="AE330" s="5" t="str">
        <f aca="false">IF(AND(K330+L330=0,M330&gt;0),"Safety upgrade of existing prefilled syringe",IF(K330+L330+M330=0,"Confirm presentation (not stated in source)",IF(AA330="Yes","Differentiation in crowded generic market","Safety-device mandate compliance")))</f>
        <v>Differentiation in crowded generic market</v>
      </c>
      <c r="AF330" s="5" t="str">
        <f aca="false">IF(AC330="","",C330&amp;"|"&amp;AC330)</f>
        <v>Micro Labs|7</v>
      </c>
    </row>
    <row r="331" customFormat="false" ht="15" hidden="false" customHeight="false" outlineLevel="0" collapsed="false">
      <c r="A331" s="5" t="n">
        <f aca="false">IF(ISNUMBER(U331),RANK(U331,$U$5:$U$337),"")</f>
        <v>266</v>
      </c>
      <c r="B331" s="5" t="s">
        <v>199</v>
      </c>
      <c r="C331" s="5" t="s">
        <v>36</v>
      </c>
      <c r="D331" s="5" t="str">
        <f aca="false">INDEX('API Data'!$B$2:$B$152,MATCH(B331,'API Data'!$A$2:$A$152,0))</f>
        <v>Cardiovascular – supraventricular tachycardia, atrial fibrillation rate control</v>
      </c>
      <c r="E331" s="5" t="n">
        <f aca="false">COUNTIFS('Market Listing'!$A$2:$A$4054,B331,'Market Listing'!$B$2:$B$4054,C331)</f>
        <v>1</v>
      </c>
      <c r="F331" s="5" t="n">
        <f aca="false">COUNTIFS('Market Listing'!$A$2:$A$4054,B331,'Market Listing'!$B$2:$B$4054,C331,'Market Listing'!$D$2:$D$4054,"Tier 1")</f>
        <v>1</v>
      </c>
      <c r="G331" s="5" t="n">
        <f aca="false">COUNTIFS('Market Listing'!$A$2:$A$4054,B331,'Market Listing'!$B$2:$B$4054,C331,'Market Listing'!$D$2:$D$4054,"Tier 2")</f>
        <v>0</v>
      </c>
      <c r="H331" s="5" t="n">
        <f aca="false">COUNTIFS('Market Listing'!$A$2:$A$4054,B331,'Market Listing'!$B$2:$B$4054,C331,'Market Listing'!$D$2:$D$4054,"Tier 3")</f>
        <v>0</v>
      </c>
      <c r="I331" s="5" t="n">
        <f aca="false">SUMIFS('Market Listing'!$E$2:$E$4054,'Market Listing'!$A$2:$A$4054,B331,'Market Listing'!$B$2:$B$4054,C331)</f>
        <v>3</v>
      </c>
      <c r="J331" s="5" t="n">
        <f aca="false">COUNTIFS('Product Rows'!$A$2:$A$696,B331,'Product Rows'!$B$2:$B$696,C331)</f>
        <v>1</v>
      </c>
      <c r="K331" s="5" t="n">
        <f aca="false">COUNTIFS('Product Rows'!$A$2:$A$696,B331,'Product Rows'!$B$2:$B$696,C331,'Product Rows'!$G$2:$G$696,"Vial")</f>
        <v>1</v>
      </c>
      <c r="L331" s="5" t="n">
        <f aca="false">COUNTIFS('Product Rows'!$A$2:$A$696,B331,'Product Rows'!$B$2:$B$696,C331,'Product Rows'!$G$2:$G$696,"Ampoule")</f>
        <v>0</v>
      </c>
      <c r="M331" s="5" t="n">
        <f aca="false">COUNTIFS('Product Rows'!$A$2:$A$696,B331,'Product Rows'!$B$2:$B$696,C331,'Product Rows'!$G$2:$G$696,"Prefilled syringe/pen")</f>
        <v>0</v>
      </c>
      <c r="N331" s="6" t="str">
        <f aca="false">IFERROR(AVERAGEIFS('Product Rows'!$H$2:$H$696,'Product Rows'!$A$2:$A$696,B331,'Product Rows'!$B$2:$B$696,C331),"")</f>
        <v/>
      </c>
      <c r="O331" s="7" t="n">
        <f aca="false">INDEX('API Data'!$E$2:$E$152,MATCH(B331,'API Data'!$A$2:$A$152,0))</f>
        <v>2476.9006570147</v>
      </c>
      <c r="P331" s="5" t="n">
        <f aca="false">COUNTIF($B$5:$B$337,B331)</f>
        <v>4</v>
      </c>
      <c r="Q331" s="8" t="n">
        <f aca="false">IF(ISNUMBER(I331),PERCENTRANK($I$5:$I$337,I331),"")</f>
        <v>0.157</v>
      </c>
      <c r="R331" s="8" t="str">
        <f aca="false">IF(ISNUMBER(N331),PERCENTRANK($N$5:$N$337,N331),"")</f>
        <v/>
      </c>
      <c r="S331" s="8" t="n">
        <f aca="false">IF(ISNUMBER(O331),PERCENTRANK($O$5:$O$337,O331),"")</f>
        <v>0.295</v>
      </c>
      <c r="T331" s="8" t="n">
        <f aca="false">IF(ISNUMBER(P331),PERCENTRANK($P$5:$P$337,P331),"")</f>
        <v>0.569</v>
      </c>
      <c r="U331" s="9" t="n">
        <f aca="false">IF((IF(ISNUMBER(Q331),Inputs!$B$4,0)+IF(ISNUMBER(R331),Inputs!$B$5,0)+IF(ISNUMBER(S331),Inputs!$B$6,0)+IF(ISNUMBER(T331),Inputs!$B$7,0))=0,"",(IF(ISNUMBER(Q331),Inputs!$B$4*Q331,0)+IF(ISNUMBER(R331),Inputs!$B$5*R331,0)+IF(ISNUMBER(S331),Inputs!$B$6*S331,0)+IF(ISNUMBER(T331),Inputs!$B$7*T331,0))/(IF(ISNUMBER(Q331),Inputs!$B$4,0)+IF(ISNUMBER(R331),Inputs!$B$5,0)+IF(ISNUMBER(S331),Inputs!$B$6,0)+IF(ISNUMBER(T331),Inputs!$B$7,0)))</f>
        <v>0.295</v>
      </c>
      <c r="V331" s="5" t="str">
        <f aca="false">IF(F331&gt;0,"Yes","No")</f>
        <v>Yes</v>
      </c>
      <c r="W331" s="5" t="str">
        <f aca="false">IF(ISNUMBER(N331),IF(N331&gt;=Inputs!$D$18,"Yes","No"),"No price")</f>
        <v>No price</v>
      </c>
      <c r="X331" s="5" t="str">
        <f aca="false">IF(K331+L331&gt;0,"Yes",IF(M331&gt;0,"No","Unclear"))</f>
        <v>Yes</v>
      </c>
      <c r="Y331" s="5" t="str">
        <f aca="false">INDEX('API Data'!$H$2:$H$152,MATCH(B331,'API Data'!$A$2:$A$152,0))</f>
        <v>No</v>
      </c>
      <c r="Z331" s="5" t="str">
        <f aca="false">IF(COUNTIFS('Product Rows'!$A$2:$A$696,B331,'Product Rows'!$B$2:$B$696,C331,'Product Rows'!$I$2:$I$696,"Yes")&gt;0,"Yes","No")</f>
        <v>No</v>
      </c>
      <c r="AA331" s="5" t="str">
        <f aca="false">IF(P331&gt;=Inputs!$D$22,"Yes","No")</f>
        <v>Yes</v>
      </c>
      <c r="AB331" s="10" t="b">
        <f aca="false">AND(OR(Inputs!$B$17&lt;&gt;"Exclude",V331="Yes"),OR(Inputs!$B$18&lt;&gt;"Exclude",W331&lt;&gt;"No"),OR(Inputs!$B$19&lt;&gt;"Exclude",X331&lt;&gt;"No"),OR(Inputs!$B$20&lt;&gt;"Exclude",Y331="No"),OR(Inputs!$B$21&lt;&gt;"Exclude",Z331="No"),OR(Inputs!$B$22&lt;&gt;"Exclude",AA331="Yes"),ISNUMBER(U331))</f>
        <v>1</v>
      </c>
      <c r="AC331" s="5" t="n">
        <f aca="false">IF(AB331,COUNTIFS($C$5:$C$337,C331,$AB$5:$AB$337,TRUE(),$U$5:$U$337,"&gt;"&amp;U331)+COUNTIFS($C$5:C331,C331,$AB$5:AB331,TRUE(),$U$5:U331,U331),"")</f>
        <v>13</v>
      </c>
      <c r="AD331" s="5" t="str">
        <f aca="false">IF(AC331="","Not eligible",IF(AC331&lt;=Inputs!$B$25,"Lead",IF(AC331&lt;=Inputs!$B$25+Inputs!$B$26,"Next wave","Long list")))</f>
        <v>Long list</v>
      </c>
      <c r="AE331" s="5" t="str">
        <f aca="false">IF(AND(K331+L331=0,M331&gt;0),"Safety upgrade of existing prefilled syringe",IF(K331+L331+M331=0,"Confirm presentation (not stated in source)",IF(AA331="Yes","Differentiation in crowded generic market","Safety-device mandate compliance")))</f>
        <v>Differentiation in crowded generic market</v>
      </c>
      <c r="AF331" s="5" t="str">
        <f aca="false">IF(AC331="","",C331&amp;"|"&amp;AC331)</f>
        <v>Zydus Lifesciences|13</v>
      </c>
    </row>
    <row r="332" customFormat="false" ht="15" hidden="false" customHeight="false" outlineLevel="0" collapsed="false">
      <c r="A332" s="5" t="n">
        <f aca="false">IF(ISNUMBER(U332),RANK(U332,$U$5:$U$337),"")</f>
        <v>288</v>
      </c>
      <c r="B332" s="5" t="s">
        <v>200</v>
      </c>
      <c r="C332" s="5" t="s">
        <v>54</v>
      </c>
      <c r="D332" s="5" t="str">
        <f aca="false">INDEX('API Data'!$B$2:$B$152,MATCH(B332,'API Data'!$A$2:$A$152,0))</f>
        <v>Oncology – Hodgkin lymphoma, testicular cancer, Kaposi sarcoma</v>
      </c>
      <c r="E332" s="5" t="n">
        <f aca="false">COUNTIFS('Market Listing'!$A$2:$A$4054,B332,'Market Listing'!$B$2:$B$4054,C332)</f>
        <v>1</v>
      </c>
      <c r="F332" s="5" t="n">
        <f aca="false">COUNTIFS('Market Listing'!$A$2:$A$4054,B332,'Market Listing'!$B$2:$B$4054,C332,'Market Listing'!$D$2:$D$4054,"Tier 1")</f>
        <v>0</v>
      </c>
      <c r="G332" s="5" t="n">
        <f aca="false">COUNTIFS('Market Listing'!$A$2:$A$4054,B332,'Market Listing'!$B$2:$B$4054,C332,'Market Listing'!$D$2:$D$4054,"Tier 2")</f>
        <v>1</v>
      </c>
      <c r="H332" s="5" t="n">
        <f aca="false">COUNTIFS('Market Listing'!$A$2:$A$4054,B332,'Market Listing'!$B$2:$B$4054,C332,'Market Listing'!$D$2:$D$4054,"Tier 3")</f>
        <v>0</v>
      </c>
      <c r="I332" s="5" t="n">
        <f aca="false">SUMIFS('Market Listing'!$E$2:$E$4054,'Market Listing'!$A$2:$A$4054,B332,'Market Listing'!$B$2:$B$4054,C332)</f>
        <v>2</v>
      </c>
      <c r="J332" s="5" t="n">
        <f aca="false">COUNTIFS('Product Rows'!$A$2:$A$696,B332,'Product Rows'!$B$2:$B$696,C332)</f>
        <v>1</v>
      </c>
      <c r="K332" s="5" t="n">
        <f aca="false">COUNTIFS('Product Rows'!$A$2:$A$696,B332,'Product Rows'!$B$2:$B$696,C332,'Product Rows'!$G$2:$G$696,"Vial")</f>
        <v>0</v>
      </c>
      <c r="L332" s="5" t="n">
        <f aca="false">COUNTIFS('Product Rows'!$A$2:$A$696,B332,'Product Rows'!$B$2:$B$696,C332,'Product Rows'!$G$2:$G$696,"Ampoule")</f>
        <v>1</v>
      </c>
      <c r="M332" s="5" t="n">
        <f aca="false">COUNTIFS('Product Rows'!$A$2:$A$696,B332,'Product Rows'!$B$2:$B$696,C332,'Product Rows'!$G$2:$G$696,"Prefilled syringe/pen")</f>
        <v>0</v>
      </c>
      <c r="N332" s="6" t="n">
        <f aca="false">IFERROR(AVERAGEIFS('Product Rows'!$H$2:$H$696,'Product Rows'!$A$2:$A$696,B332,'Product Rows'!$B$2:$B$696,C332),"")</f>
        <v>21.16</v>
      </c>
      <c r="O332" s="7" t="n">
        <f aca="false">INDEX('API Data'!$E$2:$E$152,MATCH(B332,'API Data'!$A$2:$A$152,0))</f>
        <v>520.76</v>
      </c>
      <c r="P332" s="5" t="n">
        <f aca="false">COUNTIF($B$5:$B$337,B332)</f>
        <v>1</v>
      </c>
      <c r="Q332" s="8" t="n">
        <f aca="false">IF(ISNUMBER(I332),PERCENTRANK($I$5:$I$337,I332),"")</f>
        <v>0</v>
      </c>
      <c r="R332" s="8" t="n">
        <f aca="false">IF(ISNUMBER(N332),PERCENTRANK($N$5:$N$337,N332),"")</f>
        <v>0.376</v>
      </c>
      <c r="S332" s="8" t="n">
        <f aca="false">IF(ISNUMBER(O332),PERCENTRANK($O$5:$O$337,O332),"")</f>
        <v>0.117</v>
      </c>
      <c r="T332" s="8" t="n">
        <f aca="false">IF(ISNUMBER(P332),PERCENTRANK($P$5:$P$337,P332),"")</f>
        <v>0</v>
      </c>
      <c r="U332" s="9" t="n">
        <f aca="false">IF((IF(ISNUMBER(Q332),Inputs!$B$4,0)+IF(ISNUMBER(R332),Inputs!$B$5,0)+IF(ISNUMBER(S332),Inputs!$B$6,0)+IF(ISNUMBER(T332),Inputs!$B$7,0))=0,"",(IF(ISNUMBER(Q332),Inputs!$B$4*Q332,0)+IF(ISNUMBER(R332),Inputs!$B$5*R332,0)+IF(ISNUMBER(S332),Inputs!$B$6*S332,0)+IF(ISNUMBER(T332),Inputs!$B$7*T332,0))/(IF(ISNUMBER(Q332),Inputs!$B$4,0)+IF(ISNUMBER(R332),Inputs!$B$5,0)+IF(ISNUMBER(S332),Inputs!$B$6,0)+IF(ISNUMBER(T332),Inputs!$B$7,0)))</f>
        <v>0.2465</v>
      </c>
      <c r="V332" s="5" t="str">
        <f aca="false">IF(F332&gt;0,"Yes","No")</f>
        <v>No</v>
      </c>
      <c r="W332" s="5" t="str">
        <f aca="false">IF(ISNUMBER(N332),IF(N332&gt;=Inputs!$D$18,"Yes","No"),"No price")</f>
        <v>Yes</v>
      </c>
      <c r="X332" s="5" t="str">
        <f aca="false">IF(K332+L332&gt;0,"Yes",IF(M332&gt;0,"No","Unclear"))</f>
        <v>Yes</v>
      </c>
      <c r="Y332" s="5" t="str">
        <f aca="false">INDEX('API Data'!$H$2:$H$152,MATCH(B332,'API Data'!$A$2:$A$152,0))</f>
        <v>Yes</v>
      </c>
      <c r="Z332" s="5" t="str">
        <f aca="false">IF(COUNTIFS('Product Rows'!$A$2:$A$696,B332,'Product Rows'!$B$2:$B$696,C332,'Product Rows'!$I$2:$I$696,"Yes")&gt;0,"Yes","No")</f>
        <v>No</v>
      </c>
      <c r="AA332" s="5" t="str">
        <f aca="false">IF(P332&gt;=Inputs!$D$22,"Yes","No")</f>
        <v>No</v>
      </c>
      <c r="AB332" s="10" t="b">
        <f aca="false">AND(OR(Inputs!$B$17&lt;&gt;"Exclude",V332="Yes"),OR(Inputs!$B$18&lt;&gt;"Exclude",W332&lt;&gt;"No"),OR(Inputs!$B$19&lt;&gt;"Exclude",X332&lt;&gt;"No"),OR(Inputs!$B$20&lt;&gt;"Exclude",Y332="No"),OR(Inputs!$B$21&lt;&gt;"Exclude",Z332="No"),OR(Inputs!$B$22&lt;&gt;"Exclude",AA332="Yes"),ISNUMBER(U332))</f>
        <v>0</v>
      </c>
      <c r="AC332" s="5" t="str">
        <f aca="false">IF(AB332,COUNTIFS($C$5:$C$337,C332,$AB$5:$AB$337,TRUE(),$U$5:$U$337,"&gt;"&amp;U332)+COUNTIFS($C$5:C332,C332,$AB$5:AB332,TRUE(),$U$5:U332,U332),"")</f>
        <v/>
      </c>
      <c r="AD332" s="5" t="str">
        <f aca="false">IF(AC332="","Not eligible",IF(AC332&lt;=Inputs!$B$25,"Lead",IF(AC332&lt;=Inputs!$B$25+Inputs!$B$26,"Next wave","Long list")))</f>
        <v>Not eligible</v>
      </c>
      <c r="AE332" s="5" t="str">
        <f aca="false">IF(AND(K332+L332=0,M332&gt;0),"Safety upgrade of existing prefilled syringe",IF(K332+L332+M332=0,"Confirm presentation (not stated in source)",IF(AA332="Yes","Differentiation in crowded generic market","Safety-device mandate compliance")))</f>
        <v>Safety-device mandate compliance</v>
      </c>
      <c r="AF332" s="5" t="str">
        <f aca="false">IF(AC332="","",C332&amp;"|"&amp;AC332)</f>
        <v/>
      </c>
    </row>
    <row r="333" customFormat="false" ht="15" hidden="false" customHeight="false" outlineLevel="0" collapsed="false">
      <c r="A333" s="5" t="n">
        <f aca="false">IF(ISNUMBER(U333),RANK(U333,$U$5:$U$337),"")</f>
        <v>310</v>
      </c>
      <c r="B333" s="5" t="s">
        <v>201</v>
      </c>
      <c r="C333" s="5" t="s">
        <v>44</v>
      </c>
      <c r="D333" s="5" t="str">
        <f aca="false">INDEX('API Data'!$B$2:$B$152,MATCH(B333,'API Data'!$A$2:$A$152,0))</f>
        <v>Oncology – leukaemia (ALL), lymphomas, paediatric tumours</v>
      </c>
      <c r="E333" s="5" t="n">
        <f aca="false">COUNTIFS('Market Listing'!$A$2:$A$4054,B333,'Market Listing'!$B$2:$B$4054,C333)</f>
        <v>1</v>
      </c>
      <c r="F333" s="5" t="n">
        <f aca="false">COUNTIFS('Market Listing'!$A$2:$A$4054,B333,'Market Listing'!$B$2:$B$4054,C333,'Market Listing'!$D$2:$D$4054,"Tier 1")</f>
        <v>0</v>
      </c>
      <c r="G333" s="5" t="n">
        <f aca="false">COUNTIFS('Market Listing'!$A$2:$A$4054,B333,'Market Listing'!$B$2:$B$4054,C333,'Market Listing'!$D$2:$D$4054,"Tier 2")</f>
        <v>1</v>
      </c>
      <c r="H333" s="5" t="n">
        <f aca="false">COUNTIFS('Market Listing'!$A$2:$A$4054,B333,'Market Listing'!$B$2:$B$4054,C333,'Market Listing'!$D$2:$D$4054,"Tier 3")</f>
        <v>0</v>
      </c>
      <c r="I333" s="5" t="n">
        <f aca="false">SUMIFS('Market Listing'!$E$2:$E$4054,'Market Listing'!$A$2:$A$4054,B333,'Market Listing'!$B$2:$B$4054,C333)</f>
        <v>2</v>
      </c>
      <c r="J333" s="5" t="n">
        <f aca="false">COUNTIFS('Product Rows'!$A$2:$A$696,B333,'Product Rows'!$B$2:$B$696,C333)</f>
        <v>1</v>
      </c>
      <c r="K333" s="5" t="n">
        <f aca="false">COUNTIFS('Product Rows'!$A$2:$A$696,B333,'Product Rows'!$B$2:$B$696,C333,'Product Rows'!$G$2:$G$696,"Vial")</f>
        <v>1</v>
      </c>
      <c r="L333" s="5" t="n">
        <f aca="false">COUNTIFS('Product Rows'!$A$2:$A$696,B333,'Product Rows'!$B$2:$B$696,C333,'Product Rows'!$G$2:$G$696,"Ampoule")</f>
        <v>0</v>
      </c>
      <c r="M333" s="5" t="n">
        <f aca="false">COUNTIFS('Product Rows'!$A$2:$A$696,B333,'Product Rows'!$B$2:$B$696,C333,'Product Rows'!$G$2:$G$696,"Prefilled syringe/pen")</f>
        <v>0</v>
      </c>
      <c r="N333" s="6" t="n">
        <f aca="false">IFERROR(AVERAGEIFS('Product Rows'!$H$2:$H$696,'Product Rows'!$A$2:$A$696,B333,'Product Rows'!$B$2:$B$696,C333),"")</f>
        <v>9.93</v>
      </c>
      <c r="O333" s="7" t="n">
        <f aca="false">INDEX('API Data'!$E$2:$E$152,MATCH(B333,'API Data'!$A$2:$A$152,0))</f>
        <v>1228.51851851852</v>
      </c>
      <c r="P333" s="5" t="n">
        <f aca="false">COUNTIF($B$5:$B$337,B333)</f>
        <v>1</v>
      </c>
      <c r="Q333" s="8" t="n">
        <f aca="false">IF(ISNUMBER(I333),PERCENTRANK($I$5:$I$337,I333),"")</f>
        <v>0</v>
      </c>
      <c r="R333" s="8" t="n">
        <f aca="false">IF(ISNUMBER(N333),PERCENTRANK($N$5:$N$337,N333),"")</f>
        <v>0.208</v>
      </c>
      <c r="S333" s="8" t="n">
        <f aca="false">IF(ISNUMBER(O333),PERCENTRANK($O$5:$O$337,O333),"")</f>
        <v>0.178</v>
      </c>
      <c r="T333" s="8" t="n">
        <f aca="false">IF(ISNUMBER(P333),PERCENTRANK($P$5:$P$337,P333),"")</f>
        <v>0</v>
      </c>
      <c r="U333" s="9" t="n">
        <f aca="false">IF((IF(ISNUMBER(Q333),Inputs!$B$4,0)+IF(ISNUMBER(R333),Inputs!$B$5,0)+IF(ISNUMBER(S333),Inputs!$B$6,0)+IF(ISNUMBER(T333),Inputs!$B$7,0))=0,"",(IF(ISNUMBER(Q333),Inputs!$B$4*Q333,0)+IF(ISNUMBER(R333),Inputs!$B$5*R333,0)+IF(ISNUMBER(S333),Inputs!$B$6*S333,0)+IF(ISNUMBER(T333),Inputs!$B$7*T333,0))/(IF(ISNUMBER(Q333),Inputs!$B$4,0)+IF(ISNUMBER(R333),Inputs!$B$5,0)+IF(ISNUMBER(S333),Inputs!$B$6,0)+IF(ISNUMBER(T333),Inputs!$B$7,0)))</f>
        <v>0.193</v>
      </c>
      <c r="V333" s="5" t="str">
        <f aca="false">IF(F333&gt;0,"Yes","No")</f>
        <v>No</v>
      </c>
      <c r="W333" s="5" t="str">
        <f aca="false">IF(ISNUMBER(N333),IF(N333&gt;=Inputs!$D$18,"Yes","No"),"No price")</f>
        <v>Yes</v>
      </c>
      <c r="X333" s="5" t="str">
        <f aca="false">IF(K333+L333&gt;0,"Yes",IF(M333&gt;0,"No","Unclear"))</f>
        <v>Yes</v>
      </c>
      <c r="Y333" s="5" t="str">
        <f aca="false">INDEX('API Data'!$H$2:$H$152,MATCH(B333,'API Data'!$A$2:$A$152,0))</f>
        <v>Yes</v>
      </c>
      <c r="Z333" s="5" t="str">
        <f aca="false">IF(COUNTIFS('Product Rows'!$A$2:$A$696,B333,'Product Rows'!$B$2:$B$696,C333,'Product Rows'!$I$2:$I$696,"Yes")&gt;0,"Yes","No")</f>
        <v>No</v>
      </c>
      <c r="AA333" s="5" t="str">
        <f aca="false">IF(P333&gt;=Inputs!$D$22,"Yes","No")</f>
        <v>No</v>
      </c>
      <c r="AB333" s="10" t="b">
        <f aca="false">AND(OR(Inputs!$B$17&lt;&gt;"Exclude",V333="Yes"),OR(Inputs!$B$18&lt;&gt;"Exclude",W333&lt;&gt;"No"),OR(Inputs!$B$19&lt;&gt;"Exclude",X333&lt;&gt;"No"),OR(Inputs!$B$20&lt;&gt;"Exclude",Y333="No"),OR(Inputs!$B$21&lt;&gt;"Exclude",Z333="No"),OR(Inputs!$B$22&lt;&gt;"Exclude",AA333="Yes"),ISNUMBER(U333))</f>
        <v>0</v>
      </c>
      <c r="AC333" s="5" t="str">
        <f aca="false">IF(AB333,COUNTIFS($C$5:$C$337,C333,$AB$5:$AB$337,TRUE(),$U$5:$U$337,"&gt;"&amp;U333)+COUNTIFS($C$5:C333,C333,$AB$5:AB333,TRUE(),$U$5:U333,U333),"")</f>
        <v/>
      </c>
      <c r="AD333" s="5" t="str">
        <f aca="false">IF(AC333="","Not eligible",IF(AC333&lt;=Inputs!$B$25,"Lead",IF(AC333&lt;=Inputs!$B$25+Inputs!$B$26,"Next wave","Long list")))</f>
        <v>Not eligible</v>
      </c>
      <c r="AE333" s="5" t="str">
        <f aca="false">IF(AND(K333+L333=0,M333&gt;0),"Safety upgrade of existing prefilled syringe",IF(K333+L333+M333=0,"Confirm presentation (not stated in source)",IF(AA333="Yes","Differentiation in crowded generic market","Safety-device mandate compliance")))</f>
        <v>Safety-device mandate compliance</v>
      </c>
      <c r="AF333" s="5" t="str">
        <f aca="false">IF(AC333="","",C333&amp;"|"&amp;AC333)</f>
        <v/>
      </c>
    </row>
    <row r="334" customFormat="false" ht="15" hidden="false" customHeight="false" outlineLevel="0" collapsed="false">
      <c r="A334" s="5" t="n">
        <f aca="false">IF(ISNUMBER(U334),RANK(U334,$U$5:$U$337),"")</f>
        <v>286</v>
      </c>
      <c r="B334" s="5" t="s">
        <v>202</v>
      </c>
      <c r="C334" s="5" t="s">
        <v>47</v>
      </c>
      <c r="D334" s="5" t="str">
        <f aca="false">INDEX('API Data'!$B$2:$B$152,MATCH(B334,'API Data'!$A$2:$A$152,0))</f>
        <v>Oncology – non-small cell lung cancer; breast cancer</v>
      </c>
      <c r="E334" s="5" t="n">
        <f aca="false">COUNTIFS('Market Listing'!$A$2:$A$4054,B334,'Market Listing'!$B$2:$B$4054,C334)</f>
        <v>30</v>
      </c>
      <c r="F334" s="5" t="n">
        <f aca="false">COUNTIFS('Market Listing'!$A$2:$A$4054,B334,'Market Listing'!$B$2:$B$4054,C334,'Market Listing'!$D$2:$D$4054,"Tier 1")</f>
        <v>5</v>
      </c>
      <c r="G334" s="5" t="n">
        <f aca="false">COUNTIFS('Market Listing'!$A$2:$A$4054,B334,'Market Listing'!$B$2:$B$4054,C334,'Market Listing'!$D$2:$D$4054,"Tier 2")</f>
        <v>3</v>
      </c>
      <c r="H334" s="5" t="n">
        <f aca="false">COUNTIFS('Market Listing'!$A$2:$A$4054,B334,'Market Listing'!$B$2:$B$4054,C334,'Market Listing'!$D$2:$D$4054,"Tier 3")</f>
        <v>22</v>
      </c>
      <c r="I334" s="5" t="n">
        <f aca="false">SUMIFS('Market Listing'!$E$2:$E$4054,'Market Listing'!$A$2:$A$4054,B334,'Market Listing'!$B$2:$B$4054,C334)</f>
        <v>43</v>
      </c>
      <c r="J334" s="5" t="n">
        <f aca="false">COUNTIFS('Product Rows'!$A$2:$A$696,B334,'Product Rows'!$B$2:$B$696,C334)</f>
        <v>2</v>
      </c>
      <c r="K334" s="5" t="n">
        <f aca="false">COUNTIFS('Product Rows'!$A$2:$A$696,B334,'Product Rows'!$B$2:$B$696,C334,'Product Rows'!$G$2:$G$696,"Vial")</f>
        <v>2</v>
      </c>
      <c r="L334" s="5" t="n">
        <f aca="false">COUNTIFS('Product Rows'!$A$2:$A$696,B334,'Product Rows'!$B$2:$B$696,C334,'Product Rows'!$G$2:$G$696,"Ampoule")</f>
        <v>0</v>
      </c>
      <c r="M334" s="5" t="n">
        <f aca="false">COUNTIFS('Product Rows'!$A$2:$A$696,B334,'Product Rows'!$B$2:$B$696,C334,'Product Rows'!$G$2:$G$696,"Prefilled syringe/pen")</f>
        <v>0</v>
      </c>
      <c r="N334" s="6" t="n">
        <f aca="false">IFERROR(AVERAGEIFS('Product Rows'!$H$2:$H$696,'Product Rows'!$A$2:$A$696,B334,'Product Rows'!$B$2:$B$696,C334),"")</f>
        <v>24.3967</v>
      </c>
      <c r="O334" s="7" t="n">
        <f aca="false">INDEX('API Data'!$E$2:$E$152,MATCH(B334,'API Data'!$A$2:$A$152,0))</f>
        <v>301.66780625</v>
      </c>
      <c r="P334" s="5" t="n">
        <f aca="false">COUNTIF($B$5:$B$337,B334)</f>
        <v>3</v>
      </c>
      <c r="Q334" s="8" t="n">
        <f aca="false">IF(ISNUMBER(I334),PERCENTRANK($I$5:$I$337,I334),"")</f>
        <v>0.75</v>
      </c>
      <c r="R334" s="8" t="n">
        <f aca="false">IF(ISNUMBER(N334),PERCENTRANK($N$5:$N$337,N334),"")</f>
        <v>0.427</v>
      </c>
      <c r="S334" s="8" t="n">
        <f aca="false">IF(ISNUMBER(O334),PERCENTRANK($O$5:$O$337,O334),"")</f>
        <v>0.0813</v>
      </c>
      <c r="T334" s="8" t="n">
        <f aca="false">IF(ISNUMBER(P334),PERCENTRANK($P$5:$P$337,P334),"")</f>
        <v>0.416</v>
      </c>
      <c r="U334" s="9" t="n">
        <f aca="false">IF((IF(ISNUMBER(Q334),Inputs!$B$4,0)+IF(ISNUMBER(R334),Inputs!$B$5,0)+IF(ISNUMBER(S334),Inputs!$B$6,0)+IF(ISNUMBER(T334),Inputs!$B$7,0))=0,"",(IF(ISNUMBER(Q334),Inputs!$B$4*Q334,0)+IF(ISNUMBER(R334),Inputs!$B$5*R334,0)+IF(ISNUMBER(S334),Inputs!$B$6*S334,0)+IF(ISNUMBER(T334),Inputs!$B$7*T334,0))/(IF(ISNUMBER(Q334),Inputs!$B$4,0)+IF(ISNUMBER(R334),Inputs!$B$5,0)+IF(ISNUMBER(S334),Inputs!$B$6,0)+IF(ISNUMBER(T334),Inputs!$B$7,0)))</f>
        <v>0.25415</v>
      </c>
      <c r="V334" s="5" t="str">
        <f aca="false">IF(F334&gt;0,"Yes","No")</f>
        <v>Yes</v>
      </c>
      <c r="W334" s="5" t="str">
        <f aca="false">IF(ISNUMBER(N334),IF(N334&gt;=Inputs!$D$18,"Yes","No"),"No price")</f>
        <v>Yes</v>
      </c>
      <c r="X334" s="5" t="str">
        <f aca="false">IF(K334+L334&gt;0,"Yes",IF(M334&gt;0,"No","Unclear"))</f>
        <v>Yes</v>
      </c>
      <c r="Y334" s="5" t="str">
        <f aca="false">INDEX('API Data'!$H$2:$H$152,MATCH(B334,'API Data'!$A$2:$A$152,0))</f>
        <v>Yes</v>
      </c>
      <c r="Z334" s="5" t="str">
        <f aca="false">IF(COUNTIFS('Product Rows'!$A$2:$A$696,B334,'Product Rows'!$B$2:$B$696,C334,'Product Rows'!$I$2:$I$696,"Yes")&gt;0,"Yes","No")</f>
        <v>No</v>
      </c>
      <c r="AA334" s="5" t="str">
        <f aca="false">IF(P334&gt;=Inputs!$D$22,"Yes","No")</f>
        <v>Yes</v>
      </c>
      <c r="AB334" s="10" t="b">
        <f aca="false">AND(OR(Inputs!$B$17&lt;&gt;"Exclude",V334="Yes"),OR(Inputs!$B$18&lt;&gt;"Exclude",W334&lt;&gt;"No"),OR(Inputs!$B$19&lt;&gt;"Exclude",X334&lt;&gt;"No"),OR(Inputs!$B$20&lt;&gt;"Exclude",Y334="No"),OR(Inputs!$B$21&lt;&gt;"Exclude",Z334="No"),OR(Inputs!$B$22&lt;&gt;"Exclude",AA334="Yes"),ISNUMBER(U334))</f>
        <v>1</v>
      </c>
      <c r="AC334" s="5" t="n">
        <f aca="false">IF(AB334,COUNTIFS($C$5:$C$337,C334,$AB$5:$AB$337,TRUE(),$U$5:$U$337,"&gt;"&amp;U334)+COUNTIFS($C$5:C334,C334,$AB$5:AB334,TRUE(),$U$5:U334,U334),"")</f>
        <v>44</v>
      </c>
      <c r="AD334" s="5" t="str">
        <f aca="false">IF(AC334="","Not eligible",IF(AC334&lt;=Inputs!$B$25,"Lead",IF(AC334&lt;=Inputs!$B$25+Inputs!$B$26,"Next wave","Long list")))</f>
        <v>Long list</v>
      </c>
      <c r="AE334" s="5" t="str">
        <f aca="false">IF(AND(K334+L334=0,M334&gt;0),"Safety upgrade of existing prefilled syringe",IF(K334+L334+M334=0,"Confirm presentation (not stated in source)",IF(AA334="Yes","Differentiation in crowded generic market","Safety-device mandate compliance")))</f>
        <v>Differentiation in crowded generic market</v>
      </c>
      <c r="AF334" s="5" t="str">
        <f aca="false">IF(AC334="","",C334&amp;"|"&amp;AC334)</f>
        <v>Aurobindo Pharma|44</v>
      </c>
    </row>
    <row r="335" customFormat="false" ht="15" hidden="false" customHeight="false" outlineLevel="0" collapsed="false">
      <c r="A335" s="5" t="n">
        <f aca="false">IF(ISNUMBER(U335),RANK(U335,$U$5:$U$337),"")</f>
        <v>236</v>
      </c>
      <c r="B335" s="5" t="s">
        <v>202</v>
      </c>
      <c r="C335" s="5" t="s">
        <v>54</v>
      </c>
      <c r="D335" s="5" t="str">
        <f aca="false">INDEX('API Data'!$B$2:$B$152,MATCH(B335,'API Data'!$A$2:$A$152,0))</f>
        <v>Oncology – non-small cell lung cancer; breast cancer</v>
      </c>
      <c r="E335" s="5" t="n">
        <f aca="false">COUNTIFS('Market Listing'!$A$2:$A$4054,B335,'Market Listing'!$B$2:$B$4054,C335)</f>
        <v>1</v>
      </c>
      <c r="F335" s="5" t="n">
        <f aca="false">COUNTIFS('Market Listing'!$A$2:$A$4054,B335,'Market Listing'!$B$2:$B$4054,C335,'Market Listing'!$D$2:$D$4054,"Tier 1")</f>
        <v>0</v>
      </c>
      <c r="G335" s="5" t="n">
        <f aca="false">COUNTIFS('Market Listing'!$A$2:$A$4054,B335,'Market Listing'!$B$2:$B$4054,C335,'Market Listing'!$D$2:$D$4054,"Tier 2")</f>
        <v>1</v>
      </c>
      <c r="H335" s="5" t="n">
        <f aca="false">COUNTIFS('Market Listing'!$A$2:$A$4054,B335,'Market Listing'!$B$2:$B$4054,C335,'Market Listing'!$D$2:$D$4054,"Tier 3")</f>
        <v>0</v>
      </c>
      <c r="I335" s="5" t="n">
        <f aca="false">SUMIFS('Market Listing'!$E$2:$E$4054,'Market Listing'!$A$2:$A$4054,B335,'Market Listing'!$B$2:$B$4054,C335)</f>
        <v>2</v>
      </c>
      <c r="J335" s="5" t="n">
        <f aca="false">COUNTIFS('Product Rows'!$A$2:$A$696,B335,'Product Rows'!$B$2:$B$696,C335)</f>
        <v>2</v>
      </c>
      <c r="K335" s="5" t="n">
        <f aca="false">COUNTIFS('Product Rows'!$A$2:$A$696,B335,'Product Rows'!$B$2:$B$696,C335,'Product Rows'!$G$2:$G$696,"Vial")</f>
        <v>2</v>
      </c>
      <c r="L335" s="5" t="n">
        <f aca="false">COUNTIFS('Product Rows'!$A$2:$A$696,B335,'Product Rows'!$B$2:$B$696,C335,'Product Rows'!$G$2:$G$696,"Ampoule")</f>
        <v>0</v>
      </c>
      <c r="M335" s="5" t="n">
        <f aca="false">COUNTIFS('Product Rows'!$A$2:$A$696,B335,'Product Rows'!$B$2:$B$696,C335,'Product Rows'!$G$2:$G$696,"Prefilled syringe/pen")</f>
        <v>0</v>
      </c>
      <c r="N335" s="6" t="n">
        <f aca="false">IFERROR(AVERAGEIFS('Product Rows'!$H$2:$H$696,'Product Rows'!$A$2:$A$696,B335,'Product Rows'!$B$2:$B$696,C335),"")</f>
        <v>60.365</v>
      </c>
      <c r="O335" s="7" t="n">
        <f aca="false">INDEX('API Data'!$E$2:$E$152,MATCH(B335,'API Data'!$A$2:$A$152,0))</f>
        <v>301.66780625</v>
      </c>
      <c r="P335" s="5" t="n">
        <f aca="false">COUNTIF($B$5:$B$337,B335)</f>
        <v>3</v>
      </c>
      <c r="Q335" s="8" t="n">
        <f aca="false">IF(ISNUMBER(I335),PERCENTRANK($I$5:$I$337,I335),"")</f>
        <v>0</v>
      </c>
      <c r="R335" s="8" t="n">
        <f aca="false">IF(ISNUMBER(N335),PERCENTRANK($N$5:$N$337,N335),"")</f>
        <v>0.645</v>
      </c>
      <c r="S335" s="8" t="n">
        <f aca="false">IF(ISNUMBER(O335),PERCENTRANK($O$5:$O$337,O335),"")</f>
        <v>0.0813</v>
      </c>
      <c r="T335" s="8" t="n">
        <f aca="false">IF(ISNUMBER(P335),PERCENTRANK($P$5:$P$337,P335),"")</f>
        <v>0.416</v>
      </c>
      <c r="U335" s="9" t="n">
        <f aca="false">IF((IF(ISNUMBER(Q335),Inputs!$B$4,0)+IF(ISNUMBER(R335),Inputs!$B$5,0)+IF(ISNUMBER(S335),Inputs!$B$6,0)+IF(ISNUMBER(T335),Inputs!$B$7,0))=0,"",(IF(ISNUMBER(Q335),Inputs!$B$4*Q335,0)+IF(ISNUMBER(R335),Inputs!$B$5*R335,0)+IF(ISNUMBER(S335),Inputs!$B$6*S335,0)+IF(ISNUMBER(T335),Inputs!$B$7*T335,0))/(IF(ISNUMBER(Q335),Inputs!$B$4,0)+IF(ISNUMBER(R335),Inputs!$B$5,0)+IF(ISNUMBER(S335),Inputs!$B$6,0)+IF(ISNUMBER(T335),Inputs!$B$7,0)))</f>
        <v>0.36315</v>
      </c>
      <c r="V335" s="5" t="str">
        <f aca="false">IF(F335&gt;0,"Yes","No")</f>
        <v>No</v>
      </c>
      <c r="W335" s="5" t="str">
        <f aca="false">IF(ISNUMBER(N335),IF(N335&gt;=Inputs!$D$18,"Yes","No"),"No price")</f>
        <v>Yes</v>
      </c>
      <c r="X335" s="5" t="str">
        <f aca="false">IF(K335+L335&gt;0,"Yes",IF(M335&gt;0,"No","Unclear"))</f>
        <v>Yes</v>
      </c>
      <c r="Y335" s="5" t="str">
        <f aca="false">INDEX('API Data'!$H$2:$H$152,MATCH(B335,'API Data'!$A$2:$A$152,0))</f>
        <v>Yes</v>
      </c>
      <c r="Z335" s="5" t="str">
        <f aca="false">IF(COUNTIFS('Product Rows'!$A$2:$A$696,B335,'Product Rows'!$B$2:$B$696,C335,'Product Rows'!$I$2:$I$696,"Yes")&gt;0,"Yes","No")</f>
        <v>No</v>
      </c>
      <c r="AA335" s="5" t="str">
        <f aca="false">IF(P335&gt;=Inputs!$D$22,"Yes","No")</f>
        <v>Yes</v>
      </c>
      <c r="AB335" s="10" t="b">
        <f aca="false">AND(OR(Inputs!$B$17&lt;&gt;"Exclude",V335="Yes"),OR(Inputs!$B$18&lt;&gt;"Exclude",W335&lt;&gt;"No"),OR(Inputs!$B$19&lt;&gt;"Exclude",X335&lt;&gt;"No"),OR(Inputs!$B$20&lt;&gt;"Exclude",Y335="No"),OR(Inputs!$B$21&lt;&gt;"Exclude",Z335="No"),OR(Inputs!$B$22&lt;&gt;"Exclude",AA335="Yes"),ISNUMBER(U335))</f>
        <v>0</v>
      </c>
      <c r="AC335" s="5" t="str">
        <f aca="false">IF(AB335,COUNTIFS($C$5:$C$337,C335,$AB$5:$AB$337,TRUE(),$U$5:$U$337,"&gt;"&amp;U335)+COUNTIFS($C$5:C335,C335,$AB$5:AB335,TRUE(),$U$5:U335,U335),"")</f>
        <v/>
      </c>
      <c r="AD335" s="5" t="str">
        <f aca="false">IF(AC335="","Not eligible",IF(AC335&lt;=Inputs!$B$25,"Lead",IF(AC335&lt;=Inputs!$B$25+Inputs!$B$26,"Next wave","Long list")))</f>
        <v>Not eligible</v>
      </c>
      <c r="AE335" s="5" t="str">
        <f aca="false">IF(AND(K335+L335=0,M335&gt;0),"Safety upgrade of existing prefilled syringe",IF(K335+L335+M335=0,"Confirm presentation (not stated in source)",IF(AA335="Yes","Differentiation in crowded generic market","Safety-device mandate compliance")))</f>
        <v>Differentiation in crowded generic market</v>
      </c>
      <c r="AF335" s="5" t="str">
        <f aca="false">IF(AC335="","",C335&amp;"|"&amp;AC335)</f>
        <v/>
      </c>
    </row>
    <row r="336" customFormat="false" ht="15" hidden="false" customHeight="false" outlineLevel="0" collapsed="false">
      <c r="A336" s="5" t="n">
        <f aca="false">IF(ISNUMBER(U336),RANK(U336,$U$5:$U$337),"")</f>
        <v>203</v>
      </c>
      <c r="B336" s="5" t="s">
        <v>202</v>
      </c>
      <c r="C336" s="5" t="s">
        <v>44</v>
      </c>
      <c r="D336" s="5" t="str">
        <f aca="false">INDEX('API Data'!$B$2:$B$152,MATCH(B336,'API Data'!$A$2:$A$152,0))</f>
        <v>Oncology – non-small cell lung cancer; breast cancer</v>
      </c>
      <c r="E336" s="5" t="n">
        <f aca="false">COUNTIFS('Market Listing'!$A$2:$A$4054,B336,'Market Listing'!$B$2:$B$4054,C336)</f>
        <v>30</v>
      </c>
      <c r="F336" s="5" t="n">
        <f aca="false">COUNTIFS('Market Listing'!$A$2:$A$4054,B336,'Market Listing'!$B$2:$B$4054,C336,'Market Listing'!$D$2:$D$4054,"Tier 1")</f>
        <v>5</v>
      </c>
      <c r="G336" s="5" t="n">
        <f aca="false">COUNTIFS('Market Listing'!$A$2:$A$4054,B336,'Market Listing'!$B$2:$B$4054,C336,'Market Listing'!$D$2:$D$4054,"Tier 2")</f>
        <v>3</v>
      </c>
      <c r="H336" s="5" t="n">
        <f aca="false">COUNTIFS('Market Listing'!$A$2:$A$4054,B336,'Market Listing'!$B$2:$B$4054,C336,'Market Listing'!$D$2:$D$4054,"Tier 3")</f>
        <v>22</v>
      </c>
      <c r="I336" s="5" t="n">
        <f aca="false">SUMIFS('Market Listing'!$E$2:$E$4054,'Market Listing'!$A$2:$A$4054,B336,'Market Listing'!$B$2:$B$4054,C336)</f>
        <v>43</v>
      </c>
      <c r="J336" s="5" t="n">
        <f aca="false">COUNTIFS('Product Rows'!$A$2:$A$696,B336,'Product Rows'!$B$2:$B$696,C336)</f>
        <v>2</v>
      </c>
      <c r="K336" s="5" t="n">
        <f aca="false">COUNTIFS('Product Rows'!$A$2:$A$696,B336,'Product Rows'!$B$2:$B$696,C336,'Product Rows'!$G$2:$G$696,"Vial")</f>
        <v>2</v>
      </c>
      <c r="L336" s="5" t="n">
        <f aca="false">COUNTIFS('Product Rows'!$A$2:$A$696,B336,'Product Rows'!$B$2:$B$696,C336,'Product Rows'!$G$2:$G$696,"Ampoule")</f>
        <v>0</v>
      </c>
      <c r="M336" s="5" t="n">
        <f aca="false">COUNTIFS('Product Rows'!$A$2:$A$696,B336,'Product Rows'!$B$2:$B$696,C336,'Product Rows'!$G$2:$G$696,"Prefilled syringe/pen")</f>
        <v>0</v>
      </c>
      <c r="N336" s="6" t="n">
        <f aca="false">IFERROR(AVERAGEIFS('Product Rows'!$H$2:$H$696,'Product Rows'!$A$2:$A$696,B336,'Product Rows'!$B$2:$B$696,C336),"")</f>
        <v>113.7345</v>
      </c>
      <c r="O336" s="7" t="n">
        <f aca="false">INDEX('API Data'!$E$2:$E$152,MATCH(B336,'API Data'!$A$2:$A$152,0))</f>
        <v>301.66780625</v>
      </c>
      <c r="P336" s="5" t="n">
        <f aca="false">COUNTIF($B$5:$B$337,B336)</f>
        <v>3</v>
      </c>
      <c r="Q336" s="8" t="n">
        <f aca="false">IF(ISNUMBER(I336),PERCENTRANK($I$5:$I$337,I336),"")</f>
        <v>0.75</v>
      </c>
      <c r="R336" s="8" t="n">
        <f aca="false">IF(ISNUMBER(N336),PERCENTRANK($N$5:$N$337,N336),"")</f>
        <v>0.76</v>
      </c>
      <c r="S336" s="8" t="n">
        <f aca="false">IF(ISNUMBER(O336),PERCENTRANK($O$5:$O$337,O336),"")</f>
        <v>0.0813</v>
      </c>
      <c r="T336" s="8" t="n">
        <f aca="false">IF(ISNUMBER(P336),PERCENTRANK($P$5:$P$337,P336),"")</f>
        <v>0.416</v>
      </c>
      <c r="U336" s="9" t="n">
        <f aca="false">IF((IF(ISNUMBER(Q336),Inputs!$B$4,0)+IF(ISNUMBER(R336),Inputs!$B$5,0)+IF(ISNUMBER(S336),Inputs!$B$6,0)+IF(ISNUMBER(T336),Inputs!$B$7,0))=0,"",(IF(ISNUMBER(Q336),Inputs!$B$4*Q336,0)+IF(ISNUMBER(R336),Inputs!$B$5*R336,0)+IF(ISNUMBER(S336),Inputs!$B$6*S336,0)+IF(ISNUMBER(T336),Inputs!$B$7*T336,0))/(IF(ISNUMBER(Q336),Inputs!$B$4,0)+IF(ISNUMBER(R336),Inputs!$B$5,0)+IF(ISNUMBER(S336),Inputs!$B$6,0)+IF(ISNUMBER(T336),Inputs!$B$7,0)))</f>
        <v>0.42065</v>
      </c>
      <c r="V336" s="5" t="str">
        <f aca="false">IF(F336&gt;0,"Yes","No")</f>
        <v>Yes</v>
      </c>
      <c r="W336" s="5" t="str">
        <f aca="false">IF(ISNUMBER(N336),IF(N336&gt;=Inputs!$D$18,"Yes","No"),"No price")</f>
        <v>Yes</v>
      </c>
      <c r="X336" s="5" t="str">
        <f aca="false">IF(K336+L336&gt;0,"Yes",IF(M336&gt;0,"No","Unclear"))</f>
        <v>Yes</v>
      </c>
      <c r="Y336" s="5" t="str">
        <f aca="false">INDEX('API Data'!$H$2:$H$152,MATCH(B336,'API Data'!$A$2:$A$152,0))</f>
        <v>Yes</v>
      </c>
      <c r="Z336" s="5" t="str">
        <f aca="false">IF(COUNTIFS('Product Rows'!$A$2:$A$696,B336,'Product Rows'!$B$2:$B$696,C336,'Product Rows'!$I$2:$I$696,"Yes")&gt;0,"Yes","No")</f>
        <v>No</v>
      </c>
      <c r="AA336" s="5" t="str">
        <f aca="false">IF(P336&gt;=Inputs!$D$22,"Yes","No")</f>
        <v>Yes</v>
      </c>
      <c r="AB336" s="10" t="b">
        <f aca="false">AND(OR(Inputs!$B$17&lt;&gt;"Exclude",V336="Yes"),OR(Inputs!$B$18&lt;&gt;"Exclude",W336&lt;&gt;"No"),OR(Inputs!$B$19&lt;&gt;"Exclude",X336&lt;&gt;"No"),OR(Inputs!$B$20&lt;&gt;"Exclude",Y336="No"),OR(Inputs!$B$21&lt;&gt;"Exclude",Z336="No"),OR(Inputs!$B$22&lt;&gt;"Exclude",AA336="Yes"),ISNUMBER(U336))</f>
        <v>1</v>
      </c>
      <c r="AC336" s="5" t="n">
        <f aca="false">IF(AB336,COUNTIFS($C$5:$C$337,C336,$AB$5:$AB$337,TRUE(),$U$5:$U$337,"&gt;"&amp;U336)+COUNTIFS($C$5:C336,C336,$AB$5:AB336,TRUE(),$U$5:U336,U336),"")</f>
        <v>38</v>
      </c>
      <c r="AD336" s="5" t="str">
        <f aca="false">IF(AC336="","Not eligible",IF(AC336&lt;=Inputs!$B$25,"Lead",IF(AC336&lt;=Inputs!$B$25+Inputs!$B$26,"Next wave","Long list")))</f>
        <v>Long list</v>
      </c>
      <c r="AE336" s="5" t="str">
        <f aca="false">IF(AND(K336+L336=0,M336&gt;0),"Safety upgrade of existing prefilled syringe",IF(K336+L336+M336=0,"Confirm presentation (not stated in source)",IF(AA336="Yes","Differentiation in crowded generic market","Safety-device mandate compliance")))</f>
        <v>Differentiation in crowded generic market</v>
      </c>
      <c r="AF336" s="5" t="str">
        <f aca="false">IF(AC336="","",C336&amp;"|"&amp;AC336)</f>
        <v>Intas Pharmaceuticals|38</v>
      </c>
    </row>
    <row r="337" customFormat="false" ht="15" hidden="false" customHeight="false" outlineLevel="0" collapsed="false">
      <c r="A337" s="5" t="n">
        <f aca="false">IF(ISNUMBER(U337),RANK(U337,$U$5:$U$337),"")</f>
        <v>78</v>
      </c>
      <c r="B337" s="5" t="s">
        <v>203</v>
      </c>
      <c r="C337" s="5" t="s">
        <v>115</v>
      </c>
      <c r="D337" s="5" t="str">
        <f aca="false">INDEX('API Data'!$B$2:$B$152,MATCH(B337,'API Data'!$A$2:$A$152,0))</f>
        <v>Anti-infective – invasive aspergillosis &amp; serious fungal infections</v>
      </c>
      <c r="E337" s="5" t="n">
        <f aca="false">COUNTIFS('Market Listing'!$A$2:$A$4054,B337,'Market Listing'!$B$2:$B$4054,C337)</f>
        <v>31</v>
      </c>
      <c r="F337" s="5" t="n">
        <f aca="false">COUNTIFS('Market Listing'!$A$2:$A$4054,B337,'Market Listing'!$B$2:$B$4054,C337,'Market Listing'!$D$2:$D$4054,"Tier 1")</f>
        <v>5</v>
      </c>
      <c r="G337" s="5" t="n">
        <f aca="false">COUNTIFS('Market Listing'!$A$2:$A$4054,B337,'Market Listing'!$B$2:$B$4054,C337,'Market Listing'!$D$2:$D$4054,"Tier 2")</f>
        <v>3</v>
      </c>
      <c r="H337" s="5" t="n">
        <f aca="false">COUNTIFS('Market Listing'!$A$2:$A$4054,B337,'Market Listing'!$B$2:$B$4054,C337,'Market Listing'!$D$2:$D$4054,"Tier 3")</f>
        <v>23</v>
      </c>
      <c r="I337" s="5" t="n">
        <f aca="false">SUMIFS('Market Listing'!$E$2:$E$4054,'Market Listing'!$A$2:$A$4054,B337,'Market Listing'!$B$2:$B$4054,C337)</f>
        <v>44</v>
      </c>
      <c r="J337" s="5" t="n">
        <f aca="false">COUNTIFS('Product Rows'!$A$2:$A$696,B337,'Product Rows'!$B$2:$B$696,C337)</f>
        <v>1</v>
      </c>
      <c r="K337" s="5" t="n">
        <f aca="false">COUNTIFS('Product Rows'!$A$2:$A$696,B337,'Product Rows'!$B$2:$B$696,C337,'Product Rows'!$G$2:$G$696,"Vial")</f>
        <v>0</v>
      </c>
      <c r="L337" s="5" t="n">
        <f aca="false">COUNTIFS('Product Rows'!$A$2:$A$696,B337,'Product Rows'!$B$2:$B$696,C337,'Product Rows'!$G$2:$G$696,"Ampoule")</f>
        <v>0</v>
      </c>
      <c r="M337" s="5" t="n">
        <f aca="false">COUNTIFS('Product Rows'!$A$2:$A$696,B337,'Product Rows'!$B$2:$B$696,C337,'Product Rows'!$G$2:$G$696,"Prefilled syringe/pen")</f>
        <v>0</v>
      </c>
      <c r="N337" s="6" t="str">
        <f aca="false">IFERROR(AVERAGEIFS('Product Rows'!$H$2:$H$696,'Product Rows'!$A$2:$A$696,B337,'Product Rows'!$B$2:$B$696,C337),"")</f>
        <v/>
      </c>
      <c r="O337" s="7" t="n">
        <f aca="false">INDEX('API Data'!$E$2:$E$152,MATCH(B337,'API Data'!$A$2:$A$152,0))</f>
        <v>7260.12517453217</v>
      </c>
      <c r="P337" s="5" t="n">
        <f aca="false">COUNTIF($B$5:$B$337,B337)</f>
        <v>1</v>
      </c>
      <c r="Q337" s="8" t="n">
        <f aca="false">IF(ISNUMBER(I337),PERCENTRANK($I$5:$I$337,I337),"")</f>
        <v>0.798</v>
      </c>
      <c r="R337" s="8" t="str">
        <f aca="false">IF(ISNUMBER(N337),PERCENTRANK($N$5:$N$337,N337),"")</f>
        <v/>
      </c>
      <c r="S337" s="8" t="n">
        <f aca="false">IF(ISNUMBER(O337),PERCENTRANK($O$5:$O$337,O337),"")</f>
        <v>0.645</v>
      </c>
      <c r="T337" s="8" t="n">
        <f aca="false">IF(ISNUMBER(P337),PERCENTRANK($P$5:$P$337,P337),"")</f>
        <v>0</v>
      </c>
      <c r="U337" s="9" t="n">
        <f aca="false">IF((IF(ISNUMBER(Q337),Inputs!$B$4,0)+IF(ISNUMBER(R337),Inputs!$B$5,0)+IF(ISNUMBER(S337),Inputs!$B$6,0)+IF(ISNUMBER(T337),Inputs!$B$7,0))=0,"",(IF(ISNUMBER(Q337),Inputs!$B$4*Q337,0)+IF(ISNUMBER(R337),Inputs!$B$5*R337,0)+IF(ISNUMBER(S337),Inputs!$B$6*S337,0)+IF(ISNUMBER(T337),Inputs!$B$7*T337,0))/(IF(ISNUMBER(Q337),Inputs!$B$4,0)+IF(ISNUMBER(R337),Inputs!$B$5,0)+IF(ISNUMBER(S337),Inputs!$B$6,0)+IF(ISNUMBER(T337),Inputs!$B$7,0)))</f>
        <v>0.645</v>
      </c>
      <c r="V337" s="5" t="str">
        <f aca="false">IF(F337&gt;0,"Yes","No")</f>
        <v>Yes</v>
      </c>
      <c r="W337" s="5" t="str">
        <f aca="false">IF(ISNUMBER(N337),IF(N337&gt;=Inputs!$D$18,"Yes","No"),"No price")</f>
        <v>No price</v>
      </c>
      <c r="X337" s="5" t="str">
        <f aca="false">IF(K337+L337&gt;0,"Yes",IF(M337&gt;0,"No","Unclear"))</f>
        <v>Unclear</v>
      </c>
      <c r="Y337" s="5" t="str">
        <f aca="false">INDEX('API Data'!$H$2:$H$152,MATCH(B337,'API Data'!$A$2:$A$152,0))</f>
        <v>No</v>
      </c>
      <c r="Z337" s="5" t="str">
        <f aca="false">IF(COUNTIFS('Product Rows'!$A$2:$A$696,B337,'Product Rows'!$B$2:$B$696,C337,'Product Rows'!$I$2:$I$696,"Yes")&gt;0,"Yes","No")</f>
        <v>No</v>
      </c>
      <c r="AA337" s="5" t="str">
        <f aca="false">IF(P337&gt;=Inputs!$D$22,"Yes","No")</f>
        <v>No</v>
      </c>
      <c r="AB337" s="10" t="b">
        <f aca="false">AND(OR(Inputs!$B$17&lt;&gt;"Exclude",V337="Yes"),OR(Inputs!$B$18&lt;&gt;"Exclude",W337&lt;&gt;"No"),OR(Inputs!$B$19&lt;&gt;"Exclude",X337&lt;&gt;"No"),OR(Inputs!$B$20&lt;&gt;"Exclude",Y337="No"),OR(Inputs!$B$21&lt;&gt;"Exclude",Z337="No"),OR(Inputs!$B$22&lt;&gt;"Exclude",AA337="Yes"),ISNUMBER(U337))</f>
        <v>1</v>
      </c>
      <c r="AC337" s="5" t="n">
        <f aca="false">IF(AB337,COUNTIFS($C$5:$C$337,C337,$AB$5:$AB$337,TRUE(),$U$5:$U$337,"&gt;"&amp;U337)+COUNTIFS($C$5:C337,C337,$AB$5:AB337,TRUE(),$U$5:U337,U337),"")</f>
        <v>4</v>
      </c>
      <c r="AD337" s="5" t="str">
        <f aca="false">IF(AC337="","Not eligible",IF(AC337&lt;=Inputs!$B$25,"Lead",IF(AC337&lt;=Inputs!$B$25+Inputs!$B$26,"Next wave","Long list")))</f>
        <v>Lead</v>
      </c>
      <c r="AE337" s="5" t="str">
        <f aca="false">IF(AND(K337+L337=0,M337&gt;0),"Safety upgrade of existing prefilled syringe",IF(K337+L337+M337=0,"Confirm presentation (not stated in source)",IF(AA337="Yes","Differentiation in crowded generic market","Safety-device mandate compliance")))</f>
        <v>Confirm presentation (not stated in source)</v>
      </c>
      <c r="AF337" s="5" t="str">
        <f aca="false">IF(AC337="","",C337&amp;"|"&amp;AC337)</f>
        <v>Torrent Pharmaceuticals|4</v>
      </c>
    </row>
    <row r="339" customFormat="false" ht="15" hidden="false" customHeight="false" outlineLevel="0" collapsed="false">
      <c r="A339" s="11" t="s">
        <v>204</v>
      </c>
    </row>
    <row r="340" customFormat="false" ht="15" hidden="false" customHeight="false" outlineLevel="0" collapsed="false">
      <c r="A340" s="12" t="s">
        <v>205</v>
      </c>
    </row>
    <row r="341" customFormat="false" ht="15" hidden="false" customHeight="false" outlineLevel="0" collapsed="false">
      <c r="A341" s="12" t="s">
        <v>206</v>
      </c>
    </row>
    <row r="342" customFormat="false" ht="15" hidden="false" customHeight="false" outlineLevel="0" collapsed="false">
      <c r="A342" s="12" t="s">
        <v>207</v>
      </c>
    </row>
    <row r="343" customFormat="false" ht="15" hidden="false" customHeight="false" outlineLevel="0" collapsed="false">
      <c r="A343" s="12" t="s">
        <v>208</v>
      </c>
    </row>
  </sheetData>
  <autoFilter ref="A4:AF3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15"/>
    <col collapsed="false" customWidth="true" hidden="false" outlineLevel="0" max="11" min="10" style="0" width="11"/>
  </cols>
  <sheetData>
    <row r="1" customFormat="false" ht="15" hidden="false" customHeight="false" outlineLevel="0" collapsed="false">
      <c r="A1" s="1" t="s">
        <v>209</v>
      </c>
    </row>
    <row r="2" customFormat="false" ht="15" hidden="false" customHeight="false" outlineLevel="0" collapsed="false">
      <c r="A2" s="13" t="s">
        <v>210</v>
      </c>
    </row>
    <row r="4" customFormat="false" ht="39.75" hidden="false" customHeight="true" outlineLevel="0" collapsed="false">
      <c r="A4" s="3" t="s">
        <v>2</v>
      </c>
      <c r="B4" s="3" t="s">
        <v>4</v>
      </c>
      <c r="C4" s="3" t="s">
        <v>211</v>
      </c>
      <c r="D4" s="3" t="s">
        <v>212</v>
      </c>
      <c r="E4" s="3" t="s">
        <v>213</v>
      </c>
      <c r="F4" s="3" t="s">
        <v>214</v>
      </c>
      <c r="G4" s="3" t="s">
        <v>215</v>
      </c>
      <c r="H4" s="3" t="s">
        <v>216</v>
      </c>
      <c r="I4" s="3" t="s">
        <v>217</v>
      </c>
      <c r="J4" s="3" t="s">
        <v>218</v>
      </c>
      <c r="K4" s="3" t="s">
        <v>219</v>
      </c>
    </row>
    <row r="5" customFormat="false" ht="15" hidden="false" customHeight="false" outlineLevel="0" collapsed="false">
      <c r="A5" s="5" t="n">
        <f aca="false">RANK(F5,$F$5:$F$23)</f>
        <v>13</v>
      </c>
      <c r="B5" s="5" t="s">
        <v>70</v>
      </c>
      <c r="C5" s="5" t="n">
        <f aca="false">COUNTIF(Scoring!$C$5:$C$337,B5)</f>
        <v>6</v>
      </c>
      <c r="D5" s="5" t="n">
        <f aca="false">COUNTIFS(Scoring!$C$5:$C$337,B5,Scoring!$AB$5:$AB$337,TRUE())</f>
        <v>6</v>
      </c>
      <c r="E5" s="5" t="n">
        <f aca="false">COUNTIFS(Scoring!$C$5:$C$337,B5,Scoring!$AD$5:$AD$337,"Lead")</f>
        <v>5</v>
      </c>
      <c r="F5" s="8" t="n">
        <f aca="false">SUMIFS(Scoring!$U$5:$U$337,Scoring!$C$5:$C$337,B5,Scoring!$AD$5:$AD$337,"Lead")</f>
        <v>2.464</v>
      </c>
      <c r="G5" s="8" t="n">
        <f aca="false">IF(E5=0,"",F5/E5)</f>
        <v>0.4928</v>
      </c>
      <c r="H5" s="5" t="n">
        <f aca="false">COUNTIFS(Scoring!$C$5:$C$337,B5,Scoring!$AD$5:$AD$337,"Lead",Scoring!$V$5:$V$337,"Yes")</f>
        <v>5</v>
      </c>
      <c r="I5" s="7" t="n">
        <f aca="false">SUMIFS(Scoring!$O$5:$O$337,Scoring!$C$5:$C$337,B5,Scoring!$AD$5:$AD$337,"Lead")</f>
        <v>34923.8349275149</v>
      </c>
      <c r="J5" s="6" t="n">
        <f aca="false">IFERROR(AVERAGEIFS(Scoring!$N$5:$N$337,Scoring!$C$5:$C$337,B5,Scoring!$AD$5:$AD$337,"Lead"),"")</f>
        <v>38.3845333333333</v>
      </c>
      <c r="K5" s="5" t="n">
        <f aca="false">COUNTIFS(Scoring!$C$5:$C$337,B5,Scoring!$AD$5:$AD$337,"Lead",Scoring!$X$5:$X$337,"No")</f>
        <v>2</v>
      </c>
    </row>
    <row r="6" customFormat="false" ht="15" hidden="false" customHeight="false" outlineLevel="0" collapsed="false">
      <c r="A6" s="5" t="n">
        <f aca="false">RANK(F6,$F$5:$F$23)</f>
        <v>3</v>
      </c>
      <c r="B6" s="5" t="s">
        <v>47</v>
      </c>
      <c r="C6" s="5" t="n">
        <f aca="false">COUNTIF(Scoring!$C$5:$C$337,B6)</f>
        <v>53</v>
      </c>
      <c r="D6" s="5" t="n">
        <f aca="false">COUNTIFS(Scoring!$C$5:$C$337,B6,Scoring!$AB$5:$AB$337,TRUE())</f>
        <v>51</v>
      </c>
      <c r="E6" s="5" t="n">
        <f aca="false">COUNTIFS(Scoring!$C$5:$C$337,B6,Scoring!$AD$5:$AD$337,"Lead")</f>
        <v>5</v>
      </c>
      <c r="F6" s="8" t="n">
        <f aca="false">SUMIFS(Scoring!$U$5:$U$337,Scoring!$C$5:$C$337,B6,Scoring!$AD$5:$AD$337,"Lead")</f>
        <v>4.2045</v>
      </c>
      <c r="G6" s="8" t="n">
        <f aca="false">IF(E6=0,"",F6/E6)</f>
        <v>0.8409</v>
      </c>
      <c r="H6" s="5" t="n">
        <f aca="false">COUNTIFS(Scoring!$C$5:$C$337,B6,Scoring!$AD$5:$AD$337,"Lead",Scoring!$V$5:$V$337,"Yes")</f>
        <v>5</v>
      </c>
      <c r="I6" s="7" t="n">
        <f aca="false">SUMIFS(Scoring!$O$5:$O$337,Scoring!$C$5:$C$337,B6,Scoring!$AD$5:$AD$337,"Lead")</f>
        <v>149373.020172451</v>
      </c>
      <c r="J6" s="6" t="n">
        <f aca="false">IFERROR(AVERAGEIFS(Scoring!$N$5:$N$337,Scoring!$C$5:$C$337,B6,Scoring!$AD$5:$AD$337,"Lead"),"")</f>
        <v>990.499010666667</v>
      </c>
      <c r="K6" s="5" t="n">
        <f aca="false">COUNTIFS(Scoring!$C$5:$C$337,B6,Scoring!$AD$5:$AD$337,"Lead",Scoring!$X$5:$X$337,"No")</f>
        <v>1</v>
      </c>
    </row>
    <row r="7" customFormat="false" ht="15" hidden="false" customHeight="false" outlineLevel="0" collapsed="false">
      <c r="A7" s="5" t="n">
        <f aca="false">RANK(F7,$F$5:$F$23)</f>
        <v>9</v>
      </c>
      <c r="B7" s="5" t="s">
        <v>54</v>
      </c>
      <c r="C7" s="5" t="n">
        <f aca="false">COUNTIF(Scoring!$C$5:$C$337,B7)</f>
        <v>23</v>
      </c>
      <c r="D7" s="5" t="n">
        <f aca="false">COUNTIFS(Scoring!$C$5:$C$337,B7,Scoring!$AB$5:$AB$337,TRUE())</f>
        <v>7</v>
      </c>
      <c r="E7" s="5" t="n">
        <f aca="false">COUNTIFS(Scoring!$C$5:$C$337,B7,Scoring!$AD$5:$AD$337,"Lead")</f>
        <v>5</v>
      </c>
      <c r="F7" s="8" t="n">
        <f aca="false">SUMIFS(Scoring!$U$5:$U$337,Scoring!$C$5:$C$337,B7,Scoring!$AD$5:$AD$337,"Lead")</f>
        <v>3.3785</v>
      </c>
      <c r="G7" s="8" t="n">
        <f aca="false">IF(E7=0,"",F7/E7)</f>
        <v>0.6757</v>
      </c>
      <c r="H7" s="5" t="n">
        <f aca="false">COUNTIFS(Scoring!$C$5:$C$337,B7,Scoring!$AD$5:$AD$337,"Lead",Scoring!$V$5:$V$337,"Yes")</f>
        <v>5</v>
      </c>
      <c r="I7" s="7" t="n">
        <f aca="false">SUMIFS(Scoring!$O$5:$O$337,Scoring!$C$5:$C$337,B7,Scoring!$AD$5:$AD$337,"Lead")</f>
        <v>115707.640635791</v>
      </c>
      <c r="J7" s="6" t="n">
        <f aca="false">IFERROR(AVERAGEIFS(Scoring!$N$5:$N$337,Scoring!$C$5:$C$337,B7,Scoring!$AD$5:$AD$337,"Lead"),"")</f>
        <v>169.9424</v>
      </c>
      <c r="K7" s="5" t="n">
        <f aca="false">COUNTIFS(Scoring!$C$5:$C$337,B7,Scoring!$AD$5:$AD$337,"Lead",Scoring!$X$5:$X$337,"No")</f>
        <v>1</v>
      </c>
    </row>
    <row r="8" customFormat="false" ht="15" hidden="false" customHeight="false" outlineLevel="0" collapsed="false">
      <c r="A8" s="5" t="n">
        <f aca="false">RANK(F8,$F$5:$F$23)</f>
        <v>5</v>
      </c>
      <c r="B8" s="5" t="s">
        <v>55</v>
      </c>
      <c r="C8" s="5" t="n">
        <f aca="false">COUNTIF(Scoring!$C$5:$C$337,B8)</f>
        <v>24</v>
      </c>
      <c r="D8" s="5" t="n">
        <f aca="false">COUNTIFS(Scoring!$C$5:$C$337,B8,Scoring!$AB$5:$AB$337,TRUE())</f>
        <v>23</v>
      </c>
      <c r="E8" s="5" t="n">
        <f aca="false">COUNTIFS(Scoring!$C$5:$C$337,B8,Scoring!$AD$5:$AD$337,"Lead")</f>
        <v>5</v>
      </c>
      <c r="F8" s="8" t="n">
        <f aca="false">SUMIFS(Scoring!$U$5:$U$337,Scoring!$C$5:$C$337,B8,Scoring!$AD$5:$AD$337,"Lead")</f>
        <v>4.16</v>
      </c>
      <c r="G8" s="8" t="n">
        <f aca="false">IF(E8=0,"",F8/E8)</f>
        <v>0.832</v>
      </c>
      <c r="H8" s="5" t="n">
        <f aca="false">COUNTIFS(Scoring!$C$5:$C$337,B8,Scoring!$AD$5:$AD$337,"Lead",Scoring!$V$5:$V$337,"Yes")</f>
        <v>5</v>
      </c>
      <c r="I8" s="7" t="n">
        <f aca="false">SUMIFS(Scoring!$O$5:$O$337,Scoring!$C$5:$C$337,B8,Scoring!$AD$5:$AD$337,"Lead")</f>
        <v>149373.020172451</v>
      </c>
      <c r="J8" s="6" t="n">
        <f aca="false">IFERROR(AVERAGEIFS(Scoring!$N$5:$N$337,Scoring!$C$5:$C$337,B8,Scoring!$AD$5:$AD$337,"Lead"),"")</f>
        <v>332.418016</v>
      </c>
      <c r="K8" s="5" t="n">
        <f aca="false">COUNTIFS(Scoring!$C$5:$C$337,B8,Scoring!$AD$5:$AD$337,"Lead",Scoring!$X$5:$X$337,"No")</f>
        <v>1</v>
      </c>
    </row>
    <row r="9" customFormat="false" ht="15" hidden="false" customHeight="false" outlineLevel="0" collapsed="false">
      <c r="A9" s="5" t="n">
        <f aca="false">RANK(F9,$F$5:$F$23)</f>
        <v>4</v>
      </c>
      <c r="B9" s="5" t="s">
        <v>35</v>
      </c>
      <c r="C9" s="5" t="n">
        <f aca="false">COUNTIF(Scoring!$C$5:$C$337,B9)</f>
        <v>20</v>
      </c>
      <c r="D9" s="5" t="n">
        <f aca="false">COUNTIFS(Scoring!$C$5:$C$337,B9,Scoring!$AB$5:$AB$337,TRUE())</f>
        <v>20</v>
      </c>
      <c r="E9" s="5" t="n">
        <f aca="false">COUNTIFS(Scoring!$C$5:$C$337,B9,Scoring!$AD$5:$AD$337,"Lead")</f>
        <v>5</v>
      </c>
      <c r="F9" s="8" t="n">
        <f aca="false">SUMIFS(Scoring!$U$5:$U$337,Scoring!$C$5:$C$337,B9,Scoring!$AD$5:$AD$337,"Lead")</f>
        <v>4.2035</v>
      </c>
      <c r="G9" s="8" t="n">
        <f aca="false">IF(E9=0,"",F9/E9)</f>
        <v>0.8407</v>
      </c>
      <c r="H9" s="5" t="n">
        <f aca="false">COUNTIFS(Scoring!$C$5:$C$337,B9,Scoring!$AD$5:$AD$337,"Lead",Scoring!$V$5:$V$337,"Yes")</f>
        <v>5</v>
      </c>
      <c r="I9" s="7" t="n">
        <f aca="false">SUMIFS(Scoring!$O$5:$O$337,Scoring!$C$5:$C$337,B9,Scoring!$AD$5:$AD$337,"Lead")</f>
        <v>170837.130172451</v>
      </c>
      <c r="J9" s="6" t="n">
        <f aca="false">IFERROR(AVERAGEIFS(Scoring!$N$5:$N$337,Scoring!$C$5:$C$337,B9,Scoring!$AD$5:$AD$337,"Lead"),"")</f>
        <v>1591.81283</v>
      </c>
      <c r="K9" s="5" t="n">
        <f aca="false">COUNTIFS(Scoring!$C$5:$C$337,B9,Scoring!$AD$5:$AD$337,"Lead",Scoring!$X$5:$X$337,"No")</f>
        <v>0</v>
      </c>
    </row>
    <row r="10" customFormat="false" ht="15" hidden="false" customHeight="false" outlineLevel="0" collapsed="false">
      <c r="A10" s="5" t="n">
        <f aca="false">RANK(F10,$F$5:$F$23)</f>
        <v>6</v>
      </c>
      <c r="B10" s="5" t="s">
        <v>56</v>
      </c>
      <c r="C10" s="5" t="n">
        <f aca="false">COUNTIF(Scoring!$C$5:$C$337,B10)</f>
        <v>6</v>
      </c>
      <c r="D10" s="5" t="n">
        <f aca="false">COUNTIFS(Scoring!$C$5:$C$337,B10,Scoring!$AB$5:$AB$337,TRUE())</f>
        <v>6</v>
      </c>
      <c r="E10" s="5" t="n">
        <f aca="false">COUNTIFS(Scoring!$C$5:$C$337,B10,Scoring!$AD$5:$AD$337,"Lead")</f>
        <v>5</v>
      </c>
      <c r="F10" s="8" t="n">
        <f aca="false">SUMIFS(Scoring!$U$5:$U$337,Scoring!$C$5:$C$337,B10,Scoring!$AD$5:$AD$337,"Lead")</f>
        <v>4.002</v>
      </c>
      <c r="G10" s="8" t="n">
        <f aca="false">IF(E10=0,"",F10/E10)</f>
        <v>0.8004</v>
      </c>
      <c r="H10" s="5" t="n">
        <f aca="false">COUNTIFS(Scoring!$C$5:$C$337,B10,Scoring!$AD$5:$AD$337,"Lead",Scoring!$V$5:$V$337,"Yes")</f>
        <v>5</v>
      </c>
      <c r="I10" s="7" t="n">
        <f aca="false">SUMIFS(Scoring!$O$5:$O$337,Scoring!$C$5:$C$337,B10,Scoring!$AD$5:$AD$337,"Lead")</f>
        <v>122376.010172451</v>
      </c>
      <c r="J10" s="6" t="n">
        <f aca="false">IFERROR(AVERAGEIFS(Scoring!$N$5:$N$337,Scoring!$C$5:$C$337,B10,Scoring!$AD$5:$AD$337,"Lead"),"")</f>
        <v>1633.33503333333</v>
      </c>
      <c r="K10" s="5" t="n">
        <f aca="false">COUNTIFS(Scoring!$C$5:$C$337,B10,Scoring!$AD$5:$AD$337,"Lead",Scoring!$X$5:$X$337,"No")</f>
        <v>1</v>
      </c>
    </row>
    <row r="11" customFormat="false" ht="15" hidden="false" customHeight="false" outlineLevel="0" collapsed="false">
      <c r="A11" s="5" t="n">
        <f aca="false">RANK(F11,$F$5:$F$23)</f>
        <v>2</v>
      </c>
      <c r="B11" s="5" t="s">
        <v>57</v>
      </c>
      <c r="C11" s="5" t="n">
        <f aca="false">COUNTIF(Scoring!$C$5:$C$337,B11)</f>
        <v>22</v>
      </c>
      <c r="D11" s="5" t="n">
        <f aca="false">COUNTIFS(Scoring!$C$5:$C$337,B11,Scoring!$AB$5:$AB$337,TRUE())</f>
        <v>20</v>
      </c>
      <c r="E11" s="5" t="n">
        <f aca="false">COUNTIFS(Scoring!$C$5:$C$337,B11,Scoring!$AD$5:$AD$337,"Lead")</f>
        <v>5</v>
      </c>
      <c r="F11" s="8" t="n">
        <f aca="false">SUMIFS(Scoring!$U$5:$U$337,Scoring!$C$5:$C$337,B11,Scoring!$AD$5:$AD$337,"Lead")</f>
        <v>4.317</v>
      </c>
      <c r="G11" s="8" t="n">
        <f aca="false">IF(E11=0,"",F11/E11)</f>
        <v>0.8634</v>
      </c>
      <c r="H11" s="5" t="n">
        <f aca="false">COUNTIFS(Scoring!$C$5:$C$337,B11,Scoring!$AD$5:$AD$337,"Lead",Scoring!$V$5:$V$337,"Yes")</f>
        <v>5</v>
      </c>
      <c r="I11" s="7" t="n">
        <f aca="false">SUMIFS(Scoring!$O$5:$O$337,Scoring!$C$5:$C$337,B11,Scoring!$AD$5:$AD$337,"Lead")</f>
        <v>192631.790813207</v>
      </c>
      <c r="J11" s="6" t="n">
        <f aca="false">IFERROR(AVERAGEIFS(Scoring!$N$5:$N$337,Scoring!$C$5:$C$337,B11,Scoring!$AD$5:$AD$337,"Lead"),"")</f>
        <v>1257.53506071429</v>
      </c>
      <c r="K11" s="5" t="n">
        <f aca="false">COUNTIFS(Scoring!$C$5:$C$337,B11,Scoring!$AD$5:$AD$337,"Lead",Scoring!$X$5:$X$337,"No")</f>
        <v>0</v>
      </c>
    </row>
    <row r="12" customFormat="false" ht="15" hidden="false" customHeight="false" outlineLevel="0" collapsed="false">
      <c r="A12" s="5" t="n">
        <f aca="false">RANK(F12,$F$5:$F$23)</f>
        <v>1</v>
      </c>
      <c r="B12" s="5" t="s">
        <v>44</v>
      </c>
      <c r="C12" s="5" t="n">
        <f aca="false">COUNTIF(Scoring!$C$5:$C$337,B12)</f>
        <v>60</v>
      </c>
      <c r="D12" s="5" t="n">
        <f aca="false">COUNTIFS(Scoring!$C$5:$C$337,B12,Scoring!$AB$5:$AB$337,TRUE())</f>
        <v>53</v>
      </c>
      <c r="E12" s="5" t="n">
        <f aca="false">COUNTIFS(Scoring!$C$5:$C$337,B12,Scoring!$AD$5:$AD$337,"Lead")</f>
        <v>5</v>
      </c>
      <c r="F12" s="8" t="n">
        <f aca="false">SUMIFS(Scoring!$U$5:$U$337,Scoring!$C$5:$C$337,B12,Scoring!$AD$5:$AD$337,"Lead")</f>
        <v>4.4685</v>
      </c>
      <c r="G12" s="8" t="n">
        <f aca="false">IF(E12=0,"",F12/E12)</f>
        <v>0.8937</v>
      </c>
      <c r="H12" s="5" t="n">
        <f aca="false">COUNTIFS(Scoring!$C$5:$C$337,B12,Scoring!$AD$5:$AD$337,"Lead",Scoring!$V$5:$V$337,"Yes")</f>
        <v>5</v>
      </c>
      <c r="I12" s="7" t="n">
        <f aca="false">SUMIFS(Scoring!$O$5:$O$337,Scoring!$C$5:$C$337,B12,Scoring!$AD$5:$AD$337,"Lead")</f>
        <v>219225.374432364</v>
      </c>
      <c r="J12" s="6" t="n">
        <f aca="false">IFERROR(AVERAGEIFS(Scoring!$N$5:$N$337,Scoring!$C$5:$C$337,B12,Scoring!$AD$5:$AD$337,"Lead"),"")</f>
        <v>577.592155555556</v>
      </c>
      <c r="K12" s="5" t="n">
        <f aca="false">COUNTIFS(Scoring!$C$5:$C$337,B12,Scoring!$AD$5:$AD$337,"Lead",Scoring!$X$5:$X$337,"No")</f>
        <v>1</v>
      </c>
    </row>
    <row r="13" customFormat="false" ht="15" hidden="false" customHeight="false" outlineLevel="0" collapsed="false">
      <c r="A13" s="5" t="n">
        <f aca="false">RANK(F13,$F$5:$F$23)</f>
        <v>18</v>
      </c>
      <c r="B13" s="5" t="s">
        <v>40</v>
      </c>
      <c r="C13" s="5" t="n">
        <f aca="false">COUNTIF(Scoring!$C$5:$C$337,B13)</f>
        <v>19</v>
      </c>
      <c r="D13" s="5" t="n">
        <f aca="false">COUNTIFS(Scoring!$C$5:$C$337,B13,Scoring!$AB$5:$AB$337,TRUE())</f>
        <v>3</v>
      </c>
      <c r="E13" s="5" t="n">
        <f aca="false">COUNTIFS(Scoring!$C$5:$C$337,B13,Scoring!$AD$5:$AD$337,"Lead")</f>
        <v>3</v>
      </c>
      <c r="F13" s="8" t="n">
        <f aca="false">SUMIFS(Scoring!$U$5:$U$337,Scoring!$C$5:$C$337,B13,Scoring!$AD$5:$AD$337,"Lead")</f>
        <v>1.0455</v>
      </c>
      <c r="G13" s="8" t="n">
        <f aca="false">IF(E13=0,"",F13/E13)</f>
        <v>0.3485</v>
      </c>
      <c r="H13" s="5" t="n">
        <f aca="false">COUNTIFS(Scoring!$C$5:$C$337,B13,Scoring!$AD$5:$AD$337,"Lead",Scoring!$V$5:$V$337,"Yes")</f>
        <v>3</v>
      </c>
      <c r="I13" s="7" t="n">
        <f aca="false">SUMIFS(Scoring!$O$5:$O$337,Scoring!$C$5:$C$337,B13,Scoring!$AD$5:$AD$337,"Lead")</f>
        <v>35462.651545306</v>
      </c>
      <c r="J13" s="6" t="n">
        <f aca="false">IFERROR(AVERAGEIFS(Scoring!$N$5:$N$337,Scoring!$C$5:$C$337,B13,Scoring!$AD$5:$AD$337,"Lead"),"")</f>
        <v>35.03</v>
      </c>
      <c r="K13" s="5" t="n">
        <f aca="false">COUNTIFS(Scoring!$C$5:$C$337,B13,Scoring!$AD$5:$AD$337,"Lead",Scoring!$X$5:$X$337,"No")</f>
        <v>0</v>
      </c>
    </row>
    <row r="14" customFormat="false" ht="15" hidden="false" customHeight="false" outlineLevel="0" collapsed="false">
      <c r="A14" s="5" t="n">
        <f aca="false">RANK(F14,$F$5:$F$23)</f>
        <v>12</v>
      </c>
      <c r="B14" s="5" t="s">
        <v>63</v>
      </c>
      <c r="C14" s="5" t="n">
        <f aca="false">COUNTIF(Scoring!$C$5:$C$337,B14)</f>
        <v>7</v>
      </c>
      <c r="D14" s="5" t="n">
        <f aca="false">COUNTIFS(Scoring!$C$5:$C$337,B14,Scoring!$AB$5:$AB$337,TRUE())</f>
        <v>7</v>
      </c>
      <c r="E14" s="5" t="n">
        <f aca="false">COUNTIFS(Scoring!$C$5:$C$337,B14,Scoring!$AD$5:$AD$337,"Lead")</f>
        <v>5</v>
      </c>
      <c r="F14" s="8" t="n">
        <f aca="false">SUMIFS(Scoring!$U$5:$U$337,Scoring!$C$5:$C$337,B14,Scoring!$AD$5:$AD$337,"Lead")</f>
        <v>3.2121</v>
      </c>
      <c r="G14" s="8" t="n">
        <f aca="false">IF(E14=0,"",F14/E14)</f>
        <v>0.64242</v>
      </c>
      <c r="H14" s="5" t="n">
        <f aca="false">COUNTIFS(Scoring!$C$5:$C$337,B14,Scoring!$AD$5:$AD$337,"Lead",Scoring!$V$5:$V$337,"Yes")</f>
        <v>5</v>
      </c>
      <c r="I14" s="7" t="n">
        <f aca="false">SUMIFS(Scoring!$O$5:$O$337,Scoring!$C$5:$C$337,B14,Scoring!$AD$5:$AD$337,"Lead")</f>
        <v>72370.8</v>
      </c>
      <c r="J14" s="6" t="n">
        <f aca="false">IFERROR(AVERAGEIFS(Scoring!$N$5:$N$337,Scoring!$C$5:$C$337,B14,Scoring!$AD$5:$AD$337,"Lead"),"")</f>
        <v>173.414131666667</v>
      </c>
      <c r="K14" s="5" t="n">
        <f aca="false">COUNTIFS(Scoring!$C$5:$C$337,B14,Scoring!$AD$5:$AD$337,"Lead",Scoring!$X$5:$X$337,"No")</f>
        <v>0</v>
      </c>
    </row>
    <row r="15" customFormat="false" ht="15" hidden="false" customHeight="false" outlineLevel="0" collapsed="false">
      <c r="A15" s="5" t="n">
        <f aca="false">RANK(F15,$F$5:$F$23)</f>
        <v>16</v>
      </c>
      <c r="B15" s="5" t="s">
        <v>65</v>
      </c>
      <c r="C15" s="5" t="n">
        <f aca="false">COUNTIF(Scoring!$C$5:$C$337,B15)</f>
        <v>10</v>
      </c>
      <c r="D15" s="5" t="n">
        <f aca="false">COUNTIFS(Scoring!$C$5:$C$337,B15,Scoring!$AB$5:$AB$337,TRUE())</f>
        <v>8</v>
      </c>
      <c r="E15" s="5" t="n">
        <f aca="false">COUNTIFS(Scoring!$C$5:$C$337,B15,Scoring!$AD$5:$AD$337,"Lead")</f>
        <v>5</v>
      </c>
      <c r="F15" s="8" t="n">
        <f aca="false">SUMIFS(Scoring!$U$5:$U$337,Scoring!$C$5:$C$337,B15,Scoring!$AD$5:$AD$337,"Lead")</f>
        <v>2.1985</v>
      </c>
      <c r="G15" s="8" t="n">
        <f aca="false">IF(E15=0,"",F15/E15)</f>
        <v>0.4397</v>
      </c>
      <c r="H15" s="5" t="n">
        <f aca="false">COUNTIFS(Scoring!$C$5:$C$337,B15,Scoring!$AD$5:$AD$337,"Lead",Scoring!$V$5:$V$337,"Yes")</f>
        <v>5</v>
      </c>
      <c r="I15" s="7" t="n">
        <f aca="false">SUMIFS(Scoring!$O$5:$O$337,Scoring!$C$5:$C$337,B15,Scoring!$AD$5:$AD$337,"Lead")</f>
        <v>12203.0094372494</v>
      </c>
      <c r="J15" s="6" t="n">
        <f aca="false">IFERROR(AVERAGEIFS(Scoring!$N$5:$N$337,Scoring!$C$5:$C$337,B15,Scoring!$AD$5:$AD$337,"Lead"),"")</f>
        <v>50.587675</v>
      </c>
      <c r="K15" s="5" t="n">
        <f aca="false">COUNTIFS(Scoring!$C$5:$C$337,B15,Scoring!$AD$5:$AD$337,"Lead",Scoring!$X$5:$X$337,"No")</f>
        <v>0</v>
      </c>
    </row>
    <row r="16" customFormat="false" ht="15" hidden="false" customHeight="false" outlineLevel="0" collapsed="false">
      <c r="A16" s="5" t="n">
        <f aca="false">RANK(F16,$F$5:$F$23)</f>
        <v>17</v>
      </c>
      <c r="B16" s="5" t="s">
        <v>67</v>
      </c>
      <c r="C16" s="5" t="n">
        <f aca="false">COUNTIF(Scoring!$C$5:$C$337,B16)</f>
        <v>5</v>
      </c>
      <c r="D16" s="5" t="n">
        <f aca="false">COUNTIFS(Scoring!$C$5:$C$337,B16,Scoring!$AB$5:$AB$337,TRUE())</f>
        <v>5</v>
      </c>
      <c r="E16" s="5" t="n">
        <f aca="false">COUNTIFS(Scoring!$C$5:$C$337,B16,Scoring!$AD$5:$AD$337,"Lead")</f>
        <v>5</v>
      </c>
      <c r="F16" s="8" t="n">
        <f aca="false">SUMIFS(Scoring!$U$5:$U$337,Scoring!$C$5:$C$337,B16,Scoring!$AD$5:$AD$337,"Lead")</f>
        <v>1.70525</v>
      </c>
      <c r="G16" s="8" t="n">
        <f aca="false">IF(E16=0,"",F16/E16)</f>
        <v>0.34105</v>
      </c>
      <c r="H16" s="5" t="n">
        <f aca="false">COUNTIFS(Scoring!$C$5:$C$337,B16,Scoring!$AD$5:$AD$337,"Lead",Scoring!$V$5:$V$337,"Yes")</f>
        <v>5</v>
      </c>
      <c r="I16" s="7" t="n">
        <f aca="false">SUMIFS(Scoring!$O$5:$O$337,Scoring!$C$5:$C$337,B16,Scoring!$AD$5:$AD$337,"Lead")</f>
        <v>79592.1070629106</v>
      </c>
      <c r="J16" s="6" t="n">
        <f aca="false">IFERROR(AVERAGEIFS(Scoring!$N$5:$N$337,Scoring!$C$5:$C$337,B16,Scoring!$AD$5:$AD$337,"Lead"),"")</f>
        <v>16.974475</v>
      </c>
      <c r="K16" s="5" t="n">
        <f aca="false">COUNTIFS(Scoring!$C$5:$C$337,B16,Scoring!$AD$5:$AD$337,"Lead",Scoring!$X$5:$X$337,"No")</f>
        <v>0</v>
      </c>
    </row>
    <row r="17" customFormat="false" ht="15" hidden="false" customHeight="false" outlineLevel="0" collapsed="false">
      <c r="A17" s="5" t="n">
        <f aca="false">RANK(F17,$F$5:$F$23)</f>
        <v>15</v>
      </c>
      <c r="B17" s="5" t="s">
        <v>41</v>
      </c>
      <c r="C17" s="5" t="n">
        <f aca="false">COUNTIF(Scoring!$C$5:$C$337,B17)</f>
        <v>7</v>
      </c>
      <c r="D17" s="5" t="n">
        <f aca="false">COUNTIFS(Scoring!$C$5:$C$337,B17,Scoring!$AB$5:$AB$337,TRUE())</f>
        <v>6</v>
      </c>
      <c r="E17" s="5" t="n">
        <f aca="false">COUNTIFS(Scoring!$C$5:$C$337,B17,Scoring!$AD$5:$AD$337,"Lead")</f>
        <v>5</v>
      </c>
      <c r="F17" s="8" t="n">
        <f aca="false">SUMIFS(Scoring!$U$5:$U$337,Scoring!$C$5:$C$337,B17,Scoring!$AD$5:$AD$337,"Lead")</f>
        <v>2.268005</v>
      </c>
      <c r="G17" s="8" t="n">
        <f aca="false">IF(E17=0,"",F17/E17)</f>
        <v>0.453601</v>
      </c>
      <c r="H17" s="5" t="n">
        <f aca="false">COUNTIFS(Scoring!$C$5:$C$337,B17,Scoring!$AD$5:$AD$337,"Lead",Scoring!$V$5:$V$337,"Yes")</f>
        <v>5</v>
      </c>
      <c r="I17" s="7" t="n">
        <f aca="false">SUMIFS(Scoring!$O$5:$O$337,Scoring!$C$5:$C$337,B17,Scoring!$AD$5:$AD$337,"Lead")</f>
        <v>42251.8076251529</v>
      </c>
      <c r="J17" s="6" t="n">
        <f aca="false">IFERROR(AVERAGEIFS(Scoring!$N$5:$N$337,Scoring!$C$5:$C$337,B17,Scoring!$AD$5:$AD$337,"Lead"),"")</f>
        <v>68.53455625</v>
      </c>
      <c r="K17" s="5" t="n">
        <f aca="false">COUNTIFS(Scoring!$C$5:$C$337,B17,Scoring!$AD$5:$AD$337,"Lead",Scoring!$X$5:$X$337,"No")</f>
        <v>1</v>
      </c>
    </row>
    <row r="18" customFormat="false" ht="15" hidden="false" customHeight="false" outlineLevel="0" collapsed="false">
      <c r="A18" s="5" t="n">
        <f aca="false">RANK(F18,$F$5:$F$23)</f>
        <v>19</v>
      </c>
      <c r="B18" s="5" t="s">
        <v>73</v>
      </c>
      <c r="C18" s="5" t="n">
        <f aca="false">COUNTIF(Scoring!$C$5:$C$337,B18)</f>
        <v>5</v>
      </c>
      <c r="D18" s="5" t="n">
        <f aca="false">COUNTIFS(Scoring!$C$5:$C$337,B18,Scoring!$AB$5:$AB$337,TRUE())</f>
        <v>1</v>
      </c>
      <c r="E18" s="5" t="n">
        <f aca="false">COUNTIFS(Scoring!$C$5:$C$337,B18,Scoring!$AD$5:$AD$337,"Lead")</f>
        <v>1</v>
      </c>
      <c r="F18" s="8" t="n">
        <f aca="false">SUMIFS(Scoring!$U$5:$U$337,Scoring!$C$5:$C$337,B18,Scoring!$AD$5:$AD$337,"Lead")</f>
        <v>0.587</v>
      </c>
      <c r="G18" s="8" t="n">
        <f aca="false">IF(E18=0,"",F18/E18)</f>
        <v>0.587</v>
      </c>
      <c r="H18" s="5" t="n">
        <f aca="false">COUNTIFS(Scoring!$C$5:$C$337,B18,Scoring!$AD$5:$AD$337,"Lead",Scoring!$V$5:$V$337,"Yes")</f>
        <v>1</v>
      </c>
      <c r="I18" s="7" t="n">
        <f aca="false">SUMIFS(Scoring!$O$5:$O$337,Scoring!$C$5:$C$337,B18,Scoring!$AD$5:$AD$337,"Lead")</f>
        <v>58920.4013724345</v>
      </c>
      <c r="J18" s="6" t="n">
        <f aca="false">IFERROR(AVERAGEIFS(Scoring!$N$5:$N$337,Scoring!$C$5:$C$337,B18,Scoring!$AD$5:$AD$337,"Lead"),"")</f>
        <v>11.7098</v>
      </c>
      <c r="K18" s="5" t="n">
        <f aca="false">COUNTIFS(Scoring!$C$5:$C$337,B18,Scoring!$AD$5:$AD$337,"Lead",Scoring!$X$5:$X$337,"No")</f>
        <v>0</v>
      </c>
    </row>
    <row r="19" customFormat="false" ht="15" hidden="false" customHeight="false" outlineLevel="0" collapsed="false">
      <c r="A19" s="5" t="n">
        <f aca="false">RANK(F19,$F$5:$F$23)</f>
        <v>7</v>
      </c>
      <c r="B19" s="5" t="s">
        <v>50</v>
      </c>
      <c r="C19" s="5" t="n">
        <f aca="false">COUNTIF(Scoring!$C$5:$C$337,B19)</f>
        <v>17</v>
      </c>
      <c r="D19" s="5" t="n">
        <f aca="false">COUNTIFS(Scoring!$C$5:$C$337,B19,Scoring!$AB$5:$AB$337,TRUE())</f>
        <v>16</v>
      </c>
      <c r="E19" s="5" t="n">
        <f aca="false">COUNTIFS(Scoring!$C$5:$C$337,B19,Scoring!$AD$5:$AD$337,"Lead")</f>
        <v>5</v>
      </c>
      <c r="F19" s="8" t="n">
        <f aca="false">SUMIFS(Scoring!$U$5:$U$337,Scoring!$C$5:$C$337,B19,Scoring!$AD$5:$AD$337,"Lead")</f>
        <v>3.5895</v>
      </c>
      <c r="G19" s="8" t="n">
        <f aca="false">IF(E19=0,"",F19/E19)</f>
        <v>0.7179</v>
      </c>
      <c r="H19" s="5" t="n">
        <f aca="false">COUNTIFS(Scoring!$C$5:$C$337,B19,Scoring!$AD$5:$AD$337,"Lead",Scoring!$V$5:$V$337,"Yes")</f>
        <v>5</v>
      </c>
      <c r="I19" s="7" t="n">
        <f aca="false">SUMIFS(Scoring!$O$5:$O$337,Scoring!$C$5:$C$337,B19,Scoring!$AD$5:$AD$337,"Lead")</f>
        <v>116678.768130596</v>
      </c>
      <c r="J19" s="6" t="n">
        <f aca="false">IFERROR(AVERAGEIFS(Scoring!$N$5:$N$337,Scoring!$C$5:$C$337,B19,Scoring!$AD$5:$AD$337,"Lead"),"")</f>
        <v>312.48596</v>
      </c>
      <c r="K19" s="5" t="n">
        <f aca="false">COUNTIFS(Scoring!$C$5:$C$337,B19,Scoring!$AD$5:$AD$337,"Lead",Scoring!$X$5:$X$337,"No")</f>
        <v>1</v>
      </c>
    </row>
    <row r="20" customFormat="false" ht="15" hidden="false" customHeight="false" outlineLevel="0" collapsed="false">
      <c r="A20" s="5" t="n">
        <f aca="false">RANK(F20,$F$5:$F$23)</f>
        <v>8</v>
      </c>
      <c r="B20" s="5" t="s">
        <v>115</v>
      </c>
      <c r="C20" s="5" t="n">
        <f aca="false">COUNTIF(Scoring!$C$5:$C$337,B20)</f>
        <v>7</v>
      </c>
      <c r="D20" s="5" t="n">
        <f aca="false">COUNTIFS(Scoring!$C$5:$C$337,B20,Scoring!$AB$5:$AB$337,TRUE())</f>
        <v>6</v>
      </c>
      <c r="E20" s="5" t="n">
        <f aca="false">COUNTIFS(Scoring!$C$5:$C$337,B20,Scoring!$AD$5:$AD$337,"Lead")</f>
        <v>5</v>
      </c>
      <c r="F20" s="8" t="n">
        <f aca="false">SUMIFS(Scoring!$U$5:$U$337,Scoring!$C$5:$C$337,B20,Scoring!$AD$5:$AD$337,"Lead")</f>
        <v>3.4855</v>
      </c>
      <c r="G20" s="8" t="n">
        <f aca="false">IF(E20=0,"",F20/E20)</f>
        <v>0.6971</v>
      </c>
      <c r="H20" s="5" t="n">
        <f aca="false">COUNTIFS(Scoring!$C$5:$C$337,B20,Scoring!$AD$5:$AD$337,"Lead",Scoring!$V$5:$V$337,"Yes")</f>
        <v>5</v>
      </c>
      <c r="I20" s="7" t="n">
        <f aca="false">SUMIFS(Scoring!$O$5:$O$337,Scoring!$C$5:$C$337,B20,Scoring!$AD$5:$AD$337,"Lead")</f>
        <v>102298.496457366</v>
      </c>
      <c r="J20" s="6" t="n">
        <f aca="false">IFERROR(AVERAGEIFS(Scoring!$N$5:$N$337,Scoring!$C$5:$C$337,B20,Scoring!$AD$5:$AD$337,"Lead"),"")</f>
        <v>220.764333333333</v>
      </c>
      <c r="K20" s="5" t="n">
        <f aca="false">COUNTIFS(Scoring!$C$5:$C$337,B20,Scoring!$AD$5:$AD$337,"Lead",Scoring!$X$5:$X$337,"No")</f>
        <v>2</v>
      </c>
    </row>
    <row r="21" customFormat="false" ht="15" hidden="false" customHeight="false" outlineLevel="0" collapsed="false">
      <c r="A21" s="5" t="n">
        <f aca="false">RANK(F21,$F$5:$F$23)</f>
        <v>14</v>
      </c>
      <c r="B21" s="5" t="s">
        <v>61</v>
      </c>
      <c r="C21" s="5" t="n">
        <f aca="false">COUNTIF(Scoring!$C$5:$C$337,B21)</f>
        <v>4</v>
      </c>
      <c r="D21" s="5" t="n">
        <f aca="false">COUNTIFS(Scoring!$C$5:$C$337,B21,Scoring!$AB$5:$AB$337,TRUE())</f>
        <v>4</v>
      </c>
      <c r="E21" s="5" t="n">
        <f aca="false">COUNTIFS(Scoring!$C$5:$C$337,B21,Scoring!$AD$5:$AD$337,"Lead")</f>
        <v>4</v>
      </c>
      <c r="F21" s="8" t="n">
        <f aca="false">SUMIFS(Scoring!$U$5:$U$337,Scoring!$C$5:$C$337,B21,Scoring!$AD$5:$AD$337,"Lead")</f>
        <v>2.4505</v>
      </c>
      <c r="G21" s="8" t="n">
        <f aca="false">IF(E21=0,"",F21/E21)</f>
        <v>0.612625</v>
      </c>
      <c r="H21" s="5" t="n">
        <f aca="false">COUNTIFS(Scoring!$C$5:$C$337,B21,Scoring!$AD$5:$AD$337,"Lead",Scoring!$V$5:$V$337,"Yes")</f>
        <v>4</v>
      </c>
      <c r="I21" s="7" t="n">
        <f aca="false">SUMIFS(Scoring!$O$5:$O$337,Scoring!$C$5:$C$337,B21,Scoring!$AD$5:$AD$337,"Lead")</f>
        <v>161726.831372434</v>
      </c>
      <c r="J21" s="6" t="n">
        <f aca="false">IFERROR(AVERAGEIFS(Scoring!$N$5:$N$337,Scoring!$C$5:$C$337,B21,Scoring!$AD$5:$AD$337,"Lead"),"")</f>
        <v>38.40245</v>
      </c>
      <c r="K21" s="5" t="n">
        <f aca="false">COUNTIFS(Scoring!$C$5:$C$337,B21,Scoring!$AD$5:$AD$337,"Lead",Scoring!$X$5:$X$337,"No")</f>
        <v>0</v>
      </c>
    </row>
    <row r="22" customFormat="false" ht="15" hidden="false" customHeight="false" outlineLevel="0" collapsed="false">
      <c r="A22" s="5" t="n">
        <f aca="false">RANK(F22,$F$5:$F$23)</f>
        <v>10</v>
      </c>
      <c r="B22" s="5" t="s">
        <v>38</v>
      </c>
      <c r="C22" s="5" t="n">
        <f aca="false">COUNTIF(Scoring!$C$5:$C$337,B22)</f>
        <v>20</v>
      </c>
      <c r="D22" s="5" t="n">
        <f aca="false">COUNTIFS(Scoring!$C$5:$C$337,B22,Scoring!$AB$5:$AB$337,TRUE())</f>
        <v>19</v>
      </c>
      <c r="E22" s="5" t="n">
        <f aca="false">COUNTIFS(Scoring!$C$5:$C$337,B22,Scoring!$AD$5:$AD$337,"Lead")</f>
        <v>5</v>
      </c>
      <c r="F22" s="8" t="n">
        <f aca="false">SUMIFS(Scoring!$U$5:$U$337,Scoring!$C$5:$C$337,B22,Scoring!$AD$5:$AD$337,"Lead")</f>
        <v>3.249</v>
      </c>
      <c r="G22" s="8" t="n">
        <f aca="false">IF(E22=0,"",F22/E22)</f>
        <v>0.6498</v>
      </c>
      <c r="H22" s="5" t="n">
        <f aca="false">COUNTIFS(Scoring!$C$5:$C$337,B22,Scoring!$AD$5:$AD$337,"Lead",Scoring!$V$5:$V$337,"Yes")</f>
        <v>5</v>
      </c>
      <c r="I22" s="7" t="n">
        <f aca="false">SUMIFS(Scoring!$O$5:$O$337,Scoring!$C$5:$C$337,B22,Scoring!$AD$5:$AD$337,"Lead")</f>
        <v>233377.938125819</v>
      </c>
      <c r="J22" s="6" t="n">
        <f aca="false">IFERROR(AVERAGEIFS(Scoring!$N$5:$N$337,Scoring!$C$5:$C$337,B22,Scoring!$AD$5:$AD$337,"Lead"),"")</f>
        <v>56.1375233333333</v>
      </c>
      <c r="K22" s="5" t="n">
        <f aca="false">COUNTIFS(Scoring!$C$5:$C$337,B22,Scoring!$AD$5:$AD$337,"Lead",Scoring!$X$5:$X$337,"No")</f>
        <v>0</v>
      </c>
    </row>
    <row r="23" customFormat="false" ht="15" hidden="false" customHeight="false" outlineLevel="0" collapsed="false">
      <c r="A23" s="5" t="n">
        <f aca="false">RANK(F23,$F$5:$F$23)</f>
        <v>11</v>
      </c>
      <c r="B23" s="5" t="s">
        <v>36</v>
      </c>
      <c r="C23" s="5" t="n">
        <f aca="false">COUNTIF(Scoring!$C$5:$C$337,B23)</f>
        <v>18</v>
      </c>
      <c r="D23" s="5" t="n">
        <f aca="false">COUNTIFS(Scoring!$C$5:$C$337,B23,Scoring!$AB$5:$AB$337,TRUE())</f>
        <v>16</v>
      </c>
      <c r="E23" s="5" t="n">
        <f aca="false">COUNTIFS(Scoring!$C$5:$C$337,B23,Scoring!$AD$5:$AD$337,"Lead")</f>
        <v>5</v>
      </c>
      <c r="F23" s="8" t="n">
        <f aca="false">SUMIFS(Scoring!$U$5:$U$337,Scoring!$C$5:$C$337,B23,Scoring!$AD$5:$AD$337,"Lead")</f>
        <v>3.2275</v>
      </c>
      <c r="G23" s="8" t="n">
        <f aca="false">IF(E23=0,"",F23/E23)</f>
        <v>0.6455</v>
      </c>
      <c r="H23" s="5" t="n">
        <f aca="false">COUNTIFS(Scoring!$C$5:$C$337,B23,Scoring!$AD$5:$AD$337,"Lead",Scoring!$V$5:$V$337,"Yes")</f>
        <v>5</v>
      </c>
      <c r="I23" s="7" t="n">
        <f aca="false">SUMIFS(Scoring!$O$5:$O$337,Scoring!$C$5:$C$337,B23,Scoring!$AD$5:$AD$337,"Lead")</f>
        <v>170199.316425264</v>
      </c>
      <c r="J23" s="6" t="n">
        <f aca="false">IFERROR(AVERAGEIFS(Scoring!$N$5:$N$337,Scoring!$C$5:$C$337,B23,Scoring!$AD$5:$AD$337,"Lead"),"")</f>
        <v>172.9353625</v>
      </c>
      <c r="K23" s="5" t="n">
        <f aca="false">COUNTIFS(Scoring!$C$5:$C$337,B23,Scoring!$AD$5:$AD$337,"Lead",Scoring!$X$5:$X$337,"No")</f>
        <v>1</v>
      </c>
    </row>
  </sheetData>
  <autoFilter ref="A4:K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"/>
    <col collapsed="false" customWidth="true" hidden="false" outlineLevel="0" max="3" min="3" style="0" width="11"/>
    <col collapsed="false" customWidth="true" hidden="false" outlineLevel="0" max="4" min="4" style="0" width="24"/>
    <col collapsed="false" customWidth="true" hidden="false" outlineLevel="0" max="5" min="5" style="0" width="44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10" min="9" style="0" width="8"/>
    <col collapsed="false" customWidth="true" hidden="false" outlineLevel="0" max="11" min="11" style="0" width="6"/>
    <col collapsed="false" customWidth="true" hidden="false" outlineLevel="0" max="12" min="12" style="0" width="7"/>
    <col collapsed="false" customWidth="true" hidden="false" outlineLevel="0" max="13" min="13" style="0" width="8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38"/>
  </cols>
  <sheetData>
    <row r="1" customFormat="false" ht="15" hidden="false" customHeight="false" outlineLevel="0" collapsed="false">
      <c r="A1" s="1" t="s">
        <v>220</v>
      </c>
    </row>
    <row r="2" customFormat="false" ht="15" hidden="false" customHeight="false" outlineLevel="0" collapsed="false">
      <c r="A2" s="13" t="s">
        <v>221</v>
      </c>
    </row>
    <row r="4" customFormat="false" ht="39.75" hidden="false" customHeight="true" outlineLevel="0" collapsed="false">
      <c r="A4" s="3" t="s">
        <v>4</v>
      </c>
      <c r="B4" s="3" t="s">
        <v>222</v>
      </c>
      <c r="C4" s="3" t="s">
        <v>223</v>
      </c>
      <c r="D4" s="3" t="s">
        <v>224</v>
      </c>
      <c r="E4" s="3" t="s">
        <v>5</v>
      </c>
      <c r="F4" s="3" t="s">
        <v>22</v>
      </c>
      <c r="G4" s="3" t="s">
        <v>225</v>
      </c>
      <c r="H4" s="3" t="s">
        <v>226</v>
      </c>
      <c r="I4" s="3" t="s">
        <v>7</v>
      </c>
      <c r="J4" s="3" t="s">
        <v>6</v>
      </c>
      <c r="K4" s="3" t="s">
        <v>12</v>
      </c>
      <c r="L4" s="3" t="s">
        <v>13</v>
      </c>
      <c r="M4" s="3" t="s">
        <v>227</v>
      </c>
      <c r="N4" s="3" t="s">
        <v>26</v>
      </c>
      <c r="O4" s="3" t="s">
        <v>228</v>
      </c>
      <c r="P4" s="3" t="s">
        <v>229</v>
      </c>
      <c r="Q4" s="3" t="s">
        <v>32</v>
      </c>
    </row>
    <row r="5" customFormat="false" ht="15" hidden="false" customHeight="false" outlineLevel="0" collapsed="false">
      <c r="A5" s="14" t="s">
        <v>70</v>
      </c>
      <c r="B5" s="14" t="n">
        <v>1</v>
      </c>
      <c r="C5" s="14" t="str">
        <f aca="false">IFERROR(INDEX(Scoring!$AD$5:$AD$337,MATCH($A5&amp;"|"&amp;$B5,Scoring!$AF$5:$AF$337,0)),"")</f>
        <v>Lead</v>
      </c>
      <c r="D5" s="14" t="str">
        <f aca="false">IFERROR(INDEX(Scoring!$B$5:$B$337,MATCH($A5&amp;"|"&amp;$B5,Scoring!$AF$5:$AF$337,0)),"")</f>
        <v>Fulvestrant</v>
      </c>
      <c r="E5" s="14" t="str">
        <f aca="false">IFERROR(INDEX(Scoring!$D$5:$D$337,MATCH($A5&amp;"|"&amp;$B5,Scoring!$AF$5:$AF$337,0)),"")</f>
        <v>Oncology – HR+ advanced breast cancer</v>
      </c>
      <c r="F5" s="15" t="n">
        <f aca="false">IFERROR(INDEX(Scoring!$U$5:$U$337,MATCH($A5&amp;"|"&amp;$B5,Scoring!$AF$5:$AF$337,0)),"")</f>
        <v>0.58</v>
      </c>
      <c r="G5" s="16" t="n">
        <f aca="false">IFERROR(INDEX(Scoring!$O$5:$O$337,MATCH($A5&amp;"|"&amp;$B5,Scoring!$AF$5:$AF$337,0)),"")</f>
        <v>11366.06</v>
      </c>
      <c r="H5" s="17" t="n">
        <f aca="false">IFERROR(INDEX(Scoring!$N$5:$N$337,MATCH($A5&amp;"|"&amp;$B5,Scoring!$AF$5:$AF$337,0)),"")</f>
        <v>29.97</v>
      </c>
      <c r="I5" s="14" t="n">
        <f aca="false">IFERROR(INDEX(Scoring!$F$5:$F$337,MATCH($A5&amp;"|"&amp;$B5,Scoring!$AF$5:$AF$337,0)),"")</f>
        <v>1</v>
      </c>
      <c r="J5" s="14" t="n">
        <f aca="false">IFERROR(INDEX(Scoring!$E$5:$E$337,MATCH($A5&amp;"|"&amp;$B5,Scoring!$AF$5:$AF$337,0)),"")</f>
        <v>1</v>
      </c>
      <c r="K5" s="14" t="n">
        <f aca="false">IFERROR(INDEX(Scoring!$K$5:$K$337,MATCH($A5&amp;"|"&amp;$B5,Scoring!$AF$5:$AF$337,0)),"")</f>
        <v>0</v>
      </c>
      <c r="L5" s="14" t="n">
        <f aca="false">IFERROR(INDEX(Scoring!$L$5:$L$337,MATCH($A5&amp;"|"&amp;$B5,Scoring!$AF$5:$AF$337,0)),"")</f>
        <v>0</v>
      </c>
      <c r="M5" s="14" t="n">
        <f aca="false">IFERROR(INDEX(Scoring!$M$5:$M$337,MATCH($A5&amp;"|"&amp;$B5,Scoring!$AF$5:$AF$337,0)),"")</f>
        <v>1</v>
      </c>
      <c r="N5" s="14" t="str">
        <f aca="false">IFERROR(INDEX(Scoring!$Y$5:$Y$337,MATCH($A5&amp;"|"&amp;$B5,Scoring!$AF$5:$AF$337,0)),"")</f>
        <v>No</v>
      </c>
      <c r="O5" s="14" t="str">
        <f aca="false">IFERROR(INDEX(Scoring!$Z$5:$Z$337,MATCH($A5&amp;"|"&amp;$B5,Scoring!$AF$5:$AF$337,0)),"")</f>
        <v>No</v>
      </c>
      <c r="P5" s="14" t="str">
        <f aca="false">IFERROR(INDEX(Scoring!$AA$5:$AA$337,MATCH($A5&amp;"|"&amp;$B5,Scoring!$AF$5:$AF$337,0)),"")</f>
        <v>Yes</v>
      </c>
      <c r="Q5" s="14" t="str">
        <f aca="false">IFERROR(INDEX(Scoring!$AE$5:$AE$337,MATCH($A5&amp;"|"&amp;$B5,Scoring!$AF$5:$AF$337,0)),"")</f>
        <v>Safety upgrade of existing prefilled syringe</v>
      </c>
    </row>
    <row r="6" customFormat="false" ht="15" hidden="false" customHeight="false" outlineLevel="0" collapsed="false">
      <c r="A6" s="5" t="s">
        <v>70</v>
      </c>
      <c r="B6" s="5" t="n">
        <v>2</v>
      </c>
      <c r="C6" s="5" t="str">
        <f aca="false">IFERROR(INDEX(Scoring!$AD$5:$AD$337,MATCH($A6&amp;"|"&amp;$B6,Scoring!$AF$5:$AF$337,0)),"")</f>
        <v>Lead</v>
      </c>
      <c r="D6" s="5" t="str">
        <f aca="false">IFERROR(INDEX(Scoring!$B$5:$B$337,MATCH($A6&amp;"|"&amp;$B6,Scoring!$AF$5:$AF$337,0)),"")</f>
        <v>Carboprost</v>
      </c>
      <c r="E6" s="5" t="str">
        <f aca="false">IFERROR(INDEX(Scoring!$D$5:$D$337,MATCH($A6&amp;"|"&amp;$B6,Scoring!$AF$5:$AF$337,0)),"")</f>
        <v>Women's health – postpartum haemorrhage (PPH); pregnancy termination</v>
      </c>
      <c r="F6" s="8" t="n">
        <f aca="false">IFERROR(INDEX(Scoring!$U$5:$U$337,MATCH($A6&amp;"|"&amp;$B6,Scoring!$AF$5:$AF$337,0)),"")</f>
        <v>0.5715</v>
      </c>
      <c r="G6" s="7" t="n">
        <f aca="false">IFERROR(INDEX(Scoring!$O$5:$O$337,MATCH($A6&amp;"|"&amp;$B6,Scoring!$AF$5:$AF$337,0)),"")</f>
        <v>3625.26083333333</v>
      </c>
      <c r="H6" s="6" t="n">
        <f aca="false">IFERROR(INDEX(Scoring!$N$5:$N$337,MATCH($A6&amp;"|"&amp;$B6,Scoring!$AF$5:$AF$337,0)),"")</f>
        <v>74.8286</v>
      </c>
      <c r="I6" s="5" t="n">
        <f aca="false">IFERROR(INDEX(Scoring!$F$5:$F$337,MATCH($A6&amp;"|"&amp;$B6,Scoring!$AF$5:$AF$337,0)),"")</f>
        <v>2</v>
      </c>
      <c r="J6" s="5" t="n">
        <f aca="false">IFERROR(INDEX(Scoring!$E$5:$E$337,MATCH($A6&amp;"|"&amp;$B6,Scoring!$AF$5:$AF$337,0)),"")</f>
        <v>8</v>
      </c>
      <c r="K6" s="5" t="n">
        <f aca="false">IFERROR(INDEX(Scoring!$K$5:$K$337,MATCH($A6&amp;"|"&amp;$B6,Scoring!$AF$5:$AF$337,0)),"")</f>
        <v>1</v>
      </c>
      <c r="L6" s="5" t="n">
        <f aca="false">IFERROR(INDEX(Scoring!$L$5:$L$337,MATCH($A6&amp;"|"&amp;$B6,Scoring!$AF$5:$AF$337,0)),"")</f>
        <v>0</v>
      </c>
      <c r="M6" s="5" t="n">
        <f aca="false">IFERROR(INDEX(Scoring!$M$5:$M$337,MATCH($A6&amp;"|"&amp;$B6,Scoring!$AF$5:$AF$337,0)),"")</f>
        <v>0</v>
      </c>
      <c r="N6" s="5" t="str">
        <f aca="false">IFERROR(INDEX(Scoring!$Y$5:$Y$337,MATCH($A6&amp;"|"&amp;$B6,Scoring!$AF$5:$AF$337,0)),"")</f>
        <v>No</v>
      </c>
      <c r="O6" s="5" t="str">
        <f aca="false">IFERROR(INDEX(Scoring!$Z$5:$Z$337,MATCH($A6&amp;"|"&amp;$B6,Scoring!$AF$5:$AF$337,0)),"")</f>
        <v>No</v>
      </c>
      <c r="P6" s="5" t="str">
        <f aca="false">IFERROR(INDEX(Scoring!$AA$5:$AA$337,MATCH($A6&amp;"|"&amp;$B6,Scoring!$AF$5:$AF$337,0)),"")</f>
        <v>Yes</v>
      </c>
      <c r="Q6" s="5" t="str">
        <f aca="false">IFERROR(INDEX(Scoring!$AE$5:$AE$337,MATCH($A6&amp;"|"&amp;$B6,Scoring!$AF$5:$AF$337,0)),"")</f>
        <v>Differentiation in crowded generic market</v>
      </c>
    </row>
    <row r="7" customFormat="false" ht="15" hidden="false" customHeight="false" outlineLevel="0" collapsed="false">
      <c r="A7" s="5" t="s">
        <v>70</v>
      </c>
      <c r="B7" s="5" t="n">
        <v>3</v>
      </c>
      <c r="C7" s="5" t="str">
        <f aca="false">IFERROR(INDEX(Scoring!$AD$5:$AD$337,MATCH($A7&amp;"|"&amp;$B7,Scoring!$AF$5:$AF$337,0)),"")</f>
        <v>Lead</v>
      </c>
      <c r="D7" s="5" t="str">
        <f aca="false">IFERROR(INDEX(Scoring!$B$5:$B$337,MATCH($A7&amp;"|"&amp;$B7,Scoring!$AF$5:$AF$337,0)),"")</f>
        <v>Triamcinolone Acetonide</v>
      </c>
      <c r="E7" s="5" t="str">
        <f aca="false">IFERROR(INDEX(Scoring!$D$5:$D$337,MATCH($A7&amp;"|"&amp;$B7,Scoring!$AF$5:$AF$337,0)),"")</f>
        <v>Ortho / Immunology – joint &amp; soft-tissue injections; allergic &amp; skin conditions</v>
      </c>
      <c r="F7" s="8" t="n">
        <f aca="false">IFERROR(INDEX(Scoring!$U$5:$U$337,MATCH($A7&amp;"|"&amp;$B7,Scoring!$AF$5:$AF$337,0)),"")</f>
        <v>0.512</v>
      </c>
      <c r="G7" s="7" t="n">
        <f aca="false">IFERROR(INDEX(Scoring!$O$5:$O$337,MATCH($A7&amp;"|"&amp;$B7,Scoring!$AF$5:$AF$337,0)),"")</f>
        <v>4256.82552912915</v>
      </c>
      <c r="H7" s="6" t="str">
        <f aca="false">IFERROR(INDEX(Scoring!$N$5:$N$337,MATCH($A7&amp;"|"&amp;$B7,Scoring!$AF$5:$AF$337,0)),"")</f>
        <v/>
      </c>
      <c r="I7" s="5" t="n">
        <f aca="false">IFERROR(INDEX(Scoring!$F$5:$F$337,MATCH($A7&amp;"|"&amp;$B7,Scoring!$AF$5:$AF$337,0)),"")</f>
        <v>1</v>
      </c>
      <c r="J7" s="5" t="n">
        <f aca="false">IFERROR(INDEX(Scoring!$E$5:$E$337,MATCH($A7&amp;"|"&amp;$B7,Scoring!$AF$5:$AF$337,0)),"")</f>
        <v>1</v>
      </c>
      <c r="K7" s="5" t="n">
        <f aca="false">IFERROR(INDEX(Scoring!$K$5:$K$337,MATCH($A7&amp;"|"&amp;$B7,Scoring!$AF$5:$AF$337,0)),"")</f>
        <v>0</v>
      </c>
      <c r="L7" s="5" t="n">
        <f aca="false">IFERROR(INDEX(Scoring!$L$5:$L$337,MATCH($A7&amp;"|"&amp;$B7,Scoring!$AF$5:$AF$337,0)),"")</f>
        <v>0</v>
      </c>
      <c r="M7" s="5" t="n">
        <f aca="false">IFERROR(INDEX(Scoring!$M$5:$M$337,MATCH($A7&amp;"|"&amp;$B7,Scoring!$AF$5:$AF$337,0)),"")</f>
        <v>0</v>
      </c>
      <c r="N7" s="5" t="str">
        <f aca="false">IFERROR(INDEX(Scoring!$Y$5:$Y$337,MATCH($A7&amp;"|"&amp;$B7,Scoring!$AF$5:$AF$337,0)),"")</f>
        <v>No</v>
      </c>
      <c r="O7" s="5" t="str">
        <f aca="false">IFERROR(INDEX(Scoring!$Z$5:$Z$337,MATCH($A7&amp;"|"&amp;$B7,Scoring!$AF$5:$AF$337,0)),"")</f>
        <v>No</v>
      </c>
      <c r="P7" s="5" t="str">
        <f aca="false">IFERROR(INDEX(Scoring!$AA$5:$AA$337,MATCH($A7&amp;"|"&amp;$B7,Scoring!$AF$5:$AF$337,0)),"")</f>
        <v>Yes</v>
      </c>
      <c r="Q7" s="5" t="str">
        <f aca="false">IFERROR(INDEX(Scoring!$AE$5:$AE$337,MATCH($A7&amp;"|"&amp;$B7,Scoring!$AF$5:$AF$337,0)),"")</f>
        <v>Confirm presentation (not stated in source)</v>
      </c>
    </row>
    <row r="8" customFormat="false" ht="15" hidden="false" customHeight="false" outlineLevel="0" collapsed="false">
      <c r="A8" s="5" t="s">
        <v>70</v>
      </c>
      <c r="B8" s="5" t="n">
        <v>4</v>
      </c>
      <c r="C8" s="5" t="str">
        <f aca="false">IFERROR(INDEX(Scoring!$AD$5:$AD$337,MATCH($A8&amp;"|"&amp;$B8,Scoring!$AF$5:$AF$337,0)),"")</f>
        <v>Lead</v>
      </c>
      <c r="D8" s="5" t="str">
        <f aca="false">IFERROR(INDEX(Scoring!$B$5:$B$337,MATCH($A8&amp;"|"&amp;$B8,Scoring!$AF$5:$AF$337,0)),"")</f>
        <v>Methotrexate</v>
      </c>
      <c r="E8" s="5" t="str">
        <f aca="false">IFERROR(INDEX(Scoring!$D$5:$D$337,MATCH($A8&amp;"|"&amp;$B8,Scoring!$AF$5:$AF$337,0)),"")</f>
        <v>Oncology / Immunology – leukaemia, lymphoma, osteosarcoma; rheumatoid arthritis, psoriasis</v>
      </c>
      <c r="F8" s="8" t="n">
        <f aca="false">IFERROR(INDEX(Scoring!$U$5:$U$337,MATCH($A8&amp;"|"&amp;$B8,Scoring!$AF$5:$AF$337,0)),"")</f>
        <v>0.4695</v>
      </c>
      <c r="G8" s="7" t="n">
        <f aca="false">IFERROR(INDEX(Scoring!$O$5:$O$337,MATCH($A8&amp;"|"&amp;$B8,Scoring!$AF$5:$AF$337,0)),"")</f>
        <v>13045.6426458402</v>
      </c>
      <c r="H8" s="6" t="n">
        <f aca="false">IFERROR(INDEX(Scoring!$N$5:$N$337,MATCH($A8&amp;"|"&amp;$B8,Scoring!$AF$5:$AF$337,0)),"")</f>
        <v>10.355</v>
      </c>
      <c r="I8" s="5" t="n">
        <f aca="false">IFERROR(INDEX(Scoring!$F$5:$F$337,MATCH($A8&amp;"|"&amp;$B8,Scoring!$AF$5:$AF$337,0)),"")</f>
        <v>1</v>
      </c>
      <c r="J8" s="5" t="n">
        <f aca="false">IFERROR(INDEX(Scoring!$E$5:$E$337,MATCH($A8&amp;"|"&amp;$B8,Scoring!$AF$5:$AF$337,0)),"")</f>
        <v>1</v>
      </c>
      <c r="K8" s="5" t="n">
        <f aca="false">IFERROR(INDEX(Scoring!$K$5:$K$337,MATCH($A8&amp;"|"&amp;$B8,Scoring!$AF$5:$AF$337,0)),"")</f>
        <v>2</v>
      </c>
      <c r="L8" s="5" t="n">
        <f aca="false">IFERROR(INDEX(Scoring!$L$5:$L$337,MATCH($A8&amp;"|"&amp;$B8,Scoring!$AF$5:$AF$337,0)),"")</f>
        <v>0</v>
      </c>
      <c r="M8" s="5" t="n">
        <f aca="false">IFERROR(INDEX(Scoring!$M$5:$M$337,MATCH($A8&amp;"|"&amp;$B8,Scoring!$AF$5:$AF$337,0)),"")</f>
        <v>0</v>
      </c>
      <c r="N8" s="5" t="str">
        <f aca="false">IFERROR(INDEX(Scoring!$Y$5:$Y$337,MATCH($A8&amp;"|"&amp;$B8,Scoring!$AF$5:$AF$337,0)),"")</f>
        <v>Yes</v>
      </c>
      <c r="O8" s="5" t="str">
        <f aca="false">IFERROR(INDEX(Scoring!$Z$5:$Z$337,MATCH($A8&amp;"|"&amp;$B8,Scoring!$AF$5:$AF$337,0)),"")</f>
        <v>No</v>
      </c>
      <c r="P8" s="5" t="str">
        <f aca="false">IFERROR(INDEX(Scoring!$AA$5:$AA$337,MATCH($A8&amp;"|"&amp;$B8,Scoring!$AF$5:$AF$337,0)),"")</f>
        <v>Yes</v>
      </c>
      <c r="Q8" s="5" t="str">
        <f aca="false">IFERROR(INDEX(Scoring!$AE$5:$AE$337,MATCH($A8&amp;"|"&amp;$B8,Scoring!$AF$5:$AF$337,0)),"")</f>
        <v>Differentiation in crowded generic market</v>
      </c>
    </row>
    <row r="9" customFormat="false" ht="15" hidden="false" customHeight="false" outlineLevel="0" collapsed="false">
      <c r="A9" s="5" t="s">
        <v>70</v>
      </c>
      <c r="B9" s="5" t="n">
        <v>5</v>
      </c>
      <c r="C9" s="5" t="str">
        <f aca="false">IFERROR(INDEX(Scoring!$AD$5:$AD$337,MATCH($A9&amp;"|"&amp;$B9,Scoring!$AF$5:$AF$337,0)),"")</f>
        <v>Lead</v>
      </c>
      <c r="D9" s="5" t="str">
        <f aca="false">IFERROR(INDEX(Scoring!$B$5:$B$337,MATCH($A9&amp;"|"&amp;$B9,Scoring!$AF$5:$AF$337,0)),"")</f>
        <v>Phytonadione</v>
      </c>
      <c r="E9" s="5" t="str">
        <f aca="false">IFERROR(INDEX(Scoring!$D$5:$D$337,MATCH($A9&amp;"|"&amp;$B9,Scoring!$AF$5:$AF$337,0)),"")</f>
        <v>Haematology – newborn vitamin K bleeding prophylaxis; warfarin reversal</v>
      </c>
      <c r="F9" s="8" t="n">
        <f aca="false">IFERROR(INDEX(Scoring!$U$5:$U$337,MATCH($A9&amp;"|"&amp;$B9,Scoring!$AF$5:$AF$337,0)),"")</f>
        <v>0.331</v>
      </c>
      <c r="G9" s="7" t="n">
        <f aca="false">IFERROR(INDEX(Scoring!$O$5:$O$337,MATCH($A9&amp;"|"&amp;$B9,Scoring!$AF$5:$AF$337,0)),"")</f>
        <v>2630.04591921222</v>
      </c>
      <c r="H9" s="6" t="str">
        <f aca="false">IFERROR(INDEX(Scoring!$N$5:$N$337,MATCH($A9&amp;"|"&amp;$B9,Scoring!$AF$5:$AF$337,0)),"")</f>
        <v/>
      </c>
      <c r="I9" s="5" t="n">
        <f aca="false">IFERROR(INDEX(Scoring!$F$5:$F$337,MATCH($A9&amp;"|"&amp;$B9,Scoring!$AF$5:$AF$337,0)),"")</f>
        <v>1</v>
      </c>
      <c r="J9" s="5" t="n">
        <f aca="false">IFERROR(INDEX(Scoring!$E$5:$E$337,MATCH($A9&amp;"|"&amp;$B9,Scoring!$AF$5:$AF$337,0)),"")</f>
        <v>1</v>
      </c>
      <c r="K9" s="5" t="n">
        <f aca="false">IFERROR(INDEX(Scoring!$K$5:$K$337,MATCH($A9&amp;"|"&amp;$B9,Scoring!$AF$5:$AF$337,0)),"")</f>
        <v>0</v>
      </c>
      <c r="L9" s="5" t="n">
        <f aca="false">IFERROR(INDEX(Scoring!$L$5:$L$337,MATCH($A9&amp;"|"&amp;$B9,Scoring!$AF$5:$AF$337,0)),"")</f>
        <v>0</v>
      </c>
      <c r="M9" s="5" t="n">
        <f aca="false">IFERROR(INDEX(Scoring!$M$5:$M$337,MATCH($A9&amp;"|"&amp;$B9,Scoring!$AF$5:$AF$337,0)),"")</f>
        <v>1</v>
      </c>
      <c r="N9" s="5" t="str">
        <f aca="false">IFERROR(INDEX(Scoring!$Y$5:$Y$337,MATCH($A9&amp;"|"&amp;$B9,Scoring!$AF$5:$AF$337,0)),"")</f>
        <v>No</v>
      </c>
      <c r="O9" s="5" t="str">
        <f aca="false">IFERROR(INDEX(Scoring!$Z$5:$Z$337,MATCH($A9&amp;"|"&amp;$B9,Scoring!$AF$5:$AF$337,0)),"")</f>
        <v>No</v>
      </c>
      <c r="P9" s="5" t="str">
        <f aca="false">IFERROR(INDEX(Scoring!$AA$5:$AA$337,MATCH($A9&amp;"|"&amp;$B9,Scoring!$AF$5:$AF$337,0)),"")</f>
        <v>Yes</v>
      </c>
      <c r="Q9" s="5" t="str">
        <f aca="false">IFERROR(INDEX(Scoring!$AE$5:$AE$337,MATCH($A9&amp;"|"&amp;$B9,Scoring!$AF$5:$AF$337,0)),"")</f>
        <v>Safety upgrade of existing prefilled syringe</v>
      </c>
    </row>
    <row r="10" customFormat="false" ht="15" hidden="false" customHeight="false" outlineLevel="0" collapsed="false">
      <c r="A10" s="5" t="s">
        <v>70</v>
      </c>
      <c r="B10" s="5" t="n">
        <v>6</v>
      </c>
      <c r="C10" s="5" t="str">
        <f aca="false">IFERROR(INDEX(Scoring!$AD$5:$AD$337,MATCH($A10&amp;"|"&amp;$B10,Scoring!$AF$5:$AF$337,0)),"")</f>
        <v>Next wave</v>
      </c>
      <c r="D10" s="5" t="str">
        <f aca="false">IFERROR(INDEX(Scoring!$B$5:$B$337,MATCH($A10&amp;"|"&amp;$B10,Scoring!$AF$5:$AF$337,0)),"")</f>
        <v>Diazepam</v>
      </c>
      <c r="E10" s="5" t="str">
        <f aca="false">IFERROR(INDEX(Scoring!$D$5:$D$337,MATCH($A10&amp;"|"&amp;$B10,Scoring!$AF$5:$AF$337,0)),"")</f>
        <v>Neurology – status epilepticus, seizures, acute anxiety/sedation</v>
      </c>
      <c r="F10" s="8" t="n">
        <f aca="false">IFERROR(INDEX(Scoring!$U$5:$U$337,MATCH($A10&amp;"|"&amp;$B10,Scoring!$AF$5:$AF$337,0)),"")</f>
        <v>0.151</v>
      </c>
      <c r="G10" s="7" t="n">
        <f aca="false">IFERROR(INDEX(Scoring!$O$5:$O$337,MATCH($A10&amp;"|"&amp;$B10,Scoring!$AF$5:$AF$337,0)),"")</f>
        <v>1053.62732639831</v>
      </c>
      <c r="H10" s="6" t="str">
        <f aca="false">IFERROR(INDEX(Scoring!$N$5:$N$337,MATCH($A10&amp;"|"&amp;$B10,Scoring!$AF$5:$AF$337,0)),"")</f>
        <v/>
      </c>
      <c r="I10" s="5" t="n">
        <f aca="false">IFERROR(INDEX(Scoring!$F$5:$F$337,MATCH($A10&amp;"|"&amp;$B10,Scoring!$AF$5:$AF$337,0)),"")</f>
        <v>1</v>
      </c>
      <c r="J10" s="5" t="n">
        <f aca="false">IFERROR(INDEX(Scoring!$E$5:$E$337,MATCH($A10&amp;"|"&amp;$B10,Scoring!$AF$5:$AF$337,0)),"")</f>
        <v>1</v>
      </c>
      <c r="K10" s="5" t="n">
        <f aca="false">IFERROR(INDEX(Scoring!$K$5:$K$337,MATCH($A10&amp;"|"&amp;$B10,Scoring!$AF$5:$AF$337,0)),"")</f>
        <v>0</v>
      </c>
      <c r="L10" s="5" t="n">
        <f aca="false">IFERROR(INDEX(Scoring!$L$5:$L$337,MATCH($A10&amp;"|"&amp;$B10,Scoring!$AF$5:$AF$337,0)),"")</f>
        <v>0</v>
      </c>
      <c r="M10" s="5" t="n">
        <f aca="false">IFERROR(INDEX(Scoring!$M$5:$M$337,MATCH($A10&amp;"|"&amp;$B10,Scoring!$AF$5:$AF$337,0)),"")</f>
        <v>1</v>
      </c>
      <c r="N10" s="5" t="str">
        <f aca="false">IFERROR(INDEX(Scoring!$Y$5:$Y$337,MATCH($A10&amp;"|"&amp;$B10,Scoring!$AF$5:$AF$337,0)),"")</f>
        <v>No</v>
      </c>
      <c r="O10" s="5" t="str">
        <f aca="false">IFERROR(INDEX(Scoring!$Z$5:$Z$337,MATCH($A10&amp;"|"&amp;$B10,Scoring!$AF$5:$AF$337,0)),"")</f>
        <v>No</v>
      </c>
      <c r="P10" s="5" t="str">
        <f aca="false">IFERROR(INDEX(Scoring!$AA$5:$AA$337,MATCH($A10&amp;"|"&amp;$B10,Scoring!$AF$5:$AF$337,0)),"")</f>
        <v>Yes</v>
      </c>
      <c r="Q10" s="5" t="str">
        <f aca="false">IFERROR(INDEX(Scoring!$AE$5:$AE$337,MATCH($A10&amp;"|"&amp;$B10,Scoring!$AF$5:$AF$337,0)),"")</f>
        <v>Safety upgrade of existing prefilled syringe</v>
      </c>
    </row>
    <row r="11" customFormat="false" ht="15" hidden="false" customHeight="false" outlineLevel="0" collapsed="false">
      <c r="A11" s="5" t="s">
        <v>70</v>
      </c>
      <c r="B11" s="5" t="n">
        <v>7</v>
      </c>
      <c r="C11" s="5" t="str">
        <f aca="false">IFERROR(INDEX(Scoring!$AD$5:$AD$337,MATCH($A11&amp;"|"&amp;$B11,Scoring!$AF$5:$AF$337,0)),"")</f>
        <v/>
      </c>
      <c r="D11" s="5" t="str">
        <f aca="false">IFERROR(INDEX(Scoring!$B$5:$B$337,MATCH($A11&amp;"|"&amp;$B11,Scoring!$AF$5:$AF$337,0)),"")</f>
        <v/>
      </c>
      <c r="E11" s="5" t="str">
        <f aca="false">IFERROR(INDEX(Scoring!$D$5:$D$337,MATCH($A11&amp;"|"&amp;$B11,Scoring!$AF$5:$AF$337,0)),"")</f>
        <v/>
      </c>
      <c r="F11" s="8" t="str">
        <f aca="false">IFERROR(INDEX(Scoring!$U$5:$U$337,MATCH($A11&amp;"|"&amp;$B11,Scoring!$AF$5:$AF$337,0)),"")</f>
        <v/>
      </c>
      <c r="G11" s="7" t="str">
        <f aca="false">IFERROR(INDEX(Scoring!$O$5:$O$337,MATCH($A11&amp;"|"&amp;$B11,Scoring!$AF$5:$AF$337,0)),"")</f>
        <v/>
      </c>
      <c r="H11" s="6" t="str">
        <f aca="false">IFERROR(INDEX(Scoring!$N$5:$N$337,MATCH($A11&amp;"|"&amp;$B11,Scoring!$AF$5:$AF$337,0)),"")</f>
        <v/>
      </c>
      <c r="I11" s="5" t="str">
        <f aca="false">IFERROR(INDEX(Scoring!$F$5:$F$337,MATCH($A11&amp;"|"&amp;$B11,Scoring!$AF$5:$AF$337,0)),"")</f>
        <v/>
      </c>
      <c r="J11" s="5" t="str">
        <f aca="false">IFERROR(INDEX(Scoring!$E$5:$E$337,MATCH($A11&amp;"|"&amp;$B11,Scoring!$AF$5:$AF$337,0)),"")</f>
        <v/>
      </c>
      <c r="K11" s="5" t="str">
        <f aca="false">IFERROR(INDEX(Scoring!$K$5:$K$337,MATCH($A11&amp;"|"&amp;$B11,Scoring!$AF$5:$AF$337,0)),"")</f>
        <v/>
      </c>
      <c r="L11" s="5" t="str">
        <f aca="false">IFERROR(INDEX(Scoring!$L$5:$L$337,MATCH($A11&amp;"|"&amp;$B11,Scoring!$AF$5:$AF$337,0)),"")</f>
        <v/>
      </c>
      <c r="M11" s="5" t="str">
        <f aca="false">IFERROR(INDEX(Scoring!$M$5:$M$337,MATCH($A11&amp;"|"&amp;$B11,Scoring!$AF$5:$AF$337,0)),"")</f>
        <v/>
      </c>
      <c r="N11" s="5" t="str">
        <f aca="false">IFERROR(INDEX(Scoring!$Y$5:$Y$337,MATCH($A11&amp;"|"&amp;$B11,Scoring!$AF$5:$AF$337,0)),"")</f>
        <v/>
      </c>
      <c r="O11" s="5" t="str">
        <f aca="false">IFERROR(INDEX(Scoring!$Z$5:$Z$337,MATCH($A11&amp;"|"&amp;$B11,Scoring!$AF$5:$AF$337,0)),"")</f>
        <v/>
      </c>
      <c r="P11" s="5" t="str">
        <f aca="false">IFERROR(INDEX(Scoring!$AA$5:$AA$337,MATCH($A11&amp;"|"&amp;$B11,Scoring!$AF$5:$AF$337,0)),"")</f>
        <v/>
      </c>
      <c r="Q11" s="5" t="str">
        <f aca="false">IFERROR(INDEX(Scoring!$AE$5:$AE$337,MATCH($A11&amp;"|"&amp;$B11,Scoring!$AF$5:$AF$337,0)),"")</f>
        <v/>
      </c>
    </row>
    <row r="12" customFormat="false" ht="15" hidden="false" customHeight="false" outlineLevel="0" collapsed="false">
      <c r="A12" s="5" t="s">
        <v>70</v>
      </c>
      <c r="B12" s="5" t="n">
        <v>8</v>
      </c>
      <c r="C12" s="5" t="str">
        <f aca="false">IFERROR(INDEX(Scoring!$AD$5:$AD$337,MATCH($A12&amp;"|"&amp;$B12,Scoring!$AF$5:$AF$337,0)),"")</f>
        <v/>
      </c>
      <c r="D12" s="5" t="str">
        <f aca="false">IFERROR(INDEX(Scoring!$B$5:$B$337,MATCH($A12&amp;"|"&amp;$B12,Scoring!$AF$5:$AF$337,0)),"")</f>
        <v/>
      </c>
      <c r="E12" s="5" t="str">
        <f aca="false">IFERROR(INDEX(Scoring!$D$5:$D$337,MATCH($A12&amp;"|"&amp;$B12,Scoring!$AF$5:$AF$337,0)),"")</f>
        <v/>
      </c>
      <c r="F12" s="8" t="str">
        <f aca="false">IFERROR(INDEX(Scoring!$U$5:$U$337,MATCH($A12&amp;"|"&amp;$B12,Scoring!$AF$5:$AF$337,0)),"")</f>
        <v/>
      </c>
      <c r="G12" s="7" t="str">
        <f aca="false">IFERROR(INDEX(Scoring!$O$5:$O$337,MATCH($A12&amp;"|"&amp;$B12,Scoring!$AF$5:$AF$337,0)),"")</f>
        <v/>
      </c>
      <c r="H12" s="6" t="str">
        <f aca="false">IFERROR(INDEX(Scoring!$N$5:$N$337,MATCH($A12&amp;"|"&amp;$B12,Scoring!$AF$5:$AF$337,0)),"")</f>
        <v/>
      </c>
      <c r="I12" s="5" t="str">
        <f aca="false">IFERROR(INDEX(Scoring!$F$5:$F$337,MATCH($A12&amp;"|"&amp;$B12,Scoring!$AF$5:$AF$337,0)),"")</f>
        <v/>
      </c>
      <c r="J12" s="5" t="str">
        <f aca="false">IFERROR(INDEX(Scoring!$E$5:$E$337,MATCH($A12&amp;"|"&amp;$B12,Scoring!$AF$5:$AF$337,0)),"")</f>
        <v/>
      </c>
      <c r="K12" s="5" t="str">
        <f aca="false">IFERROR(INDEX(Scoring!$K$5:$K$337,MATCH($A12&amp;"|"&amp;$B12,Scoring!$AF$5:$AF$337,0)),"")</f>
        <v/>
      </c>
      <c r="L12" s="5" t="str">
        <f aca="false">IFERROR(INDEX(Scoring!$L$5:$L$337,MATCH($A12&amp;"|"&amp;$B12,Scoring!$AF$5:$AF$337,0)),"")</f>
        <v/>
      </c>
      <c r="M12" s="5" t="str">
        <f aca="false">IFERROR(INDEX(Scoring!$M$5:$M$337,MATCH($A12&amp;"|"&amp;$B12,Scoring!$AF$5:$AF$337,0)),"")</f>
        <v/>
      </c>
      <c r="N12" s="5" t="str">
        <f aca="false">IFERROR(INDEX(Scoring!$Y$5:$Y$337,MATCH($A12&amp;"|"&amp;$B12,Scoring!$AF$5:$AF$337,0)),"")</f>
        <v/>
      </c>
      <c r="O12" s="5" t="str">
        <f aca="false">IFERROR(INDEX(Scoring!$Z$5:$Z$337,MATCH($A12&amp;"|"&amp;$B12,Scoring!$AF$5:$AF$337,0)),"")</f>
        <v/>
      </c>
      <c r="P12" s="5" t="str">
        <f aca="false">IFERROR(INDEX(Scoring!$AA$5:$AA$337,MATCH($A12&amp;"|"&amp;$B12,Scoring!$AF$5:$AF$337,0)),"")</f>
        <v/>
      </c>
      <c r="Q12" s="5" t="str">
        <f aca="false">IFERROR(INDEX(Scoring!$AE$5:$AE$337,MATCH($A12&amp;"|"&amp;$B12,Scoring!$AF$5:$AF$337,0)),"")</f>
        <v/>
      </c>
    </row>
    <row r="13" customFormat="false" ht="15" hidden="false" customHeight="false" outlineLevel="0" collapsed="false">
      <c r="A13" s="5" t="s">
        <v>70</v>
      </c>
      <c r="B13" s="5" t="n">
        <v>9</v>
      </c>
      <c r="C13" s="5" t="str">
        <f aca="false">IFERROR(INDEX(Scoring!$AD$5:$AD$337,MATCH($A13&amp;"|"&amp;$B13,Scoring!$AF$5:$AF$337,0)),"")</f>
        <v/>
      </c>
      <c r="D13" s="5" t="str">
        <f aca="false">IFERROR(INDEX(Scoring!$B$5:$B$337,MATCH($A13&amp;"|"&amp;$B13,Scoring!$AF$5:$AF$337,0)),"")</f>
        <v/>
      </c>
      <c r="E13" s="5" t="str">
        <f aca="false">IFERROR(INDEX(Scoring!$D$5:$D$337,MATCH($A13&amp;"|"&amp;$B13,Scoring!$AF$5:$AF$337,0)),"")</f>
        <v/>
      </c>
      <c r="F13" s="8" t="str">
        <f aca="false">IFERROR(INDEX(Scoring!$U$5:$U$337,MATCH($A13&amp;"|"&amp;$B13,Scoring!$AF$5:$AF$337,0)),"")</f>
        <v/>
      </c>
      <c r="G13" s="7" t="str">
        <f aca="false">IFERROR(INDEX(Scoring!$O$5:$O$337,MATCH($A13&amp;"|"&amp;$B13,Scoring!$AF$5:$AF$337,0)),"")</f>
        <v/>
      </c>
      <c r="H13" s="6" t="str">
        <f aca="false">IFERROR(INDEX(Scoring!$N$5:$N$337,MATCH($A13&amp;"|"&amp;$B13,Scoring!$AF$5:$AF$337,0)),"")</f>
        <v/>
      </c>
      <c r="I13" s="5" t="str">
        <f aca="false">IFERROR(INDEX(Scoring!$F$5:$F$337,MATCH($A13&amp;"|"&amp;$B13,Scoring!$AF$5:$AF$337,0)),"")</f>
        <v/>
      </c>
      <c r="J13" s="5" t="str">
        <f aca="false">IFERROR(INDEX(Scoring!$E$5:$E$337,MATCH($A13&amp;"|"&amp;$B13,Scoring!$AF$5:$AF$337,0)),"")</f>
        <v/>
      </c>
      <c r="K13" s="5" t="str">
        <f aca="false">IFERROR(INDEX(Scoring!$K$5:$K$337,MATCH($A13&amp;"|"&amp;$B13,Scoring!$AF$5:$AF$337,0)),"")</f>
        <v/>
      </c>
      <c r="L13" s="5" t="str">
        <f aca="false">IFERROR(INDEX(Scoring!$L$5:$L$337,MATCH($A13&amp;"|"&amp;$B13,Scoring!$AF$5:$AF$337,0)),"")</f>
        <v/>
      </c>
      <c r="M13" s="5" t="str">
        <f aca="false">IFERROR(INDEX(Scoring!$M$5:$M$337,MATCH($A13&amp;"|"&amp;$B13,Scoring!$AF$5:$AF$337,0)),"")</f>
        <v/>
      </c>
      <c r="N13" s="5" t="str">
        <f aca="false">IFERROR(INDEX(Scoring!$Y$5:$Y$337,MATCH($A13&amp;"|"&amp;$B13,Scoring!$AF$5:$AF$337,0)),"")</f>
        <v/>
      </c>
      <c r="O13" s="5" t="str">
        <f aca="false">IFERROR(INDEX(Scoring!$Z$5:$Z$337,MATCH($A13&amp;"|"&amp;$B13,Scoring!$AF$5:$AF$337,0)),"")</f>
        <v/>
      </c>
      <c r="P13" s="5" t="str">
        <f aca="false">IFERROR(INDEX(Scoring!$AA$5:$AA$337,MATCH($A13&amp;"|"&amp;$B13,Scoring!$AF$5:$AF$337,0)),"")</f>
        <v/>
      </c>
      <c r="Q13" s="5" t="str">
        <f aca="false">IFERROR(INDEX(Scoring!$AE$5:$AE$337,MATCH($A13&amp;"|"&amp;$B13,Scoring!$AF$5:$AF$337,0)),"")</f>
        <v/>
      </c>
    </row>
    <row r="14" customFormat="false" ht="15" hidden="false" customHeight="false" outlineLevel="0" collapsed="false">
      <c r="A14" s="5" t="s">
        <v>70</v>
      </c>
      <c r="B14" s="5" t="n">
        <v>10</v>
      </c>
      <c r="C14" s="5" t="str">
        <f aca="false">IFERROR(INDEX(Scoring!$AD$5:$AD$337,MATCH($A14&amp;"|"&amp;$B14,Scoring!$AF$5:$AF$337,0)),"")</f>
        <v/>
      </c>
      <c r="D14" s="5" t="str">
        <f aca="false">IFERROR(INDEX(Scoring!$B$5:$B$337,MATCH($A14&amp;"|"&amp;$B14,Scoring!$AF$5:$AF$337,0)),"")</f>
        <v/>
      </c>
      <c r="E14" s="5" t="str">
        <f aca="false">IFERROR(INDEX(Scoring!$D$5:$D$337,MATCH($A14&amp;"|"&amp;$B14,Scoring!$AF$5:$AF$337,0)),"")</f>
        <v/>
      </c>
      <c r="F14" s="8" t="str">
        <f aca="false">IFERROR(INDEX(Scoring!$U$5:$U$337,MATCH($A14&amp;"|"&amp;$B14,Scoring!$AF$5:$AF$337,0)),"")</f>
        <v/>
      </c>
      <c r="G14" s="7" t="str">
        <f aca="false">IFERROR(INDEX(Scoring!$O$5:$O$337,MATCH($A14&amp;"|"&amp;$B14,Scoring!$AF$5:$AF$337,0)),"")</f>
        <v/>
      </c>
      <c r="H14" s="6" t="str">
        <f aca="false">IFERROR(INDEX(Scoring!$N$5:$N$337,MATCH($A14&amp;"|"&amp;$B14,Scoring!$AF$5:$AF$337,0)),"")</f>
        <v/>
      </c>
      <c r="I14" s="5" t="str">
        <f aca="false">IFERROR(INDEX(Scoring!$F$5:$F$337,MATCH($A14&amp;"|"&amp;$B14,Scoring!$AF$5:$AF$337,0)),"")</f>
        <v/>
      </c>
      <c r="J14" s="5" t="str">
        <f aca="false">IFERROR(INDEX(Scoring!$E$5:$E$337,MATCH($A14&amp;"|"&amp;$B14,Scoring!$AF$5:$AF$337,0)),"")</f>
        <v/>
      </c>
      <c r="K14" s="5" t="str">
        <f aca="false">IFERROR(INDEX(Scoring!$K$5:$K$337,MATCH($A14&amp;"|"&amp;$B14,Scoring!$AF$5:$AF$337,0)),"")</f>
        <v/>
      </c>
      <c r="L14" s="5" t="str">
        <f aca="false">IFERROR(INDEX(Scoring!$L$5:$L$337,MATCH($A14&amp;"|"&amp;$B14,Scoring!$AF$5:$AF$337,0)),"")</f>
        <v/>
      </c>
      <c r="M14" s="5" t="str">
        <f aca="false">IFERROR(INDEX(Scoring!$M$5:$M$337,MATCH($A14&amp;"|"&amp;$B14,Scoring!$AF$5:$AF$337,0)),"")</f>
        <v/>
      </c>
      <c r="N14" s="5" t="str">
        <f aca="false">IFERROR(INDEX(Scoring!$Y$5:$Y$337,MATCH($A14&amp;"|"&amp;$B14,Scoring!$AF$5:$AF$337,0)),"")</f>
        <v/>
      </c>
      <c r="O14" s="5" t="str">
        <f aca="false">IFERROR(INDEX(Scoring!$Z$5:$Z$337,MATCH($A14&amp;"|"&amp;$B14,Scoring!$AF$5:$AF$337,0)),"")</f>
        <v/>
      </c>
      <c r="P14" s="5" t="str">
        <f aca="false">IFERROR(INDEX(Scoring!$AA$5:$AA$337,MATCH($A14&amp;"|"&amp;$B14,Scoring!$AF$5:$AF$337,0)),"")</f>
        <v/>
      </c>
      <c r="Q14" s="5" t="str">
        <f aca="false">IFERROR(INDEX(Scoring!$AE$5:$AE$337,MATCH($A14&amp;"|"&amp;$B14,Scoring!$AF$5:$AF$337,0)),"")</f>
        <v/>
      </c>
    </row>
    <row r="15" customFormat="false" ht="15" hidden="false" customHeight="false" outlineLevel="0" collapsed="false">
      <c r="A15" s="14" t="s">
        <v>47</v>
      </c>
      <c r="B15" s="14" t="n">
        <v>1</v>
      </c>
      <c r="C15" s="14" t="str">
        <f aca="false">IFERROR(INDEX(Scoring!$AD$5:$AD$337,MATCH($A15&amp;"|"&amp;$B15,Scoring!$AF$5:$AF$337,0)),"")</f>
        <v>Lead</v>
      </c>
      <c r="D15" s="14" t="str">
        <f aca="false">IFERROR(INDEX(Scoring!$B$5:$B$337,MATCH($A15&amp;"|"&amp;$B15,Scoring!$AF$5:$AF$337,0)),"")</f>
        <v>Azacitidine</v>
      </c>
      <c r="E15" s="14" t="str">
        <f aca="false">IFERROR(INDEX(Scoring!$D$5:$D$337,MATCH($A15&amp;"|"&amp;$B15,Scoring!$AF$5:$AF$337,0)),"")</f>
        <v>Oncology – myelodysplastic syndromes (MDS) &amp; AML</v>
      </c>
      <c r="F15" s="15" t="n">
        <f aca="false">IFERROR(INDEX(Scoring!$U$5:$U$337,MATCH($A15&amp;"|"&amp;$B15,Scoring!$AF$5:$AF$337,0)),"")</f>
        <v>0.881</v>
      </c>
      <c r="G15" s="16" t="n">
        <f aca="false">IFERROR(INDEX(Scoring!$O$5:$O$337,MATCH($A15&amp;"|"&amp;$B15,Scoring!$AF$5:$AF$337,0)),"")</f>
        <v>42181.730172451</v>
      </c>
      <c r="H15" s="17" t="n">
        <f aca="false">IFERROR(INDEX(Scoring!$N$5:$N$337,MATCH($A15&amp;"|"&amp;$B15,Scoring!$AF$5:$AF$337,0)),"")</f>
        <v>256.124</v>
      </c>
      <c r="I15" s="14" t="n">
        <f aca="false">IFERROR(INDEX(Scoring!$F$5:$F$337,MATCH($A15&amp;"|"&amp;$B15,Scoring!$AF$5:$AF$337,0)),"")</f>
        <v>6</v>
      </c>
      <c r="J15" s="14" t="n">
        <f aca="false">IFERROR(INDEX(Scoring!$E$5:$E$337,MATCH($A15&amp;"|"&amp;$B15,Scoring!$AF$5:$AF$337,0)),"")</f>
        <v>32</v>
      </c>
      <c r="K15" s="14" t="n">
        <f aca="false">IFERROR(INDEX(Scoring!$K$5:$K$337,MATCH($A15&amp;"|"&amp;$B15,Scoring!$AF$5:$AF$337,0)),"")</f>
        <v>3</v>
      </c>
      <c r="L15" s="14" t="n">
        <f aca="false">IFERROR(INDEX(Scoring!$L$5:$L$337,MATCH($A15&amp;"|"&amp;$B15,Scoring!$AF$5:$AF$337,0)),"")</f>
        <v>0</v>
      </c>
      <c r="M15" s="14" t="n">
        <f aca="false">IFERROR(INDEX(Scoring!$M$5:$M$337,MATCH($A15&amp;"|"&amp;$B15,Scoring!$AF$5:$AF$337,0)),"")</f>
        <v>0</v>
      </c>
      <c r="N15" s="14" t="str">
        <f aca="false">IFERROR(INDEX(Scoring!$Y$5:$Y$337,MATCH($A15&amp;"|"&amp;$B15,Scoring!$AF$5:$AF$337,0)),"")</f>
        <v>Yes</v>
      </c>
      <c r="O15" s="14" t="str">
        <f aca="false">IFERROR(INDEX(Scoring!$Z$5:$Z$337,MATCH($A15&amp;"|"&amp;$B15,Scoring!$AF$5:$AF$337,0)),"")</f>
        <v>Yes</v>
      </c>
      <c r="P15" s="14" t="str">
        <f aca="false">IFERROR(INDEX(Scoring!$AA$5:$AA$337,MATCH($A15&amp;"|"&amp;$B15,Scoring!$AF$5:$AF$337,0)),"")</f>
        <v>Yes</v>
      </c>
      <c r="Q15" s="14" t="str">
        <f aca="false">IFERROR(INDEX(Scoring!$AE$5:$AE$337,MATCH($A15&amp;"|"&amp;$B15,Scoring!$AF$5:$AF$337,0)),"")</f>
        <v>Differentiation in crowded generic market</v>
      </c>
    </row>
    <row r="16" customFormat="false" ht="15" hidden="false" customHeight="false" outlineLevel="0" collapsed="false">
      <c r="A16" s="5" t="s">
        <v>47</v>
      </c>
      <c r="B16" s="5" t="n">
        <v>2</v>
      </c>
      <c r="C16" s="5" t="str">
        <f aca="false">IFERROR(INDEX(Scoring!$AD$5:$AD$337,MATCH($A16&amp;"|"&amp;$B16,Scoring!$AF$5:$AF$337,0)),"")</f>
        <v>Lead</v>
      </c>
      <c r="D16" s="5" t="str">
        <f aca="false">IFERROR(INDEX(Scoring!$B$5:$B$337,MATCH($A16&amp;"|"&amp;$B16,Scoring!$AF$5:$AF$337,0)),"")</f>
        <v>Bortezomib</v>
      </c>
      <c r="E16" s="5" t="str">
        <f aca="false">IFERROR(INDEX(Scoring!$D$5:$D$337,MATCH($A16&amp;"|"&amp;$B16,Scoring!$AF$5:$AF$337,0)),"")</f>
        <v>Oncology – multiple myeloma &amp; mantle cell lymphoma</v>
      </c>
      <c r="F16" s="8" t="n">
        <f aca="false">IFERROR(INDEX(Scoring!$U$5:$U$337,MATCH($A16&amp;"|"&amp;$B16,Scoring!$AF$5:$AF$337,0)),"")</f>
        <v>0.871</v>
      </c>
      <c r="G16" s="7" t="n">
        <f aca="false">IFERROR(INDEX(Scoring!$O$5:$O$337,MATCH($A16&amp;"|"&amp;$B16,Scoring!$AF$5:$AF$337,0)),"")</f>
        <v>28093.38</v>
      </c>
      <c r="H16" s="6" t="n">
        <f aca="false">IFERROR(INDEX(Scoring!$N$5:$N$337,MATCH($A16&amp;"|"&amp;$B16,Scoring!$AF$5:$AF$337,0)),"")</f>
        <v>584.3441</v>
      </c>
      <c r="I16" s="5" t="n">
        <f aca="false">IFERROR(INDEX(Scoring!$F$5:$F$337,MATCH($A16&amp;"|"&amp;$B16,Scoring!$AF$5:$AF$337,0)),"")</f>
        <v>7</v>
      </c>
      <c r="J16" s="5" t="n">
        <f aca="false">IFERROR(INDEX(Scoring!$E$5:$E$337,MATCH($A16&amp;"|"&amp;$B16,Scoring!$AF$5:$AF$337,0)),"")</f>
        <v>32</v>
      </c>
      <c r="K16" s="5" t="n">
        <f aca="false">IFERROR(INDEX(Scoring!$K$5:$K$337,MATCH($A16&amp;"|"&amp;$B16,Scoring!$AF$5:$AF$337,0)),"")</f>
        <v>4</v>
      </c>
      <c r="L16" s="5" t="n">
        <f aca="false">IFERROR(INDEX(Scoring!$L$5:$L$337,MATCH($A16&amp;"|"&amp;$B16,Scoring!$AF$5:$AF$337,0)),"")</f>
        <v>0</v>
      </c>
      <c r="M16" s="5" t="n">
        <f aca="false">IFERROR(INDEX(Scoring!$M$5:$M$337,MATCH($A16&amp;"|"&amp;$B16,Scoring!$AF$5:$AF$337,0)),"")</f>
        <v>0</v>
      </c>
      <c r="N16" s="5" t="str">
        <f aca="false">IFERROR(INDEX(Scoring!$Y$5:$Y$337,MATCH($A16&amp;"|"&amp;$B16,Scoring!$AF$5:$AF$337,0)),"")</f>
        <v>Yes</v>
      </c>
      <c r="O16" s="5" t="str">
        <f aca="false">IFERROR(INDEX(Scoring!$Z$5:$Z$337,MATCH($A16&amp;"|"&amp;$B16,Scoring!$AF$5:$AF$337,0)),"")</f>
        <v>Yes</v>
      </c>
      <c r="P16" s="5" t="str">
        <f aca="false">IFERROR(INDEX(Scoring!$AA$5:$AA$337,MATCH($A16&amp;"|"&amp;$B16,Scoring!$AF$5:$AF$337,0)),"")</f>
        <v>Yes</v>
      </c>
      <c r="Q16" s="5" t="str">
        <f aca="false">IFERROR(INDEX(Scoring!$AE$5:$AE$337,MATCH($A16&amp;"|"&amp;$B16,Scoring!$AF$5:$AF$337,0)),"")</f>
        <v>Differentiation in crowded generic market</v>
      </c>
    </row>
    <row r="17" customFormat="false" ht="15" hidden="false" customHeight="false" outlineLevel="0" collapsed="false">
      <c r="A17" s="5" t="s">
        <v>47</v>
      </c>
      <c r="B17" s="5" t="n">
        <v>3</v>
      </c>
      <c r="C17" s="5" t="str">
        <f aca="false">IFERROR(INDEX(Scoring!$AD$5:$AD$337,MATCH($A17&amp;"|"&amp;$B17,Scoring!$AF$5:$AF$337,0)),"")</f>
        <v>Lead</v>
      </c>
      <c r="D17" s="5" t="str">
        <f aca="false">IFERROR(INDEX(Scoring!$B$5:$B$337,MATCH($A17&amp;"|"&amp;$B17,Scoring!$AF$5:$AF$337,0)),"")</f>
        <v>Daptomycin</v>
      </c>
      <c r="E17" s="5" t="str">
        <f aca="false">IFERROR(INDEX(Scoring!$D$5:$D$337,MATCH($A17&amp;"|"&amp;$B17,Scoring!$AF$5:$AF$337,0)),"")</f>
        <v>Anti-infective – MRSA skin infections &amp; bacteraemia</v>
      </c>
      <c r="F17" s="8" t="n">
        <f aca="false">IFERROR(INDEX(Scoring!$U$5:$U$337,MATCH($A17&amp;"|"&amp;$B17,Scoring!$AF$5:$AF$337,0)),"")</f>
        <v>0.852</v>
      </c>
      <c r="G17" s="7" t="n">
        <f aca="false">IFERROR(INDEX(Scoring!$O$5:$O$337,MATCH($A17&amp;"|"&amp;$B17,Scoring!$AF$5:$AF$337,0)),"")</f>
        <v>59827.18</v>
      </c>
      <c r="H17" s="6" t="n">
        <f aca="false">IFERROR(INDEX(Scoring!$N$5:$N$337,MATCH($A17&amp;"|"&amp;$B17,Scoring!$AF$5:$AF$337,0)),"")</f>
        <v>93.7335</v>
      </c>
      <c r="I17" s="5" t="n">
        <f aca="false">IFERROR(INDEX(Scoring!$F$5:$F$337,MATCH($A17&amp;"|"&amp;$B17,Scoring!$AF$5:$AF$337,0)),"")</f>
        <v>5</v>
      </c>
      <c r="J17" s="5" t="n">
        <f aca="false">IFERROR(INDEX(Scoring!$E$5:$E$337,MATCH($A17&amp;"|"&amp;$B17,Scoring!$AF$5:$AF$337,0)),"")</f>
        <v>28</v>
      </c>
      <c r="K17" s="5" t="n">
        <f aca="false">IFERROR(INDEX(Scoring!$K$5:$K$337,MATCH($A17&amp;"|"&amp;$B17,Scoring!$AF$5:$AF$337,0)),"")</f>
        <v>1</v>
      </c>
      <c r="L17" s="5" t="n">
        <f aca="false">IFERROR(INDEX(Scoring!$L$5:$L$337,MATCH($A17&amp;"|"&amp;$B17,Scoring!$AF$5:$AF$337,0)),"")</f>
        <v>0</v>
      </c>
      <c r="M17" s="5" t="n">
        <f aca="false">IFERROR(INDEX(Scoring!$M$5:$M$337,MATCH($A17&amp;"|"&amp;$B17,Scoring!$AF$5:$AF$337,0)),"")</f>
        <v>0</v>
      </c>
      <c r="N17" s="5" t="str">
        <f aca="false">IFERROR(INDEX(Scoring!$Y$5:$Y$337,MATCH($A17&amp;"|"&amp;$B17,Scoring!$AF$5:$AF$337,0)),"")</f>
        <v>No</v>
      </c>
      <c r="O17" s="5" t="str">
        <f aca="false">IFERROR(INDEX(Scoring!$Z$5:$Z$337,MATCH($A17&amp;"|"&amp;$B17,Scoring!$AF$5:$AF$337,0)),"")</f>
        <v>Yes</v>
      </c>
      <c r="P17" s="5" t="str">
        <f aca="false">IFERROR(INDEX(Scoring!$AA$5:$AA$337,MATCH($A17&amp;"|"&amp;$B17,Scoring!$AF$5:$AF$337,0)),"")</f>
        <v>Yes</v>
      </c>
      <c r="Q17" s="5" t="str">
        <f aca="false">IFERROR(INDEX(Scoring!$AE$5:$AE$337,MATCH($A17&amp;"|"&amp;$B17,Scoring!$AF$5:$AF$337,0)),"")</f>
        <v>Differentiation in crowded generic market</v>
      </c>
    </row>
    <row r="18" customFormat="false" ht="15" hidden="false" customHeight="false" outlineLevel="0" collapsed="false">
      <c r="A18" s="5" t="s">
        <v>47</v>
      </c>
      <c r="B18" s="5" t="n">
        <v>4</v>
      </c>
      <c r="C18" s="5" t="str">
        <f aca="false">IFERROR(INDEX(Scoring!$AD$5:$AD$337,MATCH($A18&amp;"|"&amp;$B18,Scoring!$AF$5:$AF$337,0)),"")</f>
        <v>Lead</v>
      </c>
      <c r="D18" s="5" t="str">
        <f aca="false">IFERROR(INDEX(Scoring!$B$5:$B$337,MATCH($A18&amp;"|"&amp;$B18,Scoring!$AF$5:$AF$337,0)),"")</f>
        <v>Plerixafor</v>
      </c>
      <c r="E18" s="5" t="str">
        <f aca="false">IFERROR(INDEX(Scoring!$D$5:$D$337,MATCH($A18&amp;"|"&amp;$B18,Scoring!$AF$5:$AF$337,0)),"")</f>
        <v>Oncology supportive – stem-cell mobilisation (myeloma, lymphoma)</v>
      </c>
      <c r="F18" s="8" t="n">
        <f aca="false">IFERROR(INDEX(Scoring!$U$5:$U$337,MATCH($A18&amp;"|"&amp;$B18,Scoring!$AF$5:$AF$337,0)),"")</f>
        <v>0.8145</v>
      </c>
      <c r="G18" s="7" t="n">
        <f aca="false">IFERROR(INDEX(Scoring!$O$5:$O$337,MATCH($A18&amp;"|"&amp;$B18,Scoring!$AF$5:$AF$337,0)),"")</f>
        <v>7904.67</v>
      </c>
      <c r="H18" s="6" t="n">
        <f aca="false">IFERROR(INDEX(Scoring!$N$5:$N$337,MATCH($A18&amp;"|"&amp;$B18,Scoring!$AF$5:$AF$337,0)),"")</f>
        <v>3710.19732</v>
      </c>
      <c r="I18" s="5" t="n">
        <f aca="false">IFERROR(INDEX(Scoring!$F$5:$F$337,MATCH($A18&amp;"|"&amp;$B18,Scoring!$AF$5:$AF$337,0)),"")</f>
        <v>7</v>
      </c>
      <c r="J18" s="5" t="n">
        <f aca="false">IFERROR(INDEX(Scoring!$E$5:$E$337,MATCH($A18&amp;"|"&amp;$B18,Scoring!$AF$5:$AF$337,0)),"")</f>
        <v>29</v>
      </c>
      <c r="K18" s="5" t="n">
        <f aca="false">IFERROR(INDEX(Scoring!$K$5:$K$337,MATCH($A18&amp;"|"&amp;$B18,Scoring!$AF$5:$AF$337,0)),"")</f>
        <v>5</v>
      </c>
      <c r="L18" s="5" t="n">
        <f aca="false">IFERROR(INDEX(Scoring!$L$5:$L$337,MATCH($A18&amp;"|"&amp;$B18,Scoring!$AF$5:$AF$337,0)),"")</f>
        <v>0</v>
      </c>
      <c r="M18" s="5" t="n">
        <f aca="false">IFERROR(INDEX(Scoring!$M$5:$M$337,MATCH($A18&amp;"|"&amp;$B18,Scoring!$AF$5:$AF$337,0)),"")</f>
        <v>0</v>
      </c>
      <c r="N18" s="5" t="str">
        <f aca="false">IFERROR(INDEX(Scoring!$Y$5:$Y$337,MATCH($A18&amp;"|"&amp;$B18,Scoring!$AF$5:$AF$337,0)),"")</f>
        <v>No</v>
      </c>
      <c r="O18" s="5" t="str">
        <f aca="false">IFERROR(INDEX(Scoring!$Z$5:$Z$337,MATCH($A18&amp;"|"&amp;$B18,Scoring!$AF$5:$AF$337,0)),"")</f>
        <v>No</v>
      </c>
      <c r="P18" s="5" t="str">
        <f aca="false">IFERROR(INDEX(Scoring!$AA$5:$AA$337,MATCH($A18&amp;"|"&amp;$B18,Scoring!$AF$5:$AF$337,0)),"")</f>
        <v>Yes</v>
      </c>
      <c r="Q18" s="5" t="str">
        <f aca="false">IFERROR(INDEX(Scoring!$AE$5:$AE$337,MATCH($A18&amp;"|"&amp;$B18,Scoring!$AF$5:$AF$337,0)),"")</f>
        <v>Differentiation in crowded generic market</v>
      </c>
    </row>
    <row r="19" customFormat="false" ht="15" hidden="false" customHeight="false" outlineLevel="0" collapsed="false">
      <c r="A19" s="5" t="s">
        <v>47</v>
      </c>
      <c r="B19" s="5" t="n">
        <v>5</v>
      </c>
      <c r="C19" s="5" t="str">
        <f aca="false">IFERROR(INDEX(Scoring!$AD$5:$AD$337,MATCH($A19&amp;"|"&amp;$B19,Scoring!$AF$5:$AF$337,0)),"")</f>
        <v>Lead</v>
      </c>
      <c r="D19" s="5" t="str">
        <f aca="false">IFERROR(INDEX(Scoring!$B$5:$B$337,MATCH($A19&amp;"|"&amp;$B19,Scoring!$AF$5:$AF$337,0)),"")</f>
        <v>Fulvestrant</v>
      </c>
      <c r="E19" s="5" t="str">
        <f aca="false">IFERROR(INDEX(Scoring!$D$5:$D$337,MATCH($A19&amp;"|"&amp;$B19,Scoring!$AF$5:$AF$337,0)),"")</f>
        <v>Oncology – HR+ advanced breast cancer</v>
      </c>
      <c r="F19" s="8" t="n">
        <f aca="false">IFERROR(INDEX(Scoring!$U$5:$U$337,MATCH($A19&amp;"|"&amp;$B19,Scoring!$AF$5:$AF$337,0)),"")</f>
        <v>0.786</v>
      </c>
      <c r="G19" s="7" t="n">
        <f aca="false">IFERROR(INDEX(Scoring!$O$5:$O$337,MATCH($A19&amp;"|"&amp;$B19,Scoring!$AF$5:$AF$337,0)),"")</f>
        <v>11366.06</v>
      </c>
      <c r="H19" s="6" t="n">
        <f aca="false">IFERROR(INDEX(Scoring!$N$5:$N$337,MATCH($A19&amp;"|"&amp;$B19,Scoring!$AF$5:$AF$337,0)),"")</f>
        <v>308.096133333333</v>
      </c>
      <c r="I19" s="5" t="n">
        <f aca="false">IFERROR(INDEX(Scoring!$F$5:$F$337,MATCH($A19&amp;"|"&amp;$B19,Scoring!$AF$5:$AF$337,0)),"")</f>
        <v>6</v>
      </c>
      <c r="J19" s="5" t="n">
        <f aca="false">IFERROR(INDEX(Scoring!$E$5:$E$337,MATCH($A19&amp;"|"&amp;$B19,Scoring!$AF$5:$AF$337,0)),"")</f>
        <v>33</v>
      </c>
      <c r="K19" s="5" t="n">
        <f aca="false">IFERROR(INDEX(Scoring!$K$5:$K$337,MATCH($A19&amp;"|"&amp;$B19,Scoring!$AF$5:$AF$337,0)),"")</f>
        <v>0</v>
      </c>
      <c r="L19" s="5" t="n">
        <f aca="false">IFERROR(INDEX(Scoring!$L$5:$L$337,MATCH($A19&amp;"|"&amp;$B19,Scoring!$AF$5:$AF$337,0)),"")</f>
        <v>0</v>
      </c>
      <c r="M19" s="5" t="n">
        <f aca="false">IFERROR(INDEX(Scoring!$M$5:$M$337,MATCH($A19&amp;"|"&amp;$B19,Scoring!$AF$5:$AF$337,0)),"")</f>
        <v>3</v>
      </c>
      <c r="N19" s="5" t="str">
        <f aca="false">IFERROR(INDEX(Scoring!$Y$5:$Y$337,MATCH($A19&amp;"|"&amp;$B19,Scoring!$AF$5:$AF$337,0)),"")</f>
        <v>No</v>
      </c>
      <c r="O19" s="5" t="str">
        <f aca="false">IFERROR(INDEX(Scoring!$Z$5:$Z$337,MATCH($A19&amp;"|"&amp;$B19,Scoring!$AF$5:$AF$337,0)),"")</f>
        <v>No</v>
      </c>
      <c r="P19" s="5" t="str">
        <f aca="false">IFERROR(INDEX(Scoring!$AA$5:$AA$337,MATCH($A19&amp;"|"&amp;$B19,Scoring!$AF$5:$AF$337,0)),"")</f>
        <v>Yes</v>
      </c>
      <c r="Q19" s="5" t="str">
        <f aca="false">IFERROR(INDEX(Scoring!$AE$5:$AE$337,MATCH($A19&amp;"|"&amp;$B19,Scoring!$AF$5:$AF$337,0)),"")</f>
        <v>Safety upgrade of existing prefilled syringe</v>
      </c>
    </row>
    <row r="20" customFormat="false" ht="15" hidden="false" customHeight="false" outlineLevel="0" collapsed="false">
      <c r="A20" s="5" t="s">
        <v>47</v>
      </c>
      <c r="B20" s="5" t="n">
        <v>6</v>
      </c>
      <c r="C20" s="5" t="str">
        <f aca="false">IFERROR(INDEX(Scoring!$AD$5:$AD$337,MATCH($A20&amp;"|"&amp;$B20,Scoring!$AF$5:$AF$337,0)),"")</f>
        <v>Next wave</v>
      </c>
      <c r="D20" s="5" t="str">
        <f aca="false">IFERROR(INDEX(Scoring!$B$5:$B$337,MATCH($A20&amp;"|"&amp;$B20,Scoring!$AF$5:$AF$337,0)),"")</f>
        <v>Eptifibatide</v>
      </c>
      <c r="E20" s="5" t="str">
        <f aca="false">IFERROR(INDEX(Scoring!$D$5:$D$337,MATCH($A20&amp;"|"&amp;$B20,Scoring!$AF$5:$AF$337,0)),"")</f>
        <v>Cardiovascular – acute coronary syndrome &amp; PCI (antiplatelet)</v>
      </c>
      <c r="F20" s="8" t="n">
        <f aca="false">IFERROR(INDEX(Scoring!$U$5:$U$337,MATCH($A20&amp;"|"&amp;$B20,Scoring!$AF$5:$AF$337,0)),"")</f>
        <v>0.723</v>
      </c>
      <c r="G20" s="7" t="n">
        <f aca="false">IFERROR(INDEX(Scoring!$O$5:$O$337,MATCH($A20&amp;"|"&amp;$B20,Scoring!$AF$5:$AF$337,0)),"")</f>
        <v>5178.32161764706</v>
      </c>
      <c r="H20" s="6" t="n">
        <f aca="false">IFERROR(INDEX(Scoring!$N$5:$N$337,MATCH($A20&amp;"|"&amp;$B20,Scoring!$AF$5:$AF$337,0)),"")</f>
        <v>343.8</v>
      </c>
      <c r="I20" s="5" t="n">
        <f aca="false">IFERROR(INDEX(Scoring!$F$5:$F$337,MATCH($A20&amp;"|"&amp;$B20,Scoring!$AF$5:$AF$337,0)),"")</f>
        <v>1</v>
      </c>
      <c r="J20" s="5" t="n">
        <f aca="false">IFERROR(INDEX(Scoring!$E$5:$E$337,MATCH($A20&amp;"|"&amp;$B20,Scoring!$AF$5:$AF$337,0)),"")</f>
        <v>1</v>
      </c>
      <c r="K20" s="5" t="n">
        <f aca="false">IFERROR(INDEX(Scoring!$K$5:$K$337,MATCH($A20&amp;"|"&amp;$B20,Scoring!$AF$5:$AF$337,0)),"")</f>
        <v>1</v>
      </c>
      <c r="L20" s="5" t="n">
        <f aca="false">IFERROR(INDEX(Scoring!$L$5:$L$337,MATCH($A20&amp;"|"&amp;$B20,Scoring!$AF$5:$AF$337,0)),"")</f>
        <v>0</v>
      </c>
      <c r="M20" s="5" t="n">
        <f aca="false">IFERROR(INDEX(Scoring!$M$5:$M$337,MATCH($A20&amp;"|"&amp;$B20,Scoring!$AF$5:$AF$337,0)),"")</f>
        <v>0</v>
      </c>
      <c r="N20" s="5" t="str">
        <f aca="false">IFERROR(INDEX(Scoring!$Y$5:$Y$337,MATCH($A20&amp;"|"&amp;$B20,Scoring!$AF$5:$AF$337,0)),"")</f>
        <v>No</v>
      </c>
      <c r="O20" s="5" t="str">
        <f aca="false">IFERROR(INDEX(Scoring!$Z$5:$Z$337,MATCH($A20&amp;"|"&amp;$B20,Scoring!$AF$5:$AF$337,0)),"")</f>
        <v>No</v>
      </c>
      <c r="P20" s="5" t="str">
        <f aca="false">IFERROR(INDEX(Scoring!$AA$5:$AA$337,MATCH($A20&amp;"|"&amp;$B20,Scoring!$AF$5:$AF$337,0)),"")</f>
        <v>No</v>
      </c>
      <c r="Q20" s="5" t="str">
        <f aca="false">IFERROR(INDEX(Scoring!$AE$5:$AE$337,MATCH($A20&amp;"|"&amp;$B20,Scoring!$AF$5:$AF$337,0)),"")</f>
        <v>Safety-device mandate compliance</v>
      </c>
    </row>
    <row r="21" customFormat="false" ht="15" hidden="false" customHeight="false" outlineLevel="0" collapsed="false">
      <c r="A21" s="5" t="s">
        <v>47</v>
      </c>
      <c r="B21" s="5" t="n">
        <v>7</v>
      </c>
      <c r="C21" s="5" t="str">
        <f aca="false">IFERROR(INDEX(Scoring!$AD$5:$AD$337,MATCH($A21&amp;"|"&amp;$B21,Scoring!$AF$5:$AF$337,0)),"")</f>
        <v>Next wave</v>
      </c>
      <c r="D21" s="5" t="str">
        <f aca="false">IFERROR(INDEX(Scoring!$B$5:$B$337,MATCH($A21&amp;"|"&amp;$B21,Scoring!$AF$5:$AF$337,0)),"")</f>
        <v>Ertapenem</v>
      </c>
      <c r="E21" s="5" t="str">
        <f aca="false">IFERROR(INDEX(Scoring!$D$5:$D$337,MATCH($A21&amp;"|"&amp;$B21,Scoring!$AF$5:$AF$337,0)),"")</f>
        <v>Anti-infective – intra-abdominal, skin, urinary infections, pneumonia</v>
      </c>
      <c r="F21" s="8" t="n">
        <f aca="false">IFERROR(INDEX(Scoring!$U$5:$U$337,MATCH($A21&amp;"|"&amp;$B21,Scoring!$AF$5:$AF$337,0)),"")</f>
        <v>0.6905</v>
      </c>
      <c r="G21" s="7" t="n">
        <f aca="false">IFERROR(INDEX(Scoring!$O$5:$O$337,MATCH($A21&amp;"|"&amp;$B21,Scoring!$AF$5:$AF$337,0)),"")</f>
        <v>53539.87</v>
      </c>
      <c r="H21" s="6" t="n">
        <f aca="false">IFERROR(INDEX(Scoring!$N$5:$N$337,MATCH($A21&amp;"|"&amp;$B21,Scoring!$AF$5:$AF$337,0)),"")</f>
        <v>28.5542857142857</v>
      </c>
      <c r="I21" s="5" t="n">
        <f aca="false">IFERROR(INDEX(Scoring!$F$5:$F$337,MATCH($A21&amp;"|"&amp;$B21,Scoring!$AF$5:$AF$337,0)),"")</f>
        <v>2</v>
      </c>
      <c r="J21" s="5" t="n">
        <f aca="false">IFERROR(INDEX(Scoring!$E$5:$E$337,MATCH($A21&amp;"|"&amp;$B21,Scoring!$AF$5:$AF$337,0)),"")</f>
        <v>3</v>
      </c>
      <c r="K21" s="5" t="n">
        <f aca="false">IFERROR(INDEX(Scoring!$K$5:$K$337,MATCH($A21&amp;"|"&amp;$B21,Scoring!$AF$5:$AF$337,0)),"")</f>
        <v>7</v>
      </c>
      <c r="L21" s="5" t="n">
        <f aca="false">IFERROR(INDEX(Scoring!$L$5:$L$337,MATCH($A21&amp;"|"&amp;$B21,Scoring!$AF$5:$AF$337,0)),"")</f>
        <v>0</v>
      </c>
      <c r="M21" s="5" t="n">
        <f aca="false">IFERROR(INDEX(Scoring!$M$5:$M$337,MATCH($A21&amp;"|"&amp;$B21,Scoring!$AF$5:$AF$337,0)),"")</f>
        <v>0</v>
      </c>
      <c r="N21" s="5" t="str">
        <f aca="false">IFERROR(INDEX(Scoring!$Y$5:$Y$337,MATCH($A21&amp;"|"&amp;$B21,Scoring!$AF$5:$AF$337,0)),"")</f>
        <v>No</v>
      </c>
      <c r="O21" s="5" t="str">
        <f aca="false">IFERROR(INDEX(Scoring!$Z$5:$Z$337,MATCH($A21&amp;"|"&amp;$B21,Scoring!$AF$5:$AF$337,0)),"")</f>
        <v>Yes</v>
      </c>
      <c r="P21" s="5" t="str">
        <f aca="false">IFERROR(INDEX(Scoring!$AA$5:$AA$337,MATCH($A21&amp;"|"&amp;$B21,Scoring!$AF$5:$AF$337,0)),"")</f>
        <v>Yes</v>
      </c>
      <c r="Q21" s="5" t="str">
        <f aca="false">IFERROR(INDEX(Scoring!$AE$5:$AE$337,MATCH($A21&amp;"|"&amp;$B21,Scoring!$AF$5:$AF$337,0)),"")</f>
        <v>Differentiation in crowded generic market</v>
      </c>
    </row>
    <row r="22" customFormat="false" ht="15" hidden="false" customHeight="false" outlineLevel="0" collapsed="false">
      <c r="A22" s="5" t="s">
        <v>47</v>
      </c>
      <c r="B22" s="5" t="n">
        <v>8</v>
      </c>
      <c r="C22" s="5" t="str">
        <f aca="false">IFERROR(INDEX(Scoring!$AD$5:$AD$337,MATCH($A22&amp;"|"&amp;$B22,Scoring!$AF$5:$AF$337,0)),"")</f>
        <v>Next wave</v>
      </c>
      <c r="D22" s="5" t="str">
        <f aca="false">IFERROR(INDEX(Scoring!$B$5:$B$337,MATCH($A22&amp;"|"&amp;$B22,Scoring!$AF$5:$AF$337,0)),"")</f>
        <v>Cyclophosphamide</v>
      </c>
      <c r="E22" s="5" t="str">
        <f aca="false">IFERROR(INDEX(Scoring!$D$5:$D$337,MATCH($A22&amp;"|"&amp;$B22,Scoring!$AF$5:$AF$337,0)),"")</f>
        <v>Oncology – lymphoma, leukaemia, breast cancer; transplant conditioning</v>
      </c>
      <c r="F22" s="8" t="n">
        <f aca="false">IFERROR(INDEX(Scoring!$U$5:$U$337,MATCH($A22&amp;"|"&amp;$B22,Scoring!$AF$5:$AF$337,0)),"")</f>
        <v>0.6625</v>
      </c>
      <c r="G22" s="7" t="n">
        <f aca="false">IFERROR(INDEX(Scoring!$O$5:$O$337,MATCH($A22&amp;"|"&amp;$B22,Scoring!$AF$5:$AF$337,0)),"")</f>
        <v>3871.19720318908</v>
      </c>
      <c r="H22" s="6" t="n">
        <f aca="false">IFERROR(INDEX(Scoring!$N$5:$N$337,MATCH($A22&amp;"|"&amp;$B22,Scoring!$AF$5:$AF$337,0)),"")</f>
        <v>234.04</v>
      </c>
      <c r="I22" s="5" t="n">
        <f aca="false">IFERROR(INDEX(Scoring!$F$5:$F$337,MATCH($A22&amp;"|"&amp;$B22,Scoring!$AF$5:$AF$337,0)),"")</f>
        <v>1</v>
      </c>
      <c r="J22" s="5" t="n">
        <f aca="false">IFERROR(INDEX(Scoring!$E$5:$E$337,MATCH($A22&amp;"|"&amp;$B22,Scoring!$AF$5:$AF$337,0)),"")</f>
        <v>1</v>
      </c>
      <c r="K22" s="5" t="n">
        <f aca="false">IFERROR(INDEX(Scoring!$K$5:$K$337,MATCH($A22&amp;"|"&amp;$B22,Scoring!$AF$5:$AF$337,0)),"")</f>
        <v>3</v>
      </c>
      <c r="L22" s="5" t="n">
        <f aca="false">IFERROR(INDEX(Scoring!$L$5:$L$337,MATCH($A22&amp;"|"&amp;$B22,Scoring!$AF$5:$AF$337,0)),"")</f>
        <v>0</v>
      </c>
      <c r="M22" s="5" t="n">
        <f aca="false">IFERROR(INDEX(Scoring!$M$5:$M$337,MATCH($A22&amp;"|"&amp;$B22,Scoring!$AF$5:$AF$337,0)),"")</f>
        <v>0</v>
      </c>
      <c r="N22" s="5" t="str">
        <f aca="false">IFERROR(INDEX(Scoring!$Y$5:$Y$337,MATCH($A22&amp;"|"&amp;$B22,Scoring!$AF$5:$AF$337,0)),"")</f>
        <v>Yes</v>
      </c>
      <c r="O22" s="5" t="str">
        <f aca="false">IFERROR(INDEX(Scoring!$Z$5:$Z$337,MATCH($A22&amp;"|"&amp;$B22,Scoring!$AF$5:$AF$337,0)),"")</f>
        <v>No</v>
      </c>
      <c r="P22" s="5" t="str">
        <f aca="false">IFERROR(INDEX(Scoring!$AA$5:$AA$337,MATCH($A22&amp;"|"&amp;$B22,Scoring!$AF$5:$AF$337,0)),"")</f>
        <v>Yes</v>
      </c>
      <c r="Q22" s="5" t="str">
        <f aca="false">IFERROR(INDEX(Scoring!$AE$5:$AE$337,MATCH($A22&amp;"|"&amp;$B22,Scoring!$AF$5:$AF$337,0)),"")</f>
        <v>Differentiation in crowded generic market</v>
      </c>
    </row>
    <row r="23" customFormat="false" ht="15" hidden="false" customHeight="false" outlineLevel="0" collapsed="false">
      <c r="A23" s="5" t="s">
        <v>47</v>
      </c>
      <c r="B23" s="5" t="n">
        <v>9</v>
      </c>
      <c r="C23" s="5" t="str">
        <f aca="false">IFERROR(INDEX(Scoring!$AD$5:$AD$337,MATCH($A23&amp;"|"&amp;$B23,Scoring!$AF$5:$AF$337,0)),"")</f>
        <v>Next wave</v>
      </c>
      <c r="D23" s="5" t="str">
        <f aca="false">IFERROR(INDEX(Scoring!$B$5:$B$337,MATCH($A23&amp;"|"&amp;$B23,Scoring!$AF$5:$AF$337,0)),"")</f>
        <v>Meropenem</v>
      </c>
      <c r="E23" s="5" t="str">
        <f aca="false">IFERROR(INDEX(Scoring!$D$5:$D$337,MATCH($A23&amp;"|"&amp;$B23,Scoring!$AF$5:$AF$337,0)),"")</f>
        <v>Anti-infective – severe hospital infections (ICU, sepsis, meningitis, MDR)</v>
      </c>
      <c r="F23" s="8" t="n">
        <f aca="false">IFERROR(INDEX(Scoring!$U$5:$U$337,MATCH($A23&amp;"|"&amp;$B23,Scoring!$AF$5:$AF$337,0)),"")</f>
        <v>0.6475</v>
      </c>
      <c r="G23" s="7" t="n">
        <f aca="false">IFERROR(INDEX(Scoring!$O$5:$O$337,MATCH($A23&amp;"|"&amp;$B23,Scoring!$AF$5:$AF$337,0)),"")</f>
        <v>58920.4013724345</v>
      </c>
      <c r="H23" s="6" t="n">
        <f aca="false">IFERROR(INDEX(Scoring!$N$5:$N$337,MATCH($A23&amp;"|"&amp;$B23,Scoring!$AF$5:$AF$337,0)),"")</f>
        <v>20.1370142857143</v>
      </c>
      <c r="I23" s="5" t="n">
        <f aca="false">IFERROR(INDEX(Scoring!$F$5:$F$337,MATCH($A23&amp;"|"&amp;$B23,Scoring!$AF$5:$AF$337,0)),"")</f>
        <v>6</v>
      </c>
      <c r="J23" s="5" t="n">
        <f aca="false">IFERROR(INDEX(Scoring!$E$5:$E$337,MATCH($A23&amp;"|"&amp;$B23,Scoring!$AF$5:$AF$337,0)),"")</f>
        <v>31</v>
      </c>
      <c r="K23" s="5" t="n">
        <f aca="false">IFERROR(INDEX(Scoring!$K$5:$K$337,MATCH($A23&amp;"|"&amp;$B23,Scoring!$AF$5:$AF$337,0)),"")</f>
        <v>7</v>
      </c>
      <c r="L23" s="5" t="n">
        <f aca="false">IFERROR(INDEX(Scoring!$L$5:$L$337,MATCH($A23&amp;"|"&amp;$B23,Scoring!$AF$5:$AF$337,0)),"")</f>
        <v>0</v>
      </c>
      <c r="M23" s="5" t="n">
        <f aca="false">IFERROR(INDEX(Scoring!$M$5:$M$337,MATCH($A23&amp;"|"&amp;$B23,Scoring!$AF$5:$AF$337,0)),"")</f>
        <v>0</v>
      </c>
      <c r="N23" s="5" t="str">
        <f aca="false">IFERROR(INDEX(Scoring!$Y$5:$Y$337,MATCH($A23&amp;"|"&amp;$B23,Scoring!$AF$5:$AF$337,0)),"")</f>
        <v>No</v>
      </c>
      <c r="O23" s="5" t="str">
        <f aca="false">IFERROR(INDEX(Scoring!$Z$5:$Z$337,MATCH($A23&amp;"|"&amp;$B23,Scoring!$AF$5:$AF$337,0)),"")</f>
        <v>Yes</v>
      </c>
      <c r="P23" s="5" t="str">
        <f aca="false">IFERROR(INDEX(Scoring!$AA$5:$AA$337,MATCH($A23&amp;"|"&amp;$B23,Scoring!$AF$5:$AF$337,0)),"")</f>
        <v>Yes</v>
      </c>
      <c r="Q23" s="5" t="str">
        <f aca="false">IFERROR(INDEX(Scoring!$AE$5:$AE$337,MATCH($A23&amp;"|"&amp;$B23,Scoring!$AF$5:$AF$337,0)),"")</f>
        <v>Differentiation in crowded generic market</v>
      </c>
    </row>
    <row r="24" customFormat="false" ht="15" hidden="false" customHeight="false" outlineLevel="0" collapsed="false">
      <c r="A24" s="5" t="s">
        <v>47</v>
      </c>
      <c r="B24" s="5" t="n">
        <v>10</v>
      </c>
      <c r="C24" s="5" t="str">
        <f aca="false">IFERROR(INDEX(Scoring!$AD$5:$AD$337,MATCH($A24&amp;"|"&amp;$B24,Scoring!$AF$5:$AF$337,0)),"")</f>
        <v>Next wave</v>
      </c>
      <c r="D24" s="5" t="str">
        <f aca="false">IFERROR(INDEX(Scoring!$B$5:$B$337,MATCH($A24&amp;"|"&amp;$B24,Scoring!$AF$5:$AF$337,0)),"")</f>
        <v>Mitomycin</v>
      </c>
      <c r="E24" s="5" t="str">
        <f aca="false">IFERROR(INDEX(Scoring!$D$5:$D$337,MATCH($A24&amp;"|"&amp;$B24,Scoring!$AF$5:$AF$337,0)),"")</f>
        <v>Oncology – gastric, pancreatic, anal &amp; bladder cancers</v>
      </c>
      <c r="F24" s="8" t="n">
        <f aca="false">IFERROR(INDEX(Scoring!$U$5:$U$337,MATCH($A24&amp;"|"&amp;$B24,Scoring!$AF$5:$AF$337,0)),"")</f>
        <v>0.629</v>
      </c>
      <c r="G24" s="7" t="n">
        <f aca="false">IFERROR(INDEX(Scoring!$O$5:$O$337,MATCH($A24&amp;"|"&amp;$B24,Scoring!$AF$5:$AF$337,0)),"")</f>
        <v>6754.24670338983</v>
      </c>
      <c r="H24" s="6" t="n">
        <f aca="false">IFERROR(INDEX(Scoring!$N$5:$N$337,MATCH($A24&amp;"|"&amp;$B24,Scoring!$AF$5:$AF$337,0)),"")</f>
        <v>55.8898</v>
      </c>
      <c r="I24" s="5" t="n">
        <f aca="false">IFERROR(INDEX(Scoring!$F$5:$F$337,MATCH($A24&amp;"|"&amp;$B24,Scoring!$AF$5:$AF$337,0)),"")</f>
        <v>5</v>
      </c>
      <c r="J24" s="5" t="n">
        <f aca="false">IFERROR(INDEX(Scoring!$E$5:$E$337,MATCH($A24&amp;"|"&amp;$B24,Scoring!$AF$5:$AF$337,0)),"")</f>
        <v>26</v>
      </c>
      <c r="K24" s="5" t="n">
        <f aca="false">IFERROR(INDEX(Scoring!$K$5:$K$337,MATCH($A24&amp;"|"&amp;$B24,Scoring!$AF$5:$AF$337,0)),"")</f>
        <v>1</v>
      </c>
      <c r="L24" s="5" t="n">
        <f aca="false">IFERROR(INDEX(Scoring!$L$5:$L$337,MATCH($A24&amp;"|"&amp;$B24,Scoring!$AF$5:$AF$337,0)),"")</f>
        <v>0</v>
      </c>
      <c r="M24" s="5" t="n">
        <f aca="false">IFERROR(INDEX(Scoring!$M$5:$M$337,MATCH($A24&amp;"|"&amp;$B24,Scoring!$AF$5:$AF$337,0)),"")</f>
        <v>0</v>
      </c>
      <c r="N24" s="5" t="str">
        <f aca="false">IFERROR(INDEX(Scoring!$Y$5:$Y$337,MATCH($A24&amp;"|"&amp;$B24,Scoring!$AF$5:$AF$337,0)),"")</f>
        <v>Yes</v>
      </c>
      <c r="O24" s="5" t="str">
        <f aca="false">IFERROR(INDEX(Scoring!$Z$5:$Z$337,MATCH($A24&amp;"|"&amp;$B24,Scoring!$AF$5:$AF$337,0)),"")</f>
        <v>Yes</v>
      </c>
      <c r="P24" s="5" t="str">
        <f aca="false">IFERROR(INDEX(Scoring!$AA$5:$AA$337,MATCH($A24&amp;"|"&amp;$B24,Scoring!$AF$5:$AF$337,0)),"")</f>
        <v>No</v>
      </c>
      <c r="Q24" s="5" t="str">
        <f aca="false">IFERROR(INDEX(Scoring!$AE$5:$AE$337,MATCH($A24&amp;"|"&amp;$B24,Scoring!$AF$5:$AF$337,0)),"")</f>
        <v>Safety-device mandate compliance</v>
      </c>
    </row>
    <row r="25" customFormat="false" ht="15" hidden="false" customHeight="false" outlineLevel="0" collapsed="false">
      <c r="A25" s="14" t="s">
        <v>54</v>
      </c>
      <c r="B25" s="14" t="n">
        <v>1</v>
      </c>
      <c r="C25" s="14" t="str">
        <f aca="false">IFERROR(INDEX(Scoring!$AD$5:$AD$337,MATCH($A25&amp;"|"&amp;$B25,Scoring!$AF$5:$AF$337,0)),"")</f>
        <v>Lead</v>
      </c>
      <c r="D25" s="14" t="str">
        <f aca="false">IFERROR(INDEX(Scoring!$B$5:$B$337,MATCH($A25&amp;"|"&amp;$B25,Scoring!$AF$5:$AF$337,0)),"")</f>
        <v>Daptomycin</v>
      </c>
      <c r="E25" s="14" t="str">
        <f aca="false">IFERROR(INDEX(Scoring!$D$5:$D$337,MATCH($A25&amp;"|"&amp;$B25,Scoring!$AF$5:$AF$337,0)),"")</f>
        <v>Anti-infective – MRSA skin infections &amp; bacteraemia</v>
      </c>
      <c r="F25" s="15" t="n">
        <f aca="false">IFERROR(INDEX(Scoring!$U$5:$U$337,MATCH($A25&amp;"|"&amp;$B25,Scoring!$AF$5:$AF$337,0)),"")</f>
        <v>0.834</v>
      </c>
      <c r="G25" s="16" t="n">
        <f aca="false">IFERROR(INDEX(Scoring!$O$5:$O$337,MATCH($A25&amp;"|"&amp;$B25,Scoring!$AF$5:$AF$337,0)),"")</f>
        <v>59827.18</v>
      </c>
      <c r="H25" s="17" t="n">
        <f aca="false">IFERROR(INDEX(Scoring!$N$5:$N$337,MATCH($A25&amp;"|"&amp;$B25,Scoring!$AF$5:$AF$337,0)),"")</f>
        <v>87.84675</v>
      </c>
      <c r="I25" s="14" t="n">
        <f aca="false">IFERROR(INDEX(Scoring!$F$5:$F$337,MATCH($A25&amp;"|"&amp;$B25,Scoring!$AF$5:$AF$337,0)),"")</f>
        <v>6</v>
      </c>
      <c r="J25" s="14" t="n">
        <f aca="false">IFERROR(INDEX(Scoring!$E$5:$E$337,MATCH($A25&amp;"|"&amp;$B25,Scoring!$AF$5:$AF$337,0)),"")</f>
        <v>30</v>
      </c>
      <c r="K25" s="14" t="n">
        <f aca="false">IFERROR(INDEX(Scoring!$K$5:$K$337,MATCH($A25&amp;"|"&amp;$B25,Scoring!$AF$5:$AF$337,0)),"")</f>
        <v>4</v>
      </c>
      <c r="L25" s="14" t="n">
        <f aca="false">IFERROR(INDEX(Scoring!$L$5:$L$337,MATCH($A25&amp;"|"&amp;$B25,Scoring!$AF$5:$AF$337,0)),"")</f>
        <v>0</v>
      </c>
      <c r="M25" s="14" t="n">
        <f aca="false">IFERROR(INDEX(Scoring!$M$5:$M$337,MATCH($A25&amp;"|"&amp;$B25,Scoring!$AF$5:$AF$337,0)),"")</f>
        <v>0</v>
      </c>
      <c r="N25" s="14" t="str">
        <f aca="false">IFERROR(INDEX(Scoring!$Y$5:$Y$337,MATCH($A25&amp;"|"&amp;$B25,Scoring!$AF$5:$AF$337,0)),"")</f>
        <v>No</v>
      </c>
      <c r="O25" s="14" t="str">
        <f aca="false">IFERROR(INDEX(Scoring!$Z$5:$Z$337,MATCH($A25&amp;"|"&amp;$B25,Scoring!$AF$5:$AF$337,0)),"")</f>
        <v>Yes</v>
      </c>
      <c r="P25" s="14" t="str">
        <f aca="false">IFERROR(INDEX(Scoring!$AA$5:$AA$337,MATCH($A25&amp;"|"&amp;$B25,Scoring!$AF$5:$AF$337,0)),"")</f>
        <v>Yes</v>
      </c>
      <c r="Q25" s="14" t="str">
        <f aca="false">IFERROR(INDEX(Scoring!$AE$5:$AE$337,MATCH($A25&amp;"|"&amp;$B25,Scoring!$AF$5:$AF$337,0)),"")</f>
        <v>Differentiation in crowded generic market</v>
      </c>
    </row>
    <row r="26" customFormat="false" ht="15" hidden="false" customHeight="false" outlineLevel="0" collapsed="false">
      <c r="A26" s="5" t="s">
        <v>54</v>
      </c>
      <c r="B26" s="5" t="n">
        <v>2</v>
      </c>
      <c r="C26" s="5" t="str">
        <f aca="false">IFERROR(INDEX(Scoring!$AD$5:$AD$337,MATCH($A26&amp;"|"&amp;$B26,Scoring!$AF$5:$AF$337,0)),"")</f>
        <v>Lead</v>
      </c>
      <c r="D26" s="5" t="str">
        <f aca="false">IFERROR(INDEX(Scoring!$B$5:$B$337,MATCH($A26&amp;"|"&amp;$B26,Scoring!$AF$5:$AF$337,0)),"")</f>
        <v>Fulvestrant</v>
      </c>
      <c r="E26" s="5" t="str">
        <f aca="false">IFERROR(INDEX(Scoring!$D$5:$D$337,MATCH($A26&amp;"|"&amp;$B26,Scoring!$AF$5:$AF$337,0)),"")</f>
        <v>Oncology – HR+ advanced breast cancer</v>
      </c>
      <c r="F26" s="8" t="n">
        <f aca="false">IFERROR(INDEX(Scoring!$U$5:$U$337,MATCH($A26&amp;"|"&amp;$B26,Scoring!$AF$5:$AF$337,0)),"")</f>
        <v>0.813</v>
      </c>
      <c r="G26" s="7" t="n">
        <f aca="false">IFERROR(INDEX(Scoring!$O$5:$O$337,MATCH($A26&amp;"|"&amp;$B26,Scoring!$AF$5:$AF$337,0)),"")</f>
        <v>11366.06</v>
      </c>
      <c r="H26" s="6" t="n">
        <f aca="false">IFERROR(INDEX(Scoring!$N$5:$N$337,MATCH($A26&amp;"|"&amp;$B26,Scoring!$AF$5:$AF$337,0)),"")</f>
        <v>531.8684</v>
      </c>
      <c r="I26" s="5" t="n">
        <f aca="false">IFERROR(INDEX(Scoring!$F$5:$F$337,MATCH($A26&amp;"|"&amp;$B26,Scoring!$AF$5:$AF$337,0)),"")</f>
        <v>5</v>
      </c>
      <c r="J26" s="5" t="n">
        <f aca="false">IFERROR(INDEX(Scoring!$E$5:$E$337,MATCH($A26&amp;"|"&amp;$B26,Scoring!$AF$5:$AF$337,0)),"")</f>
        <v>31</v>
      </c>
      <c r="K26" s="5" t="n">
        <f aca="false">IFERROR(INDEX(Scoring!$K$5:$K$337,MATCH($A26&amp;"|"&amp;$B26,Scoring!$AF$5:$AF$337,0)),"")</f>
        <v>0</v>
      </c>
      <c r="L26" s="5" t="n">
        <f aca="false">IFERROR(INDEX(Scoring!$L$5:$L$337,MATCH($A26&amp;"|"&amp;$B26,Scoring!$AF$5:$AF$337,0)),"")</f>
        <v>0</v>
      </c>
      <c r="M26" s="5" t="n">
        <f aca="false">IFERROR(INDEX(Scoring!$M$5:$M$337,MATCH($A26&amp;"|"&amp;$B26,Scoring!$AF$5:$AF$337,0)),"")</f>
        <v>1</v>
      </c>
      <c r="N26" s="5" t="str">
        <f aca="false">IFERROR(INDEX(Scoring!$Y$5:$Y$337,MATCH($A26&amp;"|"&amp;$B26,Scoring!$AF$5:$AF$337,0)),"")</f>
        <v>No</v>
      </c>
      <c r="O26" s="5" t="str">
        <f aca="false">IFERROR(INDEX(Scoring!$Z$5:$Z$337,MATCH($A26&amp;"|"&amp;$B26,Scoring!$AF$5:$AF$337,0)),"")</f>
        <v>No</v>
      </c>
      <c r="P26" s="5" t="str">
        <f aca="false">IFERROR(INDEX(Scoring!$AA$5:$AA$337,MATCH($A26&amp;"|"&amp;$B26,Scoring!$AF$5:$AF$337,0)),"")</f>
        <v>Yes</v>
      </c>
      <c r="Q26" s="5" t="str">
        <f aca="false">IFERROR(INDEX(Scoring!$AE$5:$AE$337,MATCH($A26&amp;"|"&amp;$B26,Scoring!$AF$5:$AF$337,0)),"")</f>
        <v>Safety upgrade of existing prefilled syringe</v>
      </c>
    </row>
    <row r="27" customFormat="false" ht="15" hidden="false" customHeight="false" outlineLevel="0" collapsed="false">
      <c r="A27" s="5" t="s">
        <v>54</v>
      </c>
      <c r="B27" s="5" t="n">
        <v>3</v>
      </c>
      <c r="C27" s="5" t="str">
        <f aca="false">IFERROR(INDEX(Scoring!$AD$5:$AD$337,MATCH($A27&amp;"|"&amp;$B27,Scoring!$AF$5:$AF$337,0)),"")</f>
        <v>Lead</v>
      </c>
      <c r="D27" s="5" t="str">
        <f aca="false">IFERROR(INDEX(Scoring!$B$5:$B$337,MATCH($A27&amp;"|"&amp;$B27,Scoring!$AF$5:$AF$337,0)),"")</f>
        <v>Sugammadex</v>
      </c>
      <c r="E27" s="5" t="str">
        <f aca="false">IFERROR(INDEX(Scoring!$D$5:$D$337,MATCH($A27&amp;"|"&amp;$B27,Scoring!$AF$5:$AF$337,0)),"")</f>
        <v>Anaesthesia – reversal of rocuronium/vecuronium muscle relaxation</v>
      </c>
      <c r="F27" s="8" t="n">
        <f aca="false">IFERROR(INDEX(Scoring!$U$5:$U$337,MATCH($A27&amp;"|"&amp;$B27,Scoring!$AF$5:$AF$337,0)),"")</f>
        <v>0.6975</v>
      </c>
      <c r="G27" s="7" t="n">
        <f aca="false">IFERROR(INDEX(Scoring!$O$5:$O$337,MATCH($A27&amp;"|"&amp;$B27,Scoring!$AF$5:$AF$337,0)),"")</f>
        <v>32830.17</v>
      </c>
      <c r="H27" s="6" t="n">
        <f aca="false">IFERROR(INDEX(Scoring!$N$5:$N$337,MATCH($A27&amp;"|"&amp;$B27,Scoring!$AF$5:$AF$337,0)),"")</f>
        <v>39.42445</v>
      </c>
      <c r="I27" s="5" t="n">
        <f aca="false">IFERROR(INDEX(Scoring!$F$5:$F$337,MATCH($A27&amp;"|"&amp;$B27,Scoring!$AF$5:$AF$337,0)),"")</f>
        <v>5</v>
      </c>
      <c r="J27" s="5" t="n">
        <f aca="false">IFERROR(INDEX(Scoring!$E$5:$E$337,MATCH($A27&amp;"|"&amp;$B27,Scoring!$AF$5:$AF$337,0)),"")</f>
        <v>33</v>
      </c>
      <c r="K27" s="5" t="n">
        <f aca="false">IFERROR(INDEX(Scoring!$K$5:$K$337,MATCH($A27&amp;"|"&amp;$B27,Scoring!$AF$5:$AF$337,0)),"")</f>
        <v>4</v>
      </c>
      <c r="L27" s="5" t="n">
        <f aca="false">IFERROR(INDEX(Scoring!$L$5:$L$337,MATCH($A27&amp;"|"&amp;$B27,Scoring!$AF$5:$AF$337,0)),"")</f>
        <v>0</v>
      </c>
      <c r="M27" s="5" t="n">
        <f aca="false">IFERROR(INDEX(Scoring!$M$5:$M$337,MATCH($A27&amp;"|"&amp;$B27,Scoring!$AF$5:$AF$337,0)),"")</f>
        <v>0</v>
      </c>
      <c r="N27" s="5" t="str">
        <f aca="false">IFERROR(INDEX(Scoring!$Y$5:$Y$337,MATCH($A27&amp;"|"&amp;$B27,Scoring!$AF$5:$AF$337,0)),"")</f>
        <v>No</v>
      </c>
      <c r="O27" s="5" t="str">
        <f aca="false">IFERROR(INDEX(Scoring!$Z$5:$Z$337,MATCH($A27&amp;"|"&amp;$B27,Scoring!$AF$5:$AF$337,0)),"")</f>
        <v>No</v>
      </c>
      <c r="P27" s="5" t="str">
        <f aca="false">IFERROR(INDEX(Scoring!$AA$5:$AA$337,MATCH($A27&amp;"|"&amp;$B27,Scoring!$AF$5:$AF$337,0)),"")</f>
        <v>Yes</v>
      </c>
      <c r="Q27" s="5" t="str">
        <f aca="false">IFERROR(INDEX(Scoring!$AE$5:$AE$337,MATCH($A27&amp;"|"&amp;$B27,Scoring!$AF$5:$AF$337,0)),"")</f>
        <v>Differentiation in crowded generic market</v>
      </c>
    </row>
    <row r="28" customFormat="false" ht="15" hidden="false" customHeight="false" outlineLevel="0" collapsed="false">
      <c r="A28" s="5" t="s">
        <v>54</v>
      </c>
      <c r="B28" s="5" t="n">
        <v>4</v>
      </c>
      <c r="C28" s="5" t="str">
        <f aca="false">IFERROR(INDEX(Scoring!$AD$5:$AD$337,MATCH($A28&amp;"|"&amp;$B28,Scoring!$AF$5:$AF$337,0)),"")</f>
        <v>Lead</v>
      </c>
      <c r="D28" s="5" t="str">
        <f aca="false">IFERROR(INDEX(Scoring!$B$5:$B$337,MATCH($A28&amp;"|"&amp;$B28,Scoring!$AF$5:$AF$337,0)),"")</f>
        <v>Hydrocortisone</v>
      </c>
      <c r="E28" s="5" t="str">
        <f aca="false">IFERROR(INDEX(Scoring!$D$5:$D$337,MATCH($A28&amp;"|"&amp;$B28,Scoring!$AF$5:$AF$337,0)),"")</f>
        <v>Endocrinology / Critical care – adrenal crisis, anaphylaxis, severe asthma, shock</v>
      </c>
      <c r="F28" s="8" t="n">
        <f aca="false">IFERROR(INDEX(Scoring!$U$5:$U$337,MATCH($A28&amp;"|"&amp;$B28,Scoring!$AF$5:$AF$337,0)),"")</f>
        <v>0.533</v>
      </c>
      <c r="G28" s="7" t="n">
        <f aca="false">IFERROR(INDEX(Scoring!$O$5:$O$337,MATCH($A28&amp;"|"&amp;$B28,Scoring!$AF$5:$AF$337,0)),"")</f>
        <v>4790.48642526433</v>
      </c>
      <c r="H28" s="6" t="str">
        <f aca="false">IFERROR(INDEX(Scoring!$N$5:$N$337,MATCH($A28&amp;"|"&amp;$B28,Scoring!$AF$5:$AF$337,0)),"")</f>
        <v/>
      </c>
      <c r="I28" s="5" t="n">
        <f aca="false">IFERROR(INDEX(Scoring!$F$5:$F$337,MATCH($A28&amp;"|"&amp;$B28,Scoring!$AF$5:$AF$337,0)),"")</f>
        <v>1</v>
      </c>
      <c r="J28" s="5" t="n">
        <f aca="false">IFERROR(INDEX(Scoring!$E$5:$E$337,MATCH($A28&amp;"|"&amp;$B28,Scoring!$AF$5:$AF$337,0)),"")</f>
        <v>2</v>
      </c>
      <c r="K28" s="5" t="n">
        <f aca="false">IFERROR(INDEX(Scoring!$K$5:$K$337,MATCH($A28&amp;"|"&amp;$B28,Scoring!$AF$5:$AF$337,0)),"")</f>
        <v>2</v>
      </c>
      <c r="L28" s="5" t="n">
        <f aca="false">IFERROR(INDEX(Scoring!$L$5:$L$337,MATCH($A28&amp;"|"&amp;$B28,Scoring!$AF$5:$AF$337,0)),"")</f>
        <v>0</v>
      </c>
      <c r="M28" s="5" t="n">
        <f aca="false">IFERROR(INDEX(Scoring!$M$5:$M$337,MATCH($A28&amp;"|"&amp;$B28,Scoring!$AF$5:$AF$337,0)),"")</f>
        <v>0</v>
      </c>
      <c r="N28" s="5" t="str">
        <f aca="false">IFERROR(INDEX(Scoring!$Y$5:$Y$337,MATCH($A28&amp;"|"&amp;$B28,Scoring!$AF$5:$AF$337,0)),"")</f>
        <v>No</v>
      </c>
      <c r="O28" s="5" t="str">
        <f aca="false">IFERROR(INDEX(Scoring!$Z$5:$Z$337,MATCH($A28&amp;"|"&amp;$B28,Scoring!$AF$5:$AF$337,0)),"")</f>
        <v>Yes</v>
      </c>
      <c r="P28" s="5" t="str">
        <f aca="false">IFERROR(INDEX(Scoring!$AA$5:$AA$337,MATCH($A28&amp;"|"&amp;$B28,Scoring!$AF$5:$AF$337,0)),"")</f>
        <v>Yes</v>
      </c>
      <c r="Q28" s="5" t="str">
        <f aca="false">IFERROR(INDEX(Scoring!$AE$5:$AE$337,MATCH($A28&amp;"|"&amp;$B28,Scoring!$AF$5:$AF$337,0)),"")</f>
        <v>Differentiation in crowded generic market</v>
      </c>
    </row>
    <row r="29" customFormat="false" ht="15" hidden="false" customHeight="false" outlineLevel="0" collapsed="false">
      <c r="A29" s="5" t="s">
        <v>54</v>
      </c>
      <c r="B29" s="5" t="n">
        <v>5</v>
      </c>
      <c r="C29" s="5" t="str">
        <f aca="false">IFERROR(INDEX(Scoring!$AD$5:$AD$337,MATCH($A29&amp;"|"&amp;$B29,Scoring!$AF$5:$AF$337,0)),"")</f>
        <v>Lead</v>
      </c>
      <c r="D29" s="5" t="str">
        <f aca="false">IFERROR(INDEX(Scoring!$B$5:$B$337,MATCH($A29&amp;"|"&amp;$B29,Scoring!$AF$5:$AF$337,0)),"")</f>
        <v>Testosterone Cypionate</v>
      </c>
      <c r="E29" s="5" t="str">
        <f aca="false">IFERROR(INDEX(Scoring!$D$5:$D$337,MATCH($A29&amp;"|"&amp;$B29,Scoring!$AF$5:$AF$337,0)),"")</f>
        <v>Endocrinology – male hypogonadism (testosterone replacement)</v>
      </c>
      <c r="F29" s="8" t="n">
        <f aca="false">IFERROR(INDEX(Scoring!$U$5:$U$337,MATCH($A29&amp;"|"&amp;$B29,Scoring!$AF$5:$AF$337,0)),"")</f>
        <v>0.501</v>
      </c>
      <c r="G29" s="7" t="n">
        <f aca="false">IFERROR(INDEX(Scoring!$O$5:$O$337,MATCH($A29&amp;"|"&amp;$B29,Scoring!$AF$5:$AF$337,0)),"")</f>
        <v>6893.74421052632</v>
      </c>
      <c r="H29" s="6" t="n">
        <f aca="false">IFERROR(INDEX(Scoring!$N$5:$N$337,MATCH($A29&amp;"|"&amp;$B29,Scoring!$AF$5:$AF$337,0)),"")</f>
        <v>20.63</v>
      </c>
      <c r="I29" s="5" t="n">
        <f aca="false">IFERROR(INDEX(Scoring!$F$5:$F$337,MATCH($A29&amp;"|"&amp;$B29,Scoring!$AF$5:$AF$337,0)),"")</f>
        <v>1</v>
      </c>
      <c r="J29" s="5" t="n">
        <f aca="false">IFERROR(INDEX(Scoring!$E$5:$E$337,MATCH($A29&amp;"|"&amp;$B29,Scoring!$AF$5:$AF$337,0)),"")</f>
        <v>1</v>
      </c>
      <c r="K29" s="5" t="n">
        <f aca="false">IFERROR(INDEX(Scoring!$K$5:$K$337,MATCH($A29&amp;"|"&amp;$B29,Scoring!$AF$5:$AF$337,0)),"")</f>
        <v>2</v>
      </c>
      <c r="L29" s="5" t="n">
        <f aca="false">IFERROR(INDEX(Scoring!$L$5:$L$337,MATCH($A29&amp;"|"&amp;$B29,Scoring!$AF$5:$AF$337,0)),"")</f>
        <v>0</v>
      </c>
      <c r="M29" s="5" t="n">
        <f aca="false">IFERROR(INDEX(Scoring!$M$5:$M$337,MATCH($A29&amp;"|"&amp;$B29,Scoring!$AF$5:$AF$337,0)),"")</f>
        <v>0</v>
      </c>
      <c r="N29" s="5" t="str">
        <f aca="false">IFERROR(INDEX(Scoring!$Y$5:$Y$337,MATCH($A29&amp;"|"&amp;$B29,Scoring!$AF$5:$AF$337,0)),"")</f>
        <v>No</v>
      </c>
      <c r="O29" s="5" t="str">
        <f aca="false">IFERROR(INDEX(Scoring!$Z$5:$Z$337,MATCH($A29&amp;"|"&amp;$B29,Scoring!$AF$5:$AF$337,0)),"")</f>
        <v>No</v>
      </c>
      <c r="P29" s="5" t="str">
        <f aca="false">IFERROR(INDEX(Scoring!$AA$5:$AA$337,MATCH($A29&amp;"|"&amp;$B29,Scoring!$AF$5:$AF$337,0)),"")</f>
        <v>Yes</v>
      </c>
      <c r="Q29" s="5" t="str">
        <f aca="false">IFERROR(INDEX(Scoring!$AE$5:$AE$337,MATCH($A29&amp;"|"&amp;$B29,Scoring!$AF$5:$AF$337,0)),"")</f>
        <v>Differentiation in crowded generic market</v>
      </c>
    </row>
    <row r="30" customFormat="false" ht="15" hidden="false" customHeight="false" outlineLevel="0" collapsed="false">
      <c r="A30" s="5" t="s">
        <v>54</v>
      </c>
      <c r="B30" s="5" t="n">
        <v>6</v>
      </c>
      <c r="C30" s="5" t="str">
        <f aca="false">IFERROR(INDEX(Scoring!$AD$5:$AD$337,MATCH($A30&amp;"|"&amp;$B30,Scoring!$AF$5:$AF$337,0)),"")</f>
        <v>Next wave</v>
      </c>
      <c r="D30" s="5" t="str">
        <f aca="false">IFERROR(INDEX(Scoring!$B$5:$B$337,MATCH($A30&amp;"|"&amp;$B30,Scoring!$AF$5:$AF$337,0)),"")</f>
        <v>Lanreotide</v>
      </c>
      <c r="E30" s="5" t="str">
        <f aca="false">IFERROR(INDEX(Scoring!$D$5:$D$337,MATCH($A30&amp;"|"&amp;$B30,Scoring!$AF$5:$AF$337,0)),"")</f>
        <v>Endocrinology / Oncology – acromegaly; neuroendocrine tumours</v>
      </c>
      <c r="F30" s="8" t="n">
        <f aca="false">IFERROR(INDEX(Scoring!$U$5:$U$337,MATCH($A30&amp;"|"&amp;$B30,Scoring!$AF$5:$AF$337,0)),"")</f>
        <v>0.4965</v>
      </c>
      <c r="G30" s="7" t="n">
        <f aca="false">IFERROR(INDEX(Scoring!$O$5:$O$337,MATCH($A30&amp;"|"&amp;$B30,Scoring!$AF$5:$AF$337,0)),"")</f>
        <v>0.23</v>
      </c>
      <c r="H30" s="6" t="n">
        <f aca="false">IFERROR(INDEX(Scoring!$N$5:$N$337,MATCH($A30&amp;"|"&amp;$B30,Scoring!$AF$5:$AF$337,0)),"")</f>
        <v>5970.58666666667</v>
      </c>
      <c r="I30" s="5" t="n">
        <f aca="false">IFERROR(INDEX(Scoring!$F$5:$F$337,MATCH($A30&amp;"|"&amp;$B30,Scoring!$AF$5:$AF$337,0)),"")</f>
        <v>1</v>
      </c>
      <c r="J30" s="5" t="n">
        <f aca="false">IFERROR(INDEX(Scoring!$E$5:$E$337,MATCH($A30&amp;"|"&amp;$B30,Scoring!$AF$5:$AF$337,0)),"")</f>
        <v>1</v>
      </c>
      <c r="K30" s="5" t="n">
        <f aca="false">IFERROR(INDEX(Scoring!$K$5:$K$337,MATCH($A30&amp;"|"&amp;$B30,Scoring!$AF$5:$AF$337,0)),"")</f>
        <v>0</v>
      </c>
      <c r="L30" s="5" t="n">
        <f aca="false">IFERROR(INDEX(Scoring!$L$5:$L$337,MATCH($A30&amp;"|"&amp;$B30,Scoring!$AF$5:$AF$337,0)),"")</f>
        <v>0</v>
      </c>
      <c r="M30" s="5" t="n">
        <f aca="false">IFERROR(INDEX(Scoring!$M$5:$M$337,MATCH($A30&amp;"|"&amp;$B30,Scoring!$AF$5:$AF$337,0)),"")</f>
        <v>3</v>
      </c>
      <c r="N30" s="5" t="str">
        <f aca="false">IFERROR(INDEX(Scoring!$Y$5:$Y$337,MATCH($A30&amp;"|"&amp;$B30,Scoring!$AF$5:$AF$337,0)),"")</f>
        <v>No</v>
      </c>
      <c r="O30" s="5" t="str">
        <f aca="false">IFERROR(INDEX(Scoring!$Z$5:$Z$337,MATCH($A30&amp;"|"&amp;$B30,Scoring!$AF$5:$AF$337,0)),"")</f>
        <v>No</v>
      </c>
      <c r="P30" s="5" t="str">
        <f aca="false">IFERROR(INDEX(Scoring!$AA$5:$AA$337,MATCH($A30&amp;"|"&amp;$B30,Scoring!$AF$5:$AF$337,0)),"")</f>
        <v>No</v>
      </c>
      <c r="Q30" s="5" t="str">
        <f aca="false">IFERROR(INDEX(Scoring!$AE$5:$AE$337,MATCH($A30&amp;"|"&amp;$B30,Scoring!$AF$5:$AF$337,0)),"")</f>
        <v>Safety upgrade of existing prefilled syringe</v>
      </c>
    </row>
    <row r="31" customFormat="false" ht="15" hidden="false" customHeight="false" outlineLevel="0" collapsed="false">
      <c r="A31" s="5" t="s">
        <v>54</v>
      </c>
      <c r="B31" s="5" t="n">
        <v>7</v>
      </c>
      <c r="C31" s="5" t="str">
        <f aca="false">IFERROR(INDEX(Scoring!$AD$5:$AD$337,MATCH($A31&amp;"|"&amp;$B31,Scoring!$AF$5:$AF$337,0)),"")</f>
        <v>Next wave</v>
      </c>
      <c r="D31" s="5" t="str">
        <f aca="false">IFERROR(INDEX(Scoring!$B$5:$B$337,MATCH($A31&amp;"|"&amp;$B31,Scoring!$AF$5:$AF$337,0)),"")</f>
        <v>Phytonadione</v>
      </c>
      <c r="E31" s="5" t="str">
        <f aca="false">IFERROR(INDEX(Scoring!$D$5:$D$337,MATCH($A31&amp;"|"&amp;$B31,Scoring!$AF$5:$AF$337,0)),"")</f>
        <v>Haematology – newborn vitamin K bleeding prophylaxis; warfarin reversal</v>
      </c>
      <c r="F31" s="8" t="n">
        <f aca="false">IFERROR(INDEX(Scoring!$U$5:$U$337,MATCH($A31&amp;"|"&amp;$B31,Scoring!$AF$5:$AF$337,0)),"")</f>
        <v>0.331</v>
      </c>
      <c r="G31" s="7" t="n">
        <f aca="false">IFERROR(INDEX(Scoring!$O$5:$O$337,MATCH($A31&amp;"|"&amp;$B31,Scoring!$AF$5:$AF$337,0)),"")</f>
        <v>2630.04591921222</v>
      </c>
      <c r="H31" s="6" t="str">
        <f aca="false">IFERROR(INDEX(Scoring!$N$5:$N$337,MATCH($A31&amp;"|"&amp;$B31,Scoring!$AF$5:$AF$337,0)),"")</f>
        <v/>
      </c>
      <c r="I31" s="5" t="n">
        <f aca="false">IFERROR(INDEX(Scoring!$F$5:$F$337,MATCH($A31&amp;"|"&amp;$B31,Scoring!$AF$5:$AF$337,0)),"")</f>
        <v>1</v>
      </c>
      <c r="J31" s="5" t="n">
        <f aca="false">IFERROR(INDEX(Scoring!$E$5:$E$337,MATCH($A31&amp;"|"&amp;$B31,Scoring!$AF$5:$AF$337,0)),"")</f>
        <v>1</v>
      </c>
      <c r="K31" s="5" t="n">
        <f aca="false">IFERROR(INDEX(Scoring!$K$5:$K$337,MATCH($A31&amp;"|"&amp;$B31,Scoring!$AF$5:$AF$337,0)),"")</f>
        <v>1</v>
      </c>
      <c r="L31" s="5" t="n">
        <f aca="false">IFERROR(INDEX(Scoring!$L$5:$L$337,MATCH($A31&amp;"|"&amp;$B31,Scoring!$AF$5:$AF$337,0)),"")</f>
        <v>0</v>
      </c>
      <c r="M31" s="5" t="n">
        <f aca="false">IFERROR(INDEX(Scoring!$M$5:$M$337,MATCH($A31&amp;"|"&amp;$B31,Scoring!$AF$5:$AF$337,0)),"")</f>
        <v>1</v>
      </c>
      <c r="N31" s="5" t="str">
        <f aca="false">IFERROR(INDEX(Scoring!$Y$5:$Y$337,MATCH($A31&amp;"|"&amp;$B31,Scoring!$AF$5:$AF$337,0)),"")</f>
        <v>No</v>
      </c>
      <c r="O31" s="5" t="str">
        <f aca="false">IFERROR(INDEX(Scoring!$Z$5:$Z$337,MATCH($A31&amp;"|"&amp;$B31,Scoring!$AF$5:$AF$337,0)),"")</f>
        <v>No</v>
      </c>
      <c r="P31" s="5" t="str">
        <f aca="false">IFERROR(INDEX(Scoring!$AA$5:$AA$337,MATCH($A31&amp;"|"&amp;$B31,Scoring!$AF$5:$AF$337,0)),"")</f>
        <v>Yes</v>
      </c>
      <c r="Q31" s="5" t="str">
        <f aca="false">IFERROR(INDEX(Scoring!$AE$5:$AE$337,MATCH($A31&amp;"|"&amp;$B31,Scoring!$AF$5:$AF$337,0)),"")</f>
        <v>Differentiation in crowded generic market</v>
      </c>
    </row>
    <row r="32" customFormat="false" ht="15" hidden="false" customHeight="false" outlineLevel="0" collapsed="false">
      <c r="A32" s="5" t="s">
        <v>54</v>
      </c>
      <c r="B32" s="5" t="n">
        <v>8</v>
      </c>
      <c r="C32" s="5" t="str">
        <f aca="false">IFERROR(INDEX(Scoring!$AD$5:$AD$337,MATCH($A32&amp;"|"&amp;$B32,Scoring!$AF$5:$AF$337,0)),"")</f>
        <v/>
      </c>
      <c r="D32" s="5" t="str">
        <f aca="false">IFERROR(INDEX(Scoring!$B$5:$B$337,MATCH($A32&amp;"|"&amp;$B32,Scoring!$AF$5:$AF$337,0)),"")</f>
        <v/>
      </c>
      <c r="E32" s="5" t="str">
        <f aca="false">IFERROR(INDEX(Scoring!$D$5:$D$337,MATCH($A32&amp;"|"&amp;$B32,Scoring!$AF$5:$AF$337,0)),"")</f>
        <v/>
      </c>
      <c r="F32" s="8" t="str">
        <f aca="false">IFERROR(INDEX(Scoring!$U$5:$U$337,MATCH($A32&amp;"|"&amp;$B32,Scoring!$AF$5:$AF$337,0)),"")</f>
        <v/>
      </c>
      <c r="G32" s="7" t="str">
        <f aca="false">IFERROR(INDEX(Scoring!$O$5:$O$337,MATCH($A32&amp;"|"&amp;$B32,Scoring!$AF$5:$AF$337,0)),"")</f>
        <v/>
      </c>
      <c r="H32" s="6" t="str">
        <f aca="false">IFERROR(INDEX(Scoring!$N$5:$N$337,MATCH($A32&amp;"|"&amp;$B32,Scoring!$AF$5:$AF$337,0)),"")</f>
        <v/>
      </c>
      <c r="I32" s="5" t="str">
        <f aca="false">IFERROR(INDEX(Scoring!$F$5:$F$337,MATCH($A32&amp;"|"&amp;$B32,Scoring!$AF$5:$AF$337,0)),"")</f>
        <v/>
      </c>
      <c r="J32" s="5" t="str">
        <f aca="false">IFERROR(INDEX(Scoring!$E$5:$E$337,MATCH($A32&amp;"|"&amp;$B32,Scoring!$AF$5:$AF$337,0)),"")</f>
        <v/>
      </c>
      <c r="K32" s="5" t="str">
        <f aca="false">IFERROR(INDEX(Scoring!$K$5:$K$337,MATCH($A32&amp;"|"&amp;$B32,Scoring!$AF$5:$AF$337,0)),"")</f>
        <v/>
      </c>
      <c r="L32" s="5" t="str">
        <f aca="false">IFERROR(INDEX(Scoring!$L$5:$L$337,MATCH($A32&amp;"|"&amp;$B32,Scoring!$AF$5:$AF$337,0)),"")</f>
        <v/>
      </c>
      <c r="M32" s="5" t="str">
        <f aca="false">IFERROR(INDEX(Scoring!$M$5:$M$337,MATCH($A32&amp;"|"&amp;$B32,Scoring!$AF$5:$AF$337,0)),"")</f>
        <v/>
      </c>
      <c r="N32" s="5" t="str">
        <f aca="false">IFERROR(INDEX(Scoring!$Y$5:$Y$337,MATCH($A32&amp;"|"&amp;$B32,Scoring!$AF$5:$AF$337,0)),"")</f>
        <v/>
      </c>
      <c r="O32" s="5" t="str">
        <f aca="false">IFERROR(INDEX(Scoring!$Z$5:$Z$337,MATCH($A32&amp;"|"&amp;$B32,Scoring!$AF$5:$AF$337,0)),"")</f>
        <v/>
      </c>
      <c r="P32" s="5" t="str">
        <f aca="false">IFERROR(INDEX(Scoring!$AA$5:$AA$337,MATCH($A32&amp;"|"&amp;$B32,Scoring!$AF$5:$AF$337,0)),"")</f>
        <v/>
      </c>
      <c r="Q32" s="5" t="str">
        <f aca="false">IFERROR(INDEX(Scoring!$AE$5:$AE$337,MATCH($A32&amp;"|"&amp;$B32,Scoring!$AF$5:$AF$337,0)),"")</f>
        <v/>
      </c>
    </row>
    <row r="33" customFormat="false" ht="15" hidden="false" customHeight="false" outlineLevel="0" collapsed="false">
      <c r="A33" s="5" t="s">
        <v>54</v>
      </c>
      <c r="B33" s="5" t="n">
        <v>9</v>
      </c>
      <c r="C33" s="5" t="str">
        <f aca="false">IFERROR(INDEX(Scoring!$AD$5:$AD$337,MATCH($A33&amp;"|"&amp;$B33,Scoring!$AF$5:$AF$337,0)),"")</f>
        <v/>
      </c>
      <c r="D33" s="5" t="str">
        <f aca="false">IFERROR(INDEX(Scoring!$B$5:$B$337,MATCH($A33&amp;"|"&amp;$B33,Scoring!$AF$5:$AF$337,0)),"")</f>
        <v/>
      </c>
      <c r="E33" s="5" t="str">
        <f aca="false">IFERROR(INDEX(Scoring!$D$5:$D$337,MATCH($A33&amp;"|"&amp;$B33,Scoring!$AF$5:$AF$337,0)),"")</f>
        <v/>
      </c>
      <c r="F33" s="8" t="str">
        <f aca="false">IFERROR(INDEX(Scoring!$U$5:$U$337,MATCH($A33&amp;"|"&amp;$B33,Scoring!$AF$5:$AF$337,0)),"")</f>
        <v/>
      </c>
      <c r="G33" s="7" t="str">
        <f aca="false">IFERROR(INDEX(Scoring!$O$5:$O$337,MATCH($A33&amp;"|"&amp;$B33,Scoring!$AF$5:$AF$337,0)),"")</f>
        <v/>
      </c>
      <c r="H33" s="6" t="str">
        <f aca="false">IFERROR(INDEX(Scoring!$N$5:$N$337,MATCH($A33&amp;"|"&amp;$B33,Scoring!$AF$5:$AF$337,0)),"")</f>
        <v/>
      </c>
      <c r="I33" s="5" t="str">
        <f aca="false">IFERROR(INDEX(Scoring!$F$5:$F$337,MATCH($A33&amp;"|"&amp;$B33,Scoring!$AF$5:$AF$337,0)),"")</f>
        <v/>
      </c>
      <c r="J33" s="5" t="str">
        <f aca="false">IFERROR(INDEX(Scoring!$E$5:$E$337,MATCH($A33&amp;"|"&amp;$B33,Scoring!$AF$5:$AF$337,0)),"")</f>
        <v/>
      </c>
      <c r="K33" s="5" t="str">
        <f aca="false">IFERROR(INDEX(Scoring!$K$5:$K$337,MATCH($A33&amp;"|"&amp;$B33,Scoring!$AF$5:$AF$337,0)),"")</f>
        <v/>
      </c>
      <c r="L33" s="5" t="str">
        <f aca="false">IFERROR(INDEX(Scoring!$L$5:$L$337,MATCH($A33&amp;"|"&amp;$B33,Scoring!$AF$5:$AF$337,0)),"")</f>
        <v/>
      </c>
      <c r="M33" s="5" t="str">
        <f aca="false">IFERROR(INDEX(Scoring!$M$5:$M$337,MATCH($A33&amp;"|"&amp;$B33,Scoring!$AF$5:$AF$337,0)),"")</f>
        <v/>
      </c>
      <c r="N33" s="5" t="str">
        <f aca="false">IFERROR(INDEX(Scoring!$Y$5:$Y$337,MATCH($A33&amp;"|"&amp;$B33,Scoring!$AF$5:$AF$337,0)),"")</f>
        <v/>
      </c>
      <c r="O33" s="5" t="str">
        <f aca="false">IFERROR(INDEX(Scoring!$Z$5:$Z$337,MATCH($A33&amp;"|"&amp;$B33,Scoring!$AF$5:$AF$337,0)),"")</f>
        <v/>
      </c>
      <c r="P33" s="5" t="str">
        <f aca="false">IFERROR(INDEX(Scoring!$AA$5:$AA$337,MATCH($A33&amp;"|"&amp;$B33,Scoring!$AF$5:$AF$337,0)),"")</f>
        <v/>
      </c>
      <c r="Q33" s="5" t="str">
        <f aca="false">IFERROR(INDEX(Scoring!$AE$5:$AE$337,MATCH($A33&amp;"|"&amp;$B33,Scoring!$AF$5:$AF$337,0)),"")</f>
        <v/>
      </c>
    </row>
    <row r="34" customFormat="false" ht="15" hidden="false" customHeight="false" outlineLevel="0" collapsed="false">
      <c r="A34" s="5" t="s">
        <v>54</v>
      </c>
      <c r="B34" s="5" t="n">
        <v>10</v>
      </c>
      <c r="C34" s="5" t="str">
        <f aca="false">IFERROR(INDEX(Scoring!$AD$5:$AD$337,MATCH($A34&amp;"|"&amp;$B34,Scoring!$AF$5:$AF$337,0)),"")</f>
        <v/>
      </c>
      <c r="D34" s="5" t="str">
        <f aca="false">IFERROR(INDEX(Scoring!$B$5:$B$337,MATCH($A34&amp;"|"&amp;$B34,Scoring!$AF$5:$AF$337,0)),"")</f>
        <v/>
      </c>
      <c r="E34" s="5" t="str">
        <f aca="false">IFERROR(INDEX(Scoring!$D$5:$D$337,MATCH($A34&amp;"|"&amp;$B34,Scoring!$AF$5:$AF$337,0)),"")</f>
        <v/>
      </c>
      <c r="F34" s="8" t="str">
        <f aca="false">IFERROR(INDEX(Scoring!$U$5:$U$337,MATCH($A34&amp;"|"&amp;$B34,Scoring!$AF$5:$AF$337,0)),"")</f>
        <v/>
      </c>
      <c r="G34" s="7" t="str">
        <f aca="false">IFERROR(INDEX(Scoring!$O$5:$O$337,MATCH($A34&amp;"|"&amp;$B34,Scoring!$AF$5:$AF$337,0)),"")</f>
        <v/>
      </c>
      <c r="H34" s="6" t="str">
        <f aca="false">IFERROR(INDEX(Scoring!$N$5:$N$337,MATCH($A34&amp;"|"&amp;$B34,Scoring!$AF$5:$AF$337,0)),"")</f>
        <v/>
      </c>
      <c r="I34" s="5" t="str">
        <f aca="false">IFERROR(INDEX(Scoring!$F$5:$F$337,MATCH($A34&amp;"|"&amp;$B34,Scoring!$AF$5:$AF$337,0)),"")</f>
        <v/>
      </c>
      <c r="J34" s="5" t="str">
        <f aca="false">IFERROR(INDEX(Scoring!$E$5:$E$337,MATCH($A34&amp;"|"&amp;$B34,Scoring!$AF$5:$AF$337,0)),"")</f>
        <v/>
      </c>
      <c r="K34" s="5" t="str">
        <f aca="false">IFERROR(INDEX(Scoring!$K$5:$K$337,MATCH($A34&amp;"|"&amp;$B34,Scoring!$AF$5:$AF$337,0)),"")</f>
        <v/>
      </c>
      <c r="L34" s="5" t="str">
        <f aca="false">IFERROR(INDEX(Scoring!$L$5:$L$337,MATCH($A34&amp;"|"&amp;$B34,Scoring!$AF$5:$AF$337,0)),"")</f>
        <v/>
      </c>
      <c r="M34" s="5" t="str">
        <f aca="false">IFERROR(INDEX(Scoring!$M$5:$M$337,MATCH($A34&amp;"|"&amp;$B34,Scoring!$AF$5:$AF$337,0)),"")</f>
        <v/>
      </c>
      <c r="N34" s="5" t="str">
        <f aca="false">IFERROR(INDEX(Scoring!$Y$5:$Y$337,MATCH($A34&amp;"|"&amp;$B34,Scoring!$AF$5:$AF$337,0)),"")</f>
        <v/>
      </c>
      <c r="O34" s="5" t="str">
        <f aca="false">IFERROR(INDEX(Scoring!$Z$5:$Z$337,MATCH($A34&amp;"|"&amp;$B34,Scoring!$AF$5:$AF$337,0)),"")</f>
        <v/>
      </c>
      <c r="P34" s="5" t="str">
        <f aca="false">IFERROR(INDEX(Scoring!$AA$5:$AA$337,MATCH($A34&amp;"|"&amp;$B34,Scoring!$AF$5:$AF$337,0)),"")</f>
        <v/>
      </c>
      <c r="Q34" s="5" t="str">
        <f aca="false">IFERROR(INDEX(Scoring!$AE$5:$AE$337,MATCH($A34&amp;"|"&amp;$B34,Scoring!$AF$5:$AF$337,0)),"")</f>
        <v/>
      </c>
    </row>
    <row r="35" customFormat="false" ht="15" hidden="false" customHeight="false" outlineLevel="0" collapsed="false">
      <c r="A35" s="14" t="s">
        <v>55</v>
      </c>
      <c r="B35" s="14" t="n">
        <v>1</v>
      </c>
      <c r="C35" s="14" t="str">
        <f aca="false">IFERROR(INDEX(Scoring!$AD$5:$AD$337,MATCH($A35&amp;"|"&amp;$B35,Scoring!$AF$5:$AF$337,0)),"")</f>
        <v>Lead</v>
      </c>
      <c r="D35" s="14" t="str">
        <f aca="false">IFERROR(INDEX(Scoring!$B$5:$B$337,MATCH($A35&amp;"|"&amp;$B35,Scoring!$AF$5:$AF$337,0)),"")</f>
        <v>Azacitidine</v>
      </c>
      <c r="E35" s="14" t="str">
        <f aca="false">IFERROR(INDEX(Scoring!$D$5:$D$337,MATCH($A35&amp;"|"&amp;$B35,Scoring!$AF$5:$AF$337,0)),"")</f>
        <v>Oncology – myelodysplastic syndromes (MDS) &amp; AML</v>
      </c>
      <c r="F35" s="15" t="n">
        <f aca="false">IFERROR(INDEX(Scoring!$U$5:$U$337,MATCH($A35&amp;"|"&amp;$B35,Scoring!$AF$5:$AF$337,0)),"")</f>
        <v>0.8845</v>
      </c>
      <c r="G35" s="16" t="n">
        <f aca="false">IFERROR(INDEX(Scoring!$O$5:$O$337,MATCH($A35&amp;"|"&amp;$B35,Scoring!$AF$5:$AF$337,0)),"")</f>
        <v>42181.730172451</v>
      </c>
      <c r="H35" s="17" t="n">
        <f aca="false">IFERROR(INDEX(Scoring!$N$5:$N$337,MATCH($A35&amp;"|"&amp;$B35,Scoring!$AF$5:$AF$337,0)),"")</f>
        <v>259.2494</v>
      </c>
      <c r="I35" s="14" t="n">
        <f aca="false">IFERROR(INDEX(Scoring!$F$5:$F$337,MATCH($A35&amp;"|"&amp;$B35,Scoring!$AF$5:$AF$337,0)),"")</f>
        <v>7</v>
      </c>
      <c r="J35" s="14" t="n">
        <f aca="false">IFERROR(INDEX(Scoring!$E$5:$E$337,MATCH($A35&amp;"|"&amp;$B35,Scoring!$AF$5:$AF$337,0)),"")</f>
        <v>34</v>
      </c>
      <c r="K35" s="14" t="n">
        <f aca="false">IFERROR(INDEX(Scoring!$K$5:$K$337,MATCH($A35&amp;"|"&amp;$B35,Scoring!$AF$5:$AF$337,0)),"")</f>
        <v>5</v>
      </c>
      <c r="L35" s="14" t="n">
        <f aca="false">IFERROR(INDEX(Scoring!$L$5:$L$337,MATCH($A35&amp;"|"&amp;$B35,Scoring!$AF$5:$AF$337,0)),"")</f>
        <v>0</v>
      </c>
      <c r="M35" s="14" t="n">
        <f aca="false">IFERROR(INDEX(Scoring!$M$5:$M$337,MATCH($A35&amp;"|"&amp;$B35,Scoring!$AF$5:$AF$337,0)),"")</f>
        <v>0</v>
      </c>
      <c r="N35" s="14" t="str">
        <f aca="false">IFERROR(INDEX(Scoring!$Y$5:$Y$337,MATCH($A35&amp;"|"&amp;$B35,Scoring!$AF$5:$AF$337,0)),"")</f>
        <v>Yes</v>
      </c>
      <c r="O35" s="14" t="str">
        <f aca="false">IFERROR(INDEX(Scoring!$Z$5:$Z$337,MATCH($A35&amp;"|"&amp;$B35,Scoring!$AF$5:$AF$337,0)),"")</f>
        <v>Yes</v>
      </c>
      <c r="P35" s="14" t="str">
        <f aca="false">IFERROR(INDEX(Scoring!$AA$5:$AA$337,MATCH($A35&amp;"|"&amp;$B35,Scoring!$AF$5:$AF$337,0)),"")</f>
        <v>Yes</v>
      </c>
      <c r="Q35" s="14" t="str">
        <f aca="false">IFERROR(INDEX(Scoring!$AE$5:$AE$337,MATCH($A35&amp;"|"&amp;$B35,Scoring!$AF$5:$AF$337,0)),"")</f>
        <v>Differentiation in crowded generic market</v>
      </c>
    </row>
    <row r="36" customFormat="false" ht="15" hidden="false" customHeight="false" outlineLevel="0" collapsed="false">
      <c r="A36" s="5" t="s">
        <v>55</v>
      </c>
      <c r="B36" s="5" t="n">
        <v>2</v>
      </c>
      <c r="C36" s="5" t="str">
        <f aca="false">IFERROR(INDEX(Scoring!$AD$5:$AD$337,MATCH($A36&amp;"|"&amp;$B36,Scoring!$AF$5:$AF$337,0)),"")</f>
        <v>Lead</v>
      </c>
      <c r="D36" s="5" t="str">
        <f aca="false">IFERROR(INDEX(Scoring!$B$5:$B$337,MATCH($A36&amp;"|"&amp;$B36,Scoring!$AF$5:$AF$337,0)),"")</f>
        <v>Bortezomib</v>
      </c>
      <c r="E36" s="5" t="str">
        <f aca="false">IFERROR(INDEX(Scoring!$D$5:$D$337,MATCH($A36&amp;"|"&amp;$B36,Scoring!$AF$5:$AF$337,0)),"")</f>
        <v>Oncology – multiple myeloma &amp; mantle cell lymphoma</v>
      </c>
      <c r="F36" s="8" t="n">
        <f aca="false">IFERROR(INDEX(Scoring!$U$5:$U$337,MATCH($A36&amp;"|"&amp;$B36,Scoring!$AF$5:$AF$337,0)),"")</f>
        <v>0.8765</v>
      </c>
      <c r="G36" s="7" t="n">
        <f aca="false">IFERROR(INDEX(Scoring!$O$5:$O$337,MATCH($A36&amp;"|"&amp;$B36,Scoring!$AF$5:$AF$337,0)),"")</f>
        <v>28093.38</v>
      </c>
      <c r="H36" s="6" t="n">
        <f aca="false">IFERROR(INDEX(Scoring!$N$5:$N$337,MATCH($A36&amp;"|"&amp;$B36,Scoring!$AF$5:$AF$337,0)),"")</f>
        <v>711.75628</v>
      </c>
      <c r="I36" s="5" t="n">
        <f aca="false">IFERROR(INDEX(Scoring!$F$5:$F$337,MATCH($A36&amp;"|"&amp;$B36,Scoring!$AF$5:$AF$337,0)),"")</f>
        <v>8</v>
      </c>
      <c r="J36" s="5" t="n">
        <f aca="false">IFERROR(INDEX(Scoring!$E$5:$E$337,MATCH($A36&amp;"|"&amp;$B36,Scoring!$AF$5:$AF$337,0)),"")</f>
        <v>33</v>
      </c>
      <c r="K36" s="5" t="n">
        <f aca="false">IFERROR(INDEX(Scoring!$K$5:$K$337,MATCH($A36&amp;"|"&amp;$B36,Scoring!$AF$5:$AF$337,0)),"")</f>
        <v>5</v>
      </c>
      <c r="L36" s="5" t="n">
        <f aca="false">IFERROR(INDEX(Scoring!$L$5:$L$337,MATCH($A36&amp;"|"&amp;$B36,Scoring!$AF$5:$AF$337,0)),"")</f>
        <v>0</v>
      </c>
      <c r="M36" s="5" t="n">
        <f aca="false">IFERROR(INDEX(Scoring!$M$5:$M$337,MATCH($A36&amp;"|"&amp;$B36,Scoring!$AF$5:$AF$337,0)),"")</f>
        <v>0</v>
      </c>
      <c r="N36" s="5" t="str">
        <f aca="false">IFERROR(INDEX(Scoring!$Y$5:$Y$337,MATCH($A36&amp;"|"&amp;$B36,Scoring!$AF$5:$AF$337,0)),"")</f>
        <v>Yes</v>
      </c>
      <c r="O36" s="5" t="str">
        <f aca="false">IFERROR(INDEX(Scoring!$Z$5:$Z$337,MATCH($A36&amp;"|"&amp;$B36,Scoring!$AF$5:$AF$337,0)),"")</f>
        <v>Yes</v>
      </c>
      <c r="P36" s="5" t="str">
        <f aca="false">IFERROR(INDEX(Scoring!$AA$5:$AA$337,MATCH($A36&amp;"|"&amp;$B36,Scoring!$AF$5:$AF$337,0)),"")</f>
        <v>Yes</v>
      </c>
      <c r="Q36" s="5" t="str">
        <f aca="false">IFERROR(INDEX(Scoring!$AE$5:$AE$337,MATCH($A36&amp;"|"&amp;$B36,Scoring!$AF$5:$AF$337,0)),"")</f>
        <v>Differentiation in crowded generic market</v>
      </c>
    </row>
    <row r="37" customFormat="false" ht="15" hidden="false" customHeight="false" outlineLevel="0" collapsed="false">
      <c r="A37" s="5" t="s">
        <v>55</v>
      </c>
      <c r="B37" s="5" t="n">
        <v>3</v>
      </c>
      <c r="C37" s="5" t="str">
        <f aca="false">IFERROR(INDEX(Scoring!$AD$5:$AD$337,MATCH($A37&amp;"|"&amp;$B37,Scoring!$AF$5:$AF$337,0)),"")</f>
        <v>Lead</v>
      </c>
      <c r="D37" s="5" t="str">
        <f aca="false">IFERROR(INDEX(Scoring!$B$5:$B$337,MATCH($A37&amp;"|"&amp;$B37,Scoring!$AF$5:$AF$337,0)),"")</f>
        <v>Daptomycin</v>
      </c>
      <c r="E37" s="5" t="str">
        <f aca="false">IFERROR(INDEX(Scoring!$D$5:$D$337,MATCH($A37&amp;"|"&amp;$B37,Scoring!$AF$5:$AF$337,0)),"")</f>
        <v>Anti-infective – MRSA skin infections &amp; bacteraemia</v>
      </c>
      <c r="F37" s="8" t="n">
        <f aca="false">IFERROR(INDEX(Scoring!$U$5:$U$337,MATCH($A37&amp;"|"&amp;$B37,Scoring!$AF$5:$AF$337,0)),"")</f>
        <v>0.8555</v>
      </c>
      <c r="G37" s="7" t="n">
        <f aca="false">IFERROR(INDEX(Scoring!$O$5:$O$337,MATCH($A37&amp;"|"&amp;$B37,Scoring!$AF$5:$AF$337,0)),"")</f>
        <v>59827.18</v>
      </c>
      <c r="H37" s="6" t="n">
        <f aca="false">IFERROR(INDEX(Scoring!$N$5:$N$337,MATCH($A37&amp;"|"&amp;$B37,Scoring!$AF$5:$AF$337,0)),"")</f>
        <v>98.6798</v>
      </c>
      <c r="I37" s="5" t="n">
        <f aca="false">IFERROR(INDEX(Scoring!$F$5:$F$337,MATCH($A37&amp;"|"&amp;$B37,Scoring!$AF$5:$AF$337,0)),"")</f>
        <v>7</v>
      </c>
      <c r="J37" s="5" t="n">
        <f aca="false">IFERROR(INDEX(Scoring!$E$5:$E$337,MATCH($A37&amp;"|"&amp;$B37,Scoring!$AF$5:$AF$337,0)),"")</f>
        <v>31</v>
      </c>
      <c r="K37" s="5" t="n">
        <f aca="false">IFERROR(INDEX(Scoring!$K$5:$K$337,MATCH($A37&amp;"|"&amp;$B37,Scoring!$AF$5:$AF$337,0)),"")</f>
        <v>5</v>
      </c>
      <c r="L37" s="5" t="n">
        <f aca="false">IFERROR(INDEX(Scoring!$L$5:$L$337,MATCH($A37&amp;"|"&amp;$B37,Scoring!$AF$5:$AF$337,0)),"")</f>
        <v>0</v>
      </c>
      <c r="M37" s="5" t="n">
        <f aca="false">IFERROR(INDEX(Scoring!$M$5:$M$337,MATCH($A37&amp;"|"&amp;$B37,Scoring!$AF$5:$AF$337,0)),"")</f>
        <v>0</v>
      </c>
      <c r="N37" s="5" t="str">
        <f aca="false">IFERROR(INDEX(Scoring!$Y$5:$Y$337,MATCH($A37&amp;"|"&amp;$B37,Scoring!$AF$5:$AF$337,0)),"")</f>
        <v>No</v>
      </c>
      <c r="O37" s="5" t="str">
        <f aca="false">IFERROR(INDEX(Scoring!$Z$5:$Z$337,MATCH($A37&amp;"|"&amp;$B37,Scoring!$AF$5:$AF$337,0)),"")</f>
        <v>Yes</v>
      </c>
      <c r="P37" s="5" t="str">
        <f aca="false">IFERROR(INDEX(Scoring!$AA$5:$AA$337,MATCH($A37&amp;"|"&amp;$B37,Scoring!$AF$5:$AF$337,0)),"")</f>
        <v>Yes</v>
      </c>
      <c r="Q37" s="5" t="str">
        <f aca="false">IFERROR(INDEX(Scoring!$AE$5:$AE$337,MATCH($A37&amp;"|"&amp;$B37,Scoring!$AF$5:$AF$337,0)),"")</f>
        <v>Differentiation in crowded generic market</v>
      </c>
    </row>
    <row r="38" customFormat="false" ht="15" hidden="false" customHeight="false" outlineLevel="0" collapsed="false">
      <c r="A38" s="5" t="s">
        <v>55</v>
      </c>
      <c r="B38" s="5" t="n">
        <v>4</v>
      </c>
      <c r="C38" s="5" t="str">
        <f aca="false">IFERROR(INDEX(Scoring!$AD$5:$AD$337,MATCH($A38&amp;"|"&amp;$B38,Scoring!$AF$5:$AF$337,0)),"")</f>
        <v>Lead</v>
      </c>
      <c r="D38" s="5" t="str">
        <f aca="false">IFERROR(INDEX(Scoring!$B$5:$B$337,MATCH($A38&amp;"|"&amp;$B38,Scoring!$AF$5:$AF$337,0)),"")</f>
        <v>Fulvestrant</v>
      </c>
      <c r="E38" s="5" t="str">
        <f aca="false">IFERROR(INDEX(Scoring!$D$5:$D$337,MATCH($A38&amp;"|"&amp;$B38,Scoring!$AF$5:$AF$337,0)),"")</f>
        <v>Oncology – HR+ advanced breast cancer</v>
      </c>
      <c r="F38" s="8" t="n">
        <f aca="false">IFERROR(INDEX(Scoring!$U$5:$U$337,MATCH($A38&amp;"|"&amp;$B38,Scoring!$AF$5:$AF$337,0)),"")</f>
        <v>0.772</v>
      </c>
      <c r="G38" s="7" t="n">
        <f aca="false">IFERROR(INDEX(Scoring!$O$5:$O$337,MATCH($A38&amp;"|"&amp;$B38,Scoring!$AF$5:$AF$337,0)),"")</f>
        <v>11366.06</v>
      </c>
      <c r="H38" s="6" t="n">
        <f aca="false">IFERROR(INDEX(Scoring!$N$5:$N$337,MATCH($A38&amp;"|"&amp;$B38,Scoring!$AF$5:$AF$337,0)),"")</f>
        <v>248.6046</v>
      </c>
      <c r="I38" s="5" t="n">
        <f aca="false">IFERROR(INDEX(Scoring!$F$5:$F$337,MATCH($A38&amp;"|"&amp;$B38,Scoring!$AF$5:$AF$337,0)),"")</f>
        <v>7</v>
      </c>
      <c r="J38" s="5" t="n">
        <f aca="false">IFERROR(INDEX(Scoring!$E$5:$E$337,MATCH($A38&amp;"|"&amp;$B38,Scoring!$AF$5:$AF$337,0)),"")</f>
        <v>34</v>
      </c>
      <c r="K38" s="5" t="n">
        <f aca="false">IFERROR(INDEX(Scoring!$K$5:$K$337,MATCH($A38&amp;"|"&amp;$B38,Scoring!$AF$5:$AF$337,0)),"")</f>
        <v>0</v>
      </c>
      <c r="L38" s="5" t="n">
        <f aca="false">IFERROR(INDEX(Scoring!$L$5:$L$337,MATCH($A38&amp;"|"&amp;$B38,Scoring!$AF$5:$AF$337,0)),"")</f>
        <v>0</v>
      </c>
      <c r="M38" s="5" t="n">
        <f aca="false">IFERROR(INDEX(Scoring!$M$5:$M$337,MATCH($A38&amp;"|"&amp;$B38,Scoring!$AF$5:$AF$337,0)),"")</f>
        <v>4</v>
      </c>
      <c r="N38" s="5" t="str">
        <f aca="false">IFERROR(INDEX(Scoring!$Y$5:$Y$337,MATCH($A38&amp;"|"&amp;$B38,Scoring!$AF$5:$AF$337,0)),"")</f>
        <v>No</v>
      </c>
      <c r="O38" s="5" t="str">
        <f aca="false">IFERROR(INDEX(Scoring!$Z$5:$Z$337,MATCH($A38&amp;"|"&amp;$B38,Scoring!$AF$5:$AF$337,0)),"")</f>
        <v>No</v>
      </c>
      <c r="P38" s="5" t="str">
        <f aca="false">IFERROR(INDEX(Scoring!$AA$5:$AA$337,MATCH($A38&amp;"|"&amp;$B38,Scoring!$AF$5:$AF$337,0)),"")</f>
        <v>Yes</v>
      </c>
      <c r="Q38" s="5" t="str">
        <f aca="false">IFERROR(INDEX(Scoring!$AE$5:$AE$337,MATCH($A38&amp;"|"&amp;$B38,Scoring!$AF$5:$AF$337,0)),"")</f>
        <v>Safety upgrade of existing prefilled syringe</v>
      </c>
    </row>
    <row r="39" customFormat="false" ht="15" hidden="false" customHeight="false" outlineLevel="0" collapsed="false">
      <c r="A39" s="5" t="s">
        <v>55</v>
      </c>
      <c r="B39" s="5" t="n">
        <v>5</v>
      </c>
      <c r="C39" s="5" t="str">
        <f aca="false">IFERROR(INDEX(Scoring!$AD$5:$AD$337,MATCH($A39&amp;"|"&amp;$B39,Scoring!$AF$5:$AF$337,0)),"")</f>
        <v>Lead</v>
      </c>
      <c r="D39" s="5" t="str">
        <f aca="false">IFERROR(INDEX(Scoring!$B$5:$B$337,MATCH($A39&amp;"|"&amp;$B39,Scoring!$AF$5:$AF$337,0)),"")</f>
        <v>Plerixafor</v>
      </c>
      <c r="E39" s="5" t="str">
        <f aca="false">IFERROR(INDEX(Scoring!$D$5:$D$337,MATCH($A39&amp;"|"&amp;$B39,Scoring!$AF$5:$AF$337,0)),"")</f>
        <v>Oncology supportive – stem-cell mobilisation (myeloma, lymphoma)</v>
      </c>
      <c r="F39" s="8" t="n">
        <f aca="false">IFERROR(INDEX(Scoring!$U$5:$U$337,MATCH($A39&amp;"|"&amp;$B39,Scoring!$AF$5:$AF$337,0)),"")</f>
        <v>0.7715</v>
      </c>
      <c r="G39" s="7" t="n">
        <f aca="false">IFERROR(INDEX(Scoring!$O$5:$O$337,MATCH($A39&amp;"|"&amp;$B39,Scoring!$AF$5:$AF$337,0)),"")</f>
        <v>7904.67</v>
      </c>
      <c r="H39" s="6" t="n">
        <f aca="false">IFERROR(INDEX(Scoring!$N$5:$N$337,MATCH($A39&amp;"|"&amp;$B39,Scoring!$AF$5:$AF$337,0)),"")</f>
        <v>343.8</v>
      </c>
      <c r="I39" s="5" t="n">
        <f aca="false">IFERROR(INDEX(Scoring!$F$5:$F$337,MATCH($A39&amp;"|"&amp;$B39,Scoring!$AF$5:$AF$337,0)),"")</f>
        <v>1</v>
      </c>
      <c r="J39" s="5" t="n">
        <f aca="false">IFERROR(INDEX(Scoring!$E$5:$E$337,MATCH($A39&amp;"|"&amp;$B39,Scoring!$AF$5:$AF$337,0)),"")</f>
        <v>1</v>
      </c>
      <c r="K39" s="5" t="n">
        <f aca="false">IFERROR(INDEX(Scoring!$K$5:$K$337,MATCH($A39&amp;"|"&amp;$B39,Scoring!$AF$5:$AF$337,0)),"")</f>
        <v>1</v>
      </c>
      <c r="L39" s="5" t="n">
        <f aca="false">IFERROR(INDEX(Scoring!$L$5:$L$337,MATCH($A39&amp;"|"&amp;$B39,Scoring!$AF$5:$AF$337,0)),"")</f>
        <v>0</v>
      </c>
      <c r="M39" s="5" t="n">
        <f aca="false">IFERROR(INDEX(Scoring!$M$5:$M$337,MATCH($A39&amp;"|"&amp;$B39,Scoring!$AF$5:$AF$337,0)),"")</f>
        <v>0</v>
      </c>
      <c r="N39" s="5" t="str">
        <f aca="false">IFERROR(INDEX(Scoring!$Y$5:$Y$337,MATCH($A39&amp;"|"&amp;$B39,Scoring!$AF$5:$AF$337,0)),"")</f>
        <v>No</v>
      </c>
      <c r="O39" s="5" t="str">
        <f aca="false">IFERROR(INDEX(Scoring!$Z$5:$Z$337,MATCH($A39&amp;"|"&amp;$B39,Scoring!$AF$5:$AF$337,0)),"")</f>
        <v>No</v>
      </c>
      <c r="P39" s="5" t="str">
        <f aca="false">IFERROR(INDEX(Scoring!$AA$5:$AA$337,MATCH($A39&amp;"|"&amp;$B39,Scoring!$AF$5:$AF$337,0)),"")</f>
        <v>Yes</v>
      </c>
      <c r="Q39" s="5" t="str">
        <f aca="false">IFERROR(INDEX(Scoring!$AE$5:$AE$337,MATCH($A39&amp;"|"&amp;$B39,Scoring!$AF$5:$AF$337,0)),"")</f>
        <v>Differentiation in crowded generic market</v>
      </c>
    </row>
    <row r="40" customFormat="false" ht="15" hidden="false" customHeight="false" outlineLevel="0" collapsed="false">
      <c r="A40" s="5" t="s">
        <v>55</v>
      </c>
      <c r="B40" s="5" t="n">
        <v>6</v>
      </c>
      <c r="C40" s="5" t="str">
        <f aca="false">IFERROR(INDEX(Scoring!$AD$5:$AD$337,MATCH($A40&amp;"|"&amp;$B40,Scoring!$AF$5:$AF$337,0)),"")</f>
        <v>Next wave</v>
      </c>
      <c r="D40" s="5" t="str">
        <f aca="false">IFERROR(INDEX(Scoring!$B$5:$B$337,MATCH($A40&amp;"|"&amp;$B40,Scoring!$AF$5:$AF$337,0)),"")</f>
        <v>Thiotepa</v>
      </c>
      <c r="E40" s="5" t="str">
        <f aca="false">IFERROR(INDEX(Scoring!$D$5:$D$337,MATCH($A40&amp;"|"&amp;$B40,Scoring!$AF$5:$AF$337,0)),"")</f>
        <v>Oncology – stem-cell transplant conditioning; breast, ovarian &amp; bladder cancers</v>
      </c>
      <c r="F40" s="8" t="n">
        <f aca="false">IFERROR(INDEX(Scoring!$U$5:$U$337,MATCH($A40&amp;"|"&amp;$B40,Scoring!$AF$5:$AF$337,0)),"")</f>
        <v>0.7435</v>
      </c>
      <c r="G40" s="7" t="n">
        <f aca="false">IFERROR(INDEX(Scoring!$O$5:$O$337,MATCH($A40&amp;"|"&amp;$B40,Scoring!$AF$5:$AF$337,0)),"")</f>
        <v>11040.91</v>
      </c>
      <c r="H40" s="6" t="n">
        <f aca="false">IFERROR(INDEX(Scoring!$N$5:$N$337,MATCH($A40&amp;"|"&amp;$B40,Scoring!$AF$5:$AF$337,0)),"")</f>
        <v>154.8</v>
      </c>
      <c r="I40" s="5" t="n">
        <f aca="false">IFERROR(INDEX(Scoring!$F$5:$F$337,MATCH($A40&amp;"|"&amp;$B40,Scoring!$AF$5:$AF$337,0)),"")</f>
        <v>1</v>
      </c>
      <c r="J40" s="5" t="n">
        <f aca="false">IFERROR(INDEX(Scoring!$E$5:$E$337,MATCH($A40&amp;"|"&amp;$B40,Scoring!$AF$5:$AF$337,0)),"")</f>
        <v>1</v>
      </c>
      <c r="K40" s="5" t="n">
        <f aca="false">IFERROR(INDEX(Scoring!$K$5:$K$337,MATCH($A40&amp;"|"&amp;$B40,Scoring!$AF$5:$AF$337,0)),"")</f>
        <v>1</v>
      </c>
      <c r="L40" s="5" t="n">
        <f aca="false">IFERROR(INDEX(Scoring!$L$5:$L$337,MATCH($A40&amp;"|"&amp;$B40,Scoring!$AF$5:$AF$337,0)),"")</f>
        <v>0</v>
      </c>
      <c r="M40" s="5" t="n">
        <f aca="false">IFERROR(INDEX(Scoring!$M$5:$M$337,MATCH($A40&amp;"|"&amp;$B40,Scoring!$AF$5:$AF$337,0)),"")</f>
        <v>0</v>
      </c>
      <c r="N40" s="5" t="str">
        <f aca="false">IFERROR(INDEX(Scoring!$Y$5:$Y$337,MATCH($A40&amp;"|"&amp;$B40,Scoring!$AF$5:$AF$337,0)),"")</f>
        <v>Yes</v>
      </c>
      <c r="O40" s="5" t="str">
        <f aca="false">IFERROR(INDEX(Scoring!$Z$5:$Z$337,MATCH($A40&amp;"|"&amp;$B40,Scoring!$AF$5:$AF$337,0)),"")</f>
        <v>Yes</v>
      </c>
      <c r="P40" s="5" t="str">
        <f aca="false">IFERROR(INDEX(Scoring!$AA$5:$AA$337,MATCH($A40&amp;"|"&amp;$B40,Scoring!$AF$5:$AF$337,0)),"")</f>
        <v>No</v>
      </c>
      <c r="Q40" s="5" t="str">
        <f aca="false">IFERROR(INDEX(Scoring!$AE$5:$AE$337,MATCH($A40&amp;"|"&amp;$B40,Scoring!$AF$5:$AF$337,0)),"")</f>
        <v>Safety-device mandate compliance</v>
      </c>
    </row>
    <row r="41" customFormat="false" ht="15" hidden="false" customHeight="false" outlineLevel="0" collapsed="false">
      <c r="A41" s="5" t="s">
        <v>55</v>
      </c>
      <c r="B41" s="5" t="n">
        <v>7</v>
      </c>
      <c r="C41" s="5" t="str">
        <f aca="false">IFERROR(INDEX(Scoring!$AD$5:$AD$337,MATCH($A41&amp;"|"&amp;$B41,Scoring!$AF$5:$AF$337,0)),"")</f>
        <v>Next wave</v>
      </c>
      <c r="D41" s="5" t="str">
        <f aca="false">IFERROR(INDEX(Scoring!$B$5:$B$337,MATCH($A41&amp;"|"&amp;$B41,Scoring!$AF$5:$AF$337,0)),"")</f>
        <v>Ertapenem</v>
      </c>
      <c r="E41" s="5" t="str">
        <f aca="false">IFERROR(INDEX(Scoring!$D$5:$D$337,MATCH($A41&amp;"|"&amp;$B41,Scoring!$AF$5:$AF$337,0)),"")</f>
        <v>Anti-infective – intra-abdominal, skin, urinary infections, pneumonia</v>
      </c>
      <c r="F41" s="8" t="n">
        <f aca="false">IFERROR(INDEX(Scoring!$U$5:$U$337,MATCH($A41&amp;"|"&amp;$B41,Scoring!$AF$5:$AF$337,0)),"")</f>
        <v>0.739</v>
      </c>
      <c r="G41" s="7" t="n">
        <f aca="false">IFERROR(INDEX(Scoring!$O$5:$O$337,MATCH($A41&amp;"|"&amp;$B41,Scoring!$AF$5:$AF$337,0)),"")</f>
        <v>53539.87</v>
      </c>
      <c r="H41" s="6" t="n">
        <f aca="false">IFERROR(INDEX(Scoring!$N$5:$N$337,MATCH($A41&amp;"|"&amp;$B41,Scoring!$AF$5:$AF$337,0)),"")</f>
        <v>36.5855</v>
      </c>
      <c r="I41" s="5" t="n">
        <f aca="false">IFERROR(INDEX(Scoring!$F$5:$F$337,MATCH($A41&amp;"|"&amp;$B41,Scoring!$AF$5:$AF$337,0)),"")</f>
        <v>1</v>
      </c>
      <c r="J41" s="5" t="n">
        <f aca="false">IFERROR(INDEX(Scoring!$E$5:$E$337,MATCH($A41&amp;"|"&amp;$B41,Scoring!$AF$5:$AF$337,0)),"")</f>
        <v>1</v>
      </c>
      <c r="K41" s="5" t="n">
        <f aca="false">IFERROR(INDEX(Scoring!$K$5:$K$337,MATCH($A41&amp;"|"&amp;$B41,Scoring!$AF$5:$AF$337,0)),"")</f>
        <v>1</v>
      </c>
      <c r="L41" s="5" t="n">
        <f aca="false">IFERROR(INDEX(Scoring!$L$5:$L$337,MATCH($A41&amp;"|"&amp;$B41,Scoring!$AF$5:$AF$337,0)),"")</f>
        <v>0</v>
      </c>
      <c r="M41" s="5" t="n">
        <f aca="false">IFERROR(INDEX(Scoring!$M$5:$M$337,MATCH($A41&amp;"|"&amp;$B41,Scoring!$AF$5:$AF$337,0)),"")</f>
        <v>0</v>
      </c>
      <c r="N41" s="5" t="str">
        <f aca="false">IFERROR(INDEX(Scoring!$Y$5:$Y$337,MATCH($A41&amp;"|"&amp;$B41,Scoring!$AF$5:$AF$337,0)),"")</f>
        <v>No</v>
      </c>
      <c r="O41" s="5" t="str">
        <f aca="false">IFERROR(INDEX(Scoring!$Z$5:$Z$337,MATCH($A41&amp;"|"&amp;$B41,Scoring!$AF$5:$AF$337,0)),"")</f>
        <v>No</v>
      </c>
      <c r="P41" s="5" t="str">
        <f aca="false">IFERROR(INDEX(Scoring!$AA$5:$AA$337,MATCH($A41&amp;"|"&amp;$B41,Scoring!$AF$5:$AF$337,0)),"")</f>
        <v>Yes</v>
      </c>
      <c r="Q41" s="5" t="str">
        <f aca="false">IFERROR(INDEX(Scoring!$AE$5:$AE$337,MATCH($A41&amp;"|"&amp;$B41,Scoring!$AF$5:$AF$337,0)),"")</f>
        <v>Differentiation in crowded generic market</v>
      </c>
    </row>
    <row r="42" customFormat="false" ht="15" hidden="false" customHeight="false" outlineLevel="0" collapsed="false">
      <c r="A42" s="5" t="s">
        <v>55</v>
      </c>
      <c r="B42" s="5" t="n">
        <v>8</v>
      </c>
      <c r="C42" s="5" t="str">
        <f aca="false">IFERROR(INDEX(Scoring!$AD$5:$AD$337,MATCH($A42&amp;"|"&amp;$B42,Scoring!$AF$5:$AF$337,0)),"")</f>
        <v>Next wave</v>
      </c>
      <c r="D42" s="5" t="str">
        <f aca="false">IFERROR(INDEX(Scoring!$B$5:$B$337,MATCH($A42&amp;"|"&amp;$B42,Scoring!$AF$5:$AF$337,0)),"")</f>
        <v>Sugammadex</v>
      </c>
      <c r="E42" s="5" t="str">
        <f aca="false">IFERROR(INDEX(Scoring!$D$5:$D$337,MATCH($A42&amp;"|"&amp;$B42,Scoring!$AF$5:$AF$337,0)),"")</f>
        <v>Anaesthesia – reversal of rocuronium/vecuronium muscle relaxation</v>
      </c>
      <c r="F42" s="8" t="n">
        <f aca="false">IFERROR(INDEX(Scoring!$U$5:$U$337,MATCH($A42&amp;"|"&amp;$B42,Scoring!$AF$5:$AF$337,0)),"")</f>
        <v>0.7315</v>
      </c>
      <c r="G42" s="7" t="n">
        <f aca="false">IFERROR(INDEX(Scoring!$O$5:$O$337,MATCH($A42&amp;"|"&amp;$B42,Scoring!$AF$5:$AF$337,0)),"")</f>
        <v>32830.17</v>
      </c>
      <c r="H42" s="6" t="n">
        <f aca="false">IFERROR(INDEX(Scoring!$N$5:$N$337,MATCH($A42&amp;"|"&amp;$B42,Scoring!$AF$5:$AF$337,0)),"")</f>
        <v>56.6549333333333</v>
      </c>
      <c r="I42" s="5" t="n">
        <f aca="false">IFERROR(INDEX(Scoring!$F$5:$F$337,MATCH($A42&amp;"|"&amp;$B42,Scoring!$AF$5:$AF$337,0)),"")</f>
        <v>7</v>
      </c>
      <c r="J42" s="5" t="n">
        <f aca="false">IFERROR(INDEX(Scoring!$E$5:$E$337,MATCH($A42&amp;"|"&amp;$B42,Scoring!$AF$5:$AF$337,0)),"")</f>
        <v>35</v>
      </c>
      <c r="K42" s="5" t="n">
        <f aca="false">IFERROR(INDEX(Scoring!$K$5:$K$337,MATCH($A42&amp;"|"&amp;$B42,Scoring!$AF$5:$AF$337,0)),"")</f>
        <v>8</v>
      </c>
      <c r="L42" s="5" t="n">
        <f aca="false">IFERROR(INDEX(Scoring!$L$5:$L$337,MATCH($A42&amp;"|"&amp;$B42,Scoring!$AF$5:$AF$337,0)),"")</f>
        <v>0</v>
      </c>
      <c r="M42" s="5" t="n">
        <f aca="false">IFERROR(INDEX(Scoring!$M$5:$M$337,MATCH($A42&amp;"|"&amp;$B42,Scoring!$AF$5:$AF$337,0)),"")</f>
        <v>0</v>
      </c>
      <c r="N42" s="5" t="str">
        <f aca="false">IFERROR(INDEX(Scoring!$Y$5:$Y$337,MATCH($A42&amp;"|"&amp;$B42,Scoring!$AF$5:$AF$337,0)),"")</f>
        <v>No</v>
      </c>
      <c r="O42" s="5" t="str">
        <f aca="false">IFERROR(INDEX(Scoring!$Z$5:$Z$337,MATCH($A42&amp;"|"&amp;$B42,Scoring!$AF$5:$AF$337,0)),"")</f>
        <v>No</v>
      </c>
      <c r="P42" s="5" t="str">
        <f aca="false">IFERROR(INDEX(Scoring!$AA$5:$AA$337,MATCH($A42&amp;"|"&amp;$B42,Scoring!$AF$5:$AF$337,0)),"")</f>
        <v>Yes</v>
      </c>
      <c r="Q42" s="5" t="str">
        <f aca="false">IFERROR(INDEX(Scoring!$AE$5:$AE$337,MATCH($A42&amp;"|"&amp;$B42,Scoring!$AF$5:$AF$337,0)),"")</f>
        <v>Differentiation in crowded generic market</v>
      </c>
    </row>
    <row r="43" customFormat="false" ht="15" hidden="false" customHeight="false" outlineLevel="0" collapsed="false">
      <c r="A43" s="5" t="s">
        <v>55</v>
      </c>
      <c r="B43" s="5" t="n">
        <v>9</v>
      </c>
      <c r="C43" s="5" t="str">
        <f aca="false">IFERROR(INDEX(Scoring!$AD$5:$AD$337,MATCH($A43&amp;"|"&amp;$B43,Scoring!$AF$5:$AF$337,0)),"")</f>
        <v>Next wave</v>
      </c>
      <c r="D43" s="5" t="str">
        <f aca="false">IFERROR(INDEX(Scoring!$B$5:$B$337,MATCH($A43&amp;"|"&amp;$B43,Scoring!$AF$5:$AF$337,0)),"")</f>
        <v>Cyclophosphamide</v>
      </c>
      <c r="E43" s="5" t="str">
        <f aca="false">IFERROR(INDEX(Scoring!$D$5:$D$337,MATCH($A43&amp;"|"&amp;$B43,Scoring!$AF$5:$AF$337,0)),"")</f>
        <v>Oncology – lymphoma, leukaemia, breast cancer; transplant conditioning</v>
      </c>
      <c r="F43" s="8" t="n">
        <f aca="false">IFERROR(INDEX(Scoring!$U$5:$U$337,MATCH($A43&amp;"|"&amp;$B43,Scoring!$AF$5:$AF$337,0)),"")</f>
        <v>0.65</v>
      </c>
      <c r="G43" s="7" t="n">
        <f aca="false">IFERROR(INDEX(Scoring!$O$5:$O$337,MATCH($A43&amp;"|"&amp;$B43,Scoring!$AF$5:$AF$337,0)),"")</f>
        <v>3871.19720318908</v>
      </c>
      <c r="H43" s="6" t="n">
        <f aca="false">IFERROR(INDEX(Scoring!$N$5:$N$337,MATCH($A43&amp;"|"&amp;$B43,Scoring!$AF$5:$AF$337,0)),"")</f>
        <v>176.77865</v>
      </c>
      <c r="I43" s="5" t="n">
        <f aca="false">IFERROR(INDEX(Scoring!$F$5:$F$337,MATCH($A43&amp;"|"&amp;$B43,Scoring!$AF$5:$AF$337,0)),"")</f>
        <v>6</v>
      </c>
      <c r="J43" s="5" t="n">
        <f aca="false">IFERROR(INDEX(Scoring!$E$5:$E$337,MATCH($A43&amp;"|"&amp;$B43,Scoring!$AF$5:$AF$337,0)),"")</f>
        <v>28</v>
      </c>
      <c r="K43" s="5" t="n">
        <f aca="false">IFERROR(INDEX(Scoring!$K$5:$K$337,MATCH($A43&amp;"|"&amp;$B43,Scoring!$AF$5:$AF$337,0)),"")</f>
        <v>4</v>
      </c>
      <c r="L43" s="5" t="n">
        <f aca="false">IFERROR(INDEX(Scoring!$L$5:$L$337,MATCH($A43&amp;"|"&amp;$B43,Scoring!$AF$5:$AF$337,0)),"")</f>
        <v>0</v>
      </c>
      <c r="M43" s="5" t="n">
        <f aca="false">IFERROR(INDEX(Scoring!$M$5:$M$337,MATCH($A43&amp;"|"&amp;$B43,Scoring!$AF$5:$AF$337,0)),"")</f>
        <v>0</v>
      </c>
      <c r="N43" s="5" t="str">
        <f aca="false">IFERROR(INDEX(Scoring!$Y$5:$Y$337,MATCH($A43&amp;"|"&amp;$B43,Scoring!$AF$5:$AF$337,0)),"")</f>
        <v>Yes</v>
      </c>
      <c r="O43" s="5" t="str">
        <f aca="false">IFERROR(INDEX(Scoring!$Z$5:$Z$337,MATCH($A43&amp;"|"&amp;$B43,Scoring!$AF$5:$AF$337,0)),"")</f>
        <v>No</v>
      </c>
      <c r="P43" s="5" t="str">
        <f aca="false">IFERROR(INDEX(Scoring!$AA$5:$AA$337,MATCH($A43&amp;"|"&amp;$B43,Scoring!$AF$5:$AF$337,0)),"")</f>
        <v>Yes</v>
      </c>
      <c r="Q43" s="5" t="str">
        <f aca="false">IFERROR(INDEX(Scoring!$AE$5:$AE$337,MATCH($A43&amp;"|"&amp;$B43,Scoring!$AF$5:$AF$337,0)),"")</f>
        <v>Differentiation in crowded generic market</v>
      </c>
    </row>
    <row r="44" customFormat="false" ht="15" hidden="false" customHeight="false" outlineLevel="0" collapsed="false">
      <c r="A44" s="5" t="s">
        <v>55</v>
      </c>
      <c r="B44" s="5" t="n">
        <v>10</v>
      </c>
      <c r="C44" s="5" t="str">
        <f aca="false">IFERROR(INDEX(Scoring!$AD$5:$AD$337,MATCH($A44&amp;"|"&amp;$B44,Scoring!$AF$5:$AF$337,0)),"")</f>
        <v>Next wave</v>
      </c>
      <c r="D44" s="5" t="str">
        <f aca="false">IFERROR(INDEX(Scoring!$B$5:$B$337,MATCH($A44&amp;"|"&amp;$B44,Scoring!$AF$5:$AF$337,0)),"")</f>
        <v>Eribulin</v>
      </c>
      <c r="E44" s="5" t="str">
        <f aca="false">IFERROR(INDEX(Scoring!$D$5:$D$337,MATCH($A44&amp;"|"&amp;$B44,Scoring!$AF$5:$AF$337,0)),"")</f>
        <v>Oncology – metastatic breast cancer; liposarcoma</v>
      </c>
      <c r="F44" s="8" t="n">
        <f aca="false">IFERROR(INDEX(Scoring!$U$5:$U$337,MATCH($A44&amp;"|"&amp;$B44,Scoring!$AF$5:$AF$337,0)),"")</f>
        <v>0.5665</v>
      </c>
      <c r="G44" s="7" t="n">
        <f aca="false">IFERROR(INDEX(Scoring!$O$5:$O$337,MATCH($A44&amp;"|"&amp;$B44,Scoring!$AF$5:$AF$337,0)),"")</f>
        <v>1874.63</v>
      </c>
      <c r="H44" s="6" t="n">
        <f aca="false">IFERROR(INDEX(Scoring!$N$5:$N$337,MATCH($A44&amp;"|"&amp;$B44,Scoring!$AF$5:$AF$337,0)),"")</f>
        <v>333.84525</v>
      </c>
      <c r="I44" s="5" t="n">
        <f aca="false">IFERROR(INDEX(Scoring!$F$5:$F$337,MATCH($A44&amp;"|"&amp;$B44,Scoring!$AF$5:$AF$337,0)),"")</f>
        <v>8</v>
      </c>
      <c r="J44" s="5" t="n">
        <f aca="false">IFERROR(INDEX(Scoring!$E$5:$E$337,MATCH($A44&amp;"|"&amp;$B44,Scoring!$AF$5:$AF$337,0)),"")</f>
        <v>30</v>
      </c>
      <c r="K44" s="5" t="n">
        <f aca="false">IFERROR(INDEX(Scoring!$K$5:$K$337,MATCH($A44&amp;"|"&amp;$B44,Scoring!$AF$5:$AF$337,0)),"")</f>
        <v>6</v>
      </c>
      <c r="L44" s="5" t="n">
        <f aca="false">IFERROR(INDEX(Scoring!$L$5:$L$337,MATCH($A44&amp;"|"&amp;$B44,Scoring!$AF$5:$AF$337,0)),"")</f>
        <v>0</v>
      </c>
      <c r="M44" s="5" t="n">
        <f aca="false">IFERROR(INDEX(Scoring!$M$5:$M$337,MATCH($A44&amp;"|"&amp;$B44,Scoring!$AF$5:$AF$337,0)),"")</f>
        <v>0</v>
      </c>
      <c r="N44" s="5" t="str">
        <f aca="false">IFERROR(INDEX(Scoring!$Y$5:$Y$337,MATCH($A44&amp;"|"&amp;$B44,Scoring!$AF$5:$AF$337,0)),"")</f>
        <v>Yes</v>
      </c>
      <c r="O44" s="5" t="str">
        <f aca="false">IFERROR(INDEX(Scoring!$Z$5:$Z$337,MATCH($A44&amp;"|"&amp;$B44,Scoring!$AF$5:$AF$337,0)),"")</f>
        <v>No</v>
      </c>
      <c r="P44" s="5" t="str">
        <f aca="false">IFERROR(INDEX(Scoring!$AA$5:$AA$337,MATCH($A44&amp;"|"&amp;$B44,Scoring!$AF$5:$AF$337,0)),"")</f>
        <v>Yes</v>
      </c>
      <c r="Q44" s="5" t="str">
        <f aca="false">IFERROR(INDEX(Scoring!$AE$5:$AE$337,MATCH($A44&amp;"|"&amp;$B44,Scoring!$AF$5:$AF$337,0)),"")</f>
        <v>Differentiation in crowded generic market</v>
      </c>
    </row>
    <row r="45" customFormat="false" ht="15" hidden="false" customHeight="false" outlineLevel="0" collapsed="false">
      <c r="A45" s="14" t="s">
        <v>35</v>
      </c>
      <c r="B45" s="14" t="n">
        <v>1</v>
      </c>
      <c r="C45" s="14" t="str">
        <f aca="false">IFERROR(INDEX(Scoring!$AD$5:$AD$337,MATCH($A45&amp;"|"&amp;$B45,Scoring!$AF$5:$AF$337,0)),"")</f>
        <v>Lead</v>
      </c>
      <c r="D45" s="14" t="str">
        <f aca="false">IFERROR(INDEX(Scoring!$B$5:$B$337,MATCH($A45&amp;"|"&amp;$B45,Scoring!$AF$5:$AF$337,0)),"")</f>
        <v>Azacitidine</v>
      </c>
      <c r="E45" s="14" t="str">
        <f aca="false">IFERROR(INDEX(Scoring!$D$5:$D$337,MATCH($A45&amp;"|"&amp;$B45,Scoring!$AF$5:$AF$337,0)),"")</f>
        <v>Oncology – myelodysplastic syndromes (MDS) &amp; AML</v>
      </c>
      <c r="F45" s="15" t="n">
        <f aca="false">IFERROR(INDEX(Scoring!$U$5:$U$337,MATCH($A45&amp;"|"&amp;$B45,Scoring!$AF$5:$AF$337,0)),"")</f>
        <v>0.9095</v>
      </c>
      <c r="G45" s="16" t="n">
        <f aca="false">IFERROR(INDEX(Scoring!$O$5:$O$337,MATCH($A45&amp;"|"&amp;$B45,Scoring!$AF$5:$AF$337,0)),"")</f>
        <v>42181.730172451</v>
      </c>
      <c r="H45" s="17" t="n">
        <f aca="false">IFERROR(INDEX(Scoring!$N$5:$N$337,MATCH($A45&amp;"|"&amp;$B45,Scoring!$AF$5:$AF$337,0)),"")</f>
        <v>410.8905</v>
      </c>
      <c r="I45" s="14" t="n">
        <f aca="false">IFERROR(INDEX(Scoring!$F$5:$F$337,MATCH($A45&amp;"|"&amp;$B45,Scoring!$AF$5:$AF$337,0)),"")</f>
        <v>6</v>
      </c>
      <c r="J45" s="14" t="n">
        <f aca="false">IFERROR(INDEX(Scoring!$E$5:$E$337,MATCH($A45&amp;"|"&amp;$B45,Scoring!$AF$5:$AF$337,0)),"")</f>
        <v>31</v>
      </c>
      <c r="K45" s="14" t="n">
        <f aca="false">IFERROR(INDEX(Scoring!$K$5:$K$337,MATCH($A45&amp;"|"&amp;$B45,Scoring!$AF$5:$AF$337,0)),"")</f>
        <v>2</v>
      </c>
      <c r="L45" s="14" t="n">
        <f aca="false">IFERROR(INDEX(Scoring!$L$5:$L$337,MATCH($A45&amp;"|"&amp;$B45,Scoring!$AF$5:$AF$337,0)),"")</f>
        <v>0</v>
      </c>
      <c r="M45" s="14" t="n">
        <f aca="false">IFERROR(INDEX(Scoring!$M$5:$M$337,MATCH($A45&amp;"|"&amp;$B45,Scoring!$AF$5:$AF$337,0)),"")</f>
        <v>0</v>
      </c>
      <c r="N45" s="14" t="str">
        <f aca="false">IFERROR(INDEX(Scoring!$Y$5:$Y$337,MATCH($A45&amp;"|"&amp;$B45,Scoring!$AF$5:$AF$337,0)),"")</f>
        <v>Yes</v>
      </c>
      <c r="O45" s="14" t="str">
        <f aca="false">IFERROR(INDEX(Scoring!$Z$5:$Z$337,MATCH($A45&amp;"|"&amp;$B45,Scoring!$AF$5:$AF$337,0)),"")</f>
        <v>Yes</v>
      </c>
      <c r="P45" s="14" t="str">
        <f aca="false">IFERROR(INDEX(Scoring!$AA$5:$AA$337,MATCH($A45&amp;"|"&amp;$B45,Scoring!$AF$5:$AF$337,0)),"")</f>
        <v>Yes</v>
      </c>
      <c r="Q45" s="14" t="str">
        <f aca="false">IFERROR(INDEX(Scoring!$AE$5:$AE$337,MATCH($A45&amp;"|"&amp;$B45,Scoring!$AF$5:$AF$337,0)),"")</f>
        <v>Differentiation in crowded generic market</v>
      </c>
    </row>
    <row r="46" customFormat="false" ht="15" hidden="false" customHeight="false" outlineLevel="0" collapsed="false">
      <c r="A46" s="5" t="s">
        <v>35</v>
      </c>
      <c r="B46" s="5" t="n">
        <v>2</v>
      </c>
      <c r="C46" s="5" t="str">
        <f aca="false">IFERROR(INDEX(Scoring!$AD$5:$AD$337,MATCH($A46&amp;"|"&amp;$B46,Scoring!$AF$5:$AF$337,0)),"")</f>
        <v>Lead</v>
      </c>
      <c r="D46" s="5" t="str">
        <f aca="false">IFERROR(INDEX(Scoring!$B$5:$B$337,MATCH($A46&amp;"|"&amp;$B46,Scoring!$AF$5:$AF$337,0)),"")</f>
        <v>Bortezomib</v>
      </c>
      <c r="E46" s="5" t="str">
        <f aca="false">IFERROR(INDEX(Scoring!$D$5:$D$337,MATCH($A46&amp;"|"&amp;$B46,Scoring!$AF$5:$AF$337,0)),"")</f>
        <v>Oncology – multiple myeloma &amp; mantle cell lymphoma</v>
      </c>
      <c r="F46" s="8" t="n">
        <f aca="false">IFERROR(INDEX(Scoring!$U$5:$U$337,MATCH($A46&amp;"|"&amp;$B46,Scoring!$AF$5:$AF$337,0)),"")</f>
        <v>0.8815</v>
      </c>
      <c r="G46" s="7" t="n">
        <f aca="false">IFERROR(INDEX(Scoring!$O$5:$O$337,MATCH($A46&amp;"|"&amp;$B46,Scoring!$AF$5:$AF$337,0)),"")</f>
        <v>28093.38</v>
      </c>
      <c r="H46" s="6" t="n">
        <f aca="false">IFERROR(INDEX(Scoring!$N$5:$N$337,MATCH($A46&amp;"|"&amp;$B46,Scoring!$AF$5:$AF$337,0)),"")</f>
        <v>1212.9057</v>
      </c>
      <c r="I46" s="5" t="n">
        <f aca="false">IFERROR(INDEX(Scoring!$F$5:$F$337,MATCH($A46&amp;"|"&amp;$B46,Scoring!$AF$5:$AF$337,0)),"")</f>
        <v>6</v>
      </c>
      <c r="J46" s="5" t="n">
        <f aca="false">IFERROR(INDEX(Scoring!$E$5:$E$337,MATCH($A46&amp;"|"&amp;$B46,Scoring!$AF$5:$AF$337,0)),"")</f>
        <v>30</v>
      </c>
      <c r="K46" s="5" t="n">
        <f aca="false">IFERROR(INDEX(Scoring!$K$5:$K$337,MATCH($A46&amp;"|"&amp;$B46,Scoring!$AF$5:$AF$337,0)),"")</f>
        <v>2</v>
      </c>
      <c r="L46" s="5" t="n">
        <f aca="false">IFERROR(INDEX(Scoring!$L$5:$L$337,MATCH($A46&amp;"|"&amp;$B46,Scoring!$AF$5:$AF$337,0)),"")</f>
        <v>0</v>
      </c>
      <c r="M46" s="5" t="n">
        <f aca="false">IFERROR(INDEX(Scoring!$M$5:$M$337,MATCH($A46&amp;"|"&amp;$B46,Scoring!$AF$5:$AF$337,0)),"")</f>
        <v>0</v>
      </c>
      <c r="N46" s="5" t="str">
        <f aca="false">IFERROR(INDEX(Scoring!$Y$5:$Y$337,MATCH($A46&amp;"|"&amp;$B46,Scoring!$AF$5:$AF$337,0)),"")</f>
        <v>Yes</v>
      </c>
      <c r="O46" s="5" t="str">
        <f aca="false">IFERROR(INDEX(Scoring!$Z$5:$Z$337,MATCH($A46&amp;"|"&amp;$B46,Scoring!$AF$5:$AF$337,0)),"")</f>
        <v>Yes</v>
      </c>
      <c r="P46" s="5" t="str">
        <f aca="false">IFERROR(INDEX(Scoring!$AA$5:$AA$337,MATCH($A46&amp;"|"&amp;$B46,Scoring!$AF$5:$AF$337,0)),"")</f>
        <v>Yes</v>
      </c>
      <c r="Q46" s="5" t="str">
        <f aca="false">IFERROR(INDEX(Scoring!$AE$5:$AE$337,MATCH($A46&amp;"|"&amp;$B46,Scoring!$AF$5:$AF$337,0)),"")</f>
        <v>Differentiation in crowded generic market</v>
      </c>
    </row>
    <row r="47" customFormat="false" ht="15" hidden="false" customHeight="false" outlineLevel="0" collapsed="false">
      <c r="A47" s="5" t="s">
        <v>35</v>
      </c>
      <c r="B47" s="5" t="n">
        <v>3</v>
      </c>
      <c r="C47" s="5" t="str">
        <f aca="false">IFERROR(INDEX(Scoring!$AD$5:$AD$337,MATCH($A47&amp;"|"&amp;$B47,Scoring!$AF$5:$AF$337,0)),"")</f>
        <v>Lead</v>
      </c>
      <c r="D47" s="5" t="str">
        <f aca="false">IFERROR(INDEX(Scoring!$B$5:$B$337,MATCH($A47&amp;"|"&amp;$B47,Scoring!$AF$5:$AF$337,0)),"")</f>
        <v>Daptomycin</v>
      </c>
      <c r="E47" s="5" t="str">
        <f aca="false">IFERROR(INDEX(Scoring!$D$5:$D$337,MATCH($A47&amp;"|"&amp;$B47,Scoring!$AF$5:$AF$337,0)),"")</f>
        <v>Anti-infective – MRSA skin infections &amp; bacteraemia</v>
      </c>
      <c r="F47" s="8" t="n">
        <f aca="false">IFERROR(INDEX(Scoring!$U$5:$U$337,MATCH($A47&amp;"|"&amp;$B47,Scoring!$AF$5:$AF$337,0)),"")</f>
        <v>0.834</v>
      </c>
      <c r="G47" s="7" t="n">
        <f aca="false">IFERROR(INDEX(Scoring!$O$5:$O$337,MATCH($A47&amp;"|"&amp;$B47,Scoring!$AF$5:$AF$337,0)),"")</f>
        <v>59827.18</v>
      </c>
      <c r="H47" s="6" t="n">
        <f aca="false">IFERROR(INDEX(Scoring!$N$5:$N$337,MATCH($A47&amp;"|"&amp;$B47,Scoring!$AF$5:$AF$337,0)),"")</f>
        <v>87.84675</v>
      </c>
      <c r="I47" s="5" t="n">
        <f aca="false">IFERROR(INDEX(Scoring!$F$5:$F$337,MATCH($A47&amp;"|"&amp;$B47,Scoring!$AF$5:$AF$337,0)),"")</f>
        <v>6</v>
      </c>
      <c r="J47" s="5" t="n">
        <f aca="false">IFERROR(INDEX(Scoring!$E$5:$E$337,MATCH($A47&amp;"|"&amp;$B47,Scoring!$AF$5:$AF$337,0)),"")</f>
        <v>29</v>
      </c>
      <c r="K47" s="5" t="n">
        <f aca="false">IFERROR(INDEX(Scoring!$K$5:$K$337,MATCH($A47&amp;"|"&amp;$B47,Scoring!$AF$5:$AF$337,0)),"")</f>
        <v>2</v>
      </c>
      <c r="L47" s="5" t="n">
        <f aca="false">IFERROR(INDEX(Scoring!$L$5:$L$337,MATCH($A47&amp;"|"&amp;$B47,Scoring!$AF$5:$AF$337,0)),"")</f>
        <v>0</v>
      </c>
      <c r="M47" s="5" t="n">
        <f aca="false">IFERROR(INDEX(Scoring!$M$5:$M$337,MATCH($A47&amp;"|"&amp;$B47,Scoring!$AF$5:$AF$337,0)),"")</f>
        <v>0</v>
      </c>
      <c r="N47" s="5" t="str">
        <f aca="false">IFERROR(INDEX(Scoring!$Y$5:$Y$337,MATCH($A47&amp;"|"&amp;$B47,Scoring!$AF$5:$AF$337,0)),"")</f>
        <v>No</v>
      </c>
      <c r="O47" s="5" t="str">
        <f aca="false">IFERROR(INDEX(Scoring!$Z$5:$Z$337,MATCH($A47&amp;"|"&amp;$B47,Scoring!$AF$5:$AF$337,0)),"")</f>
        <v>Yes</v>
      </c>
      <c r="P47" s="5" t="str">
        <f aca="false">IFERROR(INDEX(Scoring!$AA$5:$AA$337,MATCH($A47&amp;"|"&amp;$B47,Scoring!$AF$5:$AF$337,0)),"")</f>
        <v>Yes</v>
      </c>
      <c r="Q47" s="5" t="str">
        <f aca="false">IFERROR(INDEX(Scoring!$AE$5:$AE$337,MATCH($A47&amp;"|"&amp;$B47,Scoring!$AF$5:$AF$337,0)),"")</f>
        <v>Differentiation in crowded generic market</v>
      </c>
    </row>
    <row r="48" customFormat="false" ht="15" hidden="false" customHeight="false" outlineLevel="0" collapsed="false">
      <c r="A48" s="5" t="s">
        <v>35</v>
      </c>
      <c r="B48" s="5" t="n">
        <v>4</v>
      </c>
      <c r="C48" s="5" t="str">
        <f aca="false">IFERROR(INDEX(Scoring!$AD$5:$AD$337,MATCH($A48&amp;"|"&amp;$B48,Scoring!$AF$5:$AF$337,0)),"")</f>
        <v>Lead</v>
      </c>
      <c r="D48" s="5" t="str">
        <f aca="false">IFERROR(INDEX(Scoring!$B$5:$B$337,MATCH($A48&amp;"|"&amp;$B48,Scoring!$AF$5:$AF$337,0)),"")</f>
        <v>Plerixafor</v>
      </c>
      <c r="E48" s="5" t="str">
        <f aca="false">IFERROR(INDEX(Scoring!$D$5:$D$337,MATCH($A48&amp;"|"&amp;$B48,Scoring!$AF$5:$AF$337,0)),"")</f>
        <v>Oncology supportive – stem-cell mobilisation (myeloma, lymphoma)</v>
      </c>
      <c r="F48" s="8" t="n">
        <f aca="false">IFERROR(INDEX(Scoring!$U$5:$U$337,MATCH($A48&amp;"|"&amp;$B48,Scoring!$AF$5:$AF$337,0)),"")</f>
        <v>0.8235</v>
      </c>
      <c r="G48" s="7" t="n">
        <f aca="false">IFERROR(INDEX(Scoring!$O$5:$O$337,MATCH($A48&amp;"|"&amp;$B48,Scoring!$AF$5:$AF$337,0)),"")</f>
        <v>7904.67</v>
      </c>
      <c r="H48" s="6" t="n">
        <f aca="false">IFERROR(INDEX(Scoring!$N$5:$N$337,MATCH($A48&amp;"|"&amp;$B48,Scoring!$AF$5:$AF$337,0)),"")</f>
        <v>6173.0113</v>
      </c>
      <c r="I48" s="5" t="n">
        <f aca="false">IFERROR(INDEX(Scoring!$F$5:$F$337,MATCH($A48&amp;"|"&amp;$B48,Scoring!$AF$5:$AF$337,0)),"")</f>
        <v>5</v>
      </c>
      <c r="J48" s="5" t="n">
        <f aca="false">IFERROR(INDEX(Scoring!$E$5:$E$337,MATCH($A48&amp;"|"&amp;$B48,Scoring!$AF$5:$AF$337,0)),"")</f>
        <v>26</v>
      </c>
      <c r="K48" s="5" t="n">
        <f aca="false">IFERROR(INDEX(Scoring!$K$5:$K$337,MATCH($A48&amp;"|"&amp;$B48,Scoring!$AF$5:$AF$337,0)),"")</f>
        <v>2</v>
      </c>
      <c r="L48" s="5" t="n">
        <f aca="false">IFERROR(INDEX(Scoring!$L$5:$L$337,MATCH($A48&amp;"|"&amp;$B48,Scoring!$AF$5:$AF$337,0)),"")</f>
        <v>0</v>
      </c>
      <c r="M48" s="5" t="n">
        <f aca="false">IFERROR(INDEX(Scoring!$M$5:$M$337,MATCH($A48&amp;"|"&amp;$B48,Scoring!$AF$5:$AF$337,0)),"")</f>
        <v>0</v>
      </c>
      <c r="N48" s="5" t="str">
        <f aca="false">IFERROR(INDEX(Scoring!$Y$5:$Y$337,MATCH($A48&amp;"|"&amp;$B48,Scoring!$AF$5:$AF$337,0)),"")</f>
        <v>No</v>
      </c>
      <c r="O48" s="5" t="str">
        <f aca="false">IFERROR(INDEX(Scoring!$Z$5:$Z$337,MATCH($A48&amp;"|"&amp;$B48,Scoring!$AF$5:$AF$337,0)),"")</f>
        <v>No</v>
      </c>
      <c r="P48" s="5" t="str">
        <f aca="false">IFERROR(INDEX(Scoring!$AA$5:$AA$337,MATCH($A48&amp;"|"&amp;$B48,Scoring!$AF$5:$AF$337,0)),"")</f>
        <v>Yes</v>
      </c>
      <c r="Q48" s="5" t="str">
        <f aca="false">IFERROR(INDEX(Scoring!$AE$5:$AE$337,MATCH($A48&amp;"|"&amp;$B48,Scoring!$AF$5:$AF$337,0)),"")</f>
        <v>Differentiation in crowded generic market</v>
      </c>
    </row>
    <row r="49" customFormat="false" ht="15" hidden="false" customHeight="false" outlineLevel="0" collapsed="false">
      <c r="A49" s="5" t="s">
        <v>35</v>
      </c>
      <c r="B49" s="5" t="n">
        <v>5</v>
      </c>
      <c r="C49" s="5" t="str">
        <f aca="false">IFERROR(INDEX(Scoring!$AD$5:$AD$337,MATCH($A49&amp;"|"&amp;$B49,Scoring!$AF$5:$AF$337,0)),"")</f>
        <v>Lead</v>
      </c>
      <c r="D49" s="5" t="str">
        <f aca="false">IFERROR(INDEX(Scoring!$B$5:$B$337,MATCH($A49&amp;"|"&amp;$B49,Scoring!$AF$5:$AF$337,0)),"")</f>
        <v>Sugammadex</v>
      </c>
      <c r="E49" s="5" t="str">
        <f aca="false">IFERROR(INDEX(Scoring!$D$5:$D$337,MATCH($A49&amp;"|"&amp;$B49,Scoring!$AF$5:$AF$337,0)),"")</f>
        <v>Anaesthesia – reversal of rocuronium/vecuronium muscle relaxation</v>
      </c>
      <c r="F49" s="8" t="n">
        <f aca="false">IFERROR(INDEX(Scoring!$U$5:$U$337,MATCH($A49&amp;"|"&amp;$B49,Scoring!$AF$5:$AF$337,0)),"")</f>
        <v>0.755</v>
      </c>
      <c r="G49" s="7" t="n">
        <f aca="false">IFERROR(INDEX(Scoring!$O$5:$O$337,MATCH($A49&amp;"|"&amp;$B49,Scoring!$AF$5:$AF$337,0)),"")</f>
        <v>32830.17</v>
      </c>
      <c r="H49" s="6" t="n">
        <f aca="false">IFERROR(INDEX(Scoring!$N$5:$N$337,MATCH($A49&amp;"|"&amp;$B49,Scoring!$AF$5:$AF$337,0)),"")</f>
        <v>74.4099</v>
      </c>
      <c r="I49" s="5" t="n">
        <f aca="false">IFERROR(INDEX(Scoring!$F$5:$F$337,MATCH($A49&amp;"|"&amp;$B49,Scoring!$AF$5:$AF$337,0)),"")</f>
        <v>6</v>
      </c>
      <c r="J49" s="5" t="n">
        <f aca="false">IFERROR(INDEX(Scoring!$E$5:$E$337,MATCH($A49&amp;"|"&amp;$B49,Scoring!$AF$5:$AF$337,0)),"")</f>
        <v>32</v>
      </c>
      <c r="K49" s="5" t="n">
        <f aca="false">IFERROR(INDEX(Scoring!$K$5:$K$337,MATCH($A49&amp;"|"&amp;$B49,Scoring!$AF$5:$AF$337,0)),"")</f>
        <v>2</v>
      </c>
      <c r="L49" s="5" t="n">
        <f aca="false">IFERROR(INDEX(Scoring!$L$5:$L$337,MATCH($A49&amp;"|"&amp;$B49,Scoring!$AF$5:$AF$337,0)),"")</f>
        <v>0</v>
      </c>
      <c r="M49" s="5" t="n">
        <f aca="false">IFERROR(INDEX(Scoring!$M$5:$M$337,MATCH($A49&amp;"|"&amp;$B49,Scoring!$AF$5:$AF$337,0)),"")</f>
        <v>0</v>
      </c>
      <c r="N49" s="5" t="str">
        <f aca="false">IFERROR(INDEX(Scoring!$Y$5:$Y$337,MATCH($A49&amp;"|"&amp;$B49,Scoring!$AF$5:$AF$337,0)),"")</f>
        <v>No</v>
      </c>
      <c r="O49" s="5" t="str">
        <f aca="false">IFERROR(INDEX(Scoring!$Z$5:$Z$337,MATCH($A49&amp;"|"&amp;$B49,Scoring!$AF$5:$AF$337,0)),"")</f>
        <v>No</v>
      </c>
      <c r="P49" s="5" t="str">
        <f aca="false">IFERROR(INDEX(Scoring!$AA$5:$AA$337,MATCH($A49&amp;"|"&amp;$B49,Scoring!$AF$5:$AF$337,0)),"")</f>
        <v>Yes</v>
      </c>
      <c r="Q49" s="5" t="str">
        <f aca="false">IFERROR(INDEX(Scoring!$AE$5:$AE$337,MATCH($A49&amp;"|"&amp;$B49,Scoring!$AF$5:$AF$337,0)),"")</f>
        <v>Differentiation in crowded generic market</v>
      </c>
    </row>
    <row r="50" customFormat="false" ht="15" hidden="false" customHeight="false" outlineLevel="0" collapsed="false">
      <c r="A50" s="5" t="s">
        <v>35</v>
      </c>
      <c r="B50" s="5" t="n">
        <v>6</v>
      </c>
      <c r="C50" s="5" t="str">
        <f aca="false">IFERROR(INDEX(Scoring!$AD$5:$AD$337,MATCH($A50&amp;"|"&amp;$B50,Scoring!$AF$5:$AF$337,0)),"")</f>
        <v>Next wave</v>
      </c>
      <c r="D50" s="5" t="str">
        <f aca="false">IFERROR(INDEX(Scoring!$B$5:$B$337,MATCH($A50&amp;"|"&amp;$B50,Scoring!$AF$5:$AF$337,0)),"")</f>
        <v>Cyclophosphamide</v>
      </c>
      <c r="E50" s="5" t="str">
        <f aca="false">IFERROR(INDEX(Scoring!$D$5:$D$337,MATCH($A50&amp;"|"&amp;$B50,Scoring!$AF$5:$AF$337,0)),"")</f>
        <v>Oncology – lymphoma, leukaemia, breast cancer; transplant conditioning</v>
      </c>
      <c r="F50" s="8" t="n">
        <f aca="false">IFERROR(INDEX(Scoring!$U$5:$U$337,MATCH($A50&amp;"|"&amp;$B50,Scoring!$AF$5:$AF$337,0)),"")</f>
        <v>0.609</v>
      </c>
      <c r="G50" s="7" t="n">
        <f aca="false">IFERROR(INDEX(Scoring!$O$5:$O$337,MATCH($A50&amp;"|"&amp;$B50,Scoring!$AF$5:$AF$337,0)),"")</f>
        <v>3871.19720318908</v>
      </c>
      <c r="H50" s="6" t="n">
        <f aca="false">IFERROR(INDEX(Scoring!$N$5:$N$337,MATCH($A50&amp;"|"&amp;$B50,Scoring!$AF$5:$AF$337,0)),"")</f>
        <v>92.75</v>
      </c>
      <c r="I50" s="5" t="n">
        <f aca="false">IFERROR(INDEX(Scoring!$F$5:$F$337,MATCH($A50&amp;"|"&amp;$B50,Scoring!$AF$5:$AF$337,0)),"")</f>
        <v>1</v>
      </c>
      <c r="J50" s="5" t="n">
        <f aca="false">IFERROR(INDEX(Scoring!$E$5:$E$337,MATCH($A50&amp;"|"&amp;$B50,Scoring!$AF$5:$AF$337,0)),"")</f>
        <v>1</v>
      </c>
      <c r="K50" s="5" t="n">
        <f aca="false">IFERROR(INDEX(Scoring!$K$5:$K$337,MATCH($A50&amp;"|"&amp;$B50,Scoring!$AF$5:$AF$337,0)),"")</f>
        <v>2</v>
      </c>
      <c r="L50" s="5" t="n">
        <f aca="false">IFERROR(INDEX(Scoring!$L$5:$L$337,MATCH($A50&amp;"|"&amp;$B50,Scoring!$AF$5:$AF$337,0)),"")</f>
        <v>0</v>
      </c>
      <c r="M50" s="5" t="n">
        <f aca="false">IFERROR(INDEX(Scoring!$M$5:$M$337,MATCH($A50&amp;"|"&amp;$B50,Scoring!$AF$5:$AF$337,0)),"")</f>
        <v>0</v>
      </c>
      <c r="N50" s="5" t="str">
        <f aca="false">IFERROR(INDEX(Scoring!$Y$5:$Y$337,MATCH($A50&amp;"|"&amp;$B50,Scoring!$AF$5:$AF$337,0)),"")</f>
        <v>Yes</v>
      </c>
      <c r="O50" s="5" t="str">
        <f aca="false">IFERROR(INDEX(Scoring!$Z$5:$Z$337,MATCH($A50&amp;"|"&amp;$B50,Scoring!$AF$5:$AF$337,0)),"")</f>
        <v>No</v>
      </c>
      <c r="P50" s="5" t="str">
        <f aca="false">IFERROR(INDEX(Scoring!$AA$5:$AA$337,MATCH($A50&amp;"|"&amp;$B50,Scoring!$AF$5:$AF$337,0)),"")</f>
        <v>Yes</v>
      </c>
      <c r="Q50" s="5" t="str">
        <f aca="false">IFERROR(INDEX(Scoring!$AE$5:$AE$337,MATCH($A50&amp;"|"&amp;$B50,Scoring!$AF$5:$AF$337,0)),"")</f>
        <v>Differentiation in crowded generic market</v>
      </c>
    </row>
    <row r="51" customFormat="false" ht="15" hidden="false" customHeight="false" outlineLevel="0" collapsed="false">
      <c r="A51" s="5" t="s">
        <v>35</v>
      </c>
      <c r="B51" s="5" t="n">
        <v>7</v>
      </c>
      <c r="C51" s="5" t="str">
        <f aca="false">IFERROR(INDEX(Scoring!$AD$5:$AD$337,MATCH($A51&amp;"|"&amp;$B51,Scoring!$AF$5:$AF$337,0)),"")</f>
        <v>Next wave</v>
      </c>
      <c r="D51" s="5" t="str">
        <f aca="false">IFERROR(INDEX(Scoring!$B$5:$B$337,MATCH($A51&amp;"|"&amp;$B51,Scoring!$AF$5:$AF$337,0)),"")</f>
        <v>Melphalan</v>
      </c>
      <c r="E51" s="5" t="str">
        <f aca="false">IFERROR(INDEX(Scoring!$D$5:$D$337,MATCH($A51&amp;"|"&amp;$B51,Scoring!$AF$5:$AF$337,0)),"")</f>
        <v>Oncology – multiple myeloma (stem-cell transplant conditioning)</v>
      </c>
      <c r="F51" s="8" t="n">
        <f aca="false">IFERROR(INDEX(Scoring!$U$5:$U$337,MATCH($A51&amp;"|"&amp;$B51,Scoring!$AF$5:$AF$337,0)),"")</f>
        <v>0.606</v>
      </c>
      <c r="G51" s="7" t="n">
        <f aca="false">IFERROR(INDEX(Scoring!$O$5:$O$337,MATCH($A51&amp;"|"&amp;$B51,Scoring!$AF$5:$AF$337,0)),"")</f>
        <v>2886.00398313027</v>
      </c>
      <c r="H51" s="6" t="n">
        <f aca="false">IFERROR(INDEX(Scoring!$N$5:$N$337,MATCH($A51&amp;"|"&amp;$B51,Scoring!$AF$5:$AF$337,0)),"")</f>
        <v>195.70555</v>
      </c>
      <c r="I51" s="5" t="n">
        <f aca="false">IFERROR(INDEX(Scoring!$F$5:$F$337,MATCH($A51&amp;"|"&amp;$B51,Scoring!$AF$5:$AF$337,0)),"")</f>
        <v>7</v>
      </c>
      <c r="J51" s="5" t="n">
        <f aca="false">IFERROR(INDEX(Scoring!$E$5:$E$337,MATCH($A51&amp;"|"&amp;$B51,Scoring!$AF$5:$AF$337,0)),"")</f>
        <v>32</v>
      </c>
      <c r="K51" s="5" t="n">
        <f aca="false">IFERROR(INDEX(Scoring!$K$5:$K$337,MATCH($A51&amp;"|"&amp;$B51,Scoring!$AF$5:$AF$337,0)),"")</f>
        <v>5</v>
      </c>
      <c r="L51" s="5" t="n">
        <f aca="false">IFERROR(INDEX(Scoring!$L$5:$L$337,MATCH($A51&amp;"|"&amp;$B51,Scoring!$AF$5:$AF$337,0)),"")</f>
        <v>0</v>
      </c>
      <c r="M51" s="5" t="n">
        <f aca="false">IFERROR(INDEX(Scoring!$M$5:$M$337,MATCH($A51&amp;"|"&amp;$B51,Scoring!$AF$5:$AF$337,0)),"")</f>
        <v>0</v>
      </c>
      <c r="N51" s="5" t="str">
        <f aca="false">IFERROR(INDEX(Scoring!$Y$5:$Y$337,MATCH($A51&amp;"|"&amp;$B51,Scoring!$AF$5:$AF$337,0)),"")</f>
        <v>Yes</v>
      </c>
      <c r="O51" s="5" t="str">
        <f aca="false">IFERROR(INDEX(Scoring!$Z$5:$Z$337,MATCH($A51&amp;"|"&amp;$B51,Scoring!$AF$5:$AF$337,0)),"")</f>
        <v>Yes</v>
      </c>
      <c r="P51" s="5" t="str">
        <f aca="false">IFERROR(INDEX(Scoring!$AA$5:$AA$337,MATCH($A51&amp;"|"&amp;$B51,Scoring!$AF$5:$AF$337,0)),"")</f>
        <v>Yes</v>
      </c>
      <c r="Q51" s="5" t="str">
        <f aca="false">IFERROR(INDEX(Scoring!$AE$5:$AE$337,MATCH($A51&amp;"|"&amp;$B51,Scoring!$AF$5:$AF$337,0)),"")</f>
        <v>Differentiation in crowded generic market</v>
      </c>
    </row>
    <row r="52" customFormat="false" ht="15" hidden="false" customHeight="false" outlineLevel="0" collapsed="false">
      <c r="A52" s="5" t="s">
        <v>35</v>
      </c>
      <c r="B52" s="5" t="n">
        <v>8</v>
      </c>
      <c r="C52" s="5" t="str">
        <f aca="false">IFERROR(INDEX(Scoring!$AD$5:$AD$337,MATCH($A52&amp;"|"&amp;$B52,Scoring!$AF$5:$AF$337,0)),"")</f>
        <v>Next wave</v>
      </c>
      <c r="D52" s="5" t="str">
        <f aca="false">IFERROR(INDEX(Scoring!$B$5:$B$337,MATCH($A52&amp;"|"&amp;$B52,Scoring!$AF$5:$AF$337,0)),"")</f>
        <v>Eribulin</v>
      </c>
      <c r="E52" s="5" t="str">
        <f aca="false">IFERROR(INDEX(Scoring!$D$5:$D$337,MATCH($A52&amp;"|"&amp;$B52,Scoring!$AF$5:$AF$337,0)),"")</f>
        <v>Oncology – metastatic breast cancer; liposarcoma</v>
      </c>
      <c r="F52" s="8" t="n">
        <f aca="false">IFERROR(INDEX(Scoring!$U$5:$U$337,MATCH($A52&amp;"|"&amp;$B52,Scoring!$AF$5:$AF$337,0)),"")</f>
        <v>0.581</v>
      </c>
      <c r="G52" s="7" t="n">
        <f aca="false">IFERROR(INDEX(Scoring!$O$5:$O$337,MATCH($A52&amp;"|"&amp;$B52,Scoring!$AF$5:$AF$337,0)),"")</f>
        <v>1874.63</v>
      </c>
      <c r="H52" s="6" t="n">
        <f aca="false">IFERROR(INDEX(Scoring!$N$5:$N$337,MATCH($A52&amp;"|"&amp;$B52,Scoring!$AF$5:$AF$337,0)),"")</f>
        <v>404.5852</v>
      </c>
      <c r="I52" s="5" t="n">
        <f aca="false">IFERROR(INDEX(Scoring!$F$5:$F$337,MATCH($A52&amp;"|"&amp;$B52,Scoring!$AF$5:$AF$337,0)),"")</f>
        <v>5</v>
      </c>
      <c r="J52" s="5" t="n">
        <f aca="false">IFERROR(INDEX(Scoring!$E$5:$E$337,MATCH($A52&amp;"|"&amp;$B52,Scoring!$AF$5:$AF$337,0)),"")</f>
        <v>25</v>
      </c>
      <c r="K52" s="5" t="n">
        <f aca="false">IFERROR(INDEX(Scoring!$K$5:$K$337,MATCH($A52&amp;"|"&amp;$B52,Scoring!$AF$5:$AF$337,0)),"")</f>
        <v>1</v>
      </c>
      <c r="L52" s="5" t="n">
        <f aca="false">IFERROR(INDEX(Scoring!$L$5:$L$337,MATCH($A52&amp;"|"&amp;$B52,Scoring!$AF$5:$AF$337,0)),"")</f>
        <v>0</v>
      </c>
      <c r="M52" s="5" t="n">
        <f aca="false">IFERROR(INDEX(Scoring!$M$5:$M$337,MATCH($A52&amp;"|"&amp;$B52,Scoring!$AF$5:$AF$337,0)),"")</f>
        <v>0</v>
      </c>
      <c r="N52" s="5" t="str">
        <f aca="false">IFERROR(INDEX(Scoring!$Y$5:$Y$337,MATCH($A52&amp;"|"&amp;$B52,Scoring!$AF$5:$AF$337,0)),"")</f>
        <v>Yes</v>
      </c>
      <c r="O52" s="5" t="str">
        <f aca="false">IFERROR(INDEX(Scoring!$Z$5:$Z$337,MATCH($A52&amp;"|"&amp;$B52,Scoring!$AF$5:$AF$337,0)),"")</f>
        <v>No</v>
      </c>
      <c r="P52" s="5" t="str">
        <f aca="false">IFERROR(INDEX(Scoring!$AA$5:$AA$337,MATCH($A52&amp;"|"&amp;$B52,Scoring!$AF$5:$AF$337,0)),"")</f>
        <v>Yes</v>
      </c>
      <c r="Q52" s="5" t="str">
        <f aca="false">IFERROR(INDEX(Scoring!$AE$5:$AE$337,MATCH($A52&amp;"|"&amp;$B52,Scoring!$AF$5:$AF$337,0)),"")</f>
        <v>Differentiation in crowded generic market</v>
      </c>
    </row>
    <row r="53" customFormat="false" ht="15" hidden="false" customHeight="false" outlineLevel="0" collapsed="false">
      <c r="A53" s="5" t="s">
        <v>35</v>
      </c>
      <c r="B53" s="5" t="n">
        <v>9</v>
      </c>
      <c r="C53" s="5" t="str">
        <f aca="false">IFERROR(INDEX(Scoring!$AD$5:$AD$337,MATCH($A53&amp;"|"&amp;$B53,Scoring!$AF$5:$AF$337,0)),"")</f>
        <v>Next wave</v>
      </c>
      <c r="D53" s="5" t="str">
        <f aca="false">IFERROR(INDEX(Scoring!$B$5:$B$337,MATCH($A53&amp;"|"&amp;$B53,Scoring!$AF$5:$AF$337,0)),"")</f>
        <v>Amikacin</v>
      </c>
      <c r="E53" s="5" t="str">
        <f aca="false">IFERROR(INDEX(Scoring!$D$5:$D$337,MATCH($A53&amp;"|"&amp;$B53,Scoring!$AF$5:$AF$337,0)),"")</f>
        <v>Anti-infective – serious/MDR Gram-negative infections; MDR-TB</v>
      </c>
      <c r="F53" s="8" t="n">
        <f aca="false">IFERROR(INDEX(Scoring!$U$5:$U$337,MATCH($A53&amp;"|"&amp;$B53,Scoring!$AF$5:$AF$337,0)),"")</f>
        <v>0.565</v>
      </c>
      <c r="G53" s="7" t="n">
        <f aca="false">IFERROR(INDEX(Scoring!$O$5:$O$337,MATCH($A53&amp;"|"&amp;$B53,Scoring!$AF$5:$AF$337,0)),"")</f>
        <v>8433.58324110672</v>
      </c>
      <c r="H53" s="6" t="n">
        <f aca="false">IFERROR(INDEX(Scoring!$N$5:$N$337,MATCH($A53&amp;"|"&amp;$B53,Scoring!$AF$5:$AF$337,0)),"")</f>
        <v>27.9815666666667</v>
      </c>
      <c r="I53" s="5" t="n">
        <f aca="false">IFERROR(INDEX(Scoring!$F$5:$F$337,MATCH($A53&amp;"|"&amp;$B53,Scoring!$AF$5:$AF$337,0)),"")</f>
        <v>6</v>
      </c>
      <c r="J53" s="5" t="n">
        <f aca="false">IFERROR(INDEX(Scoring!$E$5:$E$337,MATCH($A53&amp;"|"&amp;$B53,Scoring!$AF$5:$AF$337,0)),"")</f>
        <v>32</v>
      </c>
      <c r="K53" s="5" t="n">
        <f aca="false">IFERROR(INDEX(Scoring!$K$5:$K$337,MATCH($A53&amp;"|"&amp;$B53,Scoring!$AF$5:$AF$337,0)),"")</f>
        <v>4</v>
      </c>
      <c r="L53" s="5" t="n">
        <f aca="false">IFERROR(INDEX(Scoring!$L$5:$L$337,MATCH($A53&amp;"|"&amp;$B53,Scoring!$AF$5:$AF$337,0)),"")</f>
        <v>0</v>
      </c>
      <c r="M53" s="5" t="n">
        <f aca="false">IFERROR(INDEX(Scoring!$M$5:$M$337,MATCH($A53&amp;"|"&amp;$B53,Scoring!$AF$5:$AF$337,0)),"")</f>
        <v>0</v>
      </c>
      <c r="N53" s="5" t="str">
        <f aca="false">IFERROR(INDEX(Scoring!$Y$5:$Y$337,MATCH($A53&amp;"|"&amp;$B53,Scoring!$AF$5:$AF$337,0)),"")</f>
        <v>No</v>
      </c>
      <c r="O53" s="5" t="str">
        <f aca="false">IFERROR(INDEX(Scoring!$Z$5:$Z$337,MATCH($A53&amp;"|"&amp;$B53,Scoring!$AF$5:$AF$337,0)),"")</f>
        <v>No</v>
      </c>
      <c r="P53" s="5" t="str">
        <f aca="false">IFERROR(INDEX(Scoring!$AA$5:$AA$337,MATCH($A53&amp;"|"&amp;$B53,Scoring!$AF$5:$AF$337,0)),"")</f>
        <v>No</v>
      </c>
      <c r="Q53" s="5" t="str">
        <f aca="false">IFERROR(INDEX(Scoring!$AE$5:$AE$337,MATCH($A53&amp;"|"&amp;$B53,Scoring!$AF$5:$AF$337,0)),"")</f>
        <v>Safety-device mandate compliance</v>
      </c>
    </row>
    <row r="54" customFormat="false" ht="15" hidden="false" customHeight="false" outlineLevel="0" collapsed="false">
      <c r="A54" s="5" t="s">
        <v>35</v>
      </c>
      <c r="B54" s="5" t="n">
        <v>10</v>
      </c>
      <c r="C54" s="5" t="str">
        <f aca="false">IFERROR(INDEX(Scoring!$AD$5:$AD$337,MATCH($A54&amp;"|"&amp;$B54,Scoring!$AF$5:$AF$337,0)),"")</f>
        <v>Next wave</v>
      </c>
      <c r="D54" s="5" t="str">
        <f aca="false">IFERROR(INDEX(Scoring!$B$5:$B$337,MATCH($A54&amp;"|"&amp;$B54,Scoring!$AF$5:$AF$337,0)),"")</f>
        <v>Pentamidine</v>
      </c>
      <c r="E54" s="5" t="str">
        <f aca="false">IFERROR(INDEX(Scoring!$D$5:$D$337,MATCH($A54&amp;"|"&amp;$B54,Scoring!$AF$5:$AF$337,0)),"")</f>
        <v>Anti-infective – Pneumocystis pneumonia; leishmaniasis</v>
      </c>
      <c r="F54" s="8" t="n">
        <f aca="false">IFERROR(INDEX(Scoring!$U$5:$U$337,MATCH($A54&amp;"|"&amp;$B54,Scoring!$AF$5:$AF$337,0)),"")</f>
        <v>0.529</v>
      </c>
      <c r="G54" s="7" t="n">
        <f aca="false">IFERROR(INDEX(Scoring!$O$5:$O$337,MATCH($A54&amp;"|"&amp;$B54,Scoring!$AF$5:$AF$337,0)),"")</f>
        <v>1651.98</v>
      </c>
      <c r="H54" s="6" t="n">
        <f aca="false">IFERROR(INDEX(Scoring!$N$5:$N$337,MATCH($A54&amp;"|"&amp;$B54,Scoring!$AF$5:$AF$337,0)),"")</f>
        <v>186.042133333333</v>
      </c>
      <c r="I54" s="5" t="n">
        <f aca="false">IFERROR(INDEX(Scoring!$F$5:$F$337,MATCH($A54&amp;"|"&amp;$B54,Scoring!$AF$5:$AF$337,0)),"")</f>
        <v>7</v>
      </c>
      <c r="J54" s="5" t="n">
        <f aca="false">IFERROR(INDEX(Scoring!$E$5:$E$337,MATCH($A54&amp;"|"&amp;$B54,Scoring!$AF$5:$AF$337,0)),"")</f>
        <v>16</v>
      </c>
      <c r="K54" s="5" t="n">
        <f aca="false">IFERROR(INDEX(Scoring!$K$5:$K$337,MATCH($A54&amp;"|"&amp;$B54,Scoring!$AF$5:$AF$337,0)),"")</f>
        <v>4</v>
      </c>
      <c r="L54" s="5" t="n">
        <f aca="false">IFERROR(INDEX(Scoring!$L$5:$L$337,MATCH($A54&amp;"|"&amp;$B54,Scoring!$AF$5:$AF$337,0)),"")</f>
        <v>0</v>
      </c>
      <c r="M54" s="5" t="n">
        <f aca="false">IFERROR(INDEX(Scoring!$M$5:$M$337,MATCH($A54&amp;"|"&amp;$B54,Scoring!$AF$5:$AF$337,0)),"")</f>
        <v>0</v>
      </c>
      <c r="N54" s="5" t="str">
        <f aca="false">IFERROR(INDEX(Scoring!$Y$5:$Y$337,MATCH($A54&amp;"|"&amp;$B54,Scoring!$AF$5:$AF$337,0)),"")</f>
        <v>No</v>
      </c>
      <c r="O54" s="5" t="str">
        <f aca="false">IFERROR(INDEX(Scoring!$Z$5:$Z$337,MATCH($A54&amp;"|"&amp;$B54,Scoring!$AF$5:$AF$337,0)),"")</f>
        <v>Yes</v>
      </c>
      <c r="P54" s="5" t="str">
        <f aca="false">IFERROR(INDEX(Scoring!$AA$5:$AA$337,MATCH($A54&amp;"|"&amp;$B54,Scoring!$AF$5:$AF$337,0)),"")</f>
        <v>No</v>
      </c>
      <c r="Q54" s="5" t="str">
        <f aca="false">IFERROR(INDEX(Scoring!$AE$5:$AE$337,MATCH($A54&amp;"|"&amp;$B54,Scoring!$AF$5:$AF$337,0)),"")</f>
        <v>Safety-device mandate compliance</v>
      </c>
    </row>
    <row r="55" customFormat="false" ht="15" hidden="false" customHeight="false" outlineLevel="0" collapsed="false">
      <c r="A55" s="14" t="s">
        <v>56</v>
      </c>
      <c r="B55" s="14" t="n">
        <v>1</v>
      </c>
      <c r="C55" s="14" t="str">
        <f aca="false">IFERROR(INDEX(Scoring!$AD$5:$AD$337,MATCH($A55&amp;"|"&amp;$B55,Scoring!$AF$5:$AF$337,0)),"")</f>
        <v>Lead</v>
      </c>
      <c r="D55" s="14" t="str">
        <f aca="false">IFERROR(INDEX(Scoring!$B$5:$B$337,MATCH($A55&amp;"|"&amp;$B55,Scoring!$AF$5:$AF$337,0)),"")</f>
        <v>Azacitidine</v>
      </c>
      <c r="E55" s="14" t="str">
        <f aca="false">IFERROR(INDEX(Scoring!$D$5:$D$337,MATCH($A55&amp;"|"&amp;$B55,Scoring!$AF$5:$AF$337,0)),"")</f>
        <v>Oncology – myelodysplastic syndromes (MDS) &amp; AML</v>
      </c>
      <c r="F55" s="15" t="n">
        <f aca="false">IFERROR(INDEX(Scoring!$U$5:$U$337,MATCH($A55&amp;"|"&amp;$B55,Scoring!$AF$5:$AF$337,0)),"")</f>
        <v>0.904</v>
      </c>
      <c r="G55" s="16" t="n">
        <f aca="false">IFERROR(INDEX(Scoring!$O$5:$O$337,MATCH($A55&amp;"|"&amp;$B55,Scoring!$AF$5:$AF$337,0)),"")</f>
        <v>42181.730172451</v>
      </c>
      <c r="H55" s="17" t="n">
        <f aca="false">IFERROR(INDEX(Scoring!$N$5:$N$337,MATCH($A55&amp;"|"&amp;$B55,Scoring!$AF$5:$AF$337,0)),"")</f>
        <v>397.421</v>
      </c>
      <c r="I55" s="14" t="n">
        <f aca="false">IFERROR(INDEX(Scoring!$F$5:$F$337,MATCH($A55&amp;"|"&amp;$B55,Scoring!$AF$5:$AF$337,0)),"")</f>
        <v>5</v>
      </c>
      <c r="J55" s="14" t="n">
        <f aca="false">IFERROR(INDEX(Scoring!$E$5:$E$337,MATCH($A55&amp;"|"&amp;$B55,Scoring!$AF$5:$AF$337,0)),"")</f>
        <v>30</v>
      </c>
      <c r="K55" s="14" t="n">
        <f aca="false">IFERROR(INDEX(Scoring!$K$5:$K$337,MATCH($A55&amp;"|"&amp;$B55,Scoring!$AF$5:$AF$337,0)),"")</f>
        <v>1</v>
      </c>
      <c r="L55" s="14" t="n">
        <f aca="false">IFERROR(INDEX(Scoring!$L$5:$L$337,MATCH($A55&amp;"|"&amp;$B55,Scoring!$AF$5:$AF$337,0)),"")</f>
        <v>0</v>
      </c>
      <c r="M55" s="14" t="n">
        <f aca="false">IFERROR(INDEX(Scoring!$M$5:$M$337,MATCH($A55&amp;"|"&amp;$B55,Scoring!$AF$5:$AF$337,0)),"")</f>
        <v>0</v>
      </c>
      <c r="N55" s="14" t="str">
        <f aca="false">IFERROR(INDEX(Scoring!$Y$5:$Y$337,MATCH($A55&amp;"|"&amp;$B55,Scoring!$AF$5:$AF$337,0)),"")</f>
        <v>Yes</v>
      </c>
      <c r="O55" s="14" t="str">
        <f aca="false">IFERROR(INDEX(Scoring!$Z$5:$Z$337,MATCH($A55&amp;"|"&amp;$B55,Scoring!$AF$5:$AF$337,0)),"")</f>
        <v>Yes</v>
      </c>
      <c r="P55" s="14" t="str">
        <f aca="false">IFERROR(INDEX(Scoring!$AA$5:$AA$337,MATCH($A55&amp;"|"&amp;$B55,Scoring!$AF$5:$AF$337,0)),"")</f>
        <v>Yes</v>
      </c>
      <c r="Q55" s="14" t="str">
        <f aca="false">IFERROR(INDEX(Scoring!$AE$5:$AE$337,MATCH($A55&amp;"|"&amp;$B55,Scoring!$AF$5:$AF$337,0)),"")</f>
        <v>Differentiation in crowded generic market</v>
      </c>
    </row>
    <row r="56" customFormat="false" ht="15" hidden="false" customHeight="false" outlineLevel="0" collapsed="false">
      <c r="A56" s="5" t="s">
        <v>56</v>
      </c>
      <c r="B56" s="5" t="n">
        <v>2</v>
      </c>
      <c r="C56" s="5" t="str">
        <f aca="false">IFERROR(INDEX(Scoring!$AD$5:$AD$337,MATCH($A56&amp;"|"&amp;$B56,Scoring!$AF$5:$AF$337,0)),"")</f>
        <v>Lead</v>
      </c>
      <c r="D56" s="5" t="str">
        <f aca="false">IFERROR(INDEX(Scoring!$B$5:$B$337,MATCH($A56&amp;"|"&amp;$B56,Scoring!$AF$5:$AF$337,0)),"")</f>
        <v>Plerixafor</v>
      </c>
      <c r="E56" s="5" t="str">
        <f aca="false">IFERROR(INDEX(Scoring!$D$5:$D$337,MATCH($A56&amp;"|"&amp;$B56,Scoring!$AF$5:$AF$337,0)),"")</f>
        <v>Oncology supportive – stem-cell mobilisation (myeloma, lymphoma)</v>
      </c>
      <c r="F56" s="8" t="n">
        <f aca="false">IFERROR(INDEX(Scoring!$U$5:$U$337,MATCH($A56&amp;"|"&amp;$B56,Scoring!$AF$5:$AF$337,0)),"")</f>
        <v>0.8255</v>
      </c>
      <c r="G56" s="7" t="n">
        <f aca="false">IFERROR(INDEX(Scoring!$O$5:$O$337,MATCH($A56&amp;"|"&amp;$B56,Scoring!$AF$5:$AF$337,0)),"")</f>
        <v>7904.67</v>
      </c>
      <c r="H56" s="6" t="n">
        <f aca="false">IFERROR(INDEX(Scoring!$N$5:$N$337,MATCH($A56&amp;"|"&amp;$B56,Scoring!$AF$5:$AF$337,0)),"")</f>
        <v>7322.4226</v>
      </c>
      <c r="I56" s="5" t="n">
        <f aca="false">IFERROR(INDEX(Scoring!$F$5:$F$337,MATCH($A56&amp;"|"&amp;$B56,Scoring!$AF$5:$AF$337,0)),"")</f>
        <v>4</v>
      </c>
      <c r="J56" s="5" t="n">
        <f aca="false">IFERROR(INDEX(Scoring!$E$5:$E$337,MATCH($A56&amp;"|"&amp;$B56,Scoring!$AF$5:$AF$337,0)),"")</f>
        <v>25</v>
      </c>
      <c r="K56" s="5" t="n">
        <f aca="false">IFERROR(INDEX(Scoring!$K$5:$K$337,MATCH($A56&amp;"|"&amp;$B56,Scoring!$AF$5:$AF$337,0)),"")</f>
        <v>1</v>
      </c>
      <c r="L56" s="5" t="n">
        <f aca="false">IFERROR(INDEX(Scoring!$L$5:$L$337,MATCH($A56&amp;"|"&amp;$B56,Scoring!$AF$5:$AF$337,0)),"")</f>
        <v>0</v>
      </c>
      <c r="M56" s="5" t="n">
        <f aca="false">IFERROR(INDEX(Scoring!$M$5:$M$337,MATCH($A56&amp;"|"&amp;$B56,Scoring!$AF$5:$AF$337,0)),"")</f>
        <v>0</v>
      </c>
      <c r="N56" s="5" t="str">
        <f aca="false">IFERROR(INDEX(Scoring!$Y$5:$Y$337,MATCH($A56&amp;"|"&amp;$B56,Scoring!$AF$5:$AF$337,0)),"")</f>
        <v>No</v>
      </c>
      <c r="O56" s="5" t="str">
        <f aca="false">IFERROR(INDEX(Scoring!$Z$5:$Z$337,MATCH($A56&amp;"|"&amp;$B56,Scoring!$AF$5:$AF$337,0)),"")</f>
        <v>No</v>
      </c>
      <c r="P56" s="5" t="str">
        <f aca="false">IFERROR(INDEX(Scoring!$AA$5:$AA$337,MATCH($A56&amp;"|"&amp;$B56,Scoring!$AF$5:$AF$337,0)),"")</f>
        <v>Yes</v>
      </c>
      <c r="Q56" s="5" t="str">
        <f aca="false">IFERROR(INDEX(Scoring!$AE$5:$AE$337,MATCH($A56&amp;"|"&amp;$B56,Scoring!$AF$5:$AF$337,0)),"")</f>
        <v>Differentiation in crowded generic market</v>
      </c>
    </row>
    <row r="57" customFormat="false" ht="15" hidden="false" customHeight="false" outlineLevel="0" collapsed="false">
      <c r="A57" s="5" t="s">
        <v>56</v>
      </c>
      <c r="B57" s="5" t="n">
        <v>3</v>
      </c>
      <c r="C57" s="5" t="str">
        <f aca="false">IFERROR(INDEX(Scoring!$AD$5:$AD$337,MATCH($A57&amp;"|"&amp;$B57,Scoring!$AF$5:$AF$337,0)),"")</f>
        <v>Lead</v>
      </c>
      <c r="D57" s="5" t="str">
        <f aca="false">IFERROR(INDEX(Scoring!$B$5:$B$337,MATCH($A57&amp;"|"&amp;$B57,Scoring!$AF$5:$AF$337,0)),"")</f>
        <v>Fulvestrant</v>
      </c>
      <c r="E57" s="5" t="str">
        <f aca="false">IFERROR(INDEX(Scoring!$D$5:$D$337,MATCH($A57&amp;"|"&amp;$B57,Scoring!$AF$5:$AF$337,0)),"")</f>
        <v>Oncology – HR+ advanced breast cancer</v>
      </c>
      <c r="F57" s="8" t="n">
        <f aca="false">IFERROR(INDEX(Scoring!$U$5:$U$337,MATCH($A57&amp;"|"&amp;$B57,Scoring!$AF$5:$AF$337,0)),"")</f>
        <v>0.7845</v>
      </c>
      <c r="G57" s="7" t="n">
        <f aca="false">IFERROR(INDEX(Scoring!$O$5:$O$337,MATCH($A57&amp;"|"&amp;$B57,Scoring!$AF$5:$AF$337,0)),"")</f>
        <v>11366.06</v>
      </c>
      <c r="H57" s="6" t="n">
        <f aca="false">IFERROR(INDEX(Scoring!$N$5:$N$337,MATCH($A57&amp;"|"&amp;$B57,Scoring!$AF$5:$AF$337,0)),"")</f>
        <v>302.3828</v>
      </c>
      <c r="I57" s="5" t="n">
        <f aca="false">IFERROR(INDEX(Scoring!$F$5:$F$337,MATCH($A57&amp;"|"&amp;$B57,Scoring!$AF$5:$AF$337,0)),"")</f>
        <v>7</v>
      </c>
      <c r="J57" s="5" t="n">
        <f aca="false">IFERROR(INDEX(Scoring!$E$5:$E$337,MATCH($A57&amp;"|"&amp;$B57,Scoring!$AF$5:$AF$337,0)),"")</f>
        <v>33</v>
      </c>
      <c r="K57" s="5" t="n">
        <f aca="false">IFERROR(INDEX(Scoring!$K$5:$K$337,MATCH($A57&amp;"|"&amp;$B57,Scoring!$AF$5:$AF$337,0)),"")</f>
        <v>0</v>
      </c>
      <c r="L57" s="5" t="n">
        <f aca="false">IFERROR(INDEX(Scoring!$L$5:$L$337,MATCH($A57&amp;"|"&amp;$B57,Scoring!$AF$5:$AF$337,0)),"")</f>
        <v>0</v>
      </c>
      <c r="M57" s="5" t="n">
        <f aca="false">IFERROR(INDEX(Scoring!$M$5:$M$337,MATCH($A57&amp;"|"&amp;$B57,Scoring!$AF$5:$AF$337,0)),"")</f>
        <v>3</v>
      </c>
      <c r="N57" s="5" t="str">
        <f aca="false">IFERROR(INDEX(Scoring!$Y$5:$Y$337,MATCH($A57&amp;"|"&amp;$B57,Scoring!$AF$5:$AF$337,0)),"")</f>
        <v>No</v>
      </c>
      <c r="O57" s="5" t="str">
        <f aca="false">IFERROR(INDEX(Scoring!$Z$5:$Z$337,MATCH($A57&amp;"|"&amp;$B57,Scoring!$AF$5:$AF$337,0)),"")</f>
        <v>No</v>
      </c>
      <c r="P57" s="5" t="str">
        <f aca="false">IFERROR(INDEX(Scoring!$AA$5:$AA$337,MATCH($A57&amp;"|"&amp;$B57,Scoring!$AF$5:$AF$337,0)),"")</f>
        <v>Yes</v>
      </c>
      <c r="Q57" s="5" t="str">
        <f aca="false">IFERROR(INDEX(Scoring!$AE$5:$AE$337,MATCH($A57&amp;"|"&amp;$B57,Scoring!$AF$5:$AF$337,0)),"")</f>
        <v>Safety upgrade of existing prefilled syringe</v>
      </c>
    </row>
    <row r="58" customFormat="false" ht="15" hidden="false" customHeight="false" outlineLevel="0" collapsed="false">
      <c r="A58" s="5" t="s">
        <v>56</v>
      </c>
      <c r="B58" s="5" t="n">
        <v>4</v>
      </c>
      <c r="C58" s="5" t="str">
        <f aca="false">IFERROR(INDEX(Scoring!$AD$5:$AD$337,MATCH($A58&amp;"|"&amp;$B58,Scoring!$AF$5:$AF$337,0)),"")</f>
        <v>Lead</v>
      </c>
      <c r="D58" s="5" t="str">
        <f aca="false">IFERROR(INDEX(Scoring!$B$5:$B$337,MATCH($A58&amp;"|"&amp;$B58,Scoring!$AF$5:$AF$337,0)),"")</f>
        <v>Sugammadex</v>
      </c>
      <c r="E58" s="5" t="str">
        <f aca="false">IFERROR(INDEX(Scoring!$D$5:$D$337,MATCH($A58&amp;"|"&amp;$B58,Scoring!$AF$5:$AF$337,0)),"")</f>
        <v>Anaesthesia – reversal of rocuronium/vecuronium muscle relaxation</v>
      </c>
      <c r="F58" s="8" t="n">
        <f aca="false">IFERROR(INDEX(Scoring!$U$5:$U$337,MATCH($A58&amp;"|"&amp;$B58,Scoring!$AF$5:$AF$337,0)),"")</f>
        <v>0.7585</v>
      </c>
      <c r="G58" s="7" t="n">
        <f aca="false">IFERROR(INDEX(Scoring!$O$5:$O$337,MATCH($A58&amp;"|"&amp;$B58,Scoring!$AF$5:$AF$337,0)),"")</f>
        <v>32830.17</v>
      </c>
      <c r="H58" s="6" t="n">
        <f aca="false">IFERROR(INDEX(Scoring!$N$5:$N$337,MATCH($A58&amp;"|"&amp;$B58,Scoring!$AF$5:$AF$337,0)),"")</f>
        <v>79.5349</v>
      </c>
      <c r="I58" s="5" t="n">
        <f aca="false">IFERROR(INDEX(Scoring!$F$5:$F$337,MATCH($A58&amp;"|"&amp;$B58,Scoring!$AF$5:$AF$337,0)),"")</f>
        <v>6</v>
      </c>
      <c r="J58" s="5" t="n">
        <f aca="false">IFERROR(INDEX(Scoring!$E$5:$E$337,MATCH($A58&amp;"|"&amp;$B58,Scoring!$AF$5:$AF$337,0)),"")</f>
        <v>32</v>
      </c>
      <c r="K58" s="5" t="n">
        <f aca="false">IFERROR(INDEX(Scoring!$K$5:$K$337,MATCH($A58&amp;"|"&amp;$B58,Scoring!$AF$5:$AF$337,0)),"")</f>
        <v>2</v>
      </c>
      <c r="L58" s="5" t="n">
        <f aca="false">IFERROR(INDEX(Scoring!$L$5:$L$337,MATCH($A58&amp;"|"&amp;$B58,Scoring!$AF$5:$AF$337,0)),"")</f>
        <v>0</v>
      </c>
      <c r="M58" s="5" t="n">
        <f aca="false">IFERROR(INDEX(Scoring!$M$5:$M$337,MATCH($A58&amp;"|"&amp;$B58,Scoring!$AF$5:$AF$337,0)),"")</f>
        <v>0</v>
      </c>
      <c r="N58" s="5" t="str">
        <f aca="false">IFERROR(INDEX(Scoring!$Y$5:$Y$337,MATCH($A58&amp;"|"&amp;$B58,Scoring!$AF$5:$AF$337,0)),"")</f>
        <v>No</v>
      </c>
      <c r="O58" s="5" t="str">
        <f aca="false">IFERROR(INDEX(Scoring!$Z$5:$Z$337,MATCH($A58&amp;"|"&amp;$B58,Scoring!$AF$5:$AF$337,0)),"")</f>
        <v>No</v>
      </c>
      <c r="P58" s="5" t="str">
        <f aca="false">IFERROR(INDEX(Scoring!$AA$5:$AA$337,MATCH($A58&amp;"|"&amp;$B58,Scoring!$AF$5:$AF$337,0)),"")</f>
        <v>Yes</v>
      </c>
      <c r="Q58" s="5" t="str">
        <f aca="false">IFERROR(INDEX(Scoring!$AE$5:$AE$337,MATCH($A58&amp;"|"&amp;$B58,Scoring!$AF$5:$AF$337,0)),"")</f>
        <v>Differentiation in crowded generic market</v>
      </c>
    </row>
    <row r="59" customFormat="false" ht="15" hidden="false" customHeight="false" outlineLevel="0" collapsed="false">
      <c r="A59" s="5" t="s">
        <v>56</v>
      </c>
      <c r="B59" s="5" t="n">
        <v>5</v>
      </c>
      <c r="C59" s="5" t="str">
        <f aca="false">IFERROR(INDEX(Scoring!$AD$5:$AD$337,MATCH($A59&amp;"|"&amp;$B59,Scoring!$AF$5:$AF$337,0)),"")</f>
        <v>Lead</v>
      </c>
      <c r="D59" s="5" t="str">
        <f aca="false">IFERROR(INDEX(Scoring!$B$5:$B$337,MATCH($A59&amp;"|"&amp;$B59,Scoring!$AF$5:$AF$337,0)),"")</f>
        <v>Bortezomib</v>
      </c>
      <c r="E59" s="5" t="str">
        <f aca="false">IFERROR(INDEX(Scoring!$D$5:$D$337,MATCH($A59&amp;"|"&amp;$B59,Scoring!$AF$5:$AF$337,0)),"")</f>
        <v>Oncology – multiple myeloma &amp; mantle cell lymphoma</v>
      </c>
      <c r="F59" s="8" t="n">
        <f aca="false">IFERROR(INDEX(Scoring!$U$5:$U$337,MATCH($A59&amp;"|"&amp;$B59,Scoring!$AF$5:$AF$337,0)),"")</f>
        <v>0.7295</v>
      </c>
      <c r="G59" s="7" t="n">
        <f aca="false">IFERROR(INDEX(Scoring!$O$5:$O$337,MATCH($A59&amp;"|"&amp;$B59,Scoring!$AF$5:$AF$337,0)),"")</f>
        <v>28093.38</v>
      </c>
      <c r="H59" s="6" t="n">
        <f aca="false">IFERROR(INDEX(Scoring!$N$5:$N$337,MATCH($A59&amp;"|"&amp;$B59,Scoring!$AF$5:$AF$337,0)),"")</f>
        <v>64.9138666666667</v>
      </c>
      <c r="I59" s="5" t="n">
        <f aca="false">IFERROR(INDEX(Scoring!$F$5:$F$337,MATCH($A59&amp;"|"&amp;$B59,Scoring!$AF$5:$AF$337,0)),"")</f>
        <v>5</v>
      </c>
      <c r="J59" s="5" t="n">
        <f aca="false">IFERROR(INDEX(Scoring!$E$5:$E$337,MATCH($A59&amp;"|"&amp;$B59,Scoring!$AF$5:$AF$337,0)),"")</f>
        <v>30</v>
      </c>
      <c r="K59" s="5" t="n">
        <f aca="false">IFERROR(INDEX(Scoring!$K$5:$K$337,MATCH($A59&amp;"|"&amp;$B59,Scoring!$AF$5:$AF$337,0)),"")</f>
        <v>3</v>
      </c>
      <c r="L59" s="5" t="n">
        <f aca="false">IFERROR(INDEX(Scoring!$L$5:$L$337,MATCH($A59&amp;"|"&amp;$B59,Scoring!$AF$5:$AF$337,0)),"")</f>
        <v>0</v>
      </c>
      <c r="M59" s="5" t="n">
        <f aca="false">IFERROR(INDEX(Scoring!$M$5:$M$337,MATCH($A59&amp;"|"&amp;$B59,Scoring!$AF$5:$AF$337,0)),"")</f>
        <v>0</v>
      </c>
      <c r="N59" s="5" t="str">
        <f aca="false">IFERROR(INDEX(Scoring!$Y$5:$Y$337,MATCH($A59&amp;"|"&amp;$B59,Scoring!$AF$5:$AF$337,0)),"")</f>
        <v>Yes</v>
      </c>
      <c r="O59" s="5" t="str">
        <f aca="false">IFERROR(INDEX(Scoring!$Z$5:$Z$337,MATCH($A59&amp;"|"&amp;$B59,Scoring!$AF$5:$AF$337,0)),"")</f>
        <v>Yes</v>
      </c>
      <c r="P59" s="5" t="str">
        <f aca="false">IFERROR(INDEX(Scoring!$AA$5:$AA$337,MATCH($A59&amp;"|"&amp;$B59,Scoring!$AF$5:$AF$337,0)),"")</f>
        <v>Yes</v>
      </c>
      <c r="Q59" s="5" t="str">
        <f aca="false">IFERROR(INDEX(Scoring!$AE$5:$AE$337,MATCH($A59&amp;"|"&amp;$B59,Scoring!$AF$5:$AF$337,0)),"")</f>
        <v>Differentiation in crowded generic market</v>
      </c>
    </row>
    <row r="60" customFormat="false" ht="15" hidden="false" customHeight="false" outlineLevel="0" collapsed="false">
      <c r="A60" s="5" t="s">
        <v>56</v>
      </c>
      <c r="B60" s="5" t="n">
        <v>6</v>
      </c>
      <c r="C60" s="5" t="str">
        <f aca="false">IFERROR(INDEX(Scoring!$AD$5:$AD$337,MATCH($A60&amp;"|"&amp;$B60,Scoring!$AF$5:$AF$337,0)),"")</f>
        <v>Next wave</v>
      </c>
      <c r="D60" s="5" t="str">
        <f aca="false">IFERROR(INDEX(Scoring!$B$5:$B$337,MATCH($A60&amp;"|"&amp;$B60,Scoring!$AF$5:$AF$337,0)),"")</f>
        <v>Eribulin</v>
      </c>
      <c r="E60" s="5" t="str">
        <f aca="false">IFERROR(INDEX(Scoring!$D$5:$D$337,MATCH($A60&amp;"|"&amp;$B60,Scoring!$AF$5:$AF$337,0)),"")</f>
        <v>Oncology – metastatic breast cancer; liposarcoma</v>
      </c>
      <c r="F60" s="8" t="n">
        <f aca="false">IFERROR(INDEX(Scoring!$U$5:$U$337,MATCH($A60&amp;"|"&amp;$B60,Scoring!$AF$5:$AF$337,0)),"")</f>
        <v>0.579</v>
      </c>
      <c r="G60" s="7" t="n">
        <f aca="false">IFERROR(INDEX(Scoring!$O$5:$O$337,MATCH($A60&amp;"|"&amp;$B60,Scoring!$AF$5:$AF$337,0)),"")</f>
        <v>1874.63</v>
      </c>
      <c r="H60" s="6" t="n">
        <f aca="false">IFERROR(INDEX(Scoring!$N$5:$N$337,MATCH($A60&amp;"|"&amp;$B60,Scoring!$AF$5:$AF$337,0)),"")</f>
        <v>400.862166666667</v>
      </c>
      <c r="I60" s="5" t="n">
        <f aca="false">IFERROR(INDEX(Scoring!$F$5:$F$337,MATCH($A60&amp;"|"&amp;$B60,Scoring!$AF$5:$AF$337,0)),"")</f>
        <v>7</v>
      </c>
      <c r="J60" s="5" t="n">
        <f aca="false">IFERROR(INDEX(Scoring!$E$5:$E$337,MATCH($A60&amp;"|"&amp;$B60,Scoring!$AF$5:$AF$337,0)),"")</f>
        <v>27</v>
      </c>
      <c r="K60" s="5" t="n">
        <f aca="false">IFERROR(INDEX(Scoring!$K$5:$K$337,MATCH($A60&amp;"|"&amp;$B60,Scoring!$AF$5:$AF$337,0)),"")</f>
        <v>3</v>
      </c>
      <c r="L60" s="5" t="n">
        <f aca="false">IFERROR(INDEX(Scoring!$L$5:$L$337,MATCH($A60&amp;"|"&amp;$B60,Scoring!$AF$5:$AF$337,0)),"")</f>
        <v>0</v>
      </c>
      <c r="M60" s="5" t="n">
        <f aca="false">IFERROR(INDEX(Scoring!$M$5:$M$337,MATCH($A60&amp;"|"&amp;$B60,Scoring!$AF$5:$AF$337,0)),"")</f>
        <v>0</v>
      </c>
      <c r="N60" s="5" t="str">
        <f aca="false">IFERROR(INDEX(Scoring!$Y$5:$Y$337,MATCH($A60&amp;"|"&amp;$B60,Scoring!$AF$5:$AF$337,0)),"")</f>
        <v>Yes</v>
      </c>
      <c r="O60" s="5" t="str">
        <f aca="false">IFERROR(INDEX(Scoring!$Z$5:$Z$337,MATCH($A60&amp;"|"&amp;$B60,Scoring!$AF$5:$AF$337,0)),"")</f>
        <v>No</v>
      </c>
      <c r="P60" s="5" t="str">
        <f aca="false">IFERROR(INDEX(Scoring!$AA$5:$AA$337,MATCH($A60&amp;"|"&amp;$B60,Scoring!$AF$5:$AF$337,0)),"")</f>
        <v>Yes</v>
      </c>
      <c r="Q60" s="5" t="str">
        <f aca="false">IFERROR(INDEX(Scoring!$AE$5:$AE$337,MATCH($A60&amp;"|"&amp;$B60,Scoring!$AF$5:$AF$337,0)),"")</f>
        <v>Differentiation in crowded generic market</v>
      </c>
    </row>
    <row r="61" customFormat="false" ht="15" hidden="false" customHeight="false" outlineLevel="0" collapsed="false">
      <c r="A61" s="5" t="s">
        <v>56</v>
      </c>
      <c r="B61" s="5" t="n">
        <v>7</v>
      </c>
      <c r="C61" s="5" t="str">
        <f aca="false">IFERROR(INDEX(Scoring!$AD$5:$AD$337,MATCH($A61&amp;"|"&amp;$B61,Scoring!$AF$5:$AF$337,0)),"")</f>
        <v/>
      </c>
      <c r="D61" s="5" t="str">
        <f aca="false">IFERROR(INDEX(Scoring!$B$5:$B$337,MATCH($A61&amp;"|"&amp;$B61,Scoring!$AF$5:$AF$337,0)),"")</f>
        <v/>
      </c>
      <c r="E61" s="5" t="str">
        <f aca="false">IFERROR(INDEX(Scoring!$D$5:$D$337,MATCH($A61&amp;"|"&amp;$B61,Scoring!$AF$5:$AF$337,0)),"")</f>
        <v/>
      </c>
      <c r="F61" s="8" t="str">
        <f aca="false">IFERROR(INDEX(Scoring!$U$5:$U$337,MATCH($A61&amp;"|"&amp;$B61,Scoring!$AF$5:$AF$337,0)),"")</f>
        <v/>
      </c>
      <c r="G61" s="7" t="str">
        <f aca="false">IFERROR(INDEX(Scoring!$O$5:$O$337,MATCH($A61&amp;"|"&amp;$B61,Scoring!$AF$5:$AF$337,0)),"")</f>
        <v/>
      </c>
      <c r="H61" s="6" t="str">
        <f aca="false">IFERROR(INDEX(Scoring!$N$5:$N$337,MATCH($A61&amp;"|"&amp;$B61,Scoring!$AF$5:$AF$337,0)),"")</f>
        <v/>
      </c>
      <c r="I61" s="5" t="str">
        <f aca="false">IFERROR(INDEX(Scoring!$F$5:$F$337,MATCH($A61&amp;"|"&amp;$B61,Scoring!$AF$5:$AF$337,0)),"")</f>
        <v/>
      </c>
      <c r="J61" s="5" t="str">
        <f aca="false">IFERROR(INDEX(Scoring!$E$5:$E$337,MATCH($A61&amp;"|"&amp;$B61,Scoring!$AF$5:$AF$337,0)),"")</f>
        <v/>
      </c>
      <c r="K61" s="5" t="str">
        <f aca="false">IFERROR(INDEX(Scoring!$K$5:$K$337,MATCH($A61&amp;"|"&amp;$B61,Scoring!$AF$5:$AF$337,0)),"")</f>
        <v/>
      </c>
      <c r="L61" s="5" t="str">
        <f aca="false">IFERROR(INDEX(Scoring!$L$5:$L$337,MATCH($A61&amp;"|"&amp;$B61,Scoring!$AF$5:$AF$337,0)),"")</f>
        <v/>
      </c>
      <c r="M61" s="5" t="str">
        <f aca="false">IFERROR(INDEX(Scoring!$M$5:$M$337,MATCH($A61&amp;"|"&amp;$B61,Scoring!$AF$5:$AF$337,0)),"")</f>
        <v/>
      </c>
      <c r="N61" s="5" t="str">
        <f aca="false">IFERROR(INDEX(Scoring!$Y$5:$Y$337,MATCH($A61&amp;"|"&amp;$B61,Scoring!$AF$5:$AF$337,0)),"")</f>
        <v/>
      </c>
      <c r="O61" s="5" t="str">
        <f aca="false">IFERROR(INDEX(Scoring!$Z$5:$Z$337,MATCH($A61&amp;"|"&amp;$B61,Scoring!$AF$5:$AF$337,0)),"")</f>
        <v/>
      </c>
      <c r="P61" s="5" t="str">
        <f aca="false">IFERROR(INDEX(Scoring!$AA$5:$AA$337,MATCH($A61&amp;"|"&amp;$B61,Scoring!$AF$5:$AF$337,0)),"")</f>
        <v/>
      </c>
      <c r="Q61" s="5" t="str">
        <f aca="false">IFERROR(INDEX(Scoring!$AE$5:$AE$337,MATCH($A61&amp;"|"&amp;$B61,Scoring!$AF$5:$AF$337,0)),"")</f>
        <v/>
      </c>
    </row>
    <row r="62" customFormat="false" ht="15" hidden="false" customHeight="false" outlineLevel="0" collapsed="false">
      <c r="A62" s="5" t="s">
        <v>56</v>
      </c>
      <c r="B62" s="5" t="n">
        <v>8</v>
      </c>
      <c r="C62" s="5" t="str">
        <f aca="false">IFERROR(INDEX(Scoring!$AD$5:$AD$337,MATCH($A62&amp;"|"&amp;$B62,Scoring!$AF$5:$AF$337,0)),"")</f>
        <v/>
      </c>
      <c r="D62" s="5" t="str">
        <f aca="false">IFERROR(INDEX(Scoring!$B$5:$B$337,MATCH($A62&amp;"|"&amp;$B62,Scoring!$AF$5:$AF$337,0)),"")</f>
        <v/>
      </c>
      <c r="E62" s="5" t="str">
        <f aca="false">IFERROR(INDEX(Scoring!$D$5:$D$337,MATCH($A62&amp;"|"&amp;$B62,Scoring!$AF$5:$AF$337,0)),"")</f>
        <v/>
      </c>
      <c r="F62" s="8" t="str">
        <f aca="false">IFERROR(INDEX(Scoring!$U$5:$U$337,MATCH($A62&amp;"|"&amp;$B62,Scoring!$AF$5:$AF$337,0)),"")</f>
        <v/>
      </c>
      <c r="G62" s="7" t="str">
        <f aca="false">IFERROR(INDEX(Scoring!$O$5:$O$337,MATCH($A62&amp;"|"&amp;$B62,Scoring!$AF$5:$AF$337,0)),"")</f>
        <v/>
      </c>
      <c r="H62" s="6" t="str">
        <f aca="false">IFERROR(INDEX(Scoring!$N$5:$N$337,MATCH($A62&amp;"|"&amp;$B62,Scoring!$AF$5:$AF$337,0)),"")</f>
        <v/>
      </c>
      <c r="I62" s="5" t="str">
        <f aca="false">IFERROR(INDEX(Scoring!$F$5:$F$337,MATCH($A62&amp;"|"&amp;$B62,Scoring!$AF$5:$AF$337,0)),"")</f>
        <v/>
      </c>
      <c r="J62" s="5" t="str">
        <f aca="false">IFERROR(INDEX(Scoring!$E$5:$E$337,MATCH($A62&amp;"|"&amp;$B62,Scoring!$AF$5:$AF$337,0)),"")</f>
        <v/>
      </c>
      <c r="K62" s="5" t="str">
        <f aca="false">IFERROR(INDEX(Scoring!$K$5:$K$337,MATCH($A62&amp;"|"&amp;$B62,Scoring!$AF$5:$AF$337,0)),"")</f>
        <v/>
      </c>
      <c r="L62" s="5" t="str">
        <f aca="false">IFERROR(INDEX(Scoring!$L$5:$L$337,MATCH($A62&amp;"|"&amp;$B62,Scoring!$AF$5:$AF$337,0)),"")</f>
        <v/>
      </c>
      <c r="M62" s="5" t="str">
        <f aca="false">IFERROR(INDEX(Scoring!$M$5:$M$337,MATCH($A62&amp;"|"&amp;$B62,Scoring!$AF$5:$AF$337,0)),"")</f>
        <v/>
      </c>
      <c r="N62" s="5" t="str">
        <f aca="false">IFERROR(INDEX(Scoring!$Y$5:$Y$337,MATCH($A62&amp;"|"&amp;$B62,Scoring!$AF$5:$AF$337,0)),"")</f>
        <v/>
      </c>
      <c r="O62" s="5" t="str">
        <f aca="false">IFERROR(INDEX(Scoring!$Z$5:$Z$337,MATCH($A62&amp;"|"&amp;$B62,Scoring!$AF$5:$AF$337,0)),"")</f>
        <v/>
      </c>
      <c r="P62" s="5" t="str">
        <f aca="false">IFERROR(INDEX(Scoring!$AA$5:$AA$337,MATCH($A62&amp;"|"&amp;$B62,Scoring!$AF$5:$AF$337,0)),"")</f>
        <v/>
      </c>
      <c r="Q62" s="5" t="str">
        <f aca="false">IFERROR(INDEX(Scoring!$AE$5:$AE$337,MATCH($A62&amp;"|"&amp;$B62,Scoring!$AF$5:$AF$337,0)),"")</f>
        <v/>
      </c>
    </row>
    <row r="63" customFormat="false" ht="15" hidden="false" customHeight="false" outlineLevel="0" collapsed="false">
      <c r="A63" s="5" t="s">
        <v>56</v>
      </c>
      <c r="B63" s="5" t="n">
        <v>9</v>
      </c>
      <c r="C63" s="5" t="str">
        <f aca="false">IFERROR(INDEX(Scoring!$AD$5:$AD$337,MATCH($A63&amp;"|"&amp;$B63,Scoring!$AF$5:$AF$337,0)),"")</f>
        <v/>
      </c>
      <c r="D63" s="5" t="str">
        <f aca="false">IFERROR(INDEX(Scoring!$B$5:$B$337,MATCH($A63&amp;"|"&amp;$B63,Scoring!$AF$5:$AF$337,0)),"")</f>
        <v/>
      </c>
      <c r="E63" s="5" t="str">
        <f aca="false">IFERROR(INDEX(Scoring!$D$5:$D$337,MATCH($A63&amp;"|"&amp;$B63,Scoring!$AF$5:$AF$337,0)),"")</f>
        <v/>
      </c>
      <c r="F63" s="8" t="str">
        <f aca="false">IFERROR(INDEX(Scoring!$U$5:$U$337,MATCH($A63&amp;"|"&amp;$B63,Scoring!$AF$5:$AF$337,0)),"")</f>
        <v/>
      </c>
      <c r="G63" s="7" t="str">
        <f aca="false">IFERROR(INDEX(Scoring!$O$5:$O$337,MATCH($A63&amp;"|"&amp;$B63,Scoring!$AF$5:$AF$337,0)),"")</f>
        <v/>
      </c>
      <c r="H63" s="6" t="str">
        <f aca="false">IFERROR(INDEX(Scoring!$N$5:$N$337,MATCH($A63&amp;"|"&amp;$B63,Scoring!$AF$5:$AF$337,0)),"")</f>
        <v/>
      </c>
      <c r="I63" s="5" t="str">
        <f aca="false">IFERROR(INDEX(Scoring!$F$5:$F$337,MATCH($A63&amp;"|"&amp;$B63,Scoring!$AF$5:$AF$337,0)),"")</f>
        <v/>
      </c>
      <c r="J63" s="5" t="str">
        <f aca="false">IFERROR(INDEX(Scoring!$E$5:$E$337,MATCH($A63&amp;"|"&amp;$B63,Scoring!$AF$5:$AF$337,0)),"")</f>
        <v/>
      </c>
      <c r="K63" s="5" t="str">
        <f aca="false">IFERROR(INDEX(Scoring!$K$5:$K$337,MATCH($A63&amp;"|"&amp;$B63,Scoring!$AF$5:$AF$337,0)),"")</f>
        <v/>
      </c>
      <c r="L63" s="5" t="str">
        <f aca="false">IFERROR(INDEX(Scoring!$L$5:$L$337,MATCH($A63&amp;"|"&amp;$B63,Scoring!$AF$5:$AF$337,0)),"")</f>
        <v/>
      </c>
      <c r="M63" s="5" t="str">
        <f aca="false">IFERROR(INDEX(Scoring!$M$5:$M$337,MATCH($A63&amp;"|"&amp;$B63,Scoring!$AF$5:$AF$337,0)),"")</f>
        <v/>
      </c>
      <c r="N63" s="5" t="str">
        <f aca="false">IFERROR(INDEX(Scoring!$Y$5:$Y$337,MATCH($A63&amp;"|"&amp;$B63,Scoring!$AF$5:$AF$337,0)),"")</f>
        <v/>
      </c>
      <c r="O63" s="5" t="str">
        <f aca="false">IFERROR(INDEX(Scoring!$Z$5:$Z$337,MATCH($A63&amp;"|"&amp;$B63,Scoring!$AF$5:$AF$337,0)),"")</f>
        <v/>
      </c>
      <c r="P63" s="5" t="str">
        <f aca="false">IFERROR(INDEX(Scoring!$AA$5:$AA$337,MATCH($A63&amp;"|"&amp;$B63,Scoring!$AF$5:$AF$337,0)),"")</f>
        <v/>
      </c>
      <c r="Q63" s="5" t="str">
        <f aca="false">IFERROR(INDEX(Scoring!$AE$5:$AE$337,MATCH($A63&amp;"|"&amp;$B63,Scoring!$AF$5:$AF$337,0)),"")</f>
        <v/>
      </c>
    </row>
    <row r="64" customFormat="false" ht="15" hidden="false" customHeight="false" outlineLevel="0" collapsed="false">
      <c r="A64" s="5" t="s">
        <v>56</v>
      </c>
      <c r="B64" s="5" t="n">
        <v>10</v>
      </c>
      <c r="C64" s="5" t="str">
        <f aca="false">IFERROR(INDEX(Scoring!$AD$5:$AD$337,MATCH($A64&amp;"|"&amp;$B64,Scoring!$AF$5:$AF$337,0)),"")</f>
        <v/>
      </c>
      <c r="D64" s="5" t="str">
        <f aca="false">IFERROR(INDEX(Scoring!$B$5:$B$337,MATCH($A64&amp;"|"&amp;$B64,Scoring!$AF$5:$AF$337,0)),"")</f>
        <v/>
      </c>
      <c r="E64" s="5" t="str">
        <f aca="false">IFERROR(INDEX(Scoring!$D$5:$D$337,MATCH($A64&amp;"|"&amp;$B64,Scoring!$AF$5:$AF$337,0)),"")</f>
        <v/>
      </c>
      <c r="F64" s="8" t="str">
        <f aca="false">IFERROR(INDEX(Scoring!$U$5:$U$337,MATCH($A64&amp;"|"&amp;$B64,Scoring!$AF$5:$AF$337,0)),"")</f>
        <v/>
      </c>
      <c r="G64" s="7" t="str">
        <f aca="false">IFERROR(INDEX(Scoring!$O$5:$O$337,MATCH($A64&amp;"|"&amp;$B64,Scoring!$AF$5:$AF$337,0)),"")</f>
        <v/>
      </c>
      <c r="H64" s="6" t="str">
        <f aca="false">IFERROR(INDEX(Scoring!$N$5:$N$337,MATCH($A64&amp;"|"&amp;$B64,Scoring!$AF$5:$AF$337,0)),"")</f>
        <v/>
      </c>
      <c r="I64" s="5" t="str">
        <f aca="false">IFERROR(INDEX(Scoring!$F$5:$F$337,MATCH($A64&amp;"|"&amp;$B64,Scoring!$AF$5:$AF$337,0)),"")</f>
        <v/>
      </c>
      <c r="J64" s="5" t="str">
        <f aca="false">IFERROR(INDEX(Scoring!$E$5:$E$337,MATCH($A64&amp;"|"&amp;$B64,Scoring!$AF$5:$AF$337,0)),"")</f>
        <v/>
      </c>
      <c r="K64" s="5" t="str">
        <f aca="false">IFERROR(INDEX(Scoring!$K$5:$K$337,MATCH($A64&amp;"|"&amp;$B64,Scoring!$AF$5:$AF$337,0)),"")</f>
        <v/>
      </c>
      <c r="L64" s="5" t="str">
        <f aca="false">IFERROR(INDEX(Scoring!$L$5:$L$337,MATCH($A64&amp;"|"&amp;$B64,Scoring!$AF$5:$AF$337,0)),"")</f>
        <v/>
      </c>
      <c r="M64" s="5" t="str">
        <f aca="false">IFERROR(INDEX(Scoring!$M$5:$M$337,MATCH($A64&amp;"|"&amp;$B64,Scoring!$AF$5:$AF$337,0)),"")</f>
        <v/>
      </c>
      <c r="N64" s="5" t="str">
        <f aca="false">IFERROR(INDEX(Scoring!$Y$5:$Y$337,MATCH($A64&amp;"|"&amp;$B64,Scoring!$AF$5:$AF$337,0)),"")</f>
        <v/>
      </c>
      <c r="O64" s="5" t="str">
        <f aca="false">IFERROR(INDEX(Scoring!$Z$5:$Z$337,MATCH($A64&amp;"|"&amp;$B64,Scoring!$AF$5:$AF$337,0)),"")</f>
        <v/>
      </c>
      <c r="P64" s="5" t="str">
        <f aca="false">IFERROR(INDEX(Scoring!$AA$5:$AA$337,MATCH($A64&amp;"|"&amp;$B64,Scoring!$AF$5:$AF$337,0)),"")</f>
        <v/>
      </c>
      <c r="Q64" s="5" t="str">
        <f aca="false">IFERROR(INDEX(Scoring!$AE$5:$AE$337,MATCH($A64&amp;"|"&amp;$B64,Scoring!$AF$5:$AF$337,0)),"")</f>
        <v/>
      </c>
    </row>
    <row r="65" customFormat="false" ht="15" hidden="false" customHeight="false" outlineLevel="0" collapsed="false">
      <c r="A65" s="14" t="s">
        <v>57</v>
      </c>
      <c r="B65" s="14" t="n">
        <v>1</v>
      </c>
      <c r="C65" s="14" t="str">
        <f aca="false">IFERROR(INDEX(Scoring!$AD$5:$AD$337,MATCH($A65&amp;"|"&amp;$B65,Scoring!$AF$5:$AF$337,0)),"")</f>
        <v>Lead</v>
      </c>
      <c r="D65" s="14" t="str">
        <f aca="false">IFERROR(INDEX(Scoring!$B$5:$B$337,MATCH($A65&amp;"|"&amp;$B65,Scoring!$AF$5:$AF$337,0)),"")</f>
        <v>Propofol</v>
      </c>
      <c r="E65" s="14" t="str">
        <f aca="false">IFERROR(INDEX(Scoring!$D$5:$D$337,MATCH($A65&amp;"|"&amp;$B65,Scoring!$AF$5:$AF$337,0)),"")</f>
        <v>Anaesthesia – general anaesthesia induction/maintenance; ICU sedation</v>
      </c>
      <c r="F65" s="15" t="n">
        <f aca="false">IFERROR(INDEX(Scoring!$U$5:$U$337,MATCH($A65&amp;"|"&amp;$B65,Scoring!$AF$5:$AF$337,0)),"")</f>
        <v>0.931</v>
      </c>
      <c r="G65" s="16" t="n">
        <f aca="false">IFERROR(INDEX(Scoring!$O$5:$O$337,MATCH($A65&amp;"|"&amp;$B65,Scoring!$AF$5:$AF$337,0)),"")</f>
        <v>54624.8306407563</v>
      </c>
      <c r="H65" s="17" t="str">
        <f aca="false">IFERROR(INDEX(Scoring!$N$5:$N$337,MATCH($A65&amp;"|"&amp;$B65,Scoring!$AF$5:$AF$337,0)),"")</f>
        <v/>
      </c>
      <c r="I65" s="14" t="n">
        <f aca="false">IFERROR(INDEX(Scoring!$F$5:$F$337,MATCH($A65&amp;"|"&amp;$B65,Scoring!$AF$5:$AF$337,0)),"")</f>
        <v>1</v>
      </c>
      <c r="J65" s="14" t="n">
        <f aca="false">IFERROR(INDEX(Scoring!$E$5:$E$337,MATCH($A65&amp;"|"&amp;$B65,Scoring!$AF$5:$AF$337,0)),"")</f>
        <v>1</v>
      </c>
      <c r="K65" s="14" t="n">
        <f aca="false">IFERROR(INDEX(Scoring!$K$5:$K$337,MATCH($A65&amp;"|"&amp;$B65,Scoring!$AF$5:$AF$337,0)),"")</f>
        <v>0</v>
      </c>
      <c r="L65" s="14" t="n">
        <f aca="false">IFERROR(INDEX(Scoring!$L$5:$L$337,MATCH($A65&amp;"|"&amp;$B65,Scoring!$AF$5:$AF$337,0)),"")</f>
        <v>0</v>
      </c>
      <c r="M65" s="14" t="n">
        <f aca="false">IFERROR(INDEX(Scoring!$M$5:$M$337,MATCH($A65&amp;"|"&amp;$B65,Scoring!$AF$5:$AF$337,0)),"")</f>
        <v>0</v>
      </c>
      <c r="N65" s="14" t="str">
        <f aca="false">IFERROR(INDEX(Scoring!$Y$5:$Y$337,MATCH($A65&amp;"|"&amp;$B65,Scoring!$AF$5:$AF$337,0)),"")</f>
        <v>No</v>
      </c>
      <c r="O65" s="14" t="str">
        <f aca="false">IFERROR(INDEX(Scoring!$Z$5:$Z$337,MATCH($A65&amp;"|"&amp;$B65,Scoring!$AF$5:$AF$337,0)),"")</f>
        <v>No</v>
      </c>
      <c r="P65" s="14" t="str">
        <f aca="false">IFERROR(INDEX(Scoring!$AA$5:$AA$337,MATCH($A65&amp;"|"&amp;$B65,Scoring!$AF$5:$AF$337,0)),"")</f>
        <v>No</v>
      </c>
      <c r="Q65" s="14" t="str">
        <f aca="false">IFERROR(INDEX(Scoring!$AE$5:$AE$337,MATCH($A65&amp;"|"&amp;$B65,Scoring!$AF$5:$AF$337,0)),"")</f>
        <v>Confirm presentation (not stated in source)</v>
      </c>
    </row>
    <row r="66" customFormat="false" ht="15" hidden="false" customHeight="false" outlineLevel="0" collapsed="false">
      <c r="A66" s="5" t="s">
        <v>57</v>
      </c>
      <c r="B66" s="5" t="n">
        <v>2</v>
      </c>
      <c r="C66" s="5" t="str">
        <f aca="false">IFERROR(INDEX(Scoring!$AD$5:$AD$337,MATCH($A66&amp;"|"&amp;$B66,Scoring!$AF$5:$AF$337,0)),"")</f>
        <v>Lead</v>
      </c>
      <c r="D66" s="5" t="str">
        <f aca="false">IFERROR(INDEX(Scoring!$B$5:$B$337,MATCH($A66&amp;"|"&amp;$B66,Scoring!$AF$5:$AF$337,0)),"")</f>
        <v>Azacitidine</v>
      </c>
      <c r="E66" s="5" t="str">
        <f aca="false">IFERROR(INDEX(Scoring!$D$5:$D$337,MATCH($A66&amp;"|"&amp;$B66,Scoring!$AF$5:$AF$337,0)),"")</f>
        <v>Oncology – myelodysplastic syndromes (MDS) &amp; AML</v>
      </c>
      <c r="F66" s="8" t="n">
        <f aca="false">IFERROR(INDEX(Scoring!$U$5:$U$337,MATCH($A66&amp;"|"&amp;$B66,Scoring!$AF$5:$AF$337,0)),"")</f>
        <v>0.9025</v>
      </c>
      <c r="G66" s="7" t="n">
        <f aca="false">IFERROR(INDEX(Scoring!$O$5:$O$337,MATCH($A66&amp;"|"&amp;$B66,Scoring!$AF$5:$AF$337,0)),"")</f>
        <v>42181.730172451</v>
      </c>
      <c r="H66" s="6" t="n">
        <f aca="false">IFERROR(INDEX(Scoring!$N$5:$N$337,MATCH($A66&amp;"|"&amp;$B66,Scoring!$AF$5:$AF$337,0)),"")</f>
        <v>360.71</v>
      </c>
      <c r="I66" s="5" t="n">
        <f aca="false">IFERROR(INDEX(Scoring!$F$5:$F$337,MATCH($A66&amp;"|"&amp;$B66,Scoring!$AF$5:$AF$337,0)),"")</f>
        <v>6</v>
      </c>
      <c r="J66" s="5" t="n">
        <f aca="false">IFERROR(INDEX(Scoring!$E$5:$E$337,MATCH($A66&amp;"|"&amp;$B66,Scoring!$AF$5:$AF$337,0)),"")</f>
        <v>31</v>
      </c>
      <c r="K66" s="5" t="n">
        <f aca="false">IFERROR(INDEX(Scoring!$K$5:$K$337,MATCH($A66&amp;"|"&amp;$B66,Scoring!$AF$5:$AF$337,0)),"")</f>
        <v>1</v>
      </c>
      <c r="L66" s="5" t="n">
        <f aca="false">IFERROR(INDEX(Scoring!$L$5:$L$337,MATCH($A66&amp;"|"&amp;$B66,Scoring!$AF$5:$AF$337,0)),"")</f>
        <v>0</v>
      </c>
      <c r="M66" s="5" t="n">
        <f aca="false">IFERROR(INDEX(Scoring!$M$5:$M$337,MATCH($A66&amp;"|"&amp;$B66,Scoring!$AF$5:$AF$337,0)),"")</f>
        <v>0</v>
      </c>
      <c r="N66" s="5" t="str">
        <f aca="false">IFERROR(INDEX(Scoring!$Y$5:$Y$337,MATCH($A66&amp;"|"&amp;$B66,Scoring!$AF$5:$AF$337,0)),"")</f>
        <v>Yes</v>
      </c>
      <c r="O66" s="5" t="str">
        <f aca="false">IFERROR(INDEX(Scoring!$Z$5:$Z$337,MATCH($A66&amp;"|"&amp;$B66,Scoring!$AF$5:$AF$337,0)),"")</f>
        <v>Yes</v>
      </c>
      <c r="P66" s="5" t="str">
        <f aca="false">IFERROR(INDEX(Scoring!$AA$5:$AA$337,MATCH($A66&amp;"|"&amp;$B66,Scoring!$AF$5:$AF$337,0)),"")</f>
        <v>Yes</v>
      </c>
      <c r="Q66" s="5" t="str">
        <f aca="false">IFERROR(INDEX(Scoring!$AE$5:$AE$337,MATCH($A66&amp;"|"&amp;$B66,Scoring!$AF$5:$AF$337,0)),"")</f>
        <v>Differentiation in crowded generic market</v>
      </c>
    </row>
    <row r="67" customFormat="false" ht="15" hidden="false" customHeight="false" outlineLevel="0" collapsed="false">
      <c r="A67" s="5" t="s">
        <v>57</v>
      </c>
      <c r="B67" s="5" t="n">
        <v>3</v>
      </c>
      <c r="C67" s="5" t="str">
        <f aca="false">IFERROR(INDEX(Scoring!$AD$5:$AD$337,MATCH($A67&amp;"|"&amp;$B67,Scoring!$AF$5:$AF$337,0)),"")</f>
        <v>Lead</v>
      </c>
      <c r="D67" s="5" t="str">
        <f aca="false">IFERROR(INDEX(Scoring!$B$5:$B$337,MATCH($A67&amp;"|"&amp;$B67,Scoring!$AF$5:$AF$337,0)),"")</f>
        <v>Bortezomib</v>
      </c>
      <c r="E67" s="5" t="str">
        <f aca="false">IFERROR(INDEX(Scoring!$D$5:$D$337,MATCH($A67&amp;"|"&amp;$B67,Scoring!$AF$5:$AF$337,0)),"")</f>
        <v>Oncology – multiple myeloma &amp; mantle cell lymphoma</v>
      </c>
      <c r="F67" s="8" t="n">
        <f aca="false">IFERROR(INDEX(Scoring!$U$5:$U$337,MATCH($A67&amp;"|"&amp;$B67,Scoring!$AF$5:$AF$337,0)),"")</f>
        <v>0.835</v>
      </c>
      <c r="G67" s="7" t="n">
        <f aca="false">IFERROR(INDEX(Scoring!$O$5:$O$337,MATCH($A67&amp;"|"&amp;$B67,Scoring!$AF$5:$AF$337,0)),"")</f>
        <v>28093.38</v>
      </c>
      <c r="H67" s="6" t="n">
        <f aca="false">IFERROR(INDEX(Scoring!$N$5:$N$337,MATCH($A67&amp;"|"&amp;$B67,Scoring!$AF$5:$AF$337,0)),"")</f>
        <v>295.745342857143</v>
      </c>
      <c r="I67" s="5" t="n">
        <f aca="false">IFERROR(INDEX(Scoring!$F$5:$F$337,MATCH($A67&amp;"|"&amp;$B67,Scoring!$AF$5:$AF$337,0)),"")</f>
        <v>7</v>
      </c>
      <c r="J67" s="5" t="n">
        <f aca="false">IFERROR(INDEX(Scoring!$E$5:$E$337,MATCH($A67&amp;"|"&amp;$B67,Scoring!$AF$5:$AF$337,0)),"")</f>
        <v>33</v>
      </c>
      <c r="K67" s="5" t="n">
        <f aca="false">IFERROR(INDEX(Scoring!$K$5:$K$337,MATCH($A67&amp;"|"&amp;$B67,Scoring!$AF$5:$AF$337,0)),"")</f>
        <v>8</v>
      </c>
      <c r="L67" s="5" t="n">
        <f aca="false">IFERROR(INDEX(Scoring!$L$5:$L$337,MATCH($A67&amp;"|"&amp;$B67,Scoring!$AF$5:$AF$337,0)),"")</f>
        <v>0</v>
      </c>
      <c r="M67" s="5" t="n">
        <f aca="false">IFERROR(INDEX(Scoring!$M$5:$M$337,MATCH($A67&amp;"|"&amp;$B67,Scoring!$AF$5:$AF$337,0)),"")</f>
        <v>0</v>
      </c>
      <c r="N67" s="5" t="str">
        <f aca="false">IFERROR(INDEX(Scoring!$Y$5:$Y$337,MATCH($A67&amp;"|"&amp;$B67,Scoring!$AF$5:$AF$337,0)),"")</f>
        <v>Yes</v>
      </c>
      <c r="O67" s="5" t="str">
        <f aca="false">IFERROR(INDEX(Scoring!$Z$5:$Z$337,MATCH($A67&amp;"|"&amp;$B67,Scoring!$AF$5:$AF$337,0)),"")</f>
        <v>Yes</v>
      </c>
      <c r="P67" s="5" t="str">
        <f aca="false">IFERROR(INDEX(Scoring!$AA$5:$AA$337,MATCH($A67&amp;"|"&amp;$B67,Scoring!$AF$5:$AF$337,0)),"")</f>
        <v>Yes</v>
      </c>
      <c r="Q67" s="5" t="str">
        <f aca="false">IFERROR(INDEX(Scoring!$AE$5:$AE$337,MATCH($A67&amp;"|"&amp;$B67,Scoring!$AF$5:$AF$337,0)),"")</f>
        <v>Differentiation in crowded generic market</v>
      </c>
    </row>
    <row r="68" customFormat="false" ht="15" hidden="false" customHeight="false" outlineLevel="0" collapsed="false">
      <c r="A68" s="5" t="s">
        <v>57</v>
      </c>
      <c r="B68" s="5" t="n">
        <v>4</v>
      </c>
      <c r="C68" s="5" t="str">
        <f aca="false">IFERROR(INDEX(Scoring!$AD$5:$AD$337,MATCH($A68&amp;"|"&amp;$B68,Scoring!$AF$5:$AF$337,0)),"")</f>
        <v>Lead</v>
      </c>
      <c r="D68" s="5" t="str">
        <f aca="false">IFERROR(INDEX(Scoring!$B$5:$B$337,MATCH($A68&amp;"|"&amp;$B68,Scoring!$AF$5:$AF$337,0)),"")</f>
        <v>Daptomycin</v>
      </c>
      <c r="E68" s="5" t="str">
        <f aca="false">IFERROR(INDEX(Scoring!$D$5:$D$337,MATCH($A68&amp;"|"&amp;$B68,Scoring!$AF$5:$AF$337,0)),"")</f>
        <v>Anti-infective – MRSA skin infections &amp; bacteraemia</v>
      </c>
      <c r="F68" s="8" t="n">
        <f aca="false">IFERROR(INDEX(Scoring!$U$5:$U$337,MATCH($A68&amp;"|"&amp;$B68,Scoring!$AF$5:$AF$337,0)),"")</f>
        <v>0.832</v>
      </c>
      <c r="G68" s="7" t="n">
        <f aca="false">IFERROR(INDEX(Scoring!$O$5:$O$337,MATCH($A68&amp;"|"&amp;$B68,Scoring!$AF$5:$AF$337,0)),"")</f>
        <v>59827.18</v>
      </c>
      <c r="H68" s="6" t="n">
        <f aca="false">IFERROR(INDEX(Scoring!$N$5:$N$337,MATCH($A68&amp;"|"&amp;$B68,Scoring!$AF$5:$AF$337,0)),"")</f>
        <v>83.75175</v>
      </c>
      <c r="I68" s="5" t="n">
        <f aca="false">IFERROR(INDEX(Scoring!$F$5:$F$337,MATCH($A68&amp;"|"&amp;$B68,Scoring!$AF$5:$AF$337,0)),"")</f>
        <v>6</v>
      </c>
      <c r="J68" s="5" t="n">
        <f aca="false">IFERROR(INDEX(Scoring!$E$5:$E$337,MATCH($A68&amp;"|"&amp;$B68,Scoring!$AF$5:$AF$337,0)),"")</f>
        <v>29</v>
      </c>
      <c r="K68" s="5" t="n">
        <f aca="false">IFERROR(INDEX(Scoring!$K$5:$K$337,MATCH($A68&amp;"|"&amp;$B68,Scoring!$AF$5:$AF$337,0)),"")</f>
        <v>2</v>
      </c>
      <c r="L68" s="5" t="n">
        <f aca="false">IFERROR(INDEX(Scoring!$L$5:$L$337,MATCH($A68&amp;"|"&amp;$B68,Scoring!$AF$5:$AF$337,0)),"")</f>
        <v>0</v>
      </c>
      <c r="M68" s="5" t="n">
        <f aca="false">IFERROR(INDEX(Scoring!$M$5:$M$337,MATCH($A68&amp;"|"&amp;$B68,Scoring!$AF$5:$AF$337,0)),"")</f>
        <v>0</v>
      </c>
      <c r="N68" s="5" t="str">
        <f aca="false">IFERROR(INDEX(Scoring!$Y$5:$Y$337,MATCH($A68&amp;"|"&amp;$B68,Scoring!$AF$5:$AF$337,0)),"")</f>
        <v>No</v>
      </c>
      <c r="O68" s="5" t="str">
        <f aca="false">IFERROR(INDEX(Scoring!$Z$5:$Z$337,MATCH($A68&amp;"|"&amp;$B68,Scoring!$AF$5:$AF$337,0)),"")</f>
        <v>Yes</v>
      </c>
      <c r="P68" s="5" t="str">
        <f aca="false">IFERROR(INDEX(Scoring!$AA$5:$AA$337,MATCH($A68&amp;"|"&amp;$B68,Scoring!$AF$5:$AF$337,0)),"")</f>
        <v>Yes</v>
      </c>
      <c r="Q68" s="5" t="str">
        <f aca="false">IFERROR(INDEX(Scoring!$AE$5:$AE$337,MATCH($A68&amp;"|"&amp;$B68,Scoring!$AF$5:$AF$337,0)),"")</f>
        <v>Differentiation in crowded generic market</v>
      </c>
    </row>
    <row r="69" customFormat="false" ht="15" hidden="false" customHeight="false" outlineLevel="0" collapsed="false">
      <c r="A69" s="5" t="s">
        <v>57</v>
      </c>
      <c r="B69" s="5" t="n">
        <v>5</v>
      </c>
      <c r="C69" s="5" t="str">
        <f aca="false">IFERROR(INDEX(Scoring!$AD$5:$AD$337,MATCH($A69&amp;"|"&amp;$B69,Scoring!$AF$5:$AF$337,0)),"")</f>
        <v>Lead</v>
      </c>
      <c r="D69" s="5" t="str">
        <f aca="false">IFERROR(INDEX(Scoring!$B$5:$B$337,MATCH($A69&amp;"|"&amp;$B69,Scoring!$AF$5:$AF$337,0)),"")</f>
        <v>Plerixafor</v>
      </c>
      <c r="E69" s="5" t="str">
        <f aca="false">IFERROR(INDEX(Scoring!$D$5:$D$337,MATCH($A69&amp;"|"&amp;$B69,Scoring!$AF$5:$AF$337,0)),"")</f>
        <v>Oncology supportive – stem-cell mobilisation (myeloma, lymphoma)</v>
      </c>
      <c r="F69" s="8" t="n">
        <f aca="false">IFERROR(INDEX(Scoring!$U$5:$U$337,MATCH($A69&amp;"|"&amp;$B69,Scoring!$AF$5:$AF$337,0)),"")</f>
        <v>0.8165</v>
      </c>
      <c r="G69" s="7" t="n">
        <f aca="false">IFERROR(INDEX(Scoring!$O$5:$O$337,MATCH($A69&amp;"|"&amp;$B69,Scoring!$AF$5:$AF$337,0)),"")</f>
        <v>7904.67</v>
      </c>
      <c r="H69" s="6" t="n">
        <f aca="false">IFERROR(INDEX(Scoring!$N$5:$N$337,MATCH($A69&amp;"|"&amp;$B69,Scoring!$AF$5:$AF$337,0)),"")</f>
        <v>4289.93315</v>
      </c>
      <c r="I69" s="5" t="n">
        <f aca="false">IFERROR(INDEX(Scoring!$F$5:$F$337,MATCH($A69&amp;"|"&amp;$B69,Scoring!$AF$5:$AF$337,0)),"")</f>
        <v>6</v>
      </c>
      <c r="J69" s="5" t="n">
        <f aca="false">IFERROR(INDEX(Scoring!$E$5:$E$337,MATCH($A69&amp;"|"&amp;$B69,Scoring!$AF$5:$AF$337,0)),"")</f>
        <v>28</v>
      </c>
      <c r="K69" s="5" t="n">
        <f aca="false">IFERROR(INDEX(Scoring!$K$5:$K$337,MATCH($A69&amp;"|"&amp;$B69,Scoring!$AF$5:$AF$337,0)),"")</f>
        <v>4</v>
      </c>
      <c r="L69" s="5" t="n">
        <f aca="false">IFERROR(INDEX(Scoring!$L$5:$L$337,MATCH($A69&amp;"|"&amp;$B69,Scoring!$AF$5:$AF$337,0)),"")</f>
        <v>0</v>
      </c>
      <c r="M69" s="5" t="n">
        <f aca="false">IFERROR(INDEX(Scoring!$M$5:$M$337,MATCH($A69&amp;"|"&amp;$B69,Scoring!$AF$5:$AF$337,0)),"")</f>
        <v>0</v>
      </c>
      <c r="N69" s="5" t="str">
        <f aca="false">IFERROR(INDEX(Scoring!$Y$5:$Y$337,MATCH($A69&amp;"|"&amp;$B69,Scoring!$AF$5:$AF$337,0)),"")</f>
        <v>No</v>
      </c>
      <c r="O69" s="5" t="str">
        <f aca="false">IFERROR(INDEX(Scoring!$Z$5:$Z$337,MATCH($A69&amp;"|"&amp;$B69,Scoring!$AF$5:$AF$337,0)),"")</f>
        <v>No</v>
      </c>
      <c r="P69" s="5" t="str">
        <f aca="false">IFERROR(INDEX(Scoring!$AA$5:$AA$337,MATCH($A69&amp;"|"&amp;$B69,Scoring!$AF$5:$AF$337,0)),"")</f>
        <v>Yes</v>
      </c>
      <c r="Q69" s="5" t="str">
        <f aca="false">IFERROR(INDEX(Scoring!$AE$5:$AE$337,MATCH($A69&amp;"|"&amp;$B69,Scoring!$AF$5:$AF$337,0)),"")</f>
        <v>Differentiation in crowded generic market</v>
      </c>
    </row>
    <row r="70" customFormat="false" ht="15" hidden="false" customHeight="false" outlineLevel="0" collapsed="false">
      <c r="A70" s="5" t="s">
        <v>57</v>
      </c>
      <c r="B70" s="5" t="n">
        <v>6</v>
      </c>
      <c r="C70" s="5" t="str">
        <f aca="false">IFERROR(INDEX(Scoring!$AD$5:$AD$337,MATCH($A70&amp;"|"&amp;$B70,Scoring!$AF$5:$AF$337,0)),"")</f>
        <v>Next wave</v>
      </c>
      <c r="D70" s="5" t="str">
        <f aca="false">IFERROR(INDEX(Scoring!$B$5:$B$337,MATCH($A70&amp;"|"&amp;$B70,Scoring!$AF$5:$AF$337,0)),"")</f>
        <v>Lidocaine</v>
      </c>
      <c r="E70" s="5" t="str">
        <f aca="false">IFERROR(INDEX(Scoring!$D$5:$D$337,MATCH($A70&amp;"|"&amp;$B70,Scoring!$AF$5:$AF$337,0)),"")</f>
        <v>Anaesthesia – local anaesthetic (also ventricular arrhythmias)</v>
      </c>
      <c r="F70" s="8" t="n">
        <f aca="false">IFERROR(INDEX(Scoring!$U$5:$U$337,MATCH($A70&amp;"|"&amp;$B70,Scoring!$AF$5:$AF$337,0)),"")</f>
        <v>0.768</v>
      </c>
      <c r="G70" s="7" t="n">
        <f aca="false">IFERROR(INDEX(Scoring!$O$5:$O$337,MATCH($A70&amp;"|"&amp;$B70,Scoring!$AF$5:$AF$337,0)),"")</f>
        <v>18596.2137796046</v>
      </c>
      <c r="H70" s="6" t="str">
        <f aca="false">IFERROR(INDEX(Scoring!$N$5:$N$337,MATCH($A70&amp;"|"&amp;$B70,Scoring!$AF$5:$AF$337,0)),"")</f>
        <v/>
      </c>
      <c r="I70" s="5" t="n">
        <f aca="false">IFERROR(INDEX(Scoring!$F$5:$F$337,MATCH($A70&amp;"|"&amp;$B70,Scoring!$AF$5:$AF$337,0)),"")</f>
        <v>1</v>
      </c>
      <c r="J70" s="5" t="n">
        <f aca="false">IFERROR(INDEX(Scoring!$E$5:$E$337,MATCH($A70&amp;"|"&amp;$B70,Scoring!$AF$5:$AF$337,0)),"")</f>
        <v>1</v>
      </c>
      <c r="K70" s="5" t="n">
        <f aca="false">IFERROR(INDEX(Scoring!$K$5:$K$337,MATCH($A70&amp;"|"&amp;$B70,Scoring!$AF$5:$AF$337,0)),"")</f>
        <v>1</v>
      </c>
      <c r="L70" s="5" t="n">
        <f aca="false">IFERROR(INDEX(Scoring!$L$5:$L$337,MATCH($A70&amp;"|"&amp;$B70,Scoring!$AF$5:$AF$337,0)),"")</f>
        <v>0</v>
      </c>
      <c r="M70" s="5" t="n">
        <f aca="false">IFERROR(INDEX(Scoring!$M$5:$M$337,MATCH($A70&amp;"|"&amp;$B70,Scoring!$AF$5:$AF$337,0)),"")</f>
        <v>0</v>
      </c>
      <c r="N70" s="5" t="str">
        <f aca="false">IFERROR(INDEX(Scoring!$Y$5:$Y$337,MATCH($A70&amp;"|"&amp;$B70,Scoring!$AF$5:$AF$337,0)),"")</f>
        <v>No</v>
      </c>
      <c r="O70" s="5" t="str">
        <f aca="false">IFERROR(INDEX(Scoring!$Z$5:$Z$337,MATCH($A70&amp;"|"&amp;$B70,Scoring!$AF$5:$AF$337,0)),"")</f>
        <v>No</v>
      </c>
      <c r="P70" s="5" t="str">
        <f aca="false">IFERROR(INDEX(Scoring!$AA$5:$AA$337,MATCH($A70&amp;"|"&amp;$B70,Scoring!$AF$5:$AF$337,0)),"")</f>
        <v>No</v>
      </c>
      <c r="Q70" s="5" t="str">
        <f aca="false">IFERROR(INDEX(Scoring!$AE$5:$AE$337,MATCH($A70&amp;"|"&amp;$B70,Scoring!$AF$5:$AF$337,0)),"")</f>
        <v>Safety-device mandate compliance</v>
      </c>
    </row>
    <row r="71" customFormat="false" ht="15" hidden="false" customHeight="false" outlineLevel="0" collapsed="false">
      <c r="A71" s="5" t="s">
        <v>57</v>
      </c>
      <c r="B71" s="5" t="n">
        <v>7</v>
      </c>
      <c r="C71" s="5" t="str">
        <f aca="false">IFERROR(INDEX(Scoring!$AD$5:$AD$337,MATCH($A71&amp;"|"&amp;$B71,Scoring!$AF$5:$AF$337,0)),"")</f>
        <v>Next wave</v>
      </c>
      <c r="D71" s="5" t="str">
        <f aca="false">IFERROR(INDEX(Scoring!$B$5:$B$337,MATCH($A71&amp;"|"&amp;$B71,Scoring!$AF$5:$AF$337,0)),"")</f>
        <v>Sugammadex</v>
      </c>
      <c r="E71" s="5" t="str">
        <f aca="false">IFERROR(INDEX(Scoring!$D$5:$D$337,MATCH($A71&amp;"|"&amp;$B71,Scoring!$AF$5:$AF$337,0)),"")</f>
        <v>Anaesthesia – reversal of rocuronium/vecuronium muscle relaxation</v>
      </c>
      <c r="F71" s="8" t="n">
        <f aca="false">IFERROR(INDEX(Scoring!$U$5:$U$337,MATCH($A71&amp;"|"&amp;$B71,Scoring!$AF$5:$AF$337,0)),"")</f>
        <v>0.7065</v>
      </c>
      <c r="G71" s="7" t="n">
        <f aca="false">IFERROR(INDEX(Scoring!$O$5:$O$337,MATCH($A71&amp;"|"&amp;$B71,Scoring!$AF$5:$AF$337,0)),"")</f>
        <v>32830.17</v>
      </c>
      <c r="H71" s="6" t="n">
        <f aca="false">IFERROR(INDEX(Scoring!$N$5:$N$337,MATCH($A71&amp;"|"&amp;$B71,Scoring!$AF$5:$AF$337,0)),"")</f>
        <v>42.15378</v>
      </c>
      <c r="I71" s="5" t="n">
        <f aca="false">IFERROR(INDEX(Scoring!$F$5:$F$337,MATCH($A71&amp;"|"&amp;$B71,Scoring!$AF$5:$AF$337,0)),"")</f>
        <v>7</v>
      </c>
      <c r="J71" s="5" t="n">
        <f aca="false">IFERROR(INDEX(Scoring!$E$5:$E$337,MATCH($A71&amp;"|"&amp;$B71,Scoring!$AF$5:$AF$337,0)),"")</f>
        <v>34</v>
      </c>
      <c r="K71" s="5" t="n">
        <f aca="false">IFERROR(INDEX(Scoring!$K$5:$K$337,MATCH($A71&amp;"|"&amp;$B71,Scoring!$AF$5:$AF$337,0)),"")</f>
        <v>3</v>
      </c>
      <c r="L71" s="5" t="n">
        <f aca="false">IFERROR(INDEX(Scoring!$L$5:$L$337,MATCH($A71&amp;"|"&amp;$B71,Scoring!$AF$5:$AF$337,0)),"")</f>
        <v>1</v>
      </c>
      <c r="M71" s="5" t="n">
        <f aca="false">IFERROR(INDEX(Scoring!$M$5:$M$337,MATCH($A71&amp;"|"&amp;$B71,Scoring!$AF$5:$AF$337,0)),"")</f>
        <v>0</v>
      </c>
      <c r="N71" s="5" t="str">
        <f aca="false">IFERROR(INDEX(Scoring!$Y$5:$Y$337,MATCH($A71&amp;"|"&amp;$B71,Scoring!$AF$5:$AF$337,0)),"")</f>
        <v>No</v>
      </c>
      <c r="O71" s="5" t="str">
        <f aca="false">IFERROR(INDEX(Scoring!$Z$5:$Z$337,MATCH($A71&amp;"|"&amp;$B71,Scoring!$AF$5:$AF$337,0)),"")</f>
        <v>No</v>
      </c>
      <c r="P71" s="5" t="str">
        <f aca="false">IFERROR(INDEX(Scoring!$AA$5:$AA$337,MATCH($A71&amp;"|"&amp;$B71,Scoring!$AF$5:$AF$337,0)),"")</f>
        <v>Yes</v>
      </c>
      <c r="Q71" s="5" t="str">
        <f aca="false">IFERROR(INDEX(Scoring!$AE$5:$AE$337,MATCH($A71&amp;"|"&amp;$B71,Scoring!$AF$5:$AF$337,0)),"")</f>
        <v>Differentiation in crowded generic market</v>
      </c>
    </row>
    <row r="72" customFormat="false" ht="15" hidden="false" customHeight="false" outlineLevel="0" collapsed="false">
      <c r="A72" s="5" t="s">
        <v>57</v>
      </c>
      <c r="B72" s="5" t="n">
        <v>8</v>
      </c>
      <c r="C72" s="5" t="str">
        <f aca="false">IFERROR(INDEX(Scoring!$AD$5:$AD$337,MATCH($A72&amp;"|"&amp;$B72,Scoring!$AF$5:$AF$337,0)),"")</f>
        <v>Next wave</v>
      </c>
      <c r="D72" s="5" t="str">
        <f aca="false">IFERROR(INDEX(Scoring!$B$5:$B$337,MATCH($A72&amp;"|"&amp;$B72,Scoring!$AF$5:$AF$337,0)),"")</f>
        <v>Teicoplanin</v>
      </c>
      <c r="E72" s="5" t="str">
        <f aca="false">IFERROR(INDEX(Scoring!$D$5:$D$337,MATCH($A72&amp;"|"&amp;$B72,Scoring!$AF$5:$AF$337,0)),"")</f>
        <v>Anti-infective – MRSA &amp; serious Gram-positive infections</v>
      </c>
      <c r="F72" s="8" t="n">
        <f aca="false">IFERROR(INDEX(Scoring!$U$5:$U$337,MATCH($A72&amp;"|"&amp;$B72,Scoring!$AF$5:$AF$337,0)),"")</f>
        <v>0.5795</v>
      </c>
      <c r="G72" s="7" t="n">
        <f aca="false">IFERROR(INDEX(Scoring!$O$5:$O$337,MATCH($A72&amp;"|"&amp;$B72,Scoring!$AF$5:$AF$337,0)),"")</f>
        <v>6632.55</v>
      </c>
      <c r="H72" s="6" t="n">
        <f aca="false">IFERROR(INDEX(Scoring!$N$5:$N$337,MATCH($A72&amp;"|"&amp;$B72,Scoring!$AF$5:$AF$337,0)),"")</f>
        <v>36.52825</v>
      </c>
      <c r="I72" s="5" t="n">
        <f aca="false">IFERROR(INDEX(Scoring!$F$5:$F$337,MATCH($A72&amp;"|"&amp;$B72,Scoring!$AF$5:$AF$337,0)),"")</f>
        <v>6</v>
      </c>
      <c r="J72" s="5" t="n">
        <f aca="false">IFERROR(INDEX(Scoring!$E$5:$E$337,MATCH($A72&amp;"|"&amp;$B72,Scoring!$AF$5:$AF$337,0)),"")</f>
        <v>27</v>
      </c>
      <c r="K72" s="5" t="n">
        <f aca="false">IFERROR(INDEX(Scoring!$K$5:$K$337,MATCH($A72&amp;"|"&amp;$B72,Scoring!$AF$5:$AF$337,0)),"")</f>
        <v>1</v>
      </c>
      <c r="L72" s="5" t="n">
        <f aca="false">IFERROR(INDEX(Scoring!$L$5:$L$337,MATCH($A72&amp;"|"&amp;$B72,Scoring!$AF$5:$AF$337,0)),"")</f>
        <v>1</v>
      </c>
      <c r="M72" s="5" t="n">
        <f aca="false">IFERROR(INDEX(Scoring!$M$5:$M$337,MATCH($A72&amp;"|"&amp;$B72,Scoring!$AF$5:$AF$337,0)),"")</f>
        <v>0</v>
      </c>
      <c r="N72" s="5" t="str">
        <f aca="false">IFERROR(INDEX(Scoring!$Y$5:$Y$337,MATCH($A72&amp;"|"&amp;$B72,Scoring!$AF$5:$AF$337,0)),"")</f>
        <v>No</v>
      </c>
      <c r="O72" s="5" t="str">
        <f aca="false">IFERROR(INDEX(Scoring!$Z$5:$Z$337,MATCH($A72&amp;"|"&amp;$B72,Scoring!$AF$5:$AF$337,0)),"")</f>
        <v>Yes</v>
      </c>
      <c r="P72" s="5" t="str">
        <f aca="false">IFERROR(INDEX(Scoring!$AA$5:$AA$337,MATCH($A72&amp;"|"&amp;$B72,Scoring!$AF$5:$AF$337,0)),"")</f>
        <v>Yes</v>
      </c>
      <c r="Q72" s="5" t="str">
        <f aca="false">IFERROR(INDEX(Scoring!$AE$5:$AE$337,MATCH($A72&amp;"|"&amp;$B72,Scoring!$AF$5:$AF$337,0)),"")</f>
        <v>Differentiation in crowded generic market</v>
      </c>
    </row>
    <row r="73" customFormat="false" ht="15" hidden="false" customHeight="false" outlineLevel="0" collapsed="false">
      <c r="A73" s="5" t="s">
        <v>57</v>
      </c>
      <c r="B73" s="5" t="n">
        <v>9</v>
      </c>
      <c r="C73" s="5" t="str">
        <f aca="false">IFERROR(INDEX(Scoring!$AD$5:$AD$337,MATCH($A73&amp;"|"&amp;$B73,Scoring!$AF$5:$AF$337,0)),"")</f>
        <v>Next wave</v>
      </c>
      <c r="D73" s="5" t="str">
        <f aca="false">IFERROR(INDEX(Scoring!$B$5:$B$337,MATCH($A73&amp;"|"&amp;$B73,Scoring!$AF$5:$AF$337,0)),"")</f>
        <v>Melphalan</v>
      </c>
      <c r="E73" s="5" t="str">
        <f aca="false">IFERROR(INDEX(Scoring!$D$5:$D$337,MATCH($A73&amp;"|"&amp;$B73,Scoring!$AF$5:$AF$337,0)),"")</f>
        <v>Oncology – multiple myeloma (stem-cell transplant conditioning)</v>
      </c>
      <c r="F73" s="8" t="n">
        <f aca="false">IFERROR(INDEX(Scoring!$U$5:$U$337,MATCH($A73&amp;"|"&amp;$B73,Scoring!$AF$5:$AF$337,0)),"")</f>
        <v>0.5555</v>
      </c>
      <c r="G73" s="7" t="n">
        <f aca="false">IFERROR(INDEX(Scoring!$O$5:$O$337,MATCH($A73&amp;"|"&amp;$B73,Scoring!$AF$5:$AF$337,0)),"")</f>
        <v>2886.00398313027</v>
      </c>
      <c r="H73" s="6" t="n">
        <f aca="false">IFERROR(INDEX(Scoring!$N$5:$N$337,MATCH($A73&amp;"|"&amp;$B73,Scoring!$AF$5:$AF$337,0)),"")</f>
        <v>92.7421666666667</v>
      </c>
      <c r="I73" s="5" t="n">
        <f aca="false">IFERROR(INDEX(Scoring!$F$5:$F$337,MATCH($A73&amp;"|"&amp;$B73,Scoring!$AF$5:$AF$337,0)),"")</f>
        <v>6</v>
      </c>
      <c r="J73" s="5" t="n">
        <f aca="false">IFERROR(INDEX(Scoring!$E$5:$E$337,MATCH($A73&amp;"|"&amp;$B73,Scoring!$AF$5:$AF$337,0)),"")</f>
        <v>30</v>
      </c>
      <c r="K73" s="5" t="n">
        <f aca="false">IFERROR(INDEX(Scoring!$K$5:$K$337,MATCH($A73&amp;"|"&amp;$B73,Scoring!$AF$5:$AF$337,0)),"")</f>
        <v>3</v>
      </c>
      <c r="L73" s="5" t="n">
        <f aca="false">IFERROR(INDEX(Scoring!$L$5:$L$337,MATCH($A73&amp;"|"&amp;$B73,Scoring!$AF$5:$AF$337,0)),"")</f>
        <v>0</v>
      </c>
      <c r="M73" s="5" t="n">
        <f aca="false">IFERROR(INDEX(Scoring!$M$5:$M$337,MATCH($A73&amp;"|"&amp;$B73,Scoring!$AF$5:$AF$337,0)),"")</f>
        <v>0</v>
      </c>
      <c r="N73" s="5" t="str">
        <f aca="false">IFERROR(INDEX(Scoring!$Y$5:$Y$337,MATCH($A73&amp;"|"&amp;$B73,Scoring!$AF$5:$AF$337,0)),"")</f>
        <v>Yes</v>
      </c>
      <c r="O73" s="5" t="str">
        <f aca="false">IFERROR(INDEX(Scoring!$Z$5:$Z$337,MATCH($A73&amp;"|"&amp;$B73,Scoring!$AF$5:$AF$337,0)),"")</f>
        <v>Yes</v>
      </c>
      <c r="P73" s="5" t="str">
        <f aca="false">IFERROR(INDEX(Scoring!$AA$5:$AA$337,MATCH($A73&amp;"|"&amp;$B73,Scoring!$AF$5:$AF$337,0)),"")</f>
        <v>Yes</v>
      </c>
      <c r="Q73" s="5" t="str">
        <f aca="false">IFERROR(INDEX(Scoring!$AE$5:$AE$337,MATCH($A73&amp;"|"&amp;$B73,Scoring!$AF$5:$AF$337,0)),"")</f>
        <v>Differentiation in crowded generic market</v>
      </c>
    </row>
    <row r="74" customFormat="false" ht="15" hidden="false" customHeight="false" outlineLevel="0" collapsed="false">
      <c r="A74" s="5" t="s">
        <v>57</v>
      </c>
      <c r="B74" s="5" t="n">
        <v>10</v>
      </c>
      <c r="C74" s="5" t="str">
        <f aca="false">IFERROR(INDEX(Scoring!$AD$5:$AD$337,MATCH($A74&amp;"|"&amp;$B74,Scoring!$AF$5:$AF$337,0)),"")</f>
        <v>Next wave</v>
      </c>
      <c r="D74" s="5" t="str">
        <f aca="false">IFERROR(INDEX(Scoring!$B$5:$B$337,MATCH($A74&amp;"|"&amp;$B74,Scoring!$AF$5:$AF$337,0)),"")</f>
        <v>Pantoprazole</v>
      </c>
      <c r="E74" s="5" t="str">
        <f aca="false">IFERROR(INDEX(Scoring!$D$5:$D$337,MATCH($A74&amp;"|"&amp;$B74,Scoring!$AF$5:$AF$337,0)),"")</f>
        <v>Gastroenterology – GERD, GI bleeding, stress-ulcer prophylaxis (IV PPI)</v>
      </c>
      <c r="F74" s="8" t="n">
        <f aca="false">IFERROR(INDEX(Scoring!$U$5:$U$337,MATCH($A74&amp;"|"&amp;$B74,Scoring!$AF$5:$AF$337,0)),"")</f>
        <v>0.4547</v>
      </c>
      <c r="G74" s="7" t="n">
        <f aca="false">IFERROR(INDEX(Scoring!$O$5:$O$337,MATCH($A74&amp;"|"&amp;$B74,Scoring!$AF$5:$AF$337,0)),"")</f>
        <v>35276.7259256388</v>
      </c>
      <c r="H74" s="6" t="n">
        <f aca="false">IFERROR(INDEX(Scoring!$N$5:$N$337,MATCH($A74&amp;"|"&amp;$B74,Scoring!$AF$5:$AF$337,0)),"")</f>
        <v>6.0848</v>
      </c>
      <c r="I74" s="5" t="n">
        <f aca="false">IFERROR(INDEX(Scoring!$F$5:$F$337,MATCH($A74&amp;"|"&amp;$B74,Scoring!$AF$5:$AF$337,0)),"")</f>
        <v>6</v>
      </c>
      <c r="J74" s="5" t="n">
        <f aca="false">IFERROR(INDEX(Scoring!$E$5:$E$337,MATCH($A74&amp;"|"&amp;$B74,Scoring!$AF$5:$AF$337,0)),"")</f>
        <v>32</v>
      </c>
      <c r="K74" s="5" t="n">
        <f aca="false">IFERROR(INDEX(Scoring!$K$5:$K$337,MATCH($A74&amp;"|"&amp;$B74,Scoring!$AF$5:$AF$337,0)),"")</f>
        <v>2</v>
      </c>
      <c r="L74" s="5" t="n">
        <f aca="false">IFERROR(INDEX(Scoring!$L$5:$L$337,MATCH($A74&amp;"|"&amp;$B74,Scoring!$AF$5:$AF$337,0)),"")</f>
        <v>0</v>
      </c>
      <c r="M74" s="5" t="n">
        <f aca="false">IFERROR(INDEX(Scoring!$M$5:$M$337,MATCH($A74&amp;"|"&amp;$B74,Scoring!$AF$5:$AF$337,0)),"")</f>
        <v>0</v>
      </c>
      <c r="N74" s="5" t="str">
        <f aca="false">IFERROR(INDEX(Scoring!$Y$5:$Y$337,MATCH($A74&amp;"|"&amp;$B74,Scoring!$AF$5:$AF$337,0)),"")</f>
        <v>No</v>
      </c>
      <c r="O74" s="5" t="str">
        <f aca="false">IFERROR(INDEX(Scoring!$Z$5:$Z$337,MATCH($A74&amp;"|"&amp;$B74,Scoring!$AF$5:$AF$337,0)),"")</f>
        <v>Yes</v>
      </c>
      <c r="P74" s="5" t="str">
        <f aca="false">IFERROR(INDEX(Scoring!$AA$5:$AA$337,MATCH($A74&amp;"|"&amp;$B74,Scoring!$AF$5:$AF$337,0)),"")</f>
        <v>Yes</v>
      </c>
      <c r="Q74" s="5" t="str">
        <f aca="false">IFERROR(INDEX(Scoring!$AE$5:$AE$337,MATCH($A74&amp;"|"&amp;$B74,Scoring!$AF$5:$AF$337,0)),"")</f>
        <v>Differentiation in crowded generic market</v>
      </c>
    </row>
    <row r="75" customFormat="false" ht="15" hidden="false" customHeight="false" outlineLevel="0" collapsed="false">
      <c r="A75" s="14" t="s">
        <v>44</v>
      </c>
      <c r="B75" s="14" t="n">
        <v>1</v>
      </c>
      <c r="C75" s="14" t="str">
        <f aca="false">IFERROR(INDEX(Scoring!$AD$5:$AD$337,MATCH($A75&amp;"|"&amp;$B75,Scoring!$AF$5:$AF$337,0)),"")</f>
        <v>Lead</v>
      </c>
      <c r="D75" s="14" t="str">
        <f aca="false">IFERROR(INDEX(Scoring!$B$5:$B$337,MATCH($A75&amp;"|"&amp;$B75,Scoring!$AF$5:$AF$337,0)),"")</f>
        <v>Ceftriaxone</v>
      </c>
      <c r="E75" s="14" t="str">
        <f aca="false">IFERROR(INDEX(Scoring!$D$5:$D$337,MATCH($A75&amp;"|"&amp;$B75,Scoring!$AF$5:$AF$337,0)),"")</f>
        <v>Anti-infective – pneumonia, meningitis, sepsis, gonorrhoea, typhoid</v>
      </c>
      <c r="F75" s="15" t="n">
        <f aca="false">IFERROR(INDEX(Scoring!$U$5:$U$337,MATCH($A75&amp;"|"&amp;$B75,Scoring!$AF$5:$AF$337,0)),"")</f>
        <v>0.982</v>
      </c>
      <c r="G75" s="16" t="n">
        <f aca="false">IFERROR(INDEX(Scoring!$O$5:$O$337,MATCH($A75&amp;"|"&amp;$B75,Scoring!$AF$5:$AF$337,0)),"")</f>
        <v>93119.22</v>
      </c>
      <c r="H75" s="17" t="str">
        <f aca="false">IFERROR(INDEX(Scoring!$N$5:$N$337,MATCH($A75&amp;"|"&amp;$B75,Scoring!$AF$5:$AF$337,0)),"")</f>
        <v/>
      </c>
      <c r="I75" s="14" t="n">
        <f aca="false">IFERROR(INDEX(Scoring!$F$5:$F$337,MATCH($A75&amp;"|"&amp;$B75,Scoring!$AF$5:$AF$337,0)),"")</f>
        <v>5</v>
      </c>
      <c r="J75" s="14" t="n">
        <f aca="false">IFERROR(INDEX(Scoring!$E$5:$E$337,MATCH($A75&amp;"|"&amp;$B75,Scoring!$AF$5:$AF$337,0)),"")</f>
        <v>28</v>
      </c>
      <c r="K75" s="14" t="n">
        <f aca="false">IFERROR(INDEX(Scoring!$K$5:$K$337,MATCH($A75&amp;"|"&amp;$B75,Scoring!$AF$5:$AF$337,0)),"")</f>
        <v>0</v>
      </c>
      <c r="L75" s="14" t="n">
        <f aca="false">IFERROR(INDEX(Scoring!$L$5:$L$337,MATCH($A75&amp;"|"&amp;$B75,Scoring!$AF$5:$AF$337,0)),"")</f>
        <v>0</v>
      </c>
      <c r="M75" s="14" t="n">
        <f aca="false">IFERROR(INDEX(Scoring!$M$5:$M$337,MATCH($A75&amp;"|"&amp;$B75,Scoring!$AF$5:$AF$337,0)),"")</f>
        <v>0</v>
      </c>
      <c r="N75" s="14" t="str">
        <f aca="false">IFERROR(INDEX(Scoring!$Y$5:$Y$337,MATCH($A75&amp;"|"&amp;$B75,Scoring!$AF$5:$AF$337,0)),"")</f>
        <v>No</v>
      </c>
      <c r="O75" s="14" t="str">
        <f aca="false">IFERROR(INDEX(Scoring!$Z$5:$Z$337,MATCH($A75&amp;"|"&amp;$B75,Scoring!$AF$5:$AF$337,0)),"")</f>
        <v>No</v>
      </c>
      <c r="P75" s="14" t="str">
        <f aca="false">IFERROR(INDEX(Scoring!$AA$5:$AA$337,MATCH($A75&amp;"|"&amp;$B75,Scoring!$AF$5:$AF$337,0)),"")</f>
        <v>Yes</v>
      </c>
      <c r="Q75" s="14" t="str">
        <f aca="false">IFERROR(INDEX(Scoring!$AE$5:$AE$337,MATCH($A75&amp;"|"&amp;$B75,Scoring!$AF$5:$AF$337,0)),"")</f>
        <v>Confirm presentation (not stated in source)</v>
      </c>
    </row>
    <row r="76" customFormat="false" ht="15" hidden="false" customHeight="false" outlineLevel="0" collapsed="false">
      <c r="A76" s="5" t="s">
        <v>44</v>
      </c>
      <c r="B76" s="5" t="n">
        <v>2</v>
      </c>
      <c r="C76" s="5" t="str">
        <f aca="false">IFERROR(INDEX(Scoring!$AD$5:$AD$337,MATCH($A76&amp;"|"&amp;$B76,Scoring!$AF$5:$AF$337,0)),"")</f>
        <v>Lead</v>
      </c>
      <c r="D76" s="5" t="str">
        <f aca="false">IFERROR(INDEX(Scoring!$B$5:$B$337,MATCH($A76&amp;"|"&amp;$B76,Scoring!$AF$5:$AF$337,0)),"")</f>
        <v>Azacitidine</v>
      </c>
      <c r="E76" s="5" t="str">
        <f aca="false">IFERROR(INDEX(Scoring!$D$5:$D$337,MATCH($A76&amp;"|"&amp;$B76,Scoring!$AF$5:$AF$337,0)),"")</f>
        <v>Oncology – myelodysplastic syndromes (MDS) &amp; AML</v>
      </c>
      <c r="F76" s="8" t="n">
        <f aca="false">IFERROR(INDEX(Scoring!$U$5:$U$337,MATCH($A76&amp;"|"&amp;$B76,Scoring!$AF$5:$AF$337,0)),"")</f>
        <v>0.881</v>
      </c>
      <c r="G76" s="7" t="n">
        <f aca="false">IFERROR(INDEX(Scoring!$O$5:$O$337,MATCH($A76&amp;"|"&amp;$B76,Scoring!$AF$5:$AF$337,0)),"")</f>
        <v>42181.730172451</v>
      </c>
      <c r="H76" s="6" t="n">
        <f aca="false">IFERROR(INDEX(Scoring!$N$5:$N$337,MATCH($A76&amp;"|"&amp;$B76,Scoring!$AF$5:$AF$337,0)),"")</f>
        <v>256.124</v>
      </c>
      <c r="I76" s="5" t="n">
        <f aca="false">IFERROR(INDEX(Scoring!$F$5:$F$337,MATCH($A76&amp;"|"&amp;$B76,Scoring!$AF$5:$AF$337,0)),"")</f>
        <v>6</v>
      </c>
      <c r="J76" s="5" t="n">
        <f aca="false">IFERROR(INDEX(Scoring!$E$5:$E$337,MATCH($A76&amp;"|"&amp;$B76,Scoring!$AF$5:$AF$337,0)),"")</f>
        <v>32</v>
      </c>
      <c r="K76" s="5" t="n">
        <f aca="false">IFERROR(INDEX(Scoring!$K$5:$K$337,MATCH($A76&amp;"|"&amp;$B76,Scoring!$AF$5:$AF$337,0)),"")</f>
        <v>3</v>
      </c>
      <c r="L76" s="5" t="n">
        <f aca="false">IFERROR(INDEX(Scoring!$L$5:$L$337,MATCH($A76&amp;"|"&amp;$B76,Scoring!$AF$5:$AF$337,0)),"")</f>
        <v>0</v>
      </c>
      <c r="M76" s="5" t="n">
        <f aca="false">IFERROR(INDEX(Scoring!$M$5:$M$337,MATCH($A76&amp;"|"&amp;$B76,Scoring!$AF$5:$AF$337,0)),"")</f>
        <v>0</v>
      </c>
      <c r="N76" s="5" t="str">
        <f aca="false">IFERROR(INDEX(Scoring!$Y$5:$Y$337,MATCH($A76&amp;"|"&amp;$B76,Scoring!$AF$5:$AF$337,0)),"")</f>
        <v>Yes</v>
      </c>
      <c r="O76" s="5" t="str">
        <f aca="false">IFERROR(INDEX(Scoring!$Z$5:$Z$337,MATCH($A76&amp;"|"&amp;$B76,Scoring!$AF$5:$AF$337,0)),"")</f>
        <v>Yes</v>
      </c>
      <c r="P76" s="5" t="str">
        <f aca="false">IFERROR(INDEX(Scoring!$AA$5:$AA$337,MATCH($A76&amp;"|"&amp;$B76,Scoring!$AF$5:$AF$337,0)),"")</f>
        <v>Yes</v>
      </c>
      <c r="Q76" s="5" t="str">
        <f aca="false">IFERROR(INDEX(Scoring!$AE$5:$AE$337,MATCH($A76&amp;"|"&amp;$B76,Scoring!$AF$5:$AF$337,0)),"")</f>
        <v>Differentiation in crowded generic market</v>
      </c>
    </row>
    <row r="77" customFormat="false" ht="15" hidden="false" customHeight="false" outlineLevel="0" collapsed="false">
      <c r="A77" s="5" t="s">
        <v>44</v>
      </c>
      <c r="B77" s="5" t="n">
        <v>3</v>
      </c>
      <c r="C77" s="5" t="str">
        <f aca="false">IFERROR(INDEX(Scoring!$AD$5:$AD$337,MATCH($A77&amp;"|"&amp;$B77,Scoring!$AF$5:$AF$337,0)),"")</f>
        <v>Lead</v>
      </c>
      <c r="D77" s="5" t="str">
        <f aca="false">IFERROR(INDEX(Scoring!$B$5:$B$337,MATCH($A77&amp;"|"&amp;$B77,Scoring!$AF$5:$AF$337,0)),"")</f>
        <v>Pegfilgrastim</v>
      </c>
      <c r="E77" s="5" t="str">
        <f aca="false">IFERROR(INDEX(Scoring!$D$5:$D$337,MATCH($A77&amp;"|"&amp;$B77,Scoring!$AF$5:$AF$337,0)),"")</f>
        <v>Oncology supportive – prevents chemotherapy-induced neutropenia</v>
      </c>
      <c r="F77" s="8" t="n">
        <f aca="false">IFERROR(INDEX(Scoring!$U$5:$U$337,MATCH($A77&amp;"|"&amp;$B77,Scoring!$AF$5:$AF$337,0)),"")</f>
        <v>0.8755</v>
      </c>
      <c r="G77" s="7" t="n">
        <f aca="false">IFERROR(INDEX(Scoring!$O$5:$O$337,MATCH($A77&amp;"|"&amp;$B77,Scoring!$AF$5:$AF$337,0)),"")</f>
        <v>22036.0962857143</v>
      </c>
      <c r="H77" s="6" t="n">
        <f aca="false">IFERROR(INDEX(Scoring!$N$5:$N$337,MATCH($A77&amp;"|"&amp;$B77,Scoring!$AF$5:$AF$337,0)),"")</f>
        <v>907.38</v>
      </c>
      <c r="I77" s="5" t="n">
        <f aca="false">IFERROR(INDEX(Scoring!$F$5:$F$337,MATCH($A77&amp;"|"&amp;$B77,Scoring!$AF$5:$AF$337,0)),"")</f>
        <v>1</v>
      </c>
      <c r="J77" s="5" t="n">
        <f aca="false">IFERROR(INDEX(Scoring!$E$5:$E$337,MATCH($A77&amp;"|"&amp;$B77,Scoring!$AF$5:$AF$337,0)),"")</f>
        <v>1</v>
      </c>
      <c r="K77" s="5" t="n">
        <f aca="false">IFERROR(INDEX(Scoring!$K$5:$K$337,MATCH($A77&amp;"|"&amp;$B77,Scoring!$AF$5:$AF$337,0)),"")</f>
        <v>0</v>
      </c>
      <c r="L77" s="5" t="n">
        <f aca="false">IFERROR(INDEX(Scoring!$L$5:$L$337,MATCH($A77&amp;"|"&amp;$B77,Scoring!$AF$5:$AF$337,0)),"")</f>
        <v>0</v>
      </c>
      <c r="M77" s="5" t="n">
        <f aca="false">IFERROR(INDEX(Scoring!$M$5:$M$337,MATCH($A77&amp;"|"&amp;$B77,Scoring!$AF$5:$AF$337,0)),"")</f>
        <v>1</v>
      </c>
      <c r="N77" s="5" t="str">
        <f aca="false">IFERROR(INDEX(Scoring!$Y$5:$Y$337,MATCH($A77&amp;"|"&amp;$B77,Scoring!$AF$5:$AF$337,0)),"")</f>
        <v>No</v>
      </c>
      <c r="O77" s="5" t="str">
        <f aca="false">IFERROR(INDEX(Scoring!$Z$5:$Z$337,MATCH($A77&amp;"|"&amp;$B77,Scoring!$AF$5:$AF$337,0)),"")</f>
        <v>No</v>
      </c>
      <c r="P77" s="5" t="str">
        <f aca="false">IFERROR(INDEX(Scoring!$AA$5:$AA$337,MATCH($A77&amp;"|"&amp;$B77,Scoring!$AF$5:$AF$337,0)),"")</f>
        <v>No</v>
      </c>
      <c r="Q77" s="5" t="str">
        <f aca="false">IFERROR(INDEX(Scoring!$AE$5:$AE$337,MATCH($A77&amp;"|"&amp;$B77,Scoring!$AF$5:$AF$337,0)),"")</f>
        <v>Safety upgrade of existing prefilled syringe</v>
      </c>
    </row>
    <row r="78" customFormat="false" ht="15" hidden="false" customHeight="false" outlineLevel="0" collapsed="false">
      <c r="A78" s="5" t="s">
        <v>44</v>
      </c>
      <c r="B78" s="5" t="n">
        <v>4</v>
      </c>
      <c r="C78" s="5" t="str">
        <f aca="false">IFERROR(INDEX(Scoring!$AD$5:$AD$337,MATCH($A78&amp;"|"&amp;$B78,Scoring!$AF$5:$AF$337,0)),"")</f>
        <v>Lead</v>
      </c>
      <c r="D78" s="5" t="str">
        <f aca="false">IFERROR(INDEX(Scoring!$B$5:$B$337,MATCH($A78&amp;"|"&amp;$B78,Scoring!$AF$5:$AF$337,0)),"")</f>
        <v>Bortezomib</v>
      </c>
      <c r="E78" s="5" t="str">
        <f aca="false">IFERROR(INDEX(Scoring!$D$5:$D$337,MATCH($A78&amp;"|"&amp;$B78,Scoring!$AF$5:$AF$337,0)),"")</f>
        <v>Oncology – multiple myeloma &amp; mantle cell lymphoma</v>
      </c>
      <c r="F78" s="8" t="n">
        <f aca="false">IFERROR(INDEX(Scoring!$U$5:$U$337,MATCH($A78&amp;"|"&amp;$B78,Scoring!$AF$5:$AF$337,0)),"")</f>
        <v>0.869</v>
      </c>
      <c r="G78" s="7" t="n">
        <f aca="false">IFERROR(INDEX(Scoring!$O$5:$O$337,MATCH($A78&amp;"|"&amp;$B78,Scoring!$AF$5:$AF$337,0)),"")</f>
        <v>28093.38</v>
      </c>
      <c r="H78" s="6" t="n">
        <f aca="false">IFERROR(INDEX(Scoring!$N$5:$N$337,MATCH($A78&amp;"|"&amp;$B78,Scoring!$AF$5:$AF$337,0)),"")</f>
        <v>569.272466666667</v>
      </c>
      <c r="I78" s="5" t="n">
        <f aca="false">IFERROR(INDEX(Scoring!$F$5:$F$337,MATCH($A78&amp;"|"&amp;$B78,Scoring!$AF$5:$AF$337,0)),"")</f>
        <v>6</v>
      </c>
      <c r="J78" s="5" t="n">
        <f aca="false">IFERROR(INDEX(Scoring!$E$5:$E$337,MATCH($A78&amp;"|"&amp;$B78,Scoring!$AF$5:$AF$337,0)),"")</f>
        <v>32</v>
      </c>
      <c r="K78" s="5" t="n">
        <f aca="false">IFERROR(INDEX(Scoring!$K$5:$K$337,MATCH($A78&amp;"|"&amp;$B78,Scoring!$AF$5:$AF$337,0)),"")</f>
        <v>6</v>
      </c>
      <c r="L78" s="5" t="n">
        <f aca="false">IFERROR(INDEX(Scoring!$L$5:$L$337,MATCH($A78&amp;"|"&amp;$B78,Scoring!$AF$5:$AF$337,0)),"")</f>
        <v>0</v>
      </c>
      <c r="M78" s="5" t="n">
        <f aca="false">IFERROR(INDEX(Scoring!$M$5:$M$337,MATCH($A78&amp;"|"&amp;$B78,Scoring!$AF$5:$AF$337,0)),"")</f>
        <v>1</v>
      </c>
      <c r="N78" s="5" t="str">
        <f aca="false">IFERROR(INDEX(Scoring!$Y$5:$Y$337,MATCH($A78&amp;"|"&amp;$B78,Scoring!$AF$5:$AF$337,0)),"")</f>
        <v>Yes</v>
      </c>
      <c r="O78" s="5" t="str">
        <f aca="false">IFERROR(INDEX(Scoring!$Z$5:$Z$337,MATCH($A78&amp;"|"&amp;$B78,Scoring!$AF$5:$AF$337,0)),"")</f>
        <v>Yes</v>
      </c>
      <c r="P78" s="5" t="str">
        <f aca="false">IFERROR(INDEX(Scoring!$AA$5:$AA$337,MATCH($A78&amp;"|"&amp;$B78,Scoring!$AF$5:$AF$337,0)),"")</f>
        <v>Yes</v>
      </c>
      <c r="Q78" s="5" t="str">
        <f aca="false">IFERROR(INDEX(Scoring!$AE$5:$AE$337,MATCH($A78&amp;"|"&amp;$B78,Scoring!$AF$5:$AF$337,0)),"")</f>
        <v>Differentiation in crowded generic market</v>
      </c>
    </row>
    <row r="79" customFormat="false" ht="15" hidden="false" customHeight="false" outlineLevel="0" collapsed="false">
      <c r="A79" s="5" t="s">
        <v>44</v>
      </c>
      <c r="B79" s="5" t="n">
        <v>5</v>
      </c>
      <c r="C79" s="5" t="str">
        <f aca="false">IFERROR(INDEX(Scoring!$AD$5:$AD$337,MATCH($A79&amp;"|"&amp;$B79,Scoring!$AF$5:$AF$337,0)),"")</f>
        <v>Lead</v>
      </c>
      <c r="D79" s="5" t="str">
        <f aca="false">IFERROR(INDEX(Scoring!$B$5:$B$337,MATCH($A79&amp;"|"&amp;$B79,Scoring!$AF$5:$AF$337,0)),"")</f>
        <v>Amoxicillin</v>
      </c>
      <c r="E79" s="5" t="str">
        <f aca="false">IFERROR(INDEX(Scoring!$D$5:$D$337,MATCH($A79&amp;"|"&amp;$B79,Scoring!$AF$5:$AF$337,0)),"")</f>
        <v>Anti-infective – broad-use penicillin (IV for serious infections; oral dominant)</v>
      </c>
      <c r="F79" s="8" t="n">
        <f aca="false">IFERROR(INDEX(Scoring!$U$5:$U$337,MATCH($A79&amp;"|"&amp;$B79,Scoring!$AF$5:$AF$337,0)),"")</f>
        <v>0.861</v>
      </c>
      <c r="G79" s="7" t="n">
        <f aca="false">IFERROR(INDEX(Scoring!$O$5:$O$337,MATCH($A79&amp;"|"&amp;$B79,Scoring!$AF$5:$AF$337,0)),"")</f>
        <v>33794.9479741985</v>
      </c>
      <c r="H79" s="6" t="str">
        <f aca="false">IFERROR(INDEX(Scoring!$N$5:$N$337,MATCH($A79&amp;"|"&amp;$B79,Scoring!$AF$5:$AF$337,0)),"")</f>
        <v/>
      </c>
      <c r="I79" s="5" t="n">
        <f aca="false">IFERROR(INDEX(Scoring!$F$5:$F$337,MATCH($A79&amp;"|"&amp;$B79,Scoring!$AF$5:$AF$337,0)),"")</f>
        <v>5</v>
      </c>
      <c r="J79" s="5" t="n">
        <f aca="false">IFERROR(INDEX(Scoring!$E$5:$E$337,MATCH($A79&amp;"|"&amp;$B79,Scoring!$AF$5:$AF$337,0)),"")</f>
        <v>29</v>
      </c>
      <c r="K79" s="5" t="n">
        <f aca="false">IFERROR(INDEX(Scoring!$K$5:$K$337,MATCH($A79&amp;"|"&amp;$B79,Scoring!$AF$5:$AF$337,0)),"")</f>
        <v>0</v>
      </c>
      <c r="L79" s="5" t="n">
        <f aca="false">IFERROR(INDEX(Scoring!$L$5:$L$337,MATCH($A79&amp;"|"&amp;$B79,Scoring!$AF$5:$AF$337,0)),"")</f>
        <v>0</v>
      </c>
      <c r="M79" s="5" t="n">
        <f aca="false">IFERROR(INDEX(Scoring!$M$5:$M$337,MATCH($A79&amp;"|"&amp;$B79,Scoring!$AF$5:$AF$337,0)),"")</f>
        <v>0</v>
      </c>
      <c r="N79" s="5" t="str">
        <f aca="false">IFERROR(INDEX(Scoring!$Y$5:$Y$337,MATCH($A79&amp;"|"&amp;$B79,Scoring!$AF$5:$AF$337,0)),"")</f>
        <v>No</v>
      </c>
      <c r="O79" s="5" t="str">
        <f aca="false">IFERROR(INDEX(Scoring!$Z$5:$Z$337,MATCH($A79&amp;"|"&amp;$B79,Scoring!$AF$5:$AF$337,0)),"")</f>
        <v>No</v>
      </c>
      <c r="P79" s="5" t="str">
        <f aca="false">IFERROR(INDEX(Scoring!$AA$5:$AA$337,MATCH($A79&amp;"|"&amp;$B79,Scoring!$AF$5:$AF$337,0)),"")</f>
        <v>No</v>
      </c>
      <c r="Q79" s="5" t="str">
        <f aca="false">IFERROR(INDEX(Scoring!$AE$5:$AE$337,MATCH($A79&amp;"|"&amp;$B79,Scoring!$AF$5:$AF$337,0)),"")</f>
        <v>Confirm presentation (not stated in source)</v>
      </c>
    </row>
    <row r="80" customFormat="false" ht="15" hidden="false" customHeight="false" outlineLevel="0" collapsed="false">
      <c r="A80" s="5" t="s">
        <v>44</v>
      </c>
      <c r="B80" s="5" t="n">
        <v>6</v>
      </c>
      <c r="C80" s="5" t="str">
        <f aca="false">IFERROR(INDEX(Scoring!$AD$5:$AD$337,MATCH($A80&amp;"|"&amp;$B80,Scoring!$AF$5:$AF$337,0)),"")</f>
        <v>Next wave</v>
      </c>
      <c r="D80" s="5" t="str">
        <f aca="false">IFERROR(INDEX(Scoring!$B$5:$B$337,MATCH($A80&amp;"|"&amp;$B80,Scoring!$AF$5:$AF$337,0)),"")</f>
        <v>Paclitaxel</v>
      </c>
      <c r="E80" s="5" t="str">
        <f aca="false">IFERROR(INDEX(Scoring!$D$5:$D$337,MATCH($A80&amp;"|"&amp;$B80,Scoring!$AF$5:$AF$337,0)),"")</f>
        <v>Oncology – breast, ovarian &amp; lung cancers</v>
      </c>
      <c r="F80" s="8" t="n">
        <f aca="false">IFERROR(INDEX(Scoring!$U$5:$U$337,MATCH($A80&amp;"|"&amp;$B80,Scoring!$AF$5:$AF$337,0)),"")</f>
        <v>0.832</v>
      </c>
      <c r="G80" s="7" t="n">
        <f aca="false">IFERROR(INDEX(Scoring!$O$5:$O$337,MATCH($A80&amp;"|"&amp;$B80,Scoring!$AF$5:$AF$337,0)),"")</f>
        <v>26948.7929464286</v>
      </c>
      <c r="H80" s="6" t="n">
        <f aca="false">IFERROR(INDEX(Scoring!$N$5:$N$337,MATCH($A80&amp;"|"&amp;$B80,Scoring!$AF$5:$AF$337,0)),"")</f>
        <v>261.8</v>
      </c>
      <c r="I80" s="5" t="n">
        <f aca="false">IFERROR(INDEX(Scoring!$F$5:$F$337,MATCH($A80&amp;"|"&amp;$B80,Scoring!$AF$5:$AF$337,0)),"")</f>
        <v>1</v>
      </c>
      <c r="J80" s="5" t="n">
        <f aca="false">IFERROR(INDEX(Scoring!$E$5:$E$337,MATCH($A80&amp;"|"&amp;$B80,Scoring!$AF$5:$AF$337,0)),"")</f>
        <v>1</v>
      </c>
      <c r="K80" s="5" t="n">
        <f aca="false">IFERROR(INDEX(Scoring!$K$5:$K$337,MATCH($A80&amp;"|"&amp;$B80,Scoring!$AF$5:$AF$337,0)),"")</f>
        <v>1</v>
      </c>
      <c r="L80" s="5" t="n">
        <f aca="false">IFERROR(INDEX(Scoring!$L$5:$L$337,MATCH($A80&amp;"|"&amp;$B80,Scoring!$AF$5:$AF$337,0)),"")</f>
        <v>0</v>
      </c>
      <c r="M80" s="5" t="n">
        <f aca="false">IFERROR(INDEX(Scoring!$M$5:$M$337,MATCH($A80&amp;"|"&amp;$B80,Scoring!$AF$5:$AF$337,0)),"")</f>
        <v>0</v>
      </c>
      <c r="N80" s="5" t="str">
        <f aca="false">IFERROR(INDEX(Scoring!$Y$5:$Y$337,MATCH($A80&amp;"|"&amp;$B80,Scoring!$AF$5:$AF$337,0)),"")</f>
        <v>Yes</v>
      </c>
      <c r="O80" s="5" t="str">
        <f aca="false">IFERROR(INDEX(Scoring!$Z$5:$Z$337,MATCH($A80&amp;"|"&amp;$B80,Scoring!$AF$5:$AF$337,0)),"")</f>
        <v>No</v>
      </c>
      <c r="P80" s="5" t="str">
        <f aca="false">IFERROR(INDEX(Scoring!$AA$5:$AA$337,MATCH($A80&amp;"|"&amp;$B80,Scoring!$AF$5:$AF$337,0)),"")</f>
        <v>No</v>
      </c>
      <c r="Q80" s="5" t="str">
        <f aca="false">IFERROR(INDEX(Scoring!$AE$5:$AE$337,MATCH($A80&amp;"|"&amp;$B80,Scoring!$AF$5:$AF$337,0)),"")</f>
        <v>Safety-device mandate compliance</v>
      </c>
    </row>
    <row r="81" customFormat="false" ht="15" hidden="false" customHeight="false" outlineLevel="0" collapsed="false">
      <c r="A81" s="5" t="s">
        <v>44</v>
      </c>
      <c r="B81" s="5" t="n">
        <v>7</v>
      </c>
      <c r="C81" s="5" t="str">
        <f aca="false">IFERROR(INDEX(Scoring!$AD$5:$AD$337,MATCH($A81&amp;"|"&amp;$B81,Scoring!$AF$5:$AF$337,0)),"")</f>
        <v>Next wave</v>
      </c>
      <c r="D81" s="5" t="str">
        <f aca="false">IFERROR(INDEX(Scoring!$B$5:$B$337,MATCH($A81&amp;"|"&amp;$B81,Scoring!$AF$5:$AF$337,0)),"")</f>
        <v>Plerixafor</v>
      </c>
      <c r="E81" s="5" t="str">
        <f aca="false">IFERROR(INDEX(Scoring!$D$5:$D$337,MATCH($A81&amp;"|"&amp;$B81,Scoring!$AF$5:$AF$337,0)),"")</f>
        <v>Oncology supportive – stem-cell mobilisation (myeloma, lymphoma)</v>
      </c>
      <c r="F81" s="8" t="n">
        <f aca="false">IFERROR(INDEX(Scoring!$U$5:$U$337,MATCH($A81&amp;"|"&amp;$B81,Scoring!$AF$5:$AF$337,0)),"")</f>
        <v>0.8185</v>
      </c>
      <c r="G81" s="7" t="n">
        <f aca="false">IFERROR(INDEX(Scoring!$O$5:$O$337,MATCH($A81&amp;"|"&amp;$B81,Scoring!$AF$5:$AF$337,0)),"")</f>
        <v>7904.67</v>
      </c>
      <c r="H81" s="6" t="n">
        <f aca="false">IFERROR(INDEX(Scoring!$N$5:$N$337,MATCH($A81&amp;"|"&amp;$B81,Scoring!$AF$5:$AF$337,0)),"")</f>
        <v>4779.00286666667</v>
      </c>
      <c r="I81" s="5" t="n">
        <f aca="false">IFERROR(INDEX(Scoring!$F$5:$F$337,MATCH($A81&amp;"|"&amp;$B81,Scoring!$AF$5:$AF$337,0)),"")</f>
        <v>5</v>
      </c>
      <c r="J81" s="5" t="n">
        <f aca="false">IFERROR(INDEX(Scoring!$E$5:$E$337,MATCH($A81&amp;"|"&amp;$B81,Scoring!$AF$5:$AF$337,0)),"")</f>
        <v>27</v>
      </c>
      <c r="K81" s="5" t="n">
        <f aca="false">IFERROR(INDEX(Scoring!$K$5:$K$337,MATCH($A81&amp;"|"&amp;$B81,Scoring!$AF$5:$AF$337,0)),"")</f>
        <v>3</v>
      </c>
      <c r="L81" s="5" t="n">
        <f aca="false">IFERROR(INDEX(Scoring!$L$5:$L$337,MATCH($A81&amp;"|"&amp;$B81,Scoring!$AF$5:$AF$337,0)),"")</f>
        <v>0</v>
      </c>
      <c r="M81" s="5" t="n">
        <f aca="false">IFERROR(INDEX(Scoring!$M$5:$M$337,MATCH($A81&amp;"|"&amp;$B81,Scoring!$AF$5:$AF$337,0)),"")</f>
        <v>0</v>
      </c>
      <c r="N81" s="5" t="str">
        <f aca="false">IFERROR(INDEX(Scoring!$Y$5:$Y$337,MATCH($A81&amp;"|"&amp;$B81,Scoring!$AF$5:$AF$337,0)),"")</f>
        <v>No</v>
      </c>
      <c r="O81" s="5" t="str">
        <f aca="false">IFERROR(INDEX(Scoring!$Z$5:$Z$337,MATCH($A81&amp;"|"&amp;$B81,Scoring!$AF$5:$AF$337,0)),"")</f>
        <v>No</v>
      </c>
      <c r="P81" s="5" t="str">
        <f aca="false">IFERROR(INDEX(Scoring!$AA$5:$AA$337,MATCH($A81&amp;"|"&amp;$B81,Scoring!$AF$5:$AF$337,0)),"")</f>
        <v>Yes</v>
      </c>
      <c r="Q81" s="5" t="str">
        <f aca="false">IFERROR(INDEX(Scoring!$AE$5:$AE$337,MATCH($A81&amp;"|"&amp;$B81,Scoring!$AF$5:$AF$337,0)),"")</f>
        <v>Differentiation in crowded generic market</v>
      </c>
    </row>
    <row r="82" customFormat="false" ht="15" hidden="false" customHeight="false" outlineLevel="0" collapsed="false">
      <c r="A82" s="5" t="s">
        <v>44</v>
      </c>
      <c r="B82" s="5" t="n">
        <v>8</v>
      </c>
      <c r="C82" s="5" t="str">
        <f aca="false">IFERROR(INDEX(Scoring!$AD$5:$AD$337,MATCH($A82&amp;"|"&amp;$B82,Scoring!$AF$5:$AF$337,0)),"")</f>
        <v>Next wave</v>
      </c>
      <c r="D82" s="5" t="str">
        <f aca="false">IFERROR(INDEX(Scoring!$B$5:$B$337,MATCH($A82&amp;"|"&amp;$B82,Scoring!$AF$5:$AF$337,0)),"")</f>
        <v>Daptomycin</v>
      </c>
      <c r="E82" s="5" t="str">
        <f aca="false">IFERROR(INDEX(Scoring!$D$5:$D$337,MATCH($A82&amp;"|"&amp;$B82,Scoring!$AF$5:$AF$337,0)),"")</f>
        <v>Anti-infective – MRSA skin infections &amp; bacteraemia</v>
      </c>
      <c r="F82" s="8" t="n">
        <f aca="false">IFERROR(INDEX(Scoring!$U$5:$U$337,MATCH($A82&amp;"|"&amp;$B82,Scoring!$AF$5:$AF$337,0)),"")</f>
        <v>0.816</v>
      </c>
      <c r="G82" s="7" t="n">
        <f aca="false">IFERROR(INDEX(Scoring!$O$5:$O$337,MATCH($A82&amp;"|"&amp;$B82,Scoring!$AF$5:$AF$337,0)),"")</f>
        <v>59827.18</v>
      </c>
      <c r="H82" s="6" t="n">
        <f aca="false">IFERROR(INDEX(Scoring!$N$5:$N$337,MATCH($A82&amp;"|"&amp;$B82,Scoring!$AF$5:$AF$337,0)),"")</f>
        <v>66.7578333333333</v>
      </c>
      <c r="I82" s="5" t="n">
        <f aca="false">IFERROR(INDEX(Scoring!$F$5:$F$337,MATCH($A82&amp;"|"&amp;$B82,Scoring!$AF$5:$AF$337,0)),"")</f>
        <v>6</v>
      </c>
      <c r="J82" s="5" t="n">
        <f aca="false">IFERROR(INDEX(Scoring!$E$5:$E$337,MATCH($A82&amp;"|"&amp;$B82,Scoring!$AF$5:$AF$337,0)),"")</f>
        <v>31</v>
      </c>
      <c r="K82" s="5" t="n">
        <f aca="false">IFERROR(INDEX(Scoring!$K$5:$K$337,MATCH($A82&amp;"|"&amp;$B82,Scoring!$AF$5:$AF$337,0)),"")</f>
        <v>5</v>
      </c>
      <c r="L82" s="5" t="n">
        <f aca="false">IFERROR(INDEX(Scoring!$L$5:$L$337,MATCH($A82&amp;"|"&amp;$B82,Scoring!$AF$5:$AF$337,0)),"")</f>
        <v>0</v>
      </c>
      <c r="M82" s="5" t="n">
        <f aca="false">IFERROR(INDEX(Scoring!$M$5:$M$337,MATCH($A82&amp;"|"&amp;$B82,Scoring!$AF$5:$AF$337,0)),"")</f>
        <v>0</v>
      </c>
      <c r="N82" s="5" t="str">
        <f aca="false">IFERROR(INDEX(Scoring!$Y$5:$Y$337,MATCH($A82&amp;"|"&amp;$B82,Scoring!$AF$5:$AF$337,0)),"")</f>
        <v>No</v>
      </c>
      <c r="O82" s="5" t="str">
        <f aca="false">IFERROR(INDEX(Scoring!$Z$5:$Z$337,MATCH($A82&amp;"|"&amp;$B82,Scoring!$AF$5:$AF$337,0)),"")</f>
        <v>Yes</v>
      </c>
      <c r="P82" s="5" t="str">
        <f aca="false">IFERROR(INDEX(Scoring!$AA$5:$AA$337,MATCH($A82&amp;"|"&amp;$B82,Scoring!$AF$5:$AF$337,0)),"")</f>
        <v>Yes</v>
      </c>
      <c r="Q82" s="5" t="str">
        <f aca="false">IFERROR(INDEX(Scoring!$AE$5:$AE$337,MATCH($A82&amp;"|"&amp;$B82,Scoring!$AF$5:$AF$337,0)),"")</f>
        <v>Differentiation in crowded generic market</v>
      </c>
    </row>
    <row r="83" customFormat="false" ht="15" hidden="false" customHeight="false" outlineLevel="0" collapsed="false">
      <c r="A83" s="5" t="s">
        <v>44</v>
      </c>
      <c r="B83" s="5" t="n">
        <v>9</v>
      </c>
      <c r="C83" s="5" t="str">
        <f aca="false">IFERROR(INDEX(Scoring!$AD$5:$AD$337,MATCH($A83&amp;"|"&amp;$B83,Scoring!$AF$5:$AF$337,0)),"")</f>
        <v>Next wave</v>
      </c>
      <c r="D83" s="5" t="str">
        <f aca="false">IFERROR(INDEX(Scoring!$B$5:$B$337,MATCH($A83&amp;"|"&amp;$B83,Scoring!$AF$5:$AF$337,0)),"")</f>
        <v>Fulvestrant</v>
      </c>
      <c r="E83" s="5" t="str">
        <f aca="false">IFERROR(INDEX(Scoring!$D$5:$D$337,MATCH($A83&amp;"|"&amp;$B83,Scoring!$AF$5:$AF$337,0)),"")</f>
        <v>Oncology – HR+ advanced breast cancer</v>
      </c>
      <c r="F83" s="8" t="n">
        <f aca="false">IFERROR(INDEX(Scoring!$U$5:$U$337,MATCH($A83&amp;"|"&amp;$B83,Scoring!$AF$5:$AF$337,0)),"")</f>
        <v>0.77</v>
      </c>
      <c r="G83" s="7" t="n">
        <f aca="false">IFERROR(INDEX(Scoring!$O$5:$O$337,MATCH($A83&amp;"|"&amp;$B83,Scoring!$AF$5:$AF$337,0)),"")</f>
        <v>11366.06</v>
      </c>
      <c r="H83" s="6" t="n">
        <f aca="false">IFERROR(INDEX(Scoring!$N$5:$N$337,MATCH($A83&amp;"|"&amp;$B83,Scoring!$AF$5:$AF$337,0)),"")</f>
        <v>246.4646</v>
      </c>
      <c r="I83" s="5" t="n">
        <f aca="false">IFERROR(INDEX(Scoring!$F$5:$F$337,MATCH($A83&amp;"|"&amp;$B83,Scoring!$AF$5:$AF$337,0)),"")</f>
        <v>7</v>
      </c>
      <c r="J83" s="5" t="n">
        <f aca="false">IFERROR(INDEX(Scoring!$E$5:$E$337,MATCH($A83&amp;"|"&amp;$B83,Scoring!$AF$5:$AF$337,0)),"")</f>
        <v>35</v>
      </c>
      <c r="K83" s="5" t="n">
        <f aca="false">IFERROR(INDEX(Scoring!$K$5:$K$337,MATCH($A83&amp;"|"&amp;$B83,Scoring!$AF$5:$AF$337,0)),"")</f>
        <v>0</v>
      </c>
      <c r="L83" s="5" t="n">
        <f aca="false">IFERROR(INDEX(Scoring!$L$5:$L$337,MATCH($A83&amp;"|"&amp;$B83,Scoring!$AF$5:$AF$337,0)),"")</f>
        <v>0</v>
      </c>
      <c r="M83" s="5" t="n">
        <f aca="false">IFERROR(INDEX(Scoring!$M$5:$M$337,MATCH($A83&amp;"|"&amp;$B83,Scoring!$AF$5:$AF$337,0)),"")</f>
        <v>5</v>
      </c>
      <c r="N83" s="5" t="str">
        <f aca="false">IFERROR(INDEX(Scoring!$Y$5:$Y$337,MATCH($A83&amp;"|"&amp;$B83,Scoring!$AF$5:$AF$337,0)),"")</f>
        <v>No</v>
      </c>
      <c r="O83" s="5" t="str">
        <f aca="false">IFERROR(INDEX(Scoring!$Z$5:$Z$337,MATCH($A83&amp;"|"&amp;$B83,Scoring!$AF$5:$AF$337,0)),"")</f>
        <v>No</v>
      </c>
      <c r="P83" s="5" t="str">
        <f aca="false">IFERROR(INDEX(Scoring!$AA$5:$AA$337,MATCH($A83&amp;"|"&amp;$B83,Scoring!$AF$5:$AF$337,0)),"")</f>
        <v>Yes</v>
      </c>
      <c r="Q83" s="5" t="str">
        <f aca="false">IFERROR(INDEX(Scoring!$AE$5:$AE$337,MATCH($A83&amp;"|"&amp;$B83,Scoring!$AF$5:$AF$337,0)),"")</f>
        <v>Safety upgrade of existing prefilled syringe</v>
      </c>
    </row>
    <row r="84" customFormat="false" ht="15" hidden="false" customHeight="false" outlineLevel="0" collapsed="false">
      <c r="A84" s="5" t="s">
        <v>44</v>
      </c>
      <c r="B84" s="5" t="n">
        <v>10</v>
      </c>
      <c r="C84" s="5" t="str">
        <f aca="false">IFERROR(INDEX(Scoring!$AD$5:$AD$337,MATCH($A84&amp;"|"&amp;$B84,Scoring!$AF$5:$AF$337,0)),"")</f>
        <v>Next wave</v>
      </c>
      <c r="D84" s="5" t="str">
        <f aca="false">IFERROR(INDEX(Scoring!$B$5:$B$337,MATCH($A84&amp;"|"&amp;$B84,Scoring!$AF$5:$AF$337,0)),"")</f>
        <v>Sugammadex</v>
      </c>
      <c r="E84" s="5" t="str">
        <f aca="false">IFERROR(INDEX(Scoring!$D$5:$D$337,MATCH($A84&amp;"|"&amp;$B84,Scoring!$AF$5:$AF$337,0)),"")</f>
        <v>Anaesthesia – reversal of rocuronium/vecuronium muscle relaxation</v>
      </c>
      <c r="F84" s="8" t="n">
        <f aca="false">IFERROR(INDEX(Scoring!$U$5:$U$337,MATCH($A84&amp;"|"&amp;$B84,Scoring!$AF$5:$AF$337,0)),"")</f>
        <v>0.7585</v>
      </c>
      <c r="G84" s="7" t="n">
        <f aca="false">IFERROR(INDEX(Scoring!$O$5:$O$337,MATCH($A84&amp;"|"&amp;$B84,Scoring!$AF$5:$AF$337,0)),"")</f>
        <v>32830.17</v>
      </c>
      <c r="H84" s="6" t="n">
        <f aca="false">IFERROR(INDEX(Scoring!$N$5:$N$337,MATCH($A84&amp;"|"&amp;$B84,Scoring!$AF$5:$AF$337,0)),"")</f>
        <v>79.5349</v>
      </c>
      <c r="I84" s="5" t="n">
        <f aca="false">IFERROR(INDEX(Scoring!$F$5:$F$337,MATCH($A84&amp;"|"&amp;$B84,Scoring!$AF$5:$AF$337,0)),"")</f>
        <v>6</v>
      </c>
      <c r="J84" s="5" t="n">
        <f aca="false">IFERROR(INDEX(Scoring!$E$5:$E$337,MATCH($A84&amp;"|"&amp;$B84,Scoring!$AF$5:$AF$337,0)),"")</f>
        <v>33</v>
      </c>
      <c r="K84" s="5" t="n">
        <f aca="false">IFERROR(INDEX(Scoring!$K$5:$K$337,MATCH($A84&amp;"|"&amp;$B84,Scoring!$AF$5:$AF$337,0)),"")</f>
        <v>4</v>
      </c>
      <c r="L84" s="5" t="n">
        <f aca="false">IFERROR(INDEX(Scoring!$L$5:$L$337,MATCH($A84&amp;"|"&amp;$B84,Scoring!$AF$5:$AF$337,0)),"")</f>
        <v>0</v>
      </c>
      <c r="M84" s="5" t="n">
        <f aca="false">IFERROR(INDEX(Scoring!$M$5:$M$337,MATCH($A84&amp;"|"&amp;$B84,Scoring!$AF$5:$AF$337,0)),"")</f>
        <v>0</v>
      </c>
      <c r="N84" s="5" t="str">
        <f aca="false">IFERROR(INDEX(Scoring!$Y$5:$Y$337,MATCH($A84&amp;"|"&amp;$B84,Scoring!$AF$5:$AF$337,0)),"")</f>
        <v>No</v>
      </c>
      <c r="O84" s="5" t="str">
        <f aca="false">IFERROR(INDEX(Scoring!$Z$5:$Z$337,MATCH($A84&amp;"|"&amp;$B84,Scoring!$AF$5:$AF$337,0)),"")</f>
        <v>No</v>
      </c>
      <c r="P84" s="5" t="str">
        <f aca="false">IFERROR(INDEX(Scoring!$AA$5:$AA$337,MATCH($A84&amp;"|"&amp;$B84,Scoring!$AF$5:$AF$337,0)),"")</f>
        <v>Yes</v>
      </c>
      <c r="Q84" s="5" t="str">
        <f aca="false">IFERROR(INDEX(Scoring!$AE$5:$AE$337,MATCH($A84&amp;"|"&amp;$B84,Scoring!$AF$5:$AF$337,0)),"")</f>
        <v>Differentiation in crowded generic market</v>
      </c>
    </row>
    <row r="85" customFormat="false" ht="15" hidden="false" customHeight="false" outlineLevel="0" collapsed="false">
      <c r="A85" s="14" t="s">
        <v>40</v>
      </c>
      <c r="B85" s="14" t="n">
        <v>1</v>
      </c>
      <c r="C85" s="14" t="str">
        <f aca="false">IFERROR(INDEX(Scoring!$AD$5:$AD$337,MATCH($A85&amp;"|"&amp;$B85,Scoring!$AF$5:$AF$337,0)),"")</f>
        <v>Lead</v>
      </c>
      <c r="D85" s="14" t="str">
        <f aca="false">IFERROR(INDEX(Scoring!$B$5:$B$337,MATCH($A85&amp;"|"&amp;$B85,Scoring!$AF$5:$AF$337,0)),"")</f>
        <v>Sugammadex</v>
      </c>
      <c r="E85" s="14" t="str">
        <f aca="false">IFERROR(INDEX(Scoring!$D$5:$D$337,MATCH($A85&amp;"|"&amp;$B85,Scoring!$AF$5:$AF$337,0)),"")</f>
        <v>Anaesthesia – reversal of rocuronium/vecuronium muscle relaxation</v>
      </c>
      <c r="F85" s="15" t="n">
        <f aca="false">IFERROR(INDEX(Scoring!$U$5:$U$337,MATCH($A85&amp;"|"&amp;$B85,Scoring!$AF$5:$AF$337,0)),"")</f>
        <v>0.6775</v>
      </c>
      <c r="G85" s="16" t="n">
        <f aca="false">IFERROR(INDEX(Scoring!$O$5:$O$337,MATCH($A85&amp;"|"&amp;$B85,Scoring!$AF$5:$AF$337,0)),"")</f>
        <v>32830.17</v>
      </c>
      <c r="H85" s="17" t="n">
        <f aca="false">IFERROR(INDEX(Scoring!$N$5:$N$337,MATCH($A85&amp;"|"&amp;$B85,Scoring!$AF$5:$AF$337,0)),"")</f>
        <v>35.03</v>
      </c>
      <c r="I85" s="14" t="n">
        <f aca="false">IFERROR(INDEX(Scoring!$F$5:$F$337,MATCH($A85&amp;"|"&amp;$B85,Scoring!$AF$5:$AF$337,0)),"")</f>
        <v>1</v>
      </c>
      <c r="J85" s="14" t="n">
        <f aca="false">IFERROR(INDEX(Scoring!$E$5:$E$337,MATCH($A85&amp;"|"&amp;$B85,Scoring!$AF$5:$AF$337,0)),"")</f>
        <v>2</v>
      </c>
      <c r="K85" s="14" t="n">
        <f aca="false">IFERROR(INDEX(Scoring!$K$5:$K$337,MATCH($A85&amp;"|"&amp;$B85,Scoring!$AF$5:$AF$337,0)),"")</f>
        <v>4</v>
      </c>
      <c r="L85" s="14" t="n">
        <f aca="false">IFERROR(INDEX(Scoring!$L$5:$L$337,MATCH($A85&amp;"|"&amp;$B85,Scoring!$AF$5:$AF$337,0)),"")</f>
        <v>0</v>
      </c>
      <c r="M85" s="14" t="n">
        <f aca="false">IFERROR(INDEX(Scoring!$M$5:$M$337,MATCH($A85&amp;"|"&amp;$B85,Scoring!$AF$5:$AF$337,0)),"")</f>
        <v>0</v>
      </c>
      <c r="N85" s="14" t="str">
        <f aca="false">IFERROR(INDEX(Scoring!$Y$5:$Y$337,MATCH($A85&amp;"|"&amp;$B85,Scoring!$AF$5:$AF$337,0)),"")</f>
        <v>No</v>
      </c>
      <c r="O85" s="14" t="str">
        <f aca="false">IFERROR(INDEX(Scoring!$Z$5:$Z$337,MATCH($A85&amp;"|"&amp;$B85,Scoring!$AF$5:$AF$337,0)),"")</f>
        <v>No</v>
      </c>
      <c r="P85" s="14" t="str">
        <f aca="false">IFERROR(INDEX(Scoring!$AA$5:$AA$337,MATCH($A85&amp;"|"&amp;$B85,Scoring!$AF$5:$AF$337,0)),"")</f>
        <v>Yes</v>
      </c>
      <c r="Q85" s="14" t="str">
        <f aca="false">IFERROR(INDEX(Scoring!$AE$5:$AE$337,MATCH($A85&amp;"|"&amp;$B85,Scoring!$AF$5:$AF$337,0)),"")</f>
        <v>Differentiation in crowded generic market</v>
      </c>
    </row>
    <row r="86" customFormat="false" ht="15" hidden="false" customHeight="false" outlineLevel="0" collapsed="false">
      <c r="A86" s="5" t="s">
        <v>40</v>
      </c>
      <c r="B86" s="5" t="n">
        <v>2</v>
      </c>
      <c r="C86" s="5" t="str">
        <f aca="false">IFERROR(INDEX(Scoring!$AD$5:$AD$337,MATCH($A86&amp;"|"&amp;$B86,Scoring!$AF$5:$AF$337,0)),"")</f>
        <v>Lead</v>
      </c>
      <c r="D86" s="5" t="str">
        <f aca="false">IFERROR(INDEX(Scoring!$B$5:$B$337,MATCH($A86&amp;"|"&amp;$B86,Scoring!$AF$5:$AF$337,0)),"")</f>
        <v>Famotidine</v>
      </c>
      <c r="E86" s="5" t="str">
        <f aca="false">IFERROR(INDEX(Scoring!$D$5:$D$337,MATCH($A86&amp;"|"&amp;$B86,Scoring!$AF$5:$AF$337,0)),"")</f>
        <v>Gastroenterology – ulcers, GERD, hypersecretory states (IV H2 blocker)</v>
      </c>
      <c r="F86" s="8" t="n">
        <f aca="false">IFERROR(INDEX(Scoring!$U$5:$U$337,MATCH($A86&amp;"|"&amp;$B86,Scoring!$AF$5:$AF$337,0)),"")</f>
        <v>0.217</v>
      </c>
      <c r="G86" s="7" t="n">
        <f aca="false">IFERROR(INDEX(Scoring!$O$5:$O$337,MATCH($A86&amp;"|"&amp;$B86,Scoring!$AF$5:$AF$337,0)),"")</f>
        <v>1578.85421890766</v>
      </c>
      <c r="H86" s="6" t="str">
        <f aca="false">IFERROR(INDEX(Scoring!$N$5:$N$337,MATCH($A86&amp;"|"&amp;$B86,Scoring!$AF$5:$AF$337,0)),"")</f>
        <v/>
      </c>
      <c r="I86" s="5" t="n">
        <f aca="false">IFERROR(INDEX(Scoring!$F$5:$F$337,MATCH($A86&amp;"|"&amp;$B86,Scoring!$AF$5:$AF$337,0)),"")</f>
        <v>1</v>
      </c>
      <c r="J86" s="5" t="n">
        <f aca="false">IFERROR(INDEX(Scoring!$E$5:$E$337,MATCH($A86&amp;"|"&amp;$B86,Scoring!$AF$5:$AF$337,0)),"")</f>
        <v>1</v>
      </c>
      <c r="K86" s="5" t="n">
        <f aca="false">IFERROR(INDEX(Scoring!$K$5:$K$337,MATCH($A86&amp;"|"&amp;$B86,Scoring!$AF$5:$AF$337,0)),"")</f>
        <v>0</v>
      </c>
      <c r="L86" s="5" t="n">
        <f aca="false">IFERROR(INDEX(Scoring!$L$5:$L$337,MATCH($A86&amp;"|"&amp;$B86,Scoring!$AF$5:$AF$337,0)),"")</f>
        <v>0</v>
      </c>
      <c r="M86" s="5" t="n">
        <f aca="false">IFERROR(INDEX(Scoring!$M$5:$M$337,MATCH($A86&amp;"|"&amp;$B86,Scoring!$AF$5:$AF$337,0)),"")</f>
        <v>0</v>
      </c>
      <c r="N86" s="5" t="str">
        <f aca="false">IFERROR(INDEX(Scoring!$Y$5:$Y$337,MATCH($A86&amp;"|"&amp;$B86,Scoring!$AF$5:$AF$337,0)),"")</f>
        <v>No</v>
      </c>
      <c r="O86" s="5" t="str">
        <f aca="false">IFERROR(INDEX(Scoring!$Z$5:$Z$337,MATCH($A86&amp;"|"&amp;$B86,Scoring!$AF$5:$AF$337,0)),"")</f>
        <v>No</v>
      </c>
      <c r="P86" s="5" t="str">
        <f aca="false">IFERROR(INDEX(Scoring!$AA$5:$AA$337,MATCH($A86&amp;"|"&amp;$B86,Scoring!$AF$5:$AF$337,0)),"")</f>
        <v>No</v>
      </c>
      <c r="Q86" s="5" t="str">
        <f aca="false">IFERROR(INDEX(Scoring!$AE$5:$AE$337,MATCH($A86&amp;"|"&amp;$B86,Scoring!$AF$5:$AF$337,0)),"")</f>
        <v>Confirm presentation (not stated in source)</v>
      </c>
    </row>
    <row r="87" customFormat="false" ht="15" hidden="false" customHeight="false" outlineLevel="0" collapsed="false">
      <c r="A87" s="5" t="s">
        <v>40</v>
      </c>
      <c r="B87" s="5" t="n">
        <v>3</v>
      </c>
      <c r="C87" s="5" t="str">
        <f aca="false">IFERROR(INDEX(Scoring!$AD$5:$AD$337,MATCH($A87&amp;"|"&amp;$B87,Scoring!$AF$5:$AF$337,0)),"")</f>
        <v>Lead</v>
      </c>
      <c r="D87" s="5" t="str">
        <f aca="false">IFERROR(INDEX(Scoring!$B$5:$B$337,MATCH($A87&amp;"|"&amp;$B87,Scoring!$AF$5:$AF$337,0)),"")</f>
        <v>Diazepam</v>
      </c>
      <c r="E87" s="5" t="str">
        <f aca="false">IFERROR(INDEX(Scoring!$D$5:$D$337,MATCH($A87&amp;"|"&amp;$B87,Scoring!$AF$5:$AF$337,0)),"")</f>
        <v>Neurology – status epilepticus, seizures, acute anxiety/sedation</v>
      </c>
      <c r="F87" s="8" t="n">
        <f aca="false">IFERROR(INDEX(Scoring!$U$5:$U$337,MATCH($A87&amp;"|"&amp;$B87,Scoring!$AF$5:$AF$337,0)),"")</f>
        <v>0.151</v>
      </c>
      <c r="G87" s="7" t="n">
        <f aca="false">IFERROR(INDEX(Scoring!$O$5:$O$337,MATCH($A87&amp;"|"&amp;$B87,Scoring!$AF$5:$AF$337,0)),"")</f>
        <v>1053.62732639831</v>
      </c>
      <c r="H87" s="6" t="str">
        <f aca="false">IFERROR(INDEX(Scoring!$N$5:$N$337,MATCH($A87&amp;"|"&amp;$B87,Scoring!$AF$5:$AF$337,0)),"")</f>
        <v/>
      </c>
      <c r="I87" s="5" t="n">
        <f aca="false">IFERROR(INDEX(Scoring!$F$5:$F$337,MATCH($A87&amp;"|"&amp;$B87,Scoring!$AF$5:$AF$337,0)),"")</f>
        <v>1</v>
      </c>
      <c r="J87" s="5" t="n">
        <f aca="false">IFERROR(INDEX(Scoring!$E$5:$E$337,MATCH($A87&amp;"|"&amp;$B87,Scoring!$AF$5:$AF$337,0)),"")</f>
        <v>1</v>
      </c>
      <c r="K87" s="5" t="n">
        <f aca="false">IFERROR(INDEX(Scoring!$K$5:$K$337,MATCH($A87&amp;"|"&amp;$B87,Scoring!$AF$5:$AF$337,0)),"")</f>
        <v>0</v>
      </c>
      <c r="L87" s="5" t="n">
        <f aca="false">IFERROR(INDEX(Scoring!$L$5:$L$337,MATCH($A87&amp;"|"&amp;$B87,Scoring!$AF$5:$AF$337,0)),"")</f>
        <v>0</v>
      </c>
      <c r="M87" s="5" t="n">
        <f aca="false">IFERROR(INDEX(Scoring!$M$5:$M$337,MATCH($A87&amp;"|"&amp;$B87,Scoring!$AF$5:$AF$337,0)),"")</f>
        <v>0</v>
      </c>
      <c r="N87" s="5" t="str">
        <f aca="false">IFERROR(INDEX(Scoring!$Y$5:$Y$337,MATCH($A87&amp;"|"&amp;$B87,Scoring!$AF$5:$AF$337,0)),"")</f>
        <v>No</v>
      </c>
      <c r="O87" s="5" t="str">
        <f aca="false">IFERROR(INDEX(Scoring!$Z$5:$Z$337,MATCH($A87&amp;"|"&amp;$B87,Scoring!$AF$5:$AF$337,0)),"")</f>
        <v>No</v>
      </c>
      <c r="P87" s="5" t="str">
        <f aca="false">IFERROR(INDEX(Scoring!$AA$5:$AA$337,MATCH($A87&amp;"|"&amp;$B87,Scoring!$AF$5:$AF$337,0)),"")</f>
        <v>Yes</v>
      </c>
      <c r="Q87" s="5" t="str">
        <f aca="false">IFERROR(INDEX(Scoring!$AE$5:$AE$337,MATCH($A87&amp;"|"&amp;$B87,Scoring!$AF$5:$AF$337,0)),"")</f>
        <v>Confirm presentation (not stated in source)</v>
      </c>
    </row>
    <row r="88" customFormat="false" ht="15" hidden="false" customHeight="false" outlineLevel="0" collapsed="false">
      <c r="A88" s="5" t="s">
        <v>40</v>
      </c>
      <c r="B88" s="5" t="n">
        <v>4</v>
      </c>
      <c r="C88" s="5" t="str">
        <f aca="false">IFERROR(INDEX(Scoring!$AD$5:$AD$337,MATCH($A88&amp;"|"&amp;$B88,Scoring!$AF$5:$AF$337,0)),"")</f>
        <v/>
      </c>
      <c r="D88" s="5" t="str">
        <f aca="false">IFERROR(INDEX(Scoring!$B$5:$B$337,MATCH($A88&amp;"|"&amp;$B88,Scoring!$AF$5:$AF$337,0)),"")</f>
        <v/>
      </c>
      <c r="E88" s="5" t="str">
        <f aca="false">IFERROR(INDEX(Scoring!$D$5:$D$337,MATCH($A88&amp;"|"&amp;$B88,Scoring!$AF$5:$AF$337,0)),"")</f>
        <v/>
      </c>
      <c r="F88" s="8" t="str">
        <f aca="false">IFERROR(INDEX(Scoring!$U$5:$U$337,MATCH($A88&amp;"|"&amp;$B88,Scoring!$AF$5:$AF$337,0)),"")</f>
        <v/>
      </c>
      <c r="G88" s="7" t="str">
        <f aca="false">IFERROR(INDEX(Scoring!$O$5:$O$337,MATCH($A88&amp;"|"&amp;$B88,Scoring!$AF$5:$AF$337,0)),"")</f>
        <v/>
      </c>
      <c r="H88" s="6" t="str">
        <f aca="false">IFERROR(INDEX(Scoring!$N$5:$N$337,MATCH($A88&amp;"|"&amp;$B88,Scoring!$AF$5:$AF$337,0)),"")</f>
        <v/>
      </c>
      <c r="I88" s="5" t="str">
        <f aca="false">IFERROR(INDEX(Scoring!$F$5:$F$337,MATCH($A88&amp;"|"&amp;$B88,Scoring!$AF$5:$AF$337,0)),"")</f>
        <v/>
      </c>
      <c r="J88" s="5" t="str">
        <f aca="false">IFERROR(INDEX(Scoring!$E$5:$E$337,MATCH($A88&amp;"|"&amp;$B88,Scoring!$AF$5:$AF$337,0)),"")</f>
        <v/>
      </c>
      <c r="K88" s="5" t="str">
        <f aca="false">IFERROR(INDEX(Scoring!$K$5:$K$337,MATCH($A88&amp;"|"&amp;$B88,Scoring!$AF$5:$AF$337,0)),"")</f>
        <v/>
      </c>
      <c r="L88" s="5" t="str">
        <f aca="false">IFERROR(INDEX(Scoring!$L$5:$L$337,MATCH($A88&amp;"|"&amp;$B88,Scoring!$AF$5:$AF$337,0)),"")</f>
        <v/>
      </c>
      <c r="M88" s="5" t="str">
        <f aca="false">IFERROR(INDEX(Scoring!$M$5:$M$337,MATCH($A88&amp;"|"&amp;$B88,Scoring!$AF$5:$AF$337,0)),"")</f>
        <v/>
      </c>
      <c r="N88" s="5" t="str">
        <f aca="false">IFERROR(INDEX(Scoring!$Y$5:$Y$337,MATCH($A88&amp;"|"&amp;$B88,Scoring!$AF$5:$AF$337,0)),"")</f>
        <v/>
      </c>
      <c r="O88" s="5" t="str">
        <f aca="false">IFERROR(INDEX(Scoring!$Z$5:$Z$337,MATCH($A88&amp;"|"&amp;$B88,Scoring!$AF$5:$AF$337,0)),"")</f>
        <v/>
      </c>
      <c r="P88" s="5" t="str">
        <f aca="false">IFERROR(INDEX(Scoring!$AA$5:$AA$337,MATCH($A88&amp;"|"&amp;$B88,Scoring!$AF$5:$AF$337,0)),"")</f>
        <v/>
      </c>
      <c r="Q88" s="5" t="str">
        <f aca="false">IFERROR(INDEX(Scoring!$AE$5:$AE$337,MATCH($A88&amp;"|"&amp;$B88,Scoring!$AF$5:$AF$337,0)),"")</f>
        <v/>
      </c>
    </row>
    <row r="89" customFormat="false" ht="15" hidden="false" customHeight="false" outlineLevel="0" collapsed="false">
      <c r="A89" s="5" t="s">
        <v>40</v>
      </c>
      <c r="B89" s="5" t="n">
        <v>5</v>
      </c>
      <c r="C89" s="5" t="str">
        <f aca="false">IFERROR(INDEX(Scoring!$AD$5:$AD$337,MATCH($A89&amp;"|"&amp;$B89,Scoring!$AF$5:$AF$337,0)),"")</f>
        <v/>
      </c>
      <c r="D89" s="5" t="str">
        <f aca="false">IFERROR(INDEX(Scoring!$B$5:$B$337,MATCH($A89&amp;"|"&amp;$B89,Scoring!$AF$5:$AF$337,0)),"")</f>
        <v/>
      </c>
      <c r="E89" s="5" t="str">
        <f aca="false">IFERROR(INDEX(Scoring!$D$5:$D$337,MATCH($A89&amp;"|"&amp;$B89,Scoring!$AF$5:$AF$337,0)),"")</f>
        <v/>
      </c>
      <c r="F89" s="8" t="str">
        <f aca="false">IFERROR(INDEX(Scoring!$U$5:$U$337,MATCH($A89&amp;"|"&amp;$B89,Scoring!$AF$5:$AF$337,0)),"")</f>
        <v/>
      </c>
      <c r="G89" s="7" t="str">
        <f aca="false">IFERROR(INDEX(Scoring!$O$5:$O$337,MATCH($A89&amp;"|"&amp;$B89,Scoring!$AF$5:$AF$337,0)),"")</f>
        <v/>
      </c>
      <c r="H89" s="6" t="str">
        <f aca="false">IFERROR(INDEX(Scoring!$N$5:$N$337,MATCH($A89&amp;"|"&amp;$B89,Scoring!$AF$5:$AF$337,0)),"")</f>
        <v/>
      </c>
      <c r="I89" s="5" t="str">
        <f aca="false">IFERROR(INDEX(Scoring!$F$5:$F$337,MATCH($A89&amp;"|"&amp;$B89,Scoring!$AF$5:$AF$337,0)),"")</f>
        <v/>
      </c>
      <c r="J89" s="5" t="str">
        <f aca="false">IFERROR(INDEX(Scoring!$E$5:$E$337,MATCH($A89&amp;"|"&amp;$B89,Scoring!$AF$5:$AF$337,0)),"")</f>
        <v/>
      </c>
      <c r="K89" s="5" t="str">
        <f aca="false">IFERROR(INDEX(Scoring!$K$5:$K$337,MATCH($A89&amp;"|"&amp;$B89,Scoring!$AF$5:$AF$337,0)),"")</f>
        <v/>
      </c>
      <c r="L89" s="5" t="str">
        <f aca="false">IFERROR(INDEX(Scoring!$L$5:$L$337,MATCH($A89&amp;"|"&amp;$B89,Scoring!$AF$5:$AF$337,0)),"")</f>
        <v/>
      </c>
      <c r="M89" s="5" t="str">
        <f aca="false">IFERROR(INDEX(Scoring!$M$5:$M$337,MATCH($A89&amp;"|"&amp;$B89,Scoring!$AF$5:$AF$337,0)),"")</f>
        <v/>
      </c>
      <c r="N89" s="5" t="str">
        <f aca="false">IFERROR(INDEX(Scoring!$Y$5:$Y$337,MATCH($A89&amp;"|"&amp;$B89,Scoring!$AF$5:$AF$337,0)),"")</f>
        <v/>
      </c>
      <c r="O89" s="5" t="str">
        <f aca="false">IFERROR(INDEX(Scoring!$Z$5:$Z$337,MATCH($A89&amp;"|"&amp;$B89,Scoring!$AF$5:$AF$337,0)),"")</f>
        <v/>
      </c>
      <c r="P89" s="5" t="str">
        <f aca="false">IFERROR(INDEX(Scoring!$AA$5:$AA$337,MATCH($A89&amp;"|"&amp;$B89,Scoring!$AF$5:$AF$337,0)),"")</f>
        <v/>
      </c>
      <c r="Q89" s="5" t="str">
        <f aca="false">IFERROR(INDEX(Scoring!$AE$5:$AE$337,MATCH($A89&amp;"|"&amp;$B89,Scoring!$AF$5:$AF$337,0)),"")</f>
        <v/>
      </c>
    </row>
    <row r="90" customFormat="false" ht="15" hidden="false" customHeight="false" outlineLevel="0" collapsed="false">
      <c r="A90" s="5" t="s">
        <v>40</v>
      </c>
      <c r="B90" s="5" t="n">
        <v>6</v>
      </c>
      <c r="C90" s="5" t="str">
        <f aca="false">IFERROR(INDEX(Scoring!$AD$5:$AD$337,MATCH($A90&amp;"|"&amp;$B90,Scoring!$AF$5:$AF$337,0)),"")</f>
        <v/>
      </c>
      <c r="D90" s="5" t="str">
        <f aca="false">IFERROR(INDEX(Scoring!$B$5:$B$337,MATCH($A90&amp;"|"&amp;$B90,Scoring!$AF$5:$AF$337,0)),"")</f>
        <v/>
      </c>
      <c r="E90" s="5" t="str">
        <f aca="false">IFERROR(INDEX(Scoring!$D$5:$D$337,MATCH($A90&amp;"|"&amp;$B90,Scoring!$AF$5:$AF$337,0)),"")</f>
        <v/>
      </c>
      <c r="F90" s="8" t="str">
        <f aca="false">IFERROR(INDEX(Scoring!$U$5:$U$337,MATCH($A90&amp;"|"&amp;$B90,Scoring!$AF$5:$AF$337,0)),"")</f>
        <v/>
      </c>
      <c r="G90" s="7" t="str">
        <f aca="false">IFERROR(INDEX(Scoring!$O$5:$O$337,MATCH($A90&amp;"|"&amp;$B90,Scoring!$AF$5:$AF$337,0)),"")</f>
        <v/>
      </c>
      <c r="H90" s="6" t="str">
        <f aca="false">IFERROR(INDEX(Scoring!$N$5:$N$337,MATCH($A90&amp;"|"&amp;$B90,Scoring!$AF$5:$AF$337,0)),"")</f>
        <v/>
      </c>
      <c r="I90" s="5" t="str">
        <f aca="false">IFERROR(INDEX(Scoring!$F$5:$F$337,MATCH($A90&amp;"|"&amp;$B90,Scoring!$AF$5:$AF$337,0)),"")</f>
        <v/>
      </c>
      <c r="J90" s="5" t="str">
        <f aca="false">IFERROR(INDEX(Scoring!$E$5:$E$337,MATCH($A90&amp;"|"&amp;$B90,Scoring!$AF$5:$AF$337,0)),"")</f>
        <v/>
      </c>
      <c r="K90" s="5" t="str">
        <f aca="false">IFERROR(INDEX(Scoring!$K$5:$K$337,MATCH($A90&amp;"|"&amp;$B90,Scoring!$AF$5:$AF$337,0)),"")</f>
        <v/>
      </c>
      <c r="L90" s="5" t="str">
        <f aca="false">IFERROR(INDEX(Scoring!$L$5:$L$337,MATCH($A90&amp;"|"&amp;$B90,Scoring!$AF$5:$AF$337,0)),"")</f>
        <v/>
      </c>
      <c r="M90" s="5" t="str">
        <f aca="false">IFERROR(INDEX(Scoring!$M$5:$M$337,MATCH($A90&amp;"|"&amp;$B90,Scoring!$AF$5:$AF$337,0)),"")</f>
        <v/>
      </c>
      <c r="N90" s="5" t="str">
        <f aca="false">IFERROR(INDEX(Scoring!$Y$5:$Y$337,MATCH($A90&amp;"|"&amp;$B90,Scoring!$AF$5:$AF$337,0)),"")</f>
        <v/>
      </c>
      <c r="O90" s="5" t="str">
        <f aca="false">IFERROR(INDEX(Scoring!$Z$5:$Z$337,MATCH($A90&amp;"|"&amp;$B90,Scoring!$AF$5:$AF$337,0)),"")</f>
        <v/>
      </c>
      <c r="P90" s="5" t="str">
        <f aca="false">IFERROR(INDEX(Scoring!$AA$5:$AA$337,MATCH($A90&amp;"|"&amp;$B90,Scoring!$AF$5:$AF$337,0)),"")</f>
        <v/>
      </c>
      <c r="Q90" s="5" t="str">
        <f aca="false">IFERROR(INDEX(Scoring!$AE$5:$AE$337,MATCH($A90&amp;"|"&amp;$B90,Scoring!$AF$5:$AF$337,0)),"")</f>
        <v/>
      </c>
    </row>
    <row r="91" customFormat="false" ht="15" hidden="false" customHeight="false" outlineLevel="0" collapsed="false">
      <c r="A91" s="5" t="s">
        <v>40</v>
      </c>
      <c r="B91" s="5" t="n">
        <v>7</v>
      </c>
      <c r="C91" s="5" t="str">
        <f aca="false">IFERROR(INDEX(Scoring!$AD$5:$AD$337,MATCH($A91&amp;"|"&amp;$B91,Scoring!$AF$5:$AF$337,0)),"")</f>
        <v/>
      </c>
      <c r="D91" s="5" t="str">
        <f aca="false">IFERROR(INDEX(Scoring!$B$5:$B$337,MATCH($A91&amp;"|"&amp;$B91,Scoring!$AF$5:$AF$337,0)),"")</f>
        <v/>
      </c>
      <c r="E91" s="5" t="str">
        <f aca="false">IFERROR(INDEX(Scoring!$D$5:$D$337,MATCH($A91&amp;"|"&amp;$B91,Scoring!$AF$5:$AF$337,0)),"")</f>
        <v/>
      </c>
      <c r="F91" s="8" t="str">
        <f aca="false">IFERROR(INDEX(Scoring!$U$5:$U$337,MATCH($A91&amp;"|"&amp;$B91,Scoring!$AF$5:$AF$337,0)),"")</f>
        <v/>
      </c>
      <c r="G91" s="7" t="str">
        <f aca="false">IFERROR(INDEX(Scoring!$O$5:$O$337,MATCH($A91&amp;"|"&amp;$B91,Scoring!$AF$5:$AF$337,0)),"")</f>
        <v/>
      </c>
      <c r="H91" s="6" t="str">
        <f aca="false">IFERROR(INDEX(Scoring!$N$5:$N$337,MATCH($A91&amp;"|"&amp;$B91,Scoring!$AF$5:$AF$337,0)),"")</f>
        <v/>
      </c>
      <c r="I91" s="5" t="str">
        <f aca="false">IFERROR(INDEX(Scoring!$F$5:$F$337,MATCH($A91&amp;"|"&amp;$B91,Scoring!$AF$5:$AF$337,0)),"")</f>
        <v/>
      </c>
      <c r="J91" s="5" t="str">
        <f aca="false">IFERROR(INDEX(Scoring!$E$5:$E$337,MATCH($A91&amp;"|"&amp;$B91,Scoring!$AF$5:$AF$337,0)),"")</f>
        <v/>
      </c>
      <c r="K91" s="5" t="str">
        <f aca="false">IFERROR(INDEX(Scoring!$K$5:$K$337,MATCH($A91&amp;"|"&amp;$B91,Scoring!$AF$5:$AF$337,0)),"")</f>
        <v/>
      </c>
      <c r="L91" s="5" t="str">
        <f aca="false">IFERROR(INDEX(Scoring!$L$5:$L$337,MATCH($A91&amp;"|"&amp;$B91,Scoring!$AF$5:$AF$337,0)),"")</f>
        <v/>
      </c>
      <c r="M91" s="5" t="str">
        <f aca="false">IFERROR(INDEX(Scoring!$M$5:$M$337,MATCH($A91&amp;"|"&amp;$B91,Scoring!$AF$5:$AF$337,0)),"")</f>
        <v/>
      </c>
      <c r="N91" s="5" t="str">
        <f aca="false">IFERROR(INDEX(Scoring!$Y$5:$Y$337,MATCH($A91&amp;"|"&amp;$B91,Scoring!$AF$5:$AF$337,0)),"")</f>
        <v/>
      </c>
      <c r="O91" s="5" t="str">
        <f aca="false">IFERROR(INDEX(Scoring!$Z$5:$Z$337,MATCH($A91&amp;"|"&amp;$B91,Scoring!$AF$5:$AF$337,0)),"")</f>
        <v/>
      </c>
      <c r="P91" s="5" t="str">
        <f aca="false">IFERROR(INDEX(Scoring!$AA$5:$AA$337,MATCH($A91&amp;"|"&amp;$B91,Scoring!$AF$5:$AF$337,0)),"")</f>
        <v/>
      </c>
      <c r="Q91" s="5" t="str">
        <f aca="false">IFERROR(INDEX(Scoring!$AE$5:$AE$337,MATCH($A91&amp;"|"&amp;$B91,Scoring!$AF$5:$AF$337,0)),"")</f>
        <v/>
      </c>
    </row>
    <row r="92" customFormat="false" ht="15" hidden="false" customHeight="false" outlineLevel="0" collapsed="false">
      <c r="A92" s="5" t="s">
        <v>40</v>
      </c>
      <c r="B92" s="5" t="n">
        <v>8</v>
      </c>
      <c r="C92" s="5" t="str">
        <f aca="false">IFERROR(INDEX(Scoring!$AD$5:$AD$337,MATCH($A92&amp;"|"&amp;$B92,Scoring!$AF$5:$AF$337,0)),"")</f>
        <v/>
      </c>
      <c r="D92" s="5" t="str">
        <f aca="false">IFERROR(INDEX(Scoring!$B$5:$B$337,MATCH($A92&amp;"|"&amp;$B92,Scoring!$AF$5:$AF$337,0)),"")</f>
        <v/>
      </c>
      <c r="E92" s="5" t="str">
        <f aca="false">IFERROR(INDEX(Scoring!$D$5:$D$337,MATCH($A92&amp;"|"&amp;$B92,Scoring!$AF$5:$AF$337,0)),"")</f>
        <v/>
      </c>
      <c r="F92" s="8" t="str">
        <f aca="false">IFERROR(INDEX(Scoring!$U$5:$U$337,MATCH($A92&amp;"|"&amp;$B92,Scoring!$AF$5:$AF$337,0)),"")</f>
        <v/>
      </c>
      <c r="G92" s="7" t="str">
        <f aca="false">IFERROR(INDEX(Scoring!$O$5:$O$337,MATCH($A92&amp;"|"&amp;$B92,Scoring!$AF$5:$AF$337,0)),"")</f>
        <v/>
      </c>
      <c r="H92" s="6" t="str">
        <f aca="false">IFERROR(INDEX(Scoring!$N$5:$N$337,MATCH($A92&amp;"|"&amp;$B92,Scoring!$AF$5:$AF$337,0)),"")</f>
        <v/>
      </c>
      <c r="I92" s="5" t="str">
        <f aca="false">IFERROR(INDEX(Scoring!$F$5:$F$337,MATCH($A92&amp;"|"&amp;$B92,Scoring!$AF$5:$AF$337,0)),"")</f>
        <v/>
      </c>
      <c r="J92" s="5" t="str">
        <f aca="false">IFERROR(INDEX(Scoring!$E$5:$E$337,MATCH($A92&amp;"|"&amp;$B92,Scoring!$AF$5:$AF$337,0)),"")</f>
        <v/>
      </c>
      <c r="K92" s="5" t="str">
        <f aca="false">IFERROR(INDEX(Scoring!$K$5:$K$337,MATCH($A92&amp;"|"&amp;$B92,Scoring!$AF$5:$AF$337,0)),"")</f>
        <v/>
      </c>
      <c r="L92" s="5" t="str">
        <f aca="false">IFERROR(INDEX(Scoring!$L$5:$L$337,MATCH($A92&amp;"|"&amp;$B92,Scoring!$AF$5:$AF$337,0)),"")</f>
        <v/>
      </c>
      <c r="M92" s="5" t="str">
        <f aca="false">IFERROR(INDEX(Scoring!$M$5:$M$337,MATCH($A92&amp;"|"&amp;$B92,Scoring!$AF$5:$AF$337,0)),"")</f>
        <v/>
      </c>
      <c r="N92" s="5" t="str">
        <f aca="false">IFERROR(INDEX(Scoring!$Y$5:$Y$337,MATCH($A92&amp;"|"&amp;$B92,Scoring!$AF$5:$AF$337,0)),"")</f>
        <v/>
      </c>
      <c r="O92" s="5" t="str">
        <f aca="false">IFERROR(INDEX(Scoring!$Z$5:$Z$337,MATCH($A92&amp;"|"&amp;$B92,Scoring!$AF$5:$AF$337,0)),"")</f>
        <v/>
      </c>
      <c r="P92" s="5" t="str">
        <f aca="false">IFERROR(INDEX(Scoring!$AA$5:$AA$337,MATCH($A92&amp;"|"&amp;$B92,Scoring!$AF$5:$AF$337,0)),"")</f>
        <v/>
      </c>
      <c r="Q92" s="5" t="str">
        <f aca="false">IFERROR(INDEX(Scoring!$AE$5:$AE$337,MATCH($A92&amp;"|"&amp;$B92,Scoring!$AF$5:$AF$337,0)),"")</f>
        <v/>
      </c>
    </row>
    <row r="93" customFormat="false" ht="15" hidden="false" customHeight="false" outlineLevel="0" collapsed="false">
      <c r="A93" s="5" t="s">
        <v>40</v>
      </c>
      <c r="B93" s="5" t="n">
        <v>9</v>
      </c>
      <c r="C93" s="5" t="str">
        <f aca="false">IFERROR(INDEX(Scoring!$AD$5:$AD$337,MATCH($A93&amp;"|"&amp;$B93,Scoring!$AF$5:$AF$337,0)),"")</f>
        <v/>
      </c>
      <c r="D93" s="5" t="str">
        <f aca="false">IFERROR(INDEX(Scoring!$B$5:$B$337,MATCH($A93&amp;"|"&amp;$B93,Scoring!$AF$5:$AF$337,0)),"")</f>
        <v/>
      </c>
      <c r="E93" s="5" t="str">
        <f aca="false">IFERROR(INDEX(Scoring!$D$5:$D$337,MATCH($A93&amp;"|"&amp;$B93,Scoring!$AF$5:$AF$337,0)),"")</f>
        <v/>
      </c>
      <c r="F93" s="8" t="str">
        <f aca="false">IFERROR(INDEX(Scoring!$U$5:$U$337,MATCH($A93&amp;"|"&amp;$B93,Scoring!$AF$5:$AF$337,0)),"")</f>
        <v/>
      </c>
      <c r="G93" s="7" t="str">
        <f aca="false">IFERROR(INDEX(Scoring!$O$5:$O$337,MATCH($A93&amp;"|"&amp;$B93,Scoring!$AF$5:$AF$337,0)),"")</f>
        <v/>
      </c>
      <c r="H93" s="6" t="str">
        <f aca="false">IFERROR(INDEX(Scoring!$N$5:$N$337,MATCH($A93&amp;"|"&amp;$B93,Scoring!$AF$5:$AF$337,0)),"")</f>
        <v/>
      </c>
      <c r="I93" s="5" t="str">
        <f aca="false">IFERROR(INDEX(Scoring!$F$5:$F$337,MATCH($A93&amp;"|"&amp;$B93,Scoring!$AF$5:$AF$337,0)),"")</f>
        <v/>
      </c>
      <c r="J93" s="5" t="str">
        <f aca="false">IFERROR(INDEX(Scoring!$E$5:$E$337,MATCH($A93&amp;"|"&amp;$B93,Scoring!$AF$5:$AF$337,0)),"")</f>
        <v/>
      </c>
      <c r="K93" s="5" t="str">
        <f aca="false">IFERROR(INDEX(Scoring!$K$5:$K$337,MATCH($A93&amp;"|"&amp;$B93,Scoring!$AF$5:$AF$337,0)),"")</f>
        <v/>
      </c>
      <c r="L93" s="5" t="str">
        <f aca="false">IFERROR(INDEX(Scoring!$L$5:$L$337,MATCH($A93&amp;"|"&amp;$B93,Scoring!$AF$5:$AF$337,0)),"")</f>
        <v/>
      </c>
      <c r="M93" s="5" t="str">
        <f aca="false">IFERROR(INDEX(Scoring!$M$5:$M$337,MATCH($A93&amp;"|"&amp;$B93,Scoring!$AF$5:$AF$337,0)),"")</f>
        <v/>
      </c>
      <c r="N93" s="5" t="str">
        <f aca="false">IFERROR(INDEX(Scoring!$Y$5:$Y$337,MATCH($A93&amp;"|"&amp;$B93,Scoring!$AF$5:$AF$337,0)),"")</f>
        <v/>
      </c>
      <c r="O93" s="5" t="str">
        <f aca="false">IFERROR(INDEX(Scoring!$Z$5:$Z$337,MATCH($A93&amp;"|"&amp;$B93,Scoring!$AF$5:$AF$337,0)),"")</f>
        <v/>
      </c>
      <c r="P93" s="5" t="str">
        <f aca="false">IFERROR(INDEX(Scoring!$AA$5:$AA$337,MATCH($A93&amp;"|"&amp;$B93,Scoring!$AF$5:$AF$337,0)),"")</f>
        <v/>
      </c>
      <c r="Q93" s="5" t="str">
        <f aca="false">IFERROR(INDEX(Scoring!$AE$5:$AE$337,MATCH($A93&amp;"|"&amp;$B93,Scoring!$AF$5:$AF$337,0)),"")</f>
        <v/>
      </c>
    </row>
    <row r="94" customFormat="false" ht="15" hidden="false" customHeight="false" outlineLevel="0" collapsed="false">
      <c r="A94" s="5" t="s">
        <v>40</v>
      </c>
      <c r="B94" s="5" t="n">
        <v>10</v>
      </c>
      <c r="C94" s="5" t="str">
        <f aca="false">IFERROR(INDEX(Scoring!$AD$5:$AD$337,MATCH($A94&amp;"|"&amp;$B94,Scoring!$AF$5:$AF$337,0)),"")</f>
        <v/>
      </c>
      <c r="D94" s="5" t="str">
        <f aca="false">IFERROR(INDEX(Scoring!$B$5:$B$337,MATCH($A94&amp;"|"&amp;$B94,Scoring!$AF$5:$AF$337,0)),"")</f>
        <v/>
      </c>
      <c r="E94" s="5" t="str">
        <f aca="false">IFERROR(INDEX(Scoring!$D$5:$D$337,MATCH($A94&amp;"|"&amp;$B94,Scoring!$AF$5:$AF$337,0)),"")</f>
        <v/>
      </c>
      <c r="F94" s="8" t="str">
        <f aca="false">IFERROR(INDEX(Scoring!$U$5:$U$337,MATCH($A94&amp;"|"&amp;$B94,Scoring!$AF$5:$AF$337,0)),"")</f>
        <v/>
      </c>
      <c r="G94" s="7" t="str">
        <f aca="false">IFERROR(INDEX(Scoring!$O$5:$O$337,MATCH($A94&amp;"|"&amp;$B94,Scoring!$AF$5:$AF$337,0)),"")</f>
        <v/>
      </c>
      <c r="H94" s="6" t="str">
        <f aca="false">IFERROR(INDEX(Scoring!$N$5:$N$337,MATCH($A94&amp;"|"&amp;$B94,Scoring!$AF$5:$AF$337,0)),"")</f>
        <v/>
      </c>
      <c r="I94" s="5" t="str">
        <f aca="false">IFERROR(INDEX(Scoring!$F$5:$F$337,MATCH($A94&amp;"|"&amp;$B94,Scoring!$AF$5:$AF$337,0)),"")</f>
        <v/>
      </c>
      <c r="J94" s="5" t="str">
        <f aca="false">IFERROR(INDEX(Scoring!$E$5:$E$337,MATCH($A94&amp;"|"&amp;$B94,Scoring!$AF$5:$AF$337,0)),"")</f>
        <v/>
      </c>
      <c r="K94" s="5" t="str">
        <f aca="false">IFERROR(INDEX(Scoring!$K$5:$K$337,MATCH($A94&amp;"|"&amp;$B94,Scoring!$AF$5:$AF$337,0)),"")</f>
        <v/>
      </c>
      <c r="L94" s="5" t="str">
        <f aca="false">IFERROR(INDEX(Scoring!$L$5:$L$337,MATCH($A94&amp;"|"&amp;$B94,Scoring!$AF$5:$AF$337,0)),"")</f>
        <v/>
      </c>
      <c r="M94" s="5" t="str">
        <f aca="false">IFERROR(INDEX(Scoring!$M$5:$M$337,MATCH($A94&amp;"|"&amp;$B94,Scoring!$AF$5:$AF$337,0)),"")</f>
        <v/>
      </c>
      <c r="N94" s="5" t="str">
        <f aca="false">IFERROR(INDEX(Scoring!$Y$5:$Y$337,MATCH($A94&amp;"|"&amp;$B94,Scoring!$AF$5:$AF$337,0)),"")</f>
        <v/>
      </c>
      <c r="O94" s="5" t="str">
        <f aca="false">IFERROR(INDEX(Scoring!$Z$5:$Z$337,MATCH($A94&amp;"|"&amp;$B94,Scoring!$AF$5:$AF$337,0)),"")</f>
        <v/>
      </c>
      <c r="P94" s="5" t="str">
        <f aca="false">IFERROR(INDEX(Scoring!$AA$5:$AA$337,MATCH($A94&amp;"|"&amp;$B94,Scoring!$AF$5:$AF$337,0)),"")</f>
        <v/>
      </c>
      <c r="Q94" s="5" t="str">
        <f aca="false">IFERROR(INDEX(Scoring!$AE$5:$AE$337,MATCH($A94&amp;"|"&amp;$B94,Scoring!$AF$5:$AF$337,0)),"")</f>
        <v/>
      </c>
    </row>
    <row r="95" customFormat="false" ht="15" hidden="false" customHeight="false" outlineLevel="0" collapsed="false">
      <c r="A95" s="14" t="s">
        <v>63</v>
      </c>
      <c r="B95" s="14" t="n">
        <v>1</v>
      </c>
      <c r="C95" s="14" t="str">
        <f aca="false">IFERROR(INDEX(Scoring!$AD$5:$AD$337,MATCH($A95&amp;"|"&amp;$B95,Scoring!$AF$5:$AF$337,0)),"")</f>
        <v>Lead</v>
      </c>
      <c r="D95" s="14" t="str">
        <f aca="false">IFERROR(INDEX(Scoring!$B$5:$B$337,MATCH($A95&amp;"|"&amp;$B95,Scoring!$AF$5:$AF$337,0)),"")</f>
        <v>Bortezomib</v>
      </c>
      <c r="E95" s="14" t="str">
        <f aca="false">IFERROR(INDEX(Scoring!$D$5:$D$337,MATCH($A95&amp;"|"&amp;$B95,Scoring!$AF$5:$AF$337,0)),"")</f>
        <v>Oncology – multiple myeloma &amp; mantle cell lymphoma</v>
      </c>
      <c r="F95" s="15" t="n">
        <f aca="false">IFERROR(INDEX(Scoring!$U$5:$U$337,MATCH($A95&amp;"|"&amp;$B95,Scoring!$AF$5:$AF$337,0)),"")</f>
        <v>0.8475</v>
      </c>
      <c r="G95" s="16" t="n">
        <f aca="false">IFERROR(INDEX(Scoring!$O$5:$O$337,MATCH($A95&amp;"|"&amp;$B95,Scoring!$AF$5:$AF$337,0)),"")</f>
        <v>28093.38</v>
      </c>
      <c r="H95" s="17" t="n">
        <f aca="false">IFERROR(INDEX(Scoring!$N$5:$N$337,MATCH($A95&amp;"|"&amp;$B95,Scoring!$AF$5:$AF$337,0)),"")</f>
        <v>360.017325</v>
      </c>
      <c r="I95" s="14" t="n">
        <f aca="false">IFERROR(INDEX(Scoring!$F$5:$F$337,MATCH($A95&amp;"|"&amp;$B95,Scoring!$AF$5:$AF$337,0)),"")</f>
        <v>7</v>
      </c>
      <c r="J95" s="14" t="n">
        <f aca="false">IFERROR(INDEX(Scoring!$E$5:$E$337,MATCH($A95&amp;"|"&amp;$B95,Scoring!$AF$5:$AF$337,0)),"")</f>
        <v>32</v>
      </c>
      <c r="K95" s="14" t="n">
        <f aca="false">IFERROR(INDEX(Scoring!$K$5:$K$337,MATCH($A95&amp;"|"&amp;$B95,Scoring!$AF$5:$AF$337,0)),"")</f>
        <v>4</v>
      </c>
      <c r="L95" s="14" t="n">
        <f aca="false">IFERROR(INDEX(Scoring!$L$5:$L$337,MATCH($A95&amp;"|"&amp;$B95,Scoring!$AF$5:$AF$337,0)),"")</f>
        <v>0</v>
      </c>
      <c r="M95" s="14" t="n">
        <f aca="false">IFERROR(INDEX(Scoring!$M$5:$M$337,MATCH($A95&amp;"|"&amp;$B95,Scoring!$AF$5:$AF$337,0)),"")</f>
        <v>0</v>
      </c>
      <c r="N95" s="14" t="str">
        <f aca="false">IFERROR(INDEX(Scoring!$Y$5:$Y$337,MATCH($A95&amp;"|"&amp;$B95,Scoring!$AF$5:$AF$337,0)),"")</f>
        <v>Yes</v>
      </c>
      <c r="O95" s="14" t="str">
        <f aca="false">IFERROR(INDEX(Scoring!$Z$5:$Z$337,MATCH($A95&amp;"|"&amp;$B95,Scoring!$AF$5:$AF$337,0)),"")</f>
        <v>Yes</v>
      </c>
      <c r="P95" s="14" t="str">
        <f aca="false">IFERROR(INDEX(Scoring!$AA$5:$AA$337,MATCH($A95&amp;"|"&amp;$B95,Scoring!$AF$5:$AF$337,0)),"")</f>
        <v>Yes</v>
      </c>
      <c r="Q95" s="14" t="str">
        <f aca="false">IFERROR(INDEX(Scoring!$AE$5:$AE$337,MATCH($A95&amp;"|"&amp;$B95,Scoring!$AF$5:$AF$337,0)),"")</f>
        <v>Differentiation in crowded generic market</v>
      </c>
    </row>
    <row r="96" customFormat="false" ht="15" hidden="false" customHeight="false" outlineLevel="0" collapsed="false">
      <c r="A96" s="5" t="s">
        <v>63</v>
      </c>
      <c r="B96" s="5" t="n">
        <v>2</v>
      </c>
      <c r="C96" s="5" t="str">
        <f aca="false">IFERROR(INDEX(Scoring!$AD$5:$AD$337,MATCH($A96&amp;"|"&amp;$B96,Scoring!$AF$5:$AF$337,0)),"")</f>
        <v>Lead</v>
      </c>
      <c r="D96" s="5" t="str">
        <f aca="false">IFERROR(INDEX(Scoring!$B$5:$B$337,MATCH($A96&amp;"|"&amp;$B96,Scoring!$AF$5:$AF$337,0)),"")</f>
        <v>Plerixafor</v>
      </c>
      <c r="E96" s="5" t="str">
        <f aca="false">IFERROR(INDEX(Scoring!$D$5:$D$337,MATCH($A96&amp;"|"&amp;$B96,Scoring!$AF$5:$AF$337,0)),"")</f>
        <v>Oncology supportive – stem-cell mobilisation (myeloma, lymphoma)</v>
      </c>
      <c r="F96" s="8" t="n">
        <f aca="false">IFERROR(INDEX(Scoring!$U$5:$U$337,MATCH($A96&amp;"|"&amp;$B96,Scoring!$AF$5:$AF$337,0)),"")</f>
        <v>0.7715</v>
      </c>
      <c r="G96" s="7" t="n">
        <f aca="false">IFERROR(INDEX(Scoring!$O$5:$O$337,MATCH($A96&amp;"|"&amp;$B96,Scoring!$AF$5:$AF$337,0)),"")</f>
        <v>7904.67</v>
      </c>
      <c r="H96" s="6" t="n">
        <f aca="false">IFERROR(INDEX(Scoring!$N$5:$N$337,MATCH($A96&amp;"|"&amp;$B96,Scoring!$AF$5:$AF$337,0)),"")</f>
        <v>343.8</v>
      </c>
      <c r="I96" s="5" t="n">
        <f aca="false">IFERROR(INDEX(Scoring!$F$5:$F$337,MATCH($A96&amp;"|"&amp;$B96,Scoring!$AF$5:$AF$337,0)),"")</f>
        <v>1</v>
      </c>
      <c r="J96" s="5" t="n">
        <f aca="false">IFERROR(INDEX(Scoring!$E$5:$E$337,MATCH($A96&amp;"|"&amp;$B96,Scoring!$AF$5:$AF$337,0)),"")</f>
        <v>1</v>
      </c>
      <c r="K96" s="5" t="n">
        <f aca="false">IFERROR(INDEX(Scoring!$K$5:$K$337,MATCH($A96&amp;"|"&amp;$B96,Scoring!$AF$5:$AF$337,0)),"")</f>
        <v>1</v>
      </c>
      <c r="L96" s="5" t="n">
        <f aca="false">IFERROR(INDEX(Scoring!$L$5:$L$337,MATCH($A96&amp;"|"&amp;$B96,Scoring!$AF$5:$AF$337,0)),"")</f>
        <v>0</v>
      </c>
      <c r="M96" s="5" t="n">
        <f aca="false">IFERROR(INDEX(Scoring!$M$5:$M$337,MATCH($A96&amp;"|"&amp;$B96,Scoring!$AF$5:$AF$337,0)),"")</f>
        <v>0</v>
      </c>
      <c r="N96" s="5" t="str">
        <f aca="false">IFERROR(INDEX(Scoring!$Y$5:$Y$337,MATCH($A96&amp;"|"&amp;$B96,Scoring!$AF$5:$AF$337,0)),"")</f>
        <v>No</v>
      </c>
      <c r="O96" s="5" t="str">
        <f aca="false">IFERROR(INDEX(Scoring!$Z$5:$Z$337,MATCH($A96&amp;"|"&amp;$B96,Scoring!$AF$5:$AF$337,0)),"")</f>
        <v>No</v>
      </c>
      <c r="P96" s="5" t="str">
        <f aca="false">IFERROR(INDEX(Scoring!$AA$5:$AA$337,MATCH($A96&amp;"|"&amp;$B96,Scoring!$AF$5:$AF$337,0)),"")</f>
        <v>Yes</v>
      </c>
      <c r="Q96" s="5" t="str">
        <f aca="false">IFERROR(INDEX(Scoring!$AE$5:$AE$337,MATCH($A96&amp;"|"&amp;$B96,Scoring!$AF$5:$AF$337,0)),"")</f>
        <v>Differentiation in crowded generic market</v>
      </c>
    </row>
    <row r="97" customFormat="false" ht="15" hidden="false" customHeight="false" outlineLevel="0" collapsed="false">
      <c r="A97" s="5" t="s">
        <v>63</v>
      </c>
      <c r="B97" s="5" t="n">
        <v>3</v>
      </c>
      <c r="C97" s="5" t="str">
        <f aca="false">IFERROR(INDEX(Scoring!$AD$5:$AD$337,MATCH($A97&amp;"|"&amp;$B97,Scoring!$AF$5:$AF$337,0)),"")</f>
        <v>Lead</v>
      </c>
      <c r="D97" s="5" t="str">
        <f aca="false">IFERROR(INDEX(Scoring!$B$5:$B$337,MATCH($A97&amp;"|"&amp;$B97,Scoring!$AF$5:$AF$337,0)),"")</f>
        <v>Sugammadex</v>
      </c>
      <c r="E97" s="5" t="str">
        <f aca="false">IFERROR(INDEX(Scoring!$D$5:$D$337,MATCH($A97&amp;"|"&amp;$B97,Scoring!$AF$5:$AF$337,0)),"")</f>
        <v>Anaesthesia – reversal of rocuronium/vecuronium muscle relaxation</v>
      </c>
      <c r="F97" s="8" t="n">
        <f aca="false">IFERROR(INDEX(Scoring!$U$5:$U$337,MATCH($A97&amp;"|"&amp;$B97,Scoring!$AF$5:$AF$337,0)),"")</f>
        <v>0.7045</v>
      </c>
      <c r="G97" s="7" t="n">
        <f aca="false">IFERROR(INDEX(Scoring!$O$5:$O$337,MATCH($A97&amp;"|"&amp;$B97,Scoring!$AF$5:$AF$337,0)),"")</f>
        <v>32830.17</v>
      </c>
      <c r="H97" s="6" t="n">
        <f aca="false">IFERROR(INDEX(Scoring!$N$5:$N$337,MATCH($A97&amp;"|"&amp;$B97,Scoring!$AF$5:$AF$337,0)),"")</f>
        <v>41.7733333333333</v>
      </c>
      <c r="I97" s="5" t="n">
        <f aca="false">IFERROR(INDEX(Scoring!$F$5:$F$337,MATCH($A97&amp;"|"&amp;$B97,Scoring!$AF$5:$AF$337,0)),"")</f>
        <v>2</v>
      </c>
      <c r="J97" s="5" t="n">
        <f aca="false">IFERROR(INDEX(Scoring!$E$5:$E$337,MATCH($A97&amp;"|"&amp;$B97,Scoring!$AF$5:$AF$337,0)),"")</f>
        <v>3</v>
      </c>
      <c r="K97" s="5" t="n">
        <f aca="false">IFERROR(INDEX(Scoring!$K$5:$K$337,MATCH($A97&amp;"|"&amp;$B97,Scoring!$AF$5:$AF$337,0)),"")</f>
        <v>5</v>
      </c>
      <c r="L97" s="5" t="n">
        <f aca="false">IFERROR(INDEX(Scoring!$L$5:$L$337,MATCH($A97&amp;"|"&amp;$B97,Scoring!$AF$5:$AF$337,0)),"")</f>
        <v>0</v>
      </c>
      <c r="M97" s="5" t="n">
        <f aca="false">IFERROR(INDEX(Scoring!$M$5:$M$337,MATCH($A97&amp;"|"&amp;$B97,Scoring!$AF$5:$AF$337,0)),"")</f>
        <v>0</v>
      </c>
      <c r="N97" s="5" t="str">
        <f aca="false">IFERROR(INDEX(Scoring!$Y$5:$Y$337,MATCH($A97&amp;"|"&amp;$B97,Scoring!$AF$5:$AF$337,0)),"")</f>
        <v>No</v>
      </c>
      <c r="O97" s="5" t="str">
        <f aca="false">IFERROR(INDEX(Scoring!$Z$5:$Z$337,MATCH($A97&amp;"|"&amp;$B97,Scoring!$AF$5:$AF$337,0)),"")</f>
        <v>No</v>
      </c>
      <c r="P97" s="5" t="str">
        <f aca="false">IFERROR(INDEX(Scoring!$AA$5:$AA$337,MATCH($A97&amp;"|"&amp;$B97,Scoring!$AF$5:$AF$337,0)),"")</f>
        <v>Yes</v>
      </c>
      <c r="Q97" s="5" t="str">
        <f aca="false">IFERROR(INDEX(Scoring!$AE$5:$AE$337,MATCH($A97&amp;"|"&amp;$B97,Scoring!$AF$5:$AF$337,0)),"")</f>
        <v>Differentiation in crowded generic market</v>
      </c>
    </row>
    <row r="98" customFormat="false" ht="15" hidden="false" customHeight="false" outlineLevel="0" collapsed="false">
      <c r="A98" s="5" t="s">
        <v>63</v>
      </c>
      <c r="B98" s="5" t="n">
        <v>4</v>
      </c>
      <c r="C98" s="5" t="str">
        <f aca="false">IFERROR(INDEX(Scoring!$AD$5:$AD$337,MATCH($A98&amp;"|"&amp;$B98,Scoring!$AF$5:$AF$337,0)),"")</f>
        <v>Lead</v>
      </c>
      <c r="D98" s="5" t="str">
        <f aca="false">IFERROR(INDEX(Scoring!$B$5:$B$337,MATCH($A98&amp;"|"&amp;$B98,Scoring!$AF$5:$AF$337,0)),"")</f>
        <v>Fluphenazine Decanoate</v>
      </c>
      <c r="E98" s="5" t="str">
        <f aca="false">IFERROR(INDEX(Scoring!$D$5:$D$337,MATCH($A98&amp;"|"&amp;$B98,Scoring!$AF$5:$AF$337,0)),"")</f>
        <v>Psychiatry – schizophrenia maintenance (long-acting depot)</v>
      </c>
      <c r="F98" s="8" t="n">
        <f aca="false">IFERROR(INDEX(Scoring!$U$5:$U$337,MATCH($A98&amp;"|"&amp;$B98,Scoring!$AF$5:$AF$337,0)),"")</f>
        <v>0.5305</v>
      </c>
      <c r="G98" s="7" t="n">
        <f aca="false">IFERROR(INDEX(Scoring!$O$5:$O$337,MATCH($A98&amp;"|"&amp;$B98,Scoring!$AF$5:$AF$337,0)),"")</f>
        <v>3407.51</v>
      </c>
      <c r="H98" s="6" t="n">
        <f aca="false">IFERROR(INDEX(Scoring!$N$5:$N$337,MATCH($A98&amp;"|"&amp;$B98,Scoring!$AF$5:$AF$337,0)),"")</f>
        <v>54.55</v>
      </c>
      <c r="I98" s="5" t="n">
        <f aca="false">IFERROR(INDEX(Scoring!$F$5:$F$337,MATCH($A98&amp;"|"&amp;$B98,Scoring!$AF$5:$AF$337,0)),"")</f>
        <v>1</v>
      </c>
      <c r="J98" s="5" t="n">
        <f aca="false">IFERROR(INDEX(Scoring!$E$5:$E$337,MATCH($A98&amp;"|"&amp;$B98,Scoring!$AF$5:$AF$337,0)),"")</f>
        <v>1</v>
      </c>
      <c r="K98" s="5" t="n">
        <f aca="false">IFERROR(INDEX(Scoring!$K$5:$K$337,MATCH($A98&amp;"|"&amp;$B98,Scoring!$AF$5:$AF$337,0)),"")</f>
        <v>1</v>
      </c>
      <c r="L98" s="5" t="n">
        <f aca="false">IFERROR(INDEX(Scoring!$L$5:$L$337,MATCH($A98&amp;"|"&amp;$B98,Scoring!$AF$5:$AF$337,0)),"")</f>
        <v>0</v>
      </c>
      <c r="M98" s="5" t="n">
        <f aca="false">IFERROR(INDEX(Scoring!$M$5:$M$337,MATCH($A98&amp;"|"&amp;$B98,Scoring!$AF$5:$AF$337,0)),"")</f>
        <v>0</v>
      </c>
      <c r="N98" s="5" t="str">
        <f aca="false">IFERROR(INDEX(Scoring!$Y$5:$Y$337,MATCH($A98&amp;"|"&amp;$B98,Scoring!$AF$5:$AF$337,0)),"")</f>
        <v>No</v>
      </c>
      <c r="O98" s="5" t="str">
        <f aca="false">IFERROR(INDEX(Scoring!$Z$5:$Z$337,MATCH($A98&amp;"|"&amp;$B98,Scoring!$AF$5:$AF$337,0)),"")</f>
        <v>No</v>
      </c>
      <c r="P98" s="5" t="str">
        <f aca="false">IFERROR(INDEX(Scoring!$AA$5:$AA$337,MATCH($A98&amp;"|"&amp;$B98,Scoring!$AF$5:$AF$337,0)),"")</f>
        <v>No</v>
      </c>
      <c r="Q98" s="5" t="str">
        <f aca="false">IFERROR(INDEX(Scoring!$AE$5:$AE$337,MATCH($A98&amp;"|"&amp;$B98,Scoring!$AF$5:$AF$337,0)),"")</f>
        <v>Safety-device mandate compliance</v>
      </c>
    </row>
    <row r="99" customFormat="false" ht="15" hidden="false" customHeight="false" outlineLevel="0" collapsed="false">
      <c r="A99" s="5" t="s">
        <v>63</v>
      </c>
      <c r="B99" s="5" t="n">
        <v>5</v>
      </c>
      <c r="C99" s="5" t="str">
        <f aca="false">IFERROR(INDEX(Scoring!$AD$5:$AD$337,MATCH($A99&amp;"|"&amp;$B99,Scoring!$AF$5:$AF$337,0)),"")</f>
        <v>Lead</v>
      </c>
      <c r="D99" s="5" t="str">
        <f aca="false">IFERROR(INDEX(Scoring!$B$5:$B$337,MATCH($A99&amp;"|"&amp;$B99,Scoring!$AF$5:$AF$337,0)),"")</f>
        <v>Gadobutrol</v>
      </c>
      <c r="E99" s="5" t="str">
        <f aca="false">IFERROR(INDEX(Scoring!$D$5:$D$337,MATCH($A99&amp;"|"&amp;$B99,Scoring!$AF$5:$AF$337,0)),"")</f>
        <v>Diagnostics – MRI contrast agent</v>
      </c>
      <c r="F99" s="8" t="n">
        <f aca="false">IFERROR(INDEX(Scoring!$U$5:$U$337,MATCH($A99&amp;"|"&amp;$B99,Scoring!$AF$5:$AF$337,0)),"")</f>
        <v>0.3581</v>
      </c>
      <c r="G99" s="7" t="n">
        <f aca="false">IFERROR(INDEX(Scoring!$O$5:$O$337,MATCH($A99&amp;"|"&amp;$B99,Scoring!$AF$5:$AF$337,0)),"")</f>
        <v>135.07</v>
      </c>
      <c r="H99" s="6" t="n">
        <f aca="false">IFERROR(INDEX(Scoring!$N$5:$N$337,MATCH($A99&amp;"|"&amp;$B99,Scoring!$AF$5:$AF$337,0)),"")</f>
        <v>66.93</v>
      </c>
      <c r="I99" s="5" t="n">
        <f aca="false">IFERROR(INDEX(Scoring!$F$5:$F$337,MATCH($A99&amp;"|"&amp;$B99,Scoring!$AF$5:$AF$337,0)),"")</f>
        <v>6</v>
      </c>
      <c r="J99" s="5" t="n">
        <f aca="false">IFERROR(INDEX(Scoring!$E$5:$E$337,MATCH($A99&amp;"|"&amp;$B99,Scoring!$AF$5:$AF$337,0)),"")</f>
        <v>31</v>
      </c>
      <c r="K99" s="5" t="n">
        <f aca="false">IFERROR(INDEX(Scoring!$K$5:$K$337,MATCH($A99&amp;"|"&amp;$B99,Scoring!$AF$5:$AF$337,0)),"")</f>
        <v>1</v>
      </c>
      <c r="L99" s="5" t="n">
        <f aca="false">IFERROR(INDEX(Scoring!$L$5:$L$337,MATCH($A99&amp;"|"&amp;$B99,Scoring!$AF$5:$AF$337,0)),"")</f>
        <v>0</v>
      </c>
      <c r="M99" s="5" t="n">
        <f aca="false">IFERROR(INDEX(Scoring!$M$5:$M$337,MATCH($A99&amp;"|"&amp;$B99,Scoring!$AF$5:$AF$337,0)),"")</f>
        <v>0</v>
      </c>
      <c r="N99" s="5" t="str">
        <f aca="false">IFERROR(INDEX(Scoring!$Y$5:$Y$337,MATCH($A99&amp;"|"&amp;$B99,Scoring!$AF$5:$AF$337,0)),"")</f>
        <v>No</v>
      </c>
      <c r="O99" s="5" t="str">
        <f aca="false">IFERROR(INDEX(Scoring!$Z$5:$Z$337,MATCH($A99&amp;"|"&amp;$B99,Scoring!$AF$5:$AF$337,0)),"")</f>
        <v>No</v>
      </c>
      <c r="P99" s="5" t="str">
        <f aca="false">IFERROR(INDEX(Scoring!$AA$5:$AA$337,MATCH($A99&amp;"|"&amp;$B99,Scoring!$AF$5:$AF$337,0)),"")</f>
        <v>No</v>
      </c>
      <c r="Q99" s="5" t="str">
        <f aca="false">IFERROR(INDEX(Scoring!$AE$5:$AE$337,MATCH($A99&amp;"|"&amp;$B99,Scoring!$AF$5:$AF$337,0)),"")</f>
        <v>Safety-device mandate compliance</v>
      </c>
    </row>
    <row r="100" customFormat="false" ht="15" hidden="false" customHeight="false" outlineLevel="0" collapsed="false">
      <c r="A100" s="5" t="s">
        <v>63</v>
      </c>
      <c r="B100" s="5" t="n">
        <v>6</v>
      </c>
      <c r="C100" s="5" t="str">
        <f aca="false">IFERROR(INDEX(Scoring!$AD$5:$AD$337,MATCH($A100&amp;"|"&amp;$B100,Scoring!$AF$5:$AF$337,0)),"")</f>
        <v>Next wave</v>
      </c>
      <c r="D100" s="5" t="str">
        <f aca="false">IFERROR(INDEX(Scoring!$B$5:$B$337,MATCH($A100&amp;"|"&amp;$B100,Scoring!$AF$5:$AF$337,0)),"")</f>
        <v>Brivaracetam</v>
      </c>
      <c r="E100" s="5" t="str">
        <f aca="false">IFERROR(INDEX(Scoring!$D$5:$D$337,MATCH($A100&amp;"|"&amp;$B100,Scoring!$AF$5:$AF$337,0)),"")</f>
        <v>Neurology – epilepsy (partial-onset seizures)</v>
      </c>
      <c r="F100" s="8" t="n">
        <f aca="false">IFERROR(INDEX(Scoring!$U$5:$U$337,MATCH($A100&amp;"|"&amp;$B100,Scoring!$AF$5:$AF$337,0)),"")</f>
        <v>0.3105</v>
      </c>
      <c r="G100" s="7" t="n">
        <f aca="false">IFERROR(INDEX(Scoring!$O$5:$O$337,MATCH($A100&amp;"|"&amp;$B100,Scoring!$AF$5:$AF$337,0)),"")</f>
        <v>21.847601480645</v>
      </c>
      <c r="H100" s="6" t="n">
        <f aca="false">IFERROR(INDEX(Scoring!$N$5:$N$337,MATCH($A100&amp;"|"&amp;$B100,Scoring!$AF$5:$AF$337,0)),"")</f>
        <v>51.79</v>
      </c>
      <c r="I100" s="5" t="n">
        <f aca="false">IFERROR(INDEX(Scoring!$F$5:$F$337,MATCH($A100&amp;"|"&amp;$B100,Scoring!$AF$5:$AF$337,0)),"")</f>
        <v>1</v>
      </c>
      <c r="J100" s="5" t="n">
        <f aca="false">IFERROR(INDEX(Scoring!$E$5:$E$337,MATCH($A100&amp;"|"&amp;$B100,Scoring!$AF$5:$AF$337,0)),"")</f>
        <v>1</v>
      </c>
      <c r="K100" s="5" t="n">
        <f aca="false">IFERROR(INDEX(Scoring!$K$5:$K$337,MATCH($A100&amp;"|"&amp;$B100,Scoring!$AF$5:$AF$337,0)),"")</f>
        <v>1</v>
      </c>
      <c r="L100" s="5" t="n">
        <f aca="false">IFERROR(INDEX(Scoring!$L$5:$L$337,MATCH($A100&amp;"|"&amp;$B100,Scoring!$AF$5:$AF$337,0)),"")</f>
        <v>0</v>
      </c>
      <c r="M100" s="5" t="n">
        <f aca="false">IFERROR(INDEX(Scoring!$M$5:$M$337,MATCH($A100&amp;"|"&amp;$B100,Scoring!$AF$5:$AF$337,0)),"")</f>
        <v>0</v>
      </c>
      <c r="N100" s="5" t="str">
        <f aca="false">IFERROR(INDEX(Scoring!$Y$5:$Y$337,MATCH($A100&amp;"|"&amp;$B100,Scoring!$AF$5:$AF$337,0)),"")</f>
        <v>No</v>
      </c>
      <c r="O100" s="5" t="str">
        <f aca="false">IFERROR(INDEX(Scoring!$Z$5:$Z$337,MATCH($A100&amp;"|"&amp;$B100,Scoring!$AF$5:$AF$337,0)),"")</f>
        <v>No</v>
      </c>
      <c r="P100" s="5" t="str">
        <f aca="false">IFERROR(INDEX(Scoring!$AA$5:$AA$337,MATCH($A100&amp;"|"&amp;$B100,Scoring!$AF$5:$AF$337,0)),"")</f>
        <v>Yes</v>
      </c>
      <c r="Q100" s="5" t="str">
        <f aca="false">IFERROR(INDEX(Scoring!$AE$5:$AE$337,MATCH($A100&amp;"|"&amp;$B100,Scoring!$AF$5:$AF$337,0)),"")</f>
        <v>Differentiation in crowded generic market</v>
      </c>
    </row>
    <row r="101" customFormat="false" ht="15" hidden="false" customHeight="false" outlineLevel="0" collapsed="false">
      <c r="A101" s="5" t="s">
        <v>63</v>
      </c>
      <c r="B101" s="5" t="n">
        <v>7</v>
      </c>
      <c r="C101" s="5" t="str">
        <f aca="false">IFERROR(INDEX(Scoring!$AD$5:$AD$337,MATCH($A101&amp;"|"&amp;$B101,Scoring!$AF$5:$AF$337,0)),"")</f>
        <v>Next wave</v>
      </c>
      <c r="D101" s="5" t="str">
        <f aca="false">IFERROR(INDEX(Scoring!$B$5:$B$337,MATCH($A101&amp;"|"&amp;$B101,Scoring!$AF$5:$AF$337,0)),"")</f>
        <v>Chlorpromazine</v>
      </c>
      <c r="E101" s="5" t="str">
        <f aca="false">IFERROR(INDEX(Scoring!$D$5:$D$337,MATCH($A101&amp;"|"&amp;$B101,Scoring!$AF$5:$AF$337,0)),"")</f>
        <v>Psychiatry – acute psychosis/agitation; severe nausea &amp; vomiting</v>
      </c>
      <c r="F101" s="8" t="n">
        <f aca="false">IFERROR(INDEX(Scoring!$U$5:$U$337,MATCH($A101&amp;"|"&amp;$B101,Scoring!$AF$5:$AF$337,0)),"")</f>
        <v>0.242</v>
      </c>
      <c r="G101" s="7" t="n">
        <f aca="false">IFERROR(INDEX(Scoring!$O$5:$O$337,MATCH($A101&amp;"|"&amp;$B101,Scoring!$AF$5:$AF$337,0)),"")</f>
        <v>1352.64109090909</v>
      </c>
      <c r="H101" s="6" t="n">
        <f aca="false">IFERROR(INDEX(Scoring!$N$5:$N$337,MATCH($A101&amp;"|"&amp;$B101,Scoring!$AF$5:$AF$337,0)),"")</f>
        <v>14.96</v>
      </c>
      <c r="I101" s="5" t="n">
        <f aca="false">IFERROR(INDEX(Scoring!$F$5:$F$337,MATCH($A101&amp;"|"&amp;$B101,Scoring!$AF$5:$AF$337,0)),"")</f>
        <v>1</v>
      </c>
      <c r="J101" s="5" t="n">
        <f aca="false">IFERROR(INDEX(Scoring!$E$5:$E$337,MATCH($A101&amp;"|"&amp;$B101,Scoring!$AF$5:$AF$337,0)),"")</f>
        <v>1</v>
      </c>
      <c r="K101" s="5" t="n">
        <f aca="false">IFERROR(INDEX(Scoring!$K$5:$K$337,MATCH($A101&amp;"|"&amp;$B101,Scoring!$AF$5:$AF$337,0)),"")</f>
        <v>1</v>
      </c>
      <c r="L101" s="5" t="n">
        <f aca="false">IFERROR(INDEX(Scoring!$L$5:$L$337,MATCH($A101&amp;"|"&amp;$B101,Scoring!$AF$5:$AF$337,0)),"")</f>
        <v>0</v>
      </c>
      <c r="M101" s="5" t="n">
        <f aca="false">IFERROR(INDEX(Scoring!$M$5:$M$337,MATCH($A101&amp;"|"&amp;$B101,Scoring!$AF$5:$AF$337,0)),"")</f>
        <v>0</v>
      </c>
      <c r="N101" s="5" t="str">
        <f aca="false">IFERROR(INDEX(Scoring!$Y$5:$Y$337,MATCH($A101&amp;"|"&amp;$B101,Scoring!$AF$5:$AF$337,0)),"")</f>
        <v>No</v>
      </c>
      <c r="O101" s="5" t="str">
        <f aca="false">IFERROR(INDEX(Scoring!$Z$5:$Z$337,MATCH($A101&amp;"|"&amp;$B101,Scoring!$AF$5:$AF$337,0)),"")</f>
        <v>No</v>
      </c>
      <c r="P101" s="5" t="str">
        <f aca="false">IFERROR(INDEX(Scoring!$AA$5:$AA$337,MATCH($A101&amp;"|"&amp;$B101,Scoring!$AF$5:$AF$337,0)),"")</f>
        <v>Yes</v>
      </c>
      <c r="Q101" s="5" t="str">
        <f aca="false">IFERROR(INDEX(Scoring!$AE$5:$AE$337,MATCH($A101&amp;"|"&amp;$B101,Scoring!$AF$5:$AF$337,0)),"")</f>
        <v>Differentiation in crowded generic market</v>
      </c>
    </row>
    <row r="102" customFormat="false" ht="15" hidden="false" customHeight="false" outlineLevel="0" collapsed="false">
      <c r="A102" s="5" t="s">
        <v>63</v>
      </c>
      <c r="B102" s="5" t="n">
        <v>8</v>
      </c>
      <c r="C102" s="5" t="str">
        <f aca="false">IFERROR(INDEX(Scoring!$AD$5:$AD$337,MATCH($A102&amp;"|"&amp;$B102,Scoring!$AF$5:$AF$337,0)),"")</f>
        <v/>
      </c>
      <c r="D102" s="5" t="str">
        <f aca="false">IFERROR(INDEX(Scoring!$B$5:$B$337,MATCH($A102&amp;"|"&amp;$B102,Scoring!$AF$5:$AF$337,0)),"")</f>
        <v/>
      </c>
      <c r="E102" s="5" t="str">
        <f aca="false">IFERROR(INDEX(Scoring!$D$5:$D$337,MATCH($A102&amp;"|"&amp;$B102,Scoring!$AF$5:$AF$337,0)),"")</f>
        <v/>
      </c>
      <c r="F102" s="8" t="str">
        <f aca="false">IFERROR(INDEX(Scoring!$U$5:$U$337,MATCH($A102&amp;"|"&amp;$B102,Scoring!$AF$5:$AF$337,0)),"")</f>
        <v/>
      </c>
      <c r="G102" s="7" t="str">
        <f aca="false">IFERROR(INDEX(Scoring!$O$5:$O$337,MATCH($A102&amp;"|"&amp;$B102,Scoring!$AF$5:$AF$337,0)),"")</f>
        <v/>
      </c>
      <c r="H102" s="6" t="str">
        <f aca="false">IFERROR(INDEX(Scoring!$N$5:$N$337,MATCH($A102&amp;"|"&amp;$B102,Scoring!$AF$5:$AF$337,0)),"")</f>
        <v/>
      </c>
      <c r="I102" s="5" t="str">
        <f aca="false">IFERROR(INDEX(Scoring!$F$5:$F$337,MATCH($A102&amp;"|"&amp;$B102,Scoring!$AF$5:$AF$337,0)),"")</f>
        <v/>
      </c>
      <c r="J102" s="5" t="str">
        <f aca="false">IFERROR(INDEX(Scoring!$E$5:$E$337,MATCH($A102&amp;"|"&amp;$B102,Scoring!$AF$5:$AF$337,0)),"")</f>
        <v/>
      </c>
      <c r="K102" s="5" t="str">
        <f aca="false">IFERROR(INDEX(Scoring!$K$5:$K$337,MATCH($A102&amp;"|"&amp;$B102,Scoring!$AF$5:$AF$337,0)),"")</f>
        <v/>
      </c>
      <c r="L102" s="5" t="str">
        <f aca="false">IFERROR(INDEX(Scoring!$L$5:$L$337,MATCH($A102&amp;"|"&amp;$B102,Scoring!$AF$5:$AF$337,0)),"")</f>
        <v/>
      </c>
      <c r="M102" s="5" t="str">
        <f aca="false">IFERROR(INDEX(Scoring!$M$5:$M$337,MATCH($A102&amp;"|"&amp;$B102,Scoring!$AF$5:$AF$337,0)),"")</f>
        <v/>
      </c>
      <c r="N102" s="5" t="str">
        <f aca="false">IFERROR(INDEX(Scoring!$Y$5:$Y$337,MATCH($A102&amp;"|"&amp;$B102,Scoring!$AF$5:$AF$337,0)),"")</f>
        <v/>
      </c>
      <c r="O102" s="5" t="str">
        <f aca="false">IFERROR(INDEX(Scoring!$Z$5:$Z$337,MATCH($A102&amp;"|"&amp;$B102,Scoring!$AF$5:$AF$337,0)),"")</f>
        <v/>
      </c>
      <c r="P102" s="5" t="str">
        <f aca="false">IFERROR(INDEX(Scoring!$AA$5:$AA$337,MATCH($A102&amp;"|"&amp;$B102,Scoring!$AF$5:$AF$337,0)),"")</f>
        <v/>
      </c>
      <c r="Q102" s="5" t="str">
        <f aca="false">IFERROR(INDEX(Scoring!$AE$5:$AE$337,MATCH($A102&amp;"|"&amp;$B102,Scoring!$AF$5:$AF$337,0)),"")</f>
        <v/>
      </c>
    </row>
    <row r="103" customFormat="false" ht="15" hidden="false" customHeight="false" outlineLevel="0" collapsed="false">
      <c r="A103" s="5" t="s">
        <v>63</v>
      </c>
      <c r="B103" s="5" t="n">
        <v>9</v>
      </c>
      <c r="C103" s="5" t="str">
        <f aca="false">IFERROR(INDEX(Scoring!$AD$5:$AD$337,MATCH($A103&amp;"|"&amp;$B103,Scoring!$AF$5:$AF$337,0)),"")</f>
        <v/>
      </c>
      <c r="D103" s="5" t="str">
        <f aca="false">IFERROR(INDEX(Scoring!$B$5:$B$337,MATCH($A103&amp;"|"&amp;$B103,Scoring!$AF$5:$AF$337,0)),"")</f>
        <v/>
      </c>
      <c r="E103" s="5" t="str">
        <f aca="false">IFERROR(INDEX(Scoring!$D$5:$D$337,MATCH($A103&amp;"|"&amp;$B103,Scoring!$AF$5:$AF$337,0)),"")</f>
        <v/>
      </c>
      <c r="F103" s="8" t="str">
        <f aca="false">IFERROR(INDEX(Scoring!$U$5:$U$337,MATCH($A103&amp;"|"&amp;$B103,Scoring!$AF$5:$AF$337,0)),"")</f>
        <v/>
      </c>
      <c r="G103" s="7" t="str">
        <f aca="false">IFERROR(INDEX(Scoring!$O$5:$O$337,MATCH($A103&amp;"|"&amp;$B103,Scoring!$AF$5:$AF$337,0)),"")</f>
        <v/>
      </c>
      <c r="H103" s="6" t="str">
        <f aca="false">IFERROR(INDEX(Scoring!$N$5:$N$337,MATCH($A103&amp;"|"&amp;$B103,Scoring!$AF$5:$AF$337,0)),"")</f>
        <v/>
      </c>
      <c r="I103" s="5" t="str">
        <f aca="false">IFERROR(INDEX(Scoring!$F$5:$F$337,MATCH($A103&amp;"|"&amp;$B103,Scoring!$AF$5:$AF$337,0)),"")</f>
        <v/>
      </c>
      <c r="J103" s="5" t="str">
        <f aca="false">IFERROR(INDEX(Scoring!$E$5:$E$337,MATCH($A103&amp;"|"&amp;$B103,Scoring!$AF$5:$AF$337,0)),"")</f>
        <v/>
      </c>
      <c r="K103" s="5" t="str">
        <f aca="false">IFERROR(INDEX(Scoring!$K$5:$K$337,MATCH($A103&amp;"|"&amp;$B103,Scoring!$AF$5:$AF$337,0)),"")</f>
        <v/>
      </c>
      <c r="L103" s="5" t="str">
        <f aca="false">IFERROR(INDEX(Scoring!$L$5:$L$337,MATCH($A103&amp;"|"&amp;$B103,Scoring!$AF$5:$AF$337,0)),"")</f>
        <v/>
      </c>
      <c r="M103" s="5" t="str">
        <f aca="false">IFERROR(INDEX(Scoring!$M$5:$M$337,MATCH($A103&amp;"|"&amp;$B103,Scoring!$AF$5:$AF$337,0)),"")</f>
        <v/>
      </c>
      <c r="N103" s="5" t="str">
        <f aca="false">IFERROR(INDEX(Scoring!$Y$5:$Y$337,MATCH($A103&amp;"|"&amp;$B103,Scoring!$AF$5:$AF$337,0)),"")</f>
        <v/>
      </c>
      <c r="O103" s="5" t="str">
        <f aca="false">IFERROR(INDEX(Scoring!$Z$5:$Z$337,MATCH($A103&amp;"|"&amp;$B103,Scoring!$AF$5:$AF$337,0)),"")</f>
        <v/>
      </c>
      <c r="P103" s="5" t="str">
        <f aca="false">IFERROR(INDEX(Scoring!$AA$5:$AA$337,MATCH($A103&amp;"|"&amp;$B103,Scoring!$AF$5:$AF$337,0)),"")</f>
        <v/>
      </c>
      <c r="Q103" s="5" t="str">
        <f aca="false">IFERROR(INDEX(Scoring!$AE$5:$AE$337,MATCH($A103&amp;"|"&amp;$B103,Scoring!$AF$5:$AF$337,0)),"")</f>
        <v/>
      </c>
    </row>
    <row r="104" customFormat="false" ht="15" hidden="false" customHeight="false" outlineLevel="0" collapsed="false">
      <c r="A104" s="5" t="s">
        <v>63</v>
      </c>
      <c r="B104" s="5" t="n">
        <v>10</v>
      </c>
      <c r="C104" s="5" t="str">
        <f aca="false">IFERROR(INDEX(Scoring!$AD$5:$AD$337,MATCH($A104&amp;"|"&amp;$B104,Scoring!$AF$5:$AF$337,0)),"")</f>
        <v/>
      </c>
      <c r="D104" s="5" t="str">
        <f aca="false">IFERROR(INDEX(Scoring!$B$5:$B$337,MATCH($A104&amp;"|"&amp;$B104,Scoring!$AF$5:$AF$337,0)),"")</f>
        <v/>
      </c>
      <c r="E104" s="5" t="str">
        <f aca="false">IFERROR(INDEX(Scoring!$D$5:$D$337,MATCH($A104&amp;"|"&amp;$B104,Scoring!$AF$5:$AF$337,0)),"")</f>
        <v/>
      </c>
      <c r="F104" s="8" t="str">
        <f aca="false">IFERROR(INDEX(Scoring!$U$5:$U$337,MATCH($A104&amp;"|"&amp;$B104,Scoring!$AF$5:$AF$337,0)),"")</f>
        <v/>
      </c>
      <c r="G104" s="7" t="str">
        <f aca="false">IFERROR(INDEX(Scoring!$O$5:$O$337,MATCH($A104&amp;"|"&amp;$B104,Scoring!$AF$5:$AF$337,0)),"")</f>
        <v/>
      </c>
      <c r="H104" s="6" t="str">
        <f aca="false">IFERROR(INDEX(Scoring!$N$5:$N$337,MATCH($A104&amp;"|"&amp;$B104,Scoring!$AF$5:$AF$337,0)),"")</f>
        <v/>
      </c>
      <c r="I104" s="5" t="str">
        <f aca="false">IFERROR(INDEX(Scoring!$F$5:$F$337,MATCH($A104&amp;"|"&amp;$B104,Scoring!$AF$5:$AF$337,0)),"")</f>
        <v/>
      </c>
      <c r="J104" s="5" t="str">
        <f aca="false">IFERROR(INDEX(Scoring!$E$5:$E$337,MATCH($A104&amp;"|"&amp;$B104,Scoring!$AF$5:$AF$337,0)),"")</f>
        <v/>
      </c>
      <c r="K104" s="5" t="str">
        <f aca="false">IFERROR(INDEX(Scoring!$K$5:$K$337,MATCH($A104&amp;"|"&amp;$B104,Scoring!$AF$5:$AF$337,0)),"")</f>
        <v/>
      </c>
      <c r="L104" s="5" t="str">
        <f aca="false">IFERROR(INDEX(Scoring!$L$5:$L$337,MATCH($A104&amp;"|"&amp;$B104,Scoring!$AF$5:$AF$337,0)),"")</f>
        <v/>
      </c>
      <c r="M104" s="5" t="str">
        <f aca="false">IFERROR(INDEX(Scoring!$M$5:$M$337,MATCH($A104&amp;"|"&amp;$B104,Scoring!$AF$5:$AF$337,0)),"")</f>
        <v/>
      </c>
      <c r="N104" s="5" t="str">
        <f aca="false">IFERROR(INDEX(Scoring!$Y$5:$Y$337,MATCH($A104&amp;"|"&amp;$B104,Scoring!$AF$5:$AF$337,0)),"")</f>
        <v/>
      </c>
      <c r="O104" s="5" t="str">
        <f aca="false">IFERROR(INDEX(Scoring!$Z$5:$Z$337,MATCH($A104&amp;"|"&amp;$B104,Scoring!$AF$5:$AF$337,0)),"")</f>
        <v/>
      </c>
      <c r="P104" s="5" t="str">
        <f aca="false">IFERROR(INDEX(Scoring!$AA$5:$AA$337,MATCH($A104&amp;"|"&amp;$B104,Scoring!$AF$5:$AF$337,0)),"")</f>
        <v/>
      </c>
      <c r="Q104" s="5" t="str">
        <f aca="false">IFERROR(INDEX(Scoring!$AE$5:$AE$337,MATCH($A104&amp;"|"&amp;$B104,Scoring!$AF$5:$AF$337,0)),"")</f>
        <v/>
      </c>
    </row>
    <row r="105" customFormat="false" ht="15" hidden="false" customHeight="false" outlineLevel="0" collapsed="false">
      <c r="A105" s="14" t="s">
        <v>65</v>
      </c>
      <c r="B105" s="14" t="n">
        <v>1</v>
      </c>
      <c r="C105" s="14" t="str">
        <f aca="false">IFERROR(INDEX(Scoring!$AD$5:$AD$337,MATCH($A105&amp;"|"&amp;$B105,Scoring!$AF$5:$AF$337,0)),"")</f>
        <v>Lead</v>
      </c>
      <c r="D105" s="14" t="str">
        <f aca="false">IFERROR(INDEX(Scoring!$B$5:$B$337,MATCH($A105&amp;"|"&amp;$B105,Scoring!$AF$5:$AF$337,0)),"")</f>
        <v>Caffeine</v>
      </c>
      <c r="E105" s="14" t="str">
        <f aca="false">IFERROR(INDEX(Scoring!$D$5:$D$337,MATCH($A105&amp;"|"&amp;$B105,Scoring!$AF$5:$AF$337,0)),"")</f>
        <v>Neonatology – apnoea of prematurity</v>
      </c>
      <c r="F105" s="15" t="n">
        <f aca="false">IFERROR(INDEX(Scoring!$U$5:$U$337,MATCH($A105&amp;"|"&amp;$B105,Scoring!$AF$5:$AF$337,0)),"")</f>
        <v>0.503</v>
      </c>
      <c r="G105" s="16" t="n">
        <f aca="false">IFERROR(INDEX(Scoring!$O$5:$O$337,MATCH($A105&amp;"|"&amp;$B105,Scoring!$AF$5:$AF$337,0)),"")</f>
        <v>2557.09100243546</v>
      </c>
      <c r="H105" s="17" t="n">
        <f aca="false">IFERROR(INDEX(Scoring!$N$5:$N$337,MATCH($A105&amp;"|"&amp;$B105,Scoring!$AF$5:$AF$337,0)),"")</f>
        <v>69.3707</v>
      </c>
      <c r="I105" s="14" t="n">
        <f aca="false">IFERROR(INDEX(Scoring!$F$5:$F$337,MATCH($A105&amp;"|"&amp;$B105,Scoring!$AF$5:$AF$337,0)),"")</f>
        <v>4</v>
      </c>
      <c r="J105" s="14" t="n">
        <f aca="false">IFERROR(INDEX(Scoring!$E$5:$E$337,MATCH($A105&amp;"|"&amp;$B105,Scoring!$AF$5:$AF$337,0)),"")</f>
        <v>13</v>
      </c>
      <c r="K105" s="14" t="n">
        <f aca="false">IFERROR(INDEX(Scoring!$K$5:$K$337,MATCH($A105&amp;"|"&amp;$B105,Scoring!$AF$5:$AF$337,0)),"")</f>
        <v>2</v>
      </c>
      <c r="L105" s="14" t="n">
        <f aca="false">IFERROR(INDEX(Scoring!$L$5:$L$337,MATCH($A105&amp;"|"&amp;$B105,Scoring!$AF$5:$AF$337,0)),"")</f>
        <v>0</v>
      </c>
      <c r="M105" s="14" t="n">
        <f aca="false">IFERROR(INDEX(Scoring!$M$5:$M$337,MATCH($A105&amp;"|"&amp;$B105,Scoring!$AF$5:$AF$337,0)),"")</f>
        <v>0</v>
      </c>
      <c r="N105" s="14" t="str">
        <f aca="false">IFERROR(INDEX(Scoring!$Y$5:$Y$337,MATCH($A105&amp;"|"&amp;$B105,Scoring!$AF$5:$AF$337,0)),"")</f>
        <v>No</v>
      </c>
      <c r="O105" s="14" t="str">
        <f aca="false">IFERROR(INDEX(Scoring!$Z$5:$Z$337,MATCH($A105&amp;"|"&amp;$B105,Scoring!$AF$5:$AF$337,0)),"")</f>
        <v>No</v>
      </c>
      <c r="P105" s="14" t="str">
        <f aca="false">IFERROR(INDEX(Scoring!$AA$5:$AA$337,MATCH($A105&amp;"|"&amp;$B105,Scoring!$AF$5:$AF$337,0)),"")</f>
        <v>No</v>
      </c>
      <c r="Q105" s="14" t="str">
        <f aca="false">IFERROR(INDEX(Scoring!$AE$5:$AE$337,MATCH($A105&amp;"|"&amp;$B105,Scoring!$AF$5:$AF$337,0)),"")</f>
        <v>Safety-device mandate compliance</v>
      </c>
    </row>
    <row r="106" customFormat="false" ht="15" hidden="false" customHeight="false" outlineLevel="0" collapsed="false">
      <c r="A106" s="5" t="s">
        <v>65</v>
      </c>
      <c r="B106" s="5" t="n">
        <v>2</v>
      </c>
      <c r="C106" s="5" t="str">
        <f aca="false">IFERROR(INDEX(Scoring!$AD$5:$AD$337,MATCH($A106&amp;"|"&amp;$B106,Scoring!$AF$5:$AF$337,0)),"")</f>
        <v>Lead</v>
      </c>
      <c r="D106" s="5" t="str">
        <f aca="false">IFERROR(INDEX(Scoring!$B$5:$B$337,MATCH($A106&amp;"|"&amp;$B106,Scoring!$AF$5:$AF$337,0)),"")</f>
        <v>Isoprenaline (Isoproterenol)</v>
      </c>
      <c r="E106" s="5" t="str">
        <f aca="false">IFERROR(INDEX(Scoring!$D$5:$D$337,MATCH($A106&amp;"|"&amp;$B106,Scoring!$AF$5:$AF$337,0)),"")</f>
        <v>Cardiovascular – heart block, severe bradycardia</v>
      </c>
      <c r="F106" s="8" t="n">
        <f aca="false">IFERROR(INDEX(Scoring!$U$5:$U$337,MATCH($A106&amp;"|"&amp;$B106,Scoring!$AF$5:$AF$337,0)),"")</f>
        <v>0.4985</v>
      </c>
      <c r="G106" s="7" t="n">
        <f aca="false">IFERROR(INDEX(Scoring!$O$5:$O$337,MATCH($A106&amp;"|"&amp;$B106,Scoring!$AF$5:$AF$337,0)),"")</f>
        <v>2931.42</v>
      </c>
      <c r="H106" s="6" t="n">
        <f aca="false">IFERROR(INDEX(Scoring!$N$5:$N$337,MATCH($A106&amp;"|"&amp;$B106,Scoring!$AF$5:$AF$337,0)),"")</f>
        <v>51.18</v>
      </c>
      <c r="I106" s="5" t="n">
        <f aca="false">IFERROR(INDEX(Scoring!$F$5:$F$337,MATCH($A106&amp;"|"&amp;$B106,Scoring!$AF$5:$AF$337,0)),"")</f>
        <v>1</v>
      </c>
      <c r="J106" s="5" t="n">
        <f aca="false">IFERROR(INDEX(Scoring!$E$5:$E$337,MATCH($A106&amp;"|"&amp;$B106,Scoring!$AF$5:$AF$337,0)),"")</f>
        <v>2</v>
      </c>
      <c r="K106" s="5" t="n">
        <f aca="false">IFERROR(INDEX(Scoring!$K$5:$K$337,MATCH($A106&amp;"|"&amp;$B106,Scoring!$AF$5:$AF$337,0)),"")</f>
        <v>0</v>
      </c>
      <c r="L106" s="5" t="n">
        <f aca="false">IFERROR(INDEX(Scoring!$L$5:$L$337,MATCH($A106&amp;"|"&amp;$B106,Scoring!$AF$5:$AF$337,0)),"")</f>
        <v>2</v>
      </c>
      <c r="M106" s="5" t="n">
        <f aca="false">IFERROR(INDEX(Scoring!$M$5:$M$337,MATCH($A106&amp;"|"&amp;$B106,Scoring!$AF$5:$AF$337,0)),"")</f>
        <v>0</v>
      </c>
      <c r="N106" s="5" t="str">
        <f aca="false">IFERROR(INDEX(Scoring!$Y$5:$Y$337,MATCH($A106&amp;"|"&amp;$B106,Scoring!$AF$5:$AF$337,0)),"")</f>
        <v>No</v>
      </c>
      <c r="O106" s="5" t="str">
        <f aca="false">IFERROR(INDEX(Scoring!$Z$5:$Z$337,MATCH($A106&amp;"|"&amp;$B106,Scoring!$AF$5:$AF$337,0)),"")</f>
        <v>No</v>
      </c>
      <c r="P106" s="5" t="str">
        <f aca="false">IFERROR(INDEX(Scoring!$AA$5:$AA$337,MATCH($A106&amp;"|"&amp;$B106,Scoring!$AF$5:$AF$337,0)),"")</f>
        <v>Yes</v>
      </c>
      <c r="Q106" s="5" t="str">
        <f aca="false">IFERROR(INDEX(Scoring!$AE$5:$AE$337,MATCH($A106&amp;"|"&amp;$B106,Scoring!$AF$5:$AF$337,0)),"")</f>
        <v>Differentiation in crowded generic market</v>
      </c>
    </row>
    <row r="107" customFormat="false" ht="15" hidden="false" customHeight="false" outlineLevel="0" collapsed="false">
      <c r="A107" s="5" t="s">
        <v>65</v>
      </c>
      <c r="B107" s="5" t="n">
        <v>3</v>
      </c>
      <c r="C107" s="5" t="str">
        <f aca="false">IFERROR(INDEX(Scoring!$AD$5:$AD$337,MATCH($A107&amp;"|"&amp;$B107,Scoring!$AF$5:$AF$337,0)),"")</f>
        <v>Lead</v>
      </c>
      <c r="D107" s="5" t="str">
        <f aca="false">IFERROR(INDEX(Scoring!$B$5:$B$337,MATCH($A107&amp;"|"&amp;$B107,Scoring!$AF$5:$AF$337,0)),"")</f>
        <v>Carboprost</v>
      </c>
      <c r="E107" s="5" t="str">
        <f aca="false">IFERROR(INDEX(Scoring!$D$5:$D$337,MATCH($A107&amp;"|"&amp;$B107,Scoring!$AF$5:$AF$337,0)),"")</f>
        <v>Women's health – postpartum haemorrhage (PPH); pregnancy termination</v>
      </c>
      <c r="F107" s="8" t="n">
        <f aca="false">IFERROR(INDEX(Scoring!$U$5:$U$337,MATCH($A107&amp;"|"&amp;$B107,Scoring!$AF$5:$AF$337,0)),"")</f>
        <v>0.4675</v>
      </c>
      <c r="G107" s="7" t="n">
        <f aca="false">IFERROR(INDEX(Scoring!$O$5:$O$337,MATCH($A107&amp;"|"&amp;$B107,Scoring!$AF$5:$AF$337,0)),"")</f>
        <v>3625.26083333333</v>
      </c>
      <c r="H107" s="6" t="n">
        <f aca="false">IFERROR(INDEX(Scoring!$N$5:$N$337,MATCH($A107&amp;"|"&amp;$B107,Scoring!$AF$5:$AF$337,0)),"")</f>
        <v>30.01</v>
      </c>
      <c r="I107" s="5" t="n">
        <f aca="false">IFERROR(INDEX(Scoring!$F$5:$F$337,MATCH($A107&amp;"|"&amp;$B107,Scoring!$AF$5:$AF$337,0)),"")</f>
        <v>1</v>
      </c>
      <c r="J107" s="5" t="n">
        <f aca="false">IFERROR(INDEX(Scoring!$E$5:$E$337,MATCH($A107&amp;"|"&amp;$B107,Scoring!$AF$5:$AF$337,0)),"")</f>
        <v>1</v>
      </c>
      <c r="K107" s="5" t="n">
        <f aca="false">IFERROR(INDEX(Scoring!$K$5:$K$337,MATCH($A107&amp;"|"&amp;$B107,Scoring!$AF$5:$AF$337,0)),"")</f>
        <v>1</v>
      </c>
      <c r="L107" s="5" t="n">
        <f aca="false">IFERROR(INDEX(Scoring!$L$5:$L$337,MATCH($A107&amp;"|"&amp;$B107,Scoring!$AF$5:$AF$337,0)),"")</f>
        <v>0</v>
      </c>
      <c r="M107" s="5" t="n">
        <f aca="false">IFERROR(INDEX(Scoring!$M$5:$M$337,MATCH($A107&amp;"|"&amp;$B107,Scoring!$AF$5:$AF$337,0)),"")</f>
        <v>0</v>
      </c>
      <c r="N107" s="5" t="str">
        <f aca="false">IFERROR(INDEX(Scoring!$Y$5:$Y$337,MATCH($A107&amp;"|"&amp;$B107,Scoring!$AF$5:$AF$337,0)),"")</f>
        <v>No</v>
      </c>
      <c r="O107" s="5" t="str">
        <f aca="false">IFERROR(INDEX(Scoring!$Z$5:$Z$337,MATCH($A107&amp;"|"&amp;$B107,Scoring!$AF$5:$AF$337,0)),"")</f>
        <v>No</v>
      </c>
      <c r="P107" s="5" t="str">
        <f aca="false">IFERROR(INDEX(Scoring!$AA$5:$AA$337,MATCH($A107&amp;"|"&amp;$B107,Scoring!$AF$5:$AF$337,0)),"")</f>
        <v>Yes</v>
      </c>
      <c r="Q107" s="5" t="str">
        <f aca="false">IFERROR(INDEX(Scoring!$AE$5:$AE$337,MATCH($A107&amp;"|"&amp;$B107,Scoring!$AF$5:$AF$337,0)),"")</f>
        <v>Differentiation in crowded generic market</v>
      </c>
    </row>
    <row r="108" customFormat="false" ht="15" hidden="false" customHeight="false" outlineLevel="0" collapsed="false">
      <c r="A108" s="5" t="s">
        <v>65</v>
      </c>
      <c r="B108" s="5" t="n">
        <v>4</v>
      </c>
      <c r="C108" s="5" t="str">
        <f aca="false">IFERROR(INDEX(Scoring!$AD$5:$AD$337,MATCH($A108&amp;"|"&amp;$B108,Scoring!$AF$5:$AF$337,0)),"")</f>
        <v>Lead</v>
      </c>
      <c r="D108" s="5" t="str">
        <f aca="false">IFERROR(INDEX(Scoring!$B$5:$B$337,MATCH($A108&amp;"|"&amp;$B108,Scoring!$AF$5:$AF$337,0)),"")</f>
        <v>Succinylcholine (Suxamethonium)</v>
      </c>
      <c r="E108" s="5" t="str">
        <f aca="false">IFERROR(INDEX(Scoring!$D$5:$D$337,MATCH($A108&amp;"|"&amp;$B108,Scoring!$AF$5:$AF$337,0)),"")</f>
        <v>Anaesthesia – rapid-sequence intubation (muscle relaxant)</v>
      </c>
      <c r="F108" s="8" t="n">
        <f aca="false">IFERROR(INDEX(Scoring!$U$5:$U$337,MATCH($A108&amp;"|"&amp;$B108,Scoring!$AF$5:$AF$337,0)),"")</f>
        <v>0.419</v>
      </c>
      <c r="G108" s="7" t="n">
        <f aca="false">IFERROR(INDEX(Scoring!$O$5:$O$337,MATCH($A108&amp;"|"&amp;$B108,Scoring!$AF$5:$AF$337,0)),"")</f>
        <v>3067.39</v>
      </c>
      <c r="H108" s="6" t="str">
        <f aca="false">IFERROR(INDEX(Scoring!$N$5:$N$337,MATCH($A108&amp;"|"&amp;$B108,Scoring!$AF$5:$AF$337,0)),"")</f>
        <v/>
      </c>
      <c r="I108" s="5" t="n">
        <f aca="false">IFERROR(INDEX(Scoring!$F$5:$F$337,MATCH($A108&amp;"|"&amp;$B108,Scoring!$AF$5:$AF$337,0)),"")</f>
        <v>1</v>
      </c>
      <c r="J108" s="5" t="n">
        <f aca="false">IFERROR(INDEX(Scoring!$E$5:$E$337,MATCH($A108&amp;"|"&amp;$B108,Scoring!$AF$5:$AF$337,0)),"")</f>
        <v>1</v>
      </c>
      <c r="K108" s="5" t="n">
        <f aca="false">IFERROR(INDEX(Scoring!$K$5:$K$337,MATCH($A108&amp;"|"&amp;$B108,Scoring!$AF$5:$AF$337,0)),"")</f>
        <v>1</v>
      </c>
      <c r="L108" s="5" t="n">
        <f aca="false">IFERROR(INDEX(Scoring!$L$5:$L$337,MATCH($A108&amp;"|"&amp;$B108,Scoring!$AF$5:$AF$337,0)),"")</f>
        <v>0</v>
      </c>
      <c r="M108" s="5" t="n">
        <f aca="false">IFERROR(INDEX(Scoring!$M$5:$M$337,MATCH($A108&amp;"|"&amp;$B108,Scoring!$AF$5:$AF$337,0)),"")</f>
        <v>0</v>
      </c>
      <c r="N108" s="5" t="str">
        <f aca="false">IFERROR(INDEX(Scoring!$Y$5:$Y$337,MATCH($A108&amp;"|"&amp;$B108,Scoring!$AF$5:$AF$337,0)),"")</f>
        <v>No</v>
      </c>
      <c r="O108" s="5" t="str">
        <f aca="false">IFERROR(INDEX(Scoring!$Z$5:$Z$337,MATCH($A108&amp;"|"&amp;$B108,Scoring!$AF$5:$AF$337,0)),"")</f>
        <v>No</v>
      </c>
      <c r="P108" s="5" t="str">
        <f aca="false">IFERROR(INDEX(Scoring!$AA$5:$AA$337,MATCH($A108&amp;"|"&amp;$B108,Scoring!$AF$5:$AF$337,0)),"")</f>
        <v>Yes</v>
      </c>
      <c r="Q108" s="5" t="str">
        <f aca="false">IFERROR(INDEX(Scoring!$AE$5:$AE$337,MATCH($A108&amp;"|"&amp;$B108,Scoring!$AF$5:$AF$337,0)),"")</f>
        <v>Differentiation in crowded generic market</v>
      </c>
    </row>
    <row r="109" customFormat="false" ht="15" hidden="false" customHeight="false" outlineLevel="0" collapsed="false">
      <c r="A109" s="5" t="s">
        <v>65</v>
      </c>
      <c r="B109" s="5" t="n">
        <v>5</v>
      </c>
      <c r="C109" s="5" t="str">
        <f aca="false">IFERROR(INDEX(Scoring!$AD$5:$AD$337,MATCH($A109&amp;"|"&amp;$B109,Scoring!$AF$5:$AF$337,0)),"")</f>
        <v>Lead</v>
      </c>
      <c r="D109" s="5" t="str">
        <f aca="false">IFERROR(INDEX(Scoring!$B$5:$B$337,MATCH($A109&amp;"|"&amp;$B109,Scoring!$AF$5:$AF$337,0)),"")</f>
        <v>Brivaracetam</v>
      </c>
      <c r="E109" s="5" t="str">
        <f aca="false">IFERROR(INDEX(Scoring!$D$5:$D$337,MATCH($A109&amp;"|"&amp;$B109,Scoring!$AF$5:$AF$337,0)),"")</f>
        <v>Neurology – epilepsy (partial-onset seizures)</v>
      </c>
      <c r="F109" s="8" t="n">
        <f aca="false">IFERROR(INDEX(Scoring!$U$5:$U$337,MATCH($A109&amp;"|"&amp;$B109,Scoring!$AF$5:$AF$337,0)),"")</f>
        <v>0.3105</v>
      </c>
      <c r="G109" s="7" t="n">
        <f aca="false">IFERROR(INDEX(Scoring!$O$5:$O$337,MATCH($A109&amp;"|"&amp;$B109,Scoring!$AF$5:$AF$337,0)),"")</f>
        <v>21.847601480645</v>
      </c>
      <c r="H109" s="6" t="n">
        <f aca="false">IFERROR(INDEX(Scoring!$N$5:$N$337,MATCH($A109&amp;"|"&amp;$B109,Scoring!$AF$5:$AF$337,0)),"")</f>
        <v>51.79</v>
      </c>
      <c r="I109" s="5" t="n">
        <f aca="false">IFERROR(INDEX(Scoring!$F$5:$F$337,MATCH($A109&amp;"|"&amp;$B109,Scoring!$AF$5:$AF$337,0)),"")</f>
        <v>1</v>
      </c>
      <c r="J109" s="5" t="n">
        <f aca="false">IFERROR(INDEX(Scoring!$E$5:$E$337,MATCH($A109&amp;"|"&amp;$B109,Scoring!$AF$5:$AF$337,0)),"")</f>
        <v>1</v>
      </c>
      <c r="K109" s="5" t="n">
        <f aca="false">IFERROR(INDEX(Scoring!$K$5:$K$337,MATCH($A109&amp;"|"&amp;$B109,Scoring!$AF$5:$AF$337,0)),"")</f>
        <v>1</v>
      </c>
      <c r="L109" s="5" t="n">
        <f aca="false">IFERROR(INDEX(Scoring!$L$5:$L$337,MATCH($A109&amp;"|"&amp;$B109,Scoring!$AF$5:$AF$337,0)),"")</f>
        <v>0</v>
      </c>
      <c r="M109" s="5" t="n">
        <f aca="false">IFERROR(INDEX(Scoring!$M$5:$M$337,MATCH($A109&amp;"|"&amp;$B109,Scoring!$AF$5:$AF$337,0)),"")</f>
        <v>0</v>
      </c>
      <c r="N109" s="5" t="str">
        <f aca="false">IFERROR(INDEX(Scoring!$Y$5:$Y$337,MATCH($A109&amp;"|"&amp;$B109,Scoring!$AF$5:$AF$337,0)),"")</f>
        <v>No</v>
      </c>
      <c r="O109" s="5" t="str">
        <f aca="false">IFERROR(INDEX(Scoring!$Z$5:$Z$337,MATCH($A109&amp;"|"&amp;$B109,Scoring!$AF$5:$AF$337,0)),"")</f>
        <v>No</v>
      </c>
      <c r="P109" s="5" t="str">
        <f aca="false">IFERROR(INDEX(Scoring!$AA$5:$AA$337,MATCH($A109&amp;"|"&amp;$B109,Scoring!$AF$5:$AF$337,0)),"")</f>
        <v>Yes</v>
      </c>
      <c r="Q109" s="5" t="str">
        <f aca="false">IFERROR(INDEX(Scoring!$AE$5:$AE$337,MATCH($A109&amp;"|"&amp;$B109,Scoring!$AF$5:$AF$337,0)),"")</f>
        <v>Differentiation in crowded generic market</v>
      </c>
    </row>
    <row r="110" customFormat="false" ht="15" hidden="false" customHeight="false" outlineLevel="0" collapsed="false">
      <c r="A110" s="5" t="s">
        <v>65</v>
      </c>
      <c r="B110" s="5" t="n">
        <v>6</v>
      </c>
      <c r="C110" s="5" t="str">
        <f aca="false">IFERROR(INDEX(Scoring!$AD$5:$AD$337,MATCH($A110&amp;"|"&amp;$B110,Scoring!$AF$5:$AF$337,0)),"")</f>
        <v>Next wave</v>
      </c>
      <c r="D110" s="5" t="str">
        <f aca="false">IFERROR(INDEX(Scoring!$B$5:$B$337,MATCH($A110&amp;"|"&amp;$B110,Scoring!$AF$5:$AF$337,0)),"")</f>
        <v>Lincomycin</v>
      </c>
      <c r="E110" s="5" t="str">
        <f aca="false">IFERROR(INDEX(Scoring!$D$5:$D$337,MATCH($A110&amp;"|"&amp;$B110,Scoring!$AF$5:$AF$337,0)),"")</f>
        <v>Anti-infective – serious Gram-positive infections (penicillin-allergic)</v>
      </c>
      <c r="F110" s="8" t="n">
        <f aca="false">IFERROR(INDEX(Scoring!$U$5:$U$337,MATCH($A110&amp;"|"&amp;$B110,Scoring!$AF$5:$AF$337,0)),"")</f>
        <v>0.2805</v>
      </c>
      <c r="G110" s="7" t="n">
        <f aca="false">IFERROR(INDEX(Scoring!$O$5:$O$337,MATCH($A110&amp;"|"&amp;$B110,Scoring!$AF$5:$AF$337,0)),"")</f>
        <v>1076.08888888889</v>
      </c>
      <c r="H110" s="6" t="n">
        <f aca="false">IFERROR(INDEX(Scoring!$N$5:$N$337,MATCH($A110&amp;"|"&amp;$B110,Scoring!$AF$5:$AF$337,0)),"")</f>
        <v>22.55</v>
      </c>
      <c r="I110" s="5" t="n">
        <f aca="false">IFERROR(INDEX(Scoring!$F$5:$F$337,MATCH($A110&amp;"|"&amp;$B110,Scoring!$AF$5:$AF$337,0)),"")</f>
        <v>1</v>
      </c>
      <c r="J110" s="5" t="n">
        <f aca="false">IFERROR(INDEX(Scoring!$E$5:$E$337,MATCH($A110&amp;"|"&amp;$B110,Scoring!$AF$5:$AF$337,0)),"")</f>
        <v>1</v>
      </c>
      <c r="K110" s="5" t="n">
        <f aca="false">IFERROR(INDEX(Scoring!$K$5:$K$337,MATCH($A110&amp;"|"&amp;$B110,Scoring!$AF$5:$AF$337,0)),"")</f>
        <v>1</v>
      </c>
      <c r="L110" s="5" t="n">
        <f aca="false">IFERROR(INDEX(Scoring!$L$5:$L$337,MATCH($A110&amp;"|"&amp;$B110,Scoring!$AF$5:$AF$337,0)),"")</f>
        <v>0</v>
      </c>
      <c r="M110" s="5" t="n">
        <f aca="false">IFERROR(INDEX(Scoring!$M$5:$M$337,MATCH($A110&amp;"|"&amp;$B110,Scoring!$AF$5:$AF$337,0)),"")</f>
        <v>0</v>
      </c>
      <c r="N110" s="5" t="str">
        <f aca="false">IFERROR(INDEX(Scoring!$Y$5:$Y$337,MATCH($A110&amp;"|"&amp;$B110,Scoring!$AF$5:$AF$337,0)),"")</f>
        <v>No</v>
      </c>
      <c r="O110" s="5" t="str">
        <f aca="false">IFERROR(INDEX(Scoring!$Z$5:$Z$337,MATCH($A110&amp;"|"&amp;$B110,Scoring!$AF$5:$AF$337,0)),"")</f>
        <v>No</v>
      </c>
      <c r="P110" s="5" t="str">
        <f aca="false">IFERROR(INDEX(Scoring!$AA$5:$AA$337,MATCH($A110&amp;"|"&amp;$B110,Scoring!$AF$5:$AF$337,0)),"")</f>
        <v>No</v>
      </c>
      <c r="Q110" s="5" t="str">
        <f aca="false">IFERROR(INDEX(Scoring!$AE$5:$AE$337,MATCH($A110&amp;"|"&amp;$B110,Scoring!$AF$5:$AF$337,0)),"")</f>
        <v>Safety-device mandate compliance</v>
      </c>
    </row>
    <row r="111" customFormat="false" ht="15" hidden="false" customHeight="false" outlineLevel="0" collapsed="false">
      <c r="A111" s="5" t="s">
        <v>65</v>
      </c>
      <c r="B111" s="5" t="n">
        <v>7</v>
      </c>
      <c r="C111" s="5" t="str">
        <f aca="false">IFERROR(INDEX(Scoring!$AD$5:$AD$337,MATCH($A111&amp;"|"&amp;$B111,Scoring!$AF$5:$AF$337,0)),"")</f>
        <v>Next wave</v>
      </c>
      <c r="D111" s="5" t="str">
        <f aca="false">IFERROR(INDEX(Scoring!$B$5:$B$337,MATCH($A111&amp;"|"&amp;$B111,Scoring!$AF$5:$AF$337,0)),"")</f>
        <v>Verapamil</v>
      </c>
      <c r="E111" s="5" t="str">
        <f aca="false">IFERROR(INDEX(Scoring!$D$5:$D$337,MATCH($A111&amp;"|"&amp;$B111,Scoring!$AF$5:$AF$337,0)),"")</f>
        <v>Cardiovascular – supraventricular tachycardia, atrial fibrillation rate control</v>
      </c>
      <c r="F111" s="8" t="n">
        <f aca="false">IFERROR(INDEX(Scoring!$U$5:$U$337,MATCH($A111&amp;"|"&amp;$B111,Scoring!$AF$5:$AF$337,0)),"")</f>
        <v>0.253</v>
      </c>
      <c r="G111" s="7" t="n">
        <f aca="false">IFERROR(INDEX(Scoring!$O$5:$O$337,MATCH($A111&amp;"|"&amp;$B111,Scoring!$AF$5:$AF$337,0)),"")</f>
        <v>2476.9006570147</v>
      </c>
      <c r="H111" s="6" t="n">
        <f aca="false">IFERROR(INDEX(Scoring!$N$5:$N$337,MATCH($A111&amp;"|"&amp;$B111,Scoring!$AF$5:$AF$337,0)),"")</f>
        <v>10.125</v>
      </c>
      <c r="I111" s="5" t="n">
        <f aca="false">IFERROR(INDEX(Scoring!$F$5:$F$337,MATCH($A111&amp;"|"&amp;$B111,Scoring!$AF$5:$AF$337,0)),"")</f>
        <v>1</v>
      </c>
      <c r="J111" s="5" t="n">
        <f aca="false">IFERROR(INDEX(Scoring!$E$5:$E$337,MATCH($A111&amp;"|"&amp;$B111,Scoring!$AF$5:$AF$337,0)),"")</f>
        <v>1</v>
      </c>
      <c r="K111" s="5" t="n">
        <f aca="false">IFERROR(INDEX(Scoring!$K$5:$K$337,MATCH($A111&amp;"|"&amp;$B111,Scoring!$AF$5:$AF$337,0)),"")</f>
        <v>2</v>
      </c>
      <c r="L111" s="5" t="n">
        <f aca="false">IFERROR(INDEX(Scoring!$L$5:$L$337,MATCH($A111&amp;"|"&amp;$B111,Scoring!$AF$5:$AF$337,0)),"")</f>
        <v>0</v>
      </c>
      <c r="M111" s="5" t="n">
        <f aca="false">IFERROR(INDEX(Scoring!$M$5:$M$337,MATCH($A111&amp;"|"&amp;$B111,Scoring!$AF$5:$AF$337,0)),"")</f>
        <v>0</v>
      </c>
      <c r="N111" s="5" t="str">
        <f aca="false">IFERROR(INDEX(Scoring!$Y$5:$Y$337,MATCH($A111&amp;"|"&amp;$B111,Scoring!$AF$5:$AF$337,0)),"")</f>
        <v>No</v>
      </c>
      <c r="O111" s="5" t="str">
        <f aca="false">IFERROR(INDEX(Scoring!$Z$5:$Z$337,MATCH($A111&amp;"|"&amp;$B111,Scoring!$AF$5:$AF$337,0)),"")</f>
        <v>No</v>
      </c>
      <c r="P111" s="5" t="str">
        <f aca="false">IFERROR(INDEX(Scoring!$AA$5:$AA$337,MATCH($A111&amp;"|"&amp;$B111,Scoring!$AF$5:$AF$337,0)),"")</f>
        <v>Yes</v>
      </c>
      <c r="Q111" s="5" t="str">
        <f aca="false">IFERROR(INDEX(Scoring!$AE$5:$AE$337,MATCH($A111&amp;"|"&amp;$B111,Scoring!$AF$5:$AF$337,0)),"")</f>
        <v>Differentiation in crowded generic market</v>
      </c>
    </row>
    <row r="112" customFormat="false" ht="15" hidden="false" customHeight="false" outlineLevel="0" collapsed="false">
      <c r="A112" s="5" t="s">
        <v>65</v>
      </c>
      <c r="B112" s="5" t="n">
        <v>8</v>
      </c>
      <c r="C112" s="5" t="str">
        <f aca="false">IFERROR(INDEX(Scoring!$AD$5:$AD$337,MATCH($A112&amp;"|"&amp;$B112,Scoring!$AF$5:$AF$337,0)),"")</f>
        <v>Next wave</v>
      </c>
      <c r="D112" s="5" t="str">
        <f aca="false">IFERROR(INDEX(Scoring!$B$5:$B$337,MATCH($A112&amp;"|"&amp;$B112,Scoring!$AF$5:$AF$337,0)),"")</f>
        <v>Diphenhydramine</v>
      </c>
      <c r="E112" s="5" t="str">
        <f aca="false">IFERROR(INDEX(Scoring!$D$5:$D$337,MATCH($A112&amp;"|"&amp;$B112,Scoring!$AF$5:$AF$337,0)),"")</f>
        <v>Immunology / Allergy – acute allergic reactions; drug-induced dystonia</v>
      </c>
      <c r="F112" s="8" t="n">
        <f aca="false">IFERROR(INDEX(Scoring!$U$5:$U$337,MATCH($A112&amp;"|"&amp;$B112,Scoring!$AF$5:$AF$337,0)),"")</f>
        <v>0.2245</v>
      </c>
      <c r="G112" s="7" t="n">
        <f aca="false">IFERROR(INDEX(Scoring!$O$5:$O$337,MATCH($A112&amp;"|"&amp;$B112,Scoring!$AF$5:$AF$337,0)),"")</f>
        <v>513.225288349885</v>
      </c>
      <c r="H112" s="6" t="n">
        <f aca="false">IFERROR(INDEX(Scoring!$N$5:$N$337,MATCH($A112&amp;"|"&amp;$B112,Scoring!$AF$5:$AF$337,0)),"")</f>
        <v>18</v>
      </c>
      <c r="I112" s="5" t="n">
        <f aca="false">IFERROR(INDEX(Scoring!$F$5:$F$337,MATCH($A112&amp;"|"&amp;$B112,Scoring!$AF$5:$AF$337,0)),"")</f>
        <v>1</v>
      </c>
      <c r="J112" s="5" t="n">
        <f aca="false">IFERROR(INDEX(Scoring!$E$5:$E$337,MATCH($A112&amp;"|"&amp;$B112,Scoring!$AF$5:$AF$337,0)),"")</f>
        <v>1</v>
      </c>
      <c r="K112" s="5" t="n">
        <f aca="false">IFERROR(INDEX(Scoring!$K$5:$K$337,MATCH($A112&amp;"|"&amp;$B112,Scoring!$AF$5:$AF$337,0)),"")</f>
        <v>1</v>
      </c>
      <c r="L112" s="5" t="n">
        <f aca="false">IFERROR(INDEX(Scoring!$L$5:$L$337,MATCH($A112&amp;"|"&amp;$B112,Scoring!$AF$5:$AF$337,0)),"")</f>
        <v>0</v>
      </c>
      <c r="M112" s="5" t="n">
        <f aca="false">IFERROR(INDEX(Scoring!$M$5:$M$337,MATCH($A112&amp;"|"&amp;$B112,Scoring!$AF$5:$AF$337,0)),"")</f>
        <v>0</v>
      </c>
      <c r="N112" s="5" t="str">
        <f aca="false">IFERROR(INDEX(Scoring!$Y$5:$Y$337,MATCH($A112&amp;"|"&amp;$B112,Scoring!$AF$5:$AF$337,0)),"")</f>
        <v>No</v>
      </c>
      <c r="O112" s="5" t="str">
        <f aca="false">IFERROR(INDEX(Scoring!$Z$5:$Z$337,MATCH($A112&amp;"|"&amp;$B112,Scoring!$AF$5:$AF$337,0)),"")</f>
        <v>No</v>
      </c>
      <c r="P112" s="5" t="str">
        <f aca="false">IFERROR(INDEX(Scoring!$AA$5:$AA$337,MATCH($A112&amp;"|"&amp;$B112,Scoring!$AF$5:$AF$337,0)),"")</f>
        <v>No</v>
      </c>
      <c r="Q112" s="5" t="str">
        <f aca="false">IFERROR(INDEX(Scoring!$AE$5:$AE$337,MATCH($A112&amp;"|"&amp;$B112,Scoring!$AF$5:$AF$337,0)),"")</f>
        <v>Safety-device mandate compliance</v>
      </c>
    </row>
    <row r="113" customFormat="false" ht="15" hidden="false" customHeight="false" outlineLevel="0" collapsed="false">
      <c r="A113" s="5" t="s">
        <v>65</v>
      </c>
      <c r="B113" s="5" t="n">
        <v>9</v>
      </c>
      <c r="C113" s="5" t="str">
        <f aca="false">IFERROR(INDEX(Scoring!$AD$5:$AD$337,MATCH($A113&amp;"|"&amp;$B113,Scoring!$AF$5:$AF$337,0)),"")</f>
        <v/>
      </c>
      <c r="D113" s="5" t="str">
        <f aca="false">IFERROR(INDEX(Scoring!$B$5:$B$337,MATCH($A113&amp;"|"&amp;$B113,Scoring!$AF$5:$AF$337,0)),"")</f>
        <v/>
      </c>
      <c r="E113" s="5" t="str">
        <f aca="false">IFERROR(INDEX(Scoring!$D$5:$D$337,MATCH($A113&amp;"|"&amp;$B113,Scoring!$AF$5:$AF$337,0)),"")</f>
        <v/>
      </c>
      <c r="F113" s="8" t="str">
        <f aca="false">IFERROR(INDEX(Scoring!$U$5:$U$337,MATCH($A113&amp;"|"&amp;$B113,Scoring!$AF$5:$AF$337,0)),"")</f>
        <v/>
      </c>
      <c r="G113" s="7" t="str">
        <f aca="false">IFERROR(INDEX(Scoring!$O$5:$O$337,MATCH($A113&amp;"|"&amp;$B113,Scoring!$AF$5:$AF$337,0)),"")</f>
        <v/>
      </c>
      <c r="H113" s="6" t="str">
        <f aca="false">IFERROR(INDEX(Scoring!$N$5:$N$337,MATCH($A113&amp;"|"&amp;$B113,Scoring!$AF$5:$AF$337,0)),"")</f>
        <v/>
      </c>
      <c r="I113" s="5" t="str">
        <f aca="false">IFERROR(INDEX(Scoring!$F$5:$F$337,MATCH($A113&amp;"|"&amp;$B113,Scoring!$AF$5:$AF$337,0)),"")</f>
        <v/>
      </c>
      <c r="J113" s="5" t="str">
        <f aca="false">IFERROR(INDEX(Scoring!$E$5:$E$337,MATCH($A113&amp;"|"&amp;$B113,Scoring!$AF$5:$AF$337,0)),"")</f>
        <v/>
      </c>
      <c r="K113" s="5" t="str">
        <f aca="false">IFERROR(INDEX(Scoring!$K$5:$K$337,MATCH($A113&amp;"|"&amp;$B113,Scoring!$AF$5:$AF$337,0)),"")</f>
        <v/>
      </c>
      <c r="L113" s="5" t="str">
        <f aca="false">IFERROR(INDEX(Scoring!$L$5:$L$337,MATCH($A113&amp;"|"&amp;$B113,Scoring!$AF$5:$AF$337,0)),"")</f>
        <v/>
      </c>
      <c r="M113" s="5" t="str">
        <f aca="false">IFERROR(INDEX(Scoring!$M$5:$M$337,MATCH($A113&amp;"|"&amp;$B113,Scoring!$AF$5:$AF$337,0)),"")</f>
        <v/>
      </c>
      <c r="N113" s="5" t="str">
        <f aca="false">IFERROR(INDEX(Scoring!$Y$5:$Y$337,MATCH($A113&amp;"|"&amp;$B113,Scoring!$AF$5:$AF$337,0)),"")</f>
        <v/>
      </c>
      <c r="O113" s="5" t="str">
        <f aca="false">IFERROR(INDEX(Scoring!$Z$5:$Z$337,MATCH($A113&amp;"|"&amp;$B113,Scoring!$AF$5:$AF$337,0)),"")</f>
        <v/>
      </c>
      <c r="P113" s="5" t="str">
        <f aca="false">IFERROR(INDEX(Scoring!$AA$5:$AA$337,MATCH($A113&amp;"|"&amp;$B113,Scoring!$AF$5:$AF$337,0)),"")</f>
        <v/>
      </c>
      <c r="Q113" s="5" t="str">
        <f aca="false">IFERROR(INDEX(Scoring!$AE$5:$AE$337,MATCH($A113&amp;"|"&amp;$B113,Scoring!$AF$5:$AF$337,0)),"")</f>
        <v/>
      </c>
    </row>
    <row r="114" customFormat="false" ht="15" hidden="false" customHeight="false" outlineLevel="0" collapsed="false">
      <c r="A114" s="5" t="s">
        <v>65</v>
      </c>
      <c r="B114" s="5" t="n">
        <v>10</v>
      </c>
      <c r="C114" s="5" t="str">
        <f aca="false">IFERROR(INDEX(Scoring!$AD$5:$AD$337,MATCH($A114&amp;"|"&amp;$B114,Scoring!$AF$5:$AF$337,0)),"")</f>
        <v/>
      </c>
      <c r="D114" s="5" t="str">
        <f aca="false">IFERROR(INDEX(Scoring!$B$5:$B$337,MATCH($A114&amp;"|"&amp;$B114,Scoring!$AF$5:$AF$337,0)),"")</f>
        <v/>
      </c>
      <c r="E114" s="5" t="str">
        <f aca="false">IFERROR(INDEX(Scoring!$D$5:$D$337,MATCH($A114&amp;"|"&amp;$B114,Scoring!$AF$5:$AF$337,0)),"")</f>
        <v/>
      </c>
      <c r="F114" s="8" t="str">
        <f aca="false">IFERROR(INDEX(Scoring!$U$5:$U$337,MATCH($A114&amp;"|"&amp;$B114,Scoring!$AF$5:$AF$337,0)),"")</f>
        <v/>
      </c>
      <c r="G114" s="7" t="str">
        <f aca="false">IFERROR(INDEX(Scoring!$O$5:$O$337,MATCH($A114&amp;"|"&amp;$B114,Scoring!$AF$5:$AF$337,0)),"")</f>
        <v/>
      </c>
      <c r="H114" s="6" t="str">
        <f aca="false">IFERROR(INDEX(Scoring!$N$5:$N$337,MATCH($A114&amp;"|"&amp;$B114,Scoring!$AF$5:$AF$337,0)),"")</f>
        <v/>
      </c>
      <c r="I114" s="5" t="str">
        <f aca="false">IFERROR(INDEX(Scoring!$F$5:$F$337,MATCH($A114&amp;"|"&amp;$B114,Scoring!$AF$5:$AF$337,0)),"")</f>
        <v/>
      </c>
      <c r="J114" s="5" t="str">
        <f aca="false">IFERROR(INDEX(Scoring!$E$5:$E$337,MATCH($A114&amp;"|"&amp;$B114,Scoring!$AF$5:$AF$337,0)),"")</f>
        <v/>
      </c>
      <c r="K114" s="5" t="str">
        <f aca="false">IFERROR(INDEX(Scoring!$K$5:$K$337,MATCH($A114&amp;"|"&amp;$B114,Scoring!$AF$5:$AF$337,0)),"")</f>
        <v/>
      </c>
      <c r="L114" s="5" t="str">
        <f aca="false">IFERROR(INDEX(Scoring!$L$5:$L$337,MATCH($A114&amp;"|"&amp;$B114,Scoring!$AF$5:$AF$337,0)),"")</f>
        <v/>
      </c>
      <c r="M114" s="5" t="str">
        <f aca="false">IFERROR(INDEX(Scoring!$M$5:$M$337,MATCH($A114&amp;"|"&amp;$B114,Scoring!$AF$5:$AF$337,0)),"")</f>
        <v/>
      </c>
      <c r="N114" s="5" t="str">
        <f aca="false">IFERROR(INDEX(Scoring!$Y$5:$Y$337,MATCH($A114&amp;"|"&amp;$B114,Scoring!$AF$5:$AF$337,0)),"")</f>
        <v/>
      </c>
      <c r="O114" s="5" t="str">
        <f aca="false">IFERROR(INDEX(Scoring!$Z$5:$Z$337,MATCH($A114&amp;"|"&amp;$B114,Scoring!$AF$5:$AF$337,0)),"")</f>
        <v/>
      </c>
      <c r="P114" s="5" t="str">
        <f aca="false">IFERROR(INDEX(Scoring!$AA$5:$AA$337,MATCH($A114&amp;"|"&amp;$B114,Scoring!$AF$5:$AF$337,0)),"")</f>
        <v/>
      </c>
      <c r="Q114" s="5" t="str">
        <f aca="false">IFERROR(INDEX(Scoring!$AE$5:$AE$337,MATCH($A114&amp;"|"&amp;$B114,Scoring!$AF$5:$AF$337,0)),"")</f>
        <v/>
      </c>
    </row>
    <row r="115" customFormat="false" ht="15" hidden="false" customHeight="false" outlineLevel="0" collapsed="false">
      <c r="A115" s="14" t="s">
        <v>67</v>
      </c>
      <c r="B115" s="14" t="n">
        <v>1</v>
      </c>
      <c r="C115" s="14" t="str">
        <f aca="false">IFERROR(INDEX(Scoring!$AD$5:$AD$337,MATCH($A115&amp;"|"&amp;$B115,Scoring!$AF$5:$AF$337,0)),"")</f>
        <v>Lead</v>
      </c>
      <c r="D115" s="14" t="str">
        <f aca="false">IFERROR(INDEX(Scoring!$B$5:$B$337,MATCH($A115&amp;"|"&amp;$B115,Scoring!$AF$5:$AF$337,0)),"")</f>
        <v>Meropenem</v>
      </c>
      <c r="E115" s="14" t="str">
        <f aca="false">IFERROR(INDEX(Scoring!$D$5:$D$337,MATCH($A115&amp;"|"&amp;$B115,Scoring!$AF$5:$AF$337,0)),"")</f>
        <v>Anti-infective – severe hospital infections (ICU, sepsis, meningitis, MDR)</v>
      </c>
      <c r="F115" s="15" t="n">
        <f aca="false">IFERROR(INDEX(Scoring!$U$5:$U$337,MATCH($A115&amp;"|"&amp;$B115,Scoring!$AF$5:$AF$337,0)),"")</f>
        <v>0.68</v>
      </c>
      <c r="G115" s="16" t="n">
        <f aca="false">IFERROR(INDEX(Scoring!$O$5:$O$337,MATCH($A115&amp;"|"&amp;$B115,Scoring!$AF$5:$AF$337,0)),"")</f>
        <v>58920.4013724345</v>
      </c>
      <c r="H115" s="17" t="n">
        <f aca="false">IFERROR(INDEX(Scoring!$N$5:$N$337,MATCH($A115&amp;"|"&amp;$B115,Scoring!$AF$5:$AF$337,0)),"")</f>
        <v>24.1029</v>
      </c>
      <c r="I115" s="14" t="n">
        <f aca="false">IFERROR(INDEX(Scoring!$F$5:$F$337,MATCH($A115&amp;"|"&amp;$B115,Scoring!$AF$5:$AF$337,0)),"")</f>
        <v>5</v>
      </c>
      <c r="J115" s="14" t="n">
        <f aca="false">IFERROR(INDEX(Scoring!$E$5:$E$337,MATCH($A115&amp;"|"&amp;$B115,Scoring!$AF$5:$AF$337,0)),"")</f>
        <v>30</v>
      </c>
      <c r="K115" s="14" t="n">
        <f aca="false">IFERROR(INDEX(Scoring!$K$5:$K$337,MATCH($A115&amp;"|"&amp;$B115,Scoring!$AF$5:$AF$337,0)),"")</f>
        <v>3</v>
      </c>
      <c r="L115" s="14" t="n">
        <f aca="false">IFERROR(INDEX(Scoring!$L$5:$L$337,MATCH($A115&amp;"|"&amp;$B115,Scoring!$AF$5:$AF$337,0)),"")</f>
        <v>0</v>
      </c>
      <c r="M115" s="14" t="n">
        <f aca="false">IFERROR(INDEX(Scoring!$M$5:$M$337,MATCH($A115&amp;"|"&amp;$B115,Scoring!$AF$5:$AF$337,0)),"")</f>
        <v>0</v>
      </c>
      <c r="N115" s="14" t="str">
        <f aca="false">IFERROR(INDEX(Scoring!$Y$5:$Y$337,MATCH($A115&amp;"|"&amp;$B115,Scoring!$AF$5:$AF$337,0)),"")</f>
        <v>No</v>
      </c>
      <c r="O115" s="14" t="str">
        <f aca="false">IFERROR(INDEX(Scoring!$Z$5:$Z$337,MATCH($A115&amp;"|"&amp;$B115,Scoring!$AF$5:$AF$337,0)),"")</f>
        <v>Yes</v>
      </c>
      <c r="P115" s="14" t="str">
        <f aca="false">IFERROR(INDEX(Scoring!$AA$5:$AA$337,MATCH($A115&amp;"|"&amp;$B115,Scoring!$AF$5:$AF$337,0)),"")</f>
        <v>Yes</v>
      </c>
      <c r="Q115" s="14" t="str">
        <f aca="false">IFERROR(INDEX(Scoring!$AE$5:$AE$337,MATCH($A115&amp;"|"&amp;$B115,Scoring!$AF$5:$AF$337,0)),"")</f>
        <v>Differentiation in crowded generic market</v>
      </c>
    </row>
    <row r="116" customFormat="false" ht="15" hidden="false" customHeight="false" outlineLevel="0" collapsed="false">
      <c r="A116" s="5" t="s">
        <v>67</v>
      </c>
      <c r="B116" s="5" t="n">
        <v>2</v>
      </c>
      <c r="C116" s="5" t="str">
        <f aca="false">IFERROR(INDEX(Scoring!$AD$5:$AD$337,MATCH($A116&amp;"|"&amp;$B116,Scoring!$AF$5:$AF$337,0)),"")</f>
        <v>Lead</v>
      </c>
      <c r="D116" s="5" t="str">
        <f aca="false">IFERROR(INDEX(Scoring!$B$5:$B$337,MATCH($A116&amp;"|"&amp;$B116,Scoring!$AF$5:$AF$337,0)),"")</f>
        <v>Carboprost</v>
      </c>
      <c r="E116" s="5" t="str">
        <f aca="false">IFERROR(INDEX(Scoring!$D$5:$D$337,MATCH($A116&amp;"|"&amp;$B116,Scoring!$AF$5:$AF$337,0)),"")</f>
        <v>Women's health – postpartum haemorrhage (PPH); pregnancy termination</v>
      </c>
      <c r="F116" s="8" t="n">
        <f aca="false">IFERROR(INDEX(Scoring!$U$5:$U$337,MATCH($A116&amp;"|"&amp;$B116,Scoring!$AF$5:$AF$337,0)),"")</f>
        <v>0.4675</v>
      </c>
      <c r="G116" s="7" t="n">
        <f aca="false">IFERROR(INDEX(Scoring!$O$5:$O$337,MATCH($A116&amp;"|"&amp;$B116,Scoring!$AF$5:$AF$337,0)),"")</f>
        <v>3625.26083333333</v>
      </c>
      <c r="H116" s="6" t="n">
        <f aca="false">IFERROR(INDEX(Scoring!$N$5:$N$337,MATCH($A116&amp;"|"&amp;$B116,Scoring!$AF$5:$AF$337,0)),"")</f>
        <v>30.01</v>
      </c>
      <c r="I116" s="5" t="n">
        <f aca="false">IFERROR(INDEX(Scoring!$F$5:$F$337,MATCH($A116&amp;"|"&amp;$B116,Scoring!$AF$5:$AF$337,0)),"")</f>
        <v>1</v>
      </c>
      <c r="J116" s="5" t="n">
        <f aca="false">IFERROR(INDEX(Scoring!$E$5:$E$337,MATCH($A116&amp;"|"&amp;$B116,Scoring!$AF$5:$AF$337,0)),"")</f>
        <v>1</v>
      </c>
      <c r="K116" s="5" t="n">
        <f aca="false">IFERROR(INDEX(Scoring!$K$5:$K$337,MATCH($A116&amp;"|"&amp;$B116,Scoring!$AF$5:$AF$337,0)),"")</f>
        <v>1</v>
      </c>
      <c r="L116" s="5" t="n">
        <f aca="false">IFERROR(INDEX(Scoring!$L$5:$L$337,MATCH($A116&amp;"|"&amp;$B116,Scoring!$AF$5:$AF$337,0)),"")</f>
        <v>0</v>
      </c>
      <c r="M116" s="5" t="n">
        <f aca="false">IFERROR(INDEX(Scoring!$M$5:$M$337,MATCH($A116&amp;"|"&amp;$B116,Scoring!$AF$5:$AF$337,0)),"")</f>
        <v>0</v>
      </c>
      <c r="N116" s="5" t="str">
        <f aca="false">IFERROR(INDEX(Scoring!$Y$5:$Y$337,MATCH($A116&amp;"|"&amp;$B116,Scoring!$AF$5:$AF$337,0)),"")</f>
        <v>No</v>
      </c>
      <c r="O116" s="5" t="str">
        <f aca="false">IFERROR(INDEX(Scoring!$Z$5:$Z$337,MATCH($A116&amp;"|"&amp;$B116,Scoring!$AF$5:$AF$337,0)),"")</f>
        <v>No</v>
      </c>
      <c r="P116" s="5" t="str">
        <f aca="false">IFERROR(INDEX(Scoring!$AA$5:$AA$337,MATCH($A116&amp;"|"&amp;$B116,Scoring!$AF$5:$AF$337,0)),"")</f>
        <v>Yes</v>
      </c>
      <c r="Q116" s="5" t="str">
        <f aca="false">IFERROR(INDEX(Scoring!$AE$5:$AE$337,MATCH($A116&amp;"|"&amp;$B116,Scoring!$AF$5:$AF$337,0)),"")</f>
        <v>Differentiation in crowded generic market</v>
      </c>
    </row>
    <row r="117" customFormat="false" ht="15" hidden="false" customHeight="false" outlineLevel="0" collapsed="false">
      <c r="A117" s="5" t="s">
        <v>67</v>
      </c>
      <c r="B117" s="5" t="n">
        <v>3</v>
      </c>
      <c r="C117" s="5" t="str">
        <f aca="false">IFERROR(INDEX(Scoring!$AD$5:$AD$337,MATCH($A117&amp;"|"&amp;$B117,Scoring!$AF$5:$AF$337,0)),"")</f>
        <v>Lead</v>
      </c>
      <c r="D117" s="5" t="str">
        <f aca="false">IFERROR(INDEX(Scoring!$B$5:$B$337,MATCH($A117&amp;"|"&amp;$B117,Scoring!$AF$5:$AF$337,0)),"")</f>
        <v>Bupivacaine</v>
      </c>
      <c r="E117" s="5" t="str">
        <f aca="false">IFERROR(INDEX(Scoring!$D$5:$D$337,MATCH($A117&amp;"|"&amp;$B117,Scoring!$AF$5:$AF$337,0)),"")</f>
        <v>Anaesthesia – long-acting local anaesthetic (spinal, epidural, nerve block)</v>
      </c>
      <c r="F117" s="8" t="n">
        <f aca="false">IFERROR(INDEX(Scoring!$U$5:$U$337,MATCH($A117&amp;"|"&amp;$B117,Scoring!$AF$5:$AF$337,0)),"")</f>
        <v>0.39915</v>
      </c>
      <c r="G117" s="7" t="n">
        <f aca="false">IFERROR(INDEX(Scoring!$O$5:$O$337,MATCH($A117&amp;"|"&amp;$B117,Scoring!$AF$5:$AF$337,0)),"")</f>
        <v>16359.2748571429</v>
      </c>
      <c r="H117" s="6" t="n">
        <f aca="false">IFERROR(INDEX(Scoring!$N$5:$N$337,MATCH($A117&amp;"|"&amp;$B117,Scoring!$AF$5:$AF$337,0)),"")</f>
        <v>6.375</v>
      </c>
      <c r="I117" s="5" t="n">
        <f aca="false">IFERROR(INDEX(Scoring!$F$5:$F$337,MATCH($A117&amp;"|"&amp;$B117,Scoring!$AF$5:$AF$337,0)),"")</f>
        <v>1</v>
      </c>
      <c r="J117" s="5" t="n">
        <f aca="false">IFERROR(INDEX(Scoring!$E$5:$E$337,MATCH($A117&amp;"|"&amp;$B117,Scoring!$AF$5:$AF$337,0)),"")</f>
        <v>1</v>
      </c>
      <c r="K117" s="5" t="n">
        <f aca="false">IFERROR(INDEX(Scoring!$K$5:$K$337,MATCH($A117&amp;"|"&amp;$B117,Scoring!$AF$5:$AF$337,0)),"")</f>
        <v>2</v>
      </c>
      <c r="L117" s="5" t="n">
        <f aca="false">IFERROR(INDEX(Scoring!$L$5:$L$337,MATCH($A117&amp;"|"&amp;$B117,Scoring!$AF$5:$AF$337,0)),"")</f>
        <v>0</v>
      </c>
      <c r="M117" s="5" t="n">
        <f aca="false">IFERROR(INDEX(Scoring!$M$5:$M$337,MATCH($A117&amp;"|"&amp;$B117,Scoring!$AF$5:$AF$337,0)),"")</f>
        <v>0</v>
      </c>
      <c r="N117" s="5" t="str">
        <f aca="false">IFERROR(INDEX(Scoring!$Y$5:$Y$337,MATCH($A117&amp;"|"&amp;$B117,Scoring!$AF$5:$AF$337,0)),"")</f>
        <v>No</v>
      </c>
      <c r="O117" s="5" t="str">
        <f aca="false">IFERROR(INDEX(Scoring!$Z$5:$Z$337,MATCH($A117&amp;"|"&amp;$B117,Scoring!$AF$5:$AF$337,0)),"")</f>
        <v>No</v>
      </c>
      <c r="P117" s="5" t="str">
        <f aca="false">IFERROR(INDEX(Scoring!$AA$5:$AA$337,MATCH($A117&amp;"|"&amp;$B117,Scoring!$AF$5:$AF$337,0)),"")</f>
        <v>No</v>
      </c>
      <c r="Q117" s="5" t="str">
        <f aca="false">IFERROR(INDEX(Scoring!$AE$5:$AE$337,MATCH($A117&amp;"|"&amp;$B117,Scoring!$AF$5:$AF$337,0)),"")</f>
        <v>Safety-device mandate compliance</v>
      </c>
    </row>
    <row r="118" customFormat="false" ht="15" hidden="false" customHeight="false" outlineLevel="0" collapsed="false">
      <c r="A118" s="5" t="s">
        <v>67</v>
      </c>
      <c r="B118" s="5" t="n">
        <v>4</v>
      </c>
      <c r="C118" s="5" t="str">
        <f aca="false">IFERROR(INDEX(Scoring!$AD$5:$AD$337,MATCH($A118&amp;"|"&amp;$B118,Scoring!$AF$5:$AF$337,0)),"")</f>
        <v>Lead</v>
      </c>
      <c r="D118" s="5" t="str">
        <f aca="false">IFERROR(INDEX(Scoring!$B$5:$B$337,MATCH($A118&amp;"|"&amp;$B118,Scoring!$AF$5:$AF$337,0)),"")</f>
        <v>Nafcillin</v>
      </c>
      <c r="E118" s="5" t="str">
        <f aca="false">IFERROR(INDEX(Scoring!$D$5:$D$337,MATCH($A118&amp;"|"&amp;$B118,Scoring!$AF$5:$AF$337,0)),"")</f>
        <v>Anti-infective – staphylococcal (MSSA) infections</v>
      </c>
      <c r="F118" s="8" t="n">
        <f aca="false">IFERROR(INDEX(Scoring!$U$5:$U$337,MATCH($A118&amp;"|"&amp;$B118,Scoring!$AF$5:$AF$337,0)),"")</f>
        <v>0.1225</v>
      </c>
      <c r="G118" s="7" t="n">
        <f aca="false">IFERROR(INDEX(Scoring!$O$5:$O$337,MATCH($A118&amp;"|"&amp;$B118,Scoring!$AF$5:$AF$337,0)),"")</f>
        <v>570.1</v>
      </c>
      <c r="H118" s="6" t="n">
        <f aca="false">IFERROR(INDEX(Scoring!$N$5:$N$337,MATCH($A118&amp;"|"&amp;$B118,Scoring!$AF$5:$AF$337,0)),"")</f>
        <v>7.41</v>
      </c>
      <c r="I118" s="5" t="n">
        <f aca="false">IFERROR(INDEX(Scoring!$F$5:$F$337,MATCH($A118&amp;"|"&amp;$B118,Scoring!$AF$5:$AF$337,0)),"")</f>
        <v>1</v>
      </c>
      <c r="J118" s="5" t="n">
        <f aca="false">IFERROR(INDEX(Scoring!$E$5:$E$337,MATCH($A118&amp;"|"&amp;$B118,Scoring!$AF$5:$AF$337,0)),"")</f>
        <v>1</v>
      </c>
      <c r="K118" s="5" t="n">
        <f aca="false">IFERROR(INDEX(Scoring!$K$5:$K$337,MATCH($A118&amp;"|"&amp;$B118,Scoring!$AF$5:$AF$337,0)),"")</f>
        <v>2</v>
      </c>
      <c r="L118" s="5" t="n">
        <f aca="false">IFERROR(INDEX(Scoring!$L$5:$L$337,MATCH($A118&amp;"|"&amp;$B118,Scoring!$AF$5:$AF$337,0)),"")</f>
        <v>0</v>
      </c>
      <c r="M118" s="5" t="n">
        <f aca="false">IFERROR(INDEX(Scoring!$M$5:$M$337,MATCH($A118&amp;"|"&amp;$B118,Scoring!$AF$5:$AF$337,0)),"")</f>
        <v>0</v>
      </c>
      <c r="N118" s="5" t="str">
        <f aca="false">IFERROR(INDEX(Scoring!$Y$5:$Y$337,MATCH($A118&amp;"|"&amp;$B118,Scoring!$AF$5:$AF$337,0)),"")</f>
        <v>No</v>
      </c>
      <c r="O118" s="5" t="str">
        <f aca="false">IFERROR(INDEX(Scoring!$Z$5:$Z$337,MATCH($A118&amp;"|"&amp;$B118,Scoring!$AF$5:$AF$337,0)),"")</f>
        <v>Yes</v>
      </c>
      <c r="P118" s="5" t="str">
        <f aca="false">IFERROR(INDEX(Scoring!$AA$5:$AA$337,MATCH($A118&amp;"|"&amp;$B118,Scoring!$AF$5:$AF$337,0)),"")</f>
        <v>No</v>
      </c>
      <c r="Q118" s="5" t="str">
        <f aca="false">IFERROR(INDEX(Scoring!$AE$5:$AE$337,MATCH($A118&amp;"|"&amp;$B118,Scoring!$AF$5:$AF$337,0)),"")</f>
        <v>Safety-device mandate compliance</v>
      </c>
    </row>
    <row r="119" customFormat="false" ht="15" hidden="false" customHeight="false" outlineLevel="0" collapsed="false">
      <c r="A119" s="5" t="s">
        <v>67</v>
      </c>
      <c r="B119" s="5" t="n">
        <v>5</v>
      </c>
      <c r="C119" s="5" t="str">
        <f aca="false">IFERROR(INDEX(Scoring!$AD$5:$AD$337,MATCH($A119&amp;"|"&amp;$B119,Scoring!$AF$5:$AF$337,0)),"")</f>
        <v>Lead</v>
      </c>
      <c r="D119" s="5" t="str">
        <f aca="false">IFERROR(INDEX(Scoring!$B$5:$B$337,MATCH($A119&amp;"|"&amp;$B119,Scoring!$AF$5:$AF$337,0)),"")</f>
        <v>Methohexital</v>
      </c>
      <c r="E119" s="5" t="str">
        <f aca="false">IFERROR(INDEX(Scoring!$D$5:$D$337,MATCH($A119&amp;"|"&amp;$B119,Scoring!$AF$5:$AF$337,0)),"")</f>
        <v>Anaesthesia – anaesthesia for ECT &amp; short procedures</v>
      </c>
      <c r="F119" s="8" t="n">
        <f aca="false">IFERROR(INDEX(Scoring!$U$5:$U$337,MATCH($A119&amp;"|"&amp;$B119,Scoring!$AF$5:$AF$337,0)),"")</f>
        <v>0.0361</v>
      </c>
      <c r="G119" s="7" t="n">
        <f aca="false">IFERROR(INDEX(Scoring!$O$5:$O$337,MATCH($A119&amp;"|"&amp;$B119,Scoring!$AF$5:$AF$337,0)),"")</f>
        <v>117.07</v>
      </c>
      <c r="H119" s="6" t="str">
        <f aca="false">IFERROR(INDEX(Scoring!$N$5:$N$337,MATCH($A119&amp;"|"&amp;$B119,Scoring!$AF$5:$AF$337,0)),"")</f>
        <v/>
      </c>
      <c r="I119" s="5" t="n">
        <f aca="false">IFERROR(INDEX(Scoring!$F$5:$F$337,MATCH($A119&amp;"|"&amp;$B119,Scoring!$AF$5:$AF$337,0)),"")</f>
        <v>1</v>
      </c>
      <c r="J119" s="5" t="n">
        <f aca="false">IFERROR(INDEX(Scoring!$E$5:$E$337,MATCH($A119&amp;"|"&amp;$B119,Scoring!$AF$5:$AF$337,0)),"")</f>
        <v>1</v>
      </c>
      <c r="K119" s="5" t="n">
        <f aca="false">IFERROR(INDEX(Scoring!$K$5:$K$337,MATCH($A119&amp;"|"&amp;$B119,Scoring!$AF$5:$AF$337,0)),"")</f>
        <v>1</v>
      </c>
      <c r="L119" s="5" t="n">
        <f aca="false">IFERROR(INDEX(Scoring!$L$5:$L$337,MATCH($A119&amp;"|"&amp;$B119,Scoring!$AF$5:$AF$337,0)),"")</f>
        <v>0</v>
      </c>
      <c r="M119" s="5" t="n">
        <f aca="false">IFERROR(INDEX(Scoring!$M$5:$M$337,MATCH($A119&amp;"|"&amp;$B119,Scoring!$AF$5:$AF$337,0)),"")</f>
        <v>0</v>
      </c>
      <c r="N119" s="5" t="str">
        <f aca="false">IFERROR(INDEX(Scoring!$Y$5:$Y$337,MATCH($A119&amp;"|"&amp;$B119,Scoring!$AF$5:$AF$337,0)),"")</f>
        <v>No</v>
      </c>
      <c r="O119" s="5" t="str">
        <f aca="false">IFERROR(INDEX(Scoring!$Z$5:$Z$337,MATCH($A119&amp;"|"&amp;$B119,Scoring!$AF$5:$AF$337,0)),"")</f>
        <v>No</v>
      </c>
      <c r="P119" s="5" t="str">
        <f aca="false">IFERROR(INDEX(Scoring!$AA$5:$AA$337,MATCH($A119&amp;"|"&amp;$B119,Scoring!$AF$5:$AF$337,0)),"")</f>
        <v>No</v>
      </c>
      <c r="Q119" s="5" t="str">
        <f aca="false">IFERROR(INDEX(Scoring!$AE$5:$AE$337,MATCH($A119&amp;"|"&amp;$B119,Scoring!$AF$5:$AF$337,0)),"")</f>
        <v>Safety-device mandate compliance</v>
      </c>
    </row>
    <row r="120" customFormat="false" ht="15" hidden="false" customHeight="false" outlineLevel="0" collapsed="false">
      <c r="A120" s="5" t="s">
        <v>67</v>
      </c>
      <c r="B120" s="5" t="n">
        <v>6</v>
      </c>
      <c r="C120" s="5" t="str">
        <f aca="false">IFERROR(INDEX(Scoring!$AD$5:$AD$337,MATCH($A120&amp;"|"&amp;$B120,Scoring!$AF$5:$AF$337,0)),"")</f>
        <v/>
      </c>
      <c r="D120" s="5" t="str">
        <f aca="false">IFERROR(INDEX(Scoring!$B$5:$B$337,MATCH($A120&amp;"|"&amp;$B120,Scoring!$AF$5:$AF$337,0)),"")</f>
        <v/>
      </c>
      <c r="E120" s="5" t="str">
        <f aca="false">IFERROR(INDEX(Scoring!$D$5:$D$337,MATCH($A120&amp;"|"&amp;$B120,Scoring!$AF$5:$AF$337,0)),"")</f>
        <v/>
      </c>
      <c r="F120" s="8" t="str">
        <f aca="false">IFERROR(INDEX(Scoring!$U$5:$U$337,MATCH($A120&amp;"|"&amp;$B120,Scoring!$AF$5:$AF$337,0)),"")</f>
        <v/>
      </c>
      <c r="G120" s="7" t="str">
        <f aca="false">IFERROR(INDEX(Scoring!$O$5:$O$337,MATCH($A120&amp;"|"&amp;$B120,Scoring!$AF$5:$AF$337,0)),"")</f>
        <v/>
      </c>
      <c r="H120" s="6" t="str">
        <f aca="false">IFERROR(INDEX(Scoring!$N$5:$N$337,MATCH($A120&amp;"|"&amp;$B120,Scoring!$AF$5:$AF$337,0)),"")</f>
        <v/>
      </c>
      <c r="I120" s="5" t="str">
        <f aca="false">IFERROR(INDEX(Scoring!$F$5:$F$337,MATCH($A120&amp;"|"&amp;$B120,Scoring!$AF$5:$AF$337,0)),"")</f>
        <v/>
      </c>
      <c r="J120" s="5" t="str">
        <f aca="false">IFERROR(INDEX(Scoring!$E$5:$E$337,MATCH($A120&amp;"|"&amp;$B120,Scoring!$AF$5:$AF$337,0)),"")</f>
        <v/>
      </c>
      <c r="K120" s="5" t="str">
        <f aca="false">IFERROR(INDEX(Scoring!$K$5:$K$337,MATCH($A120&amp;"|"&amp;$B120,Scoring!$AF$5:$AF$337,0)),"")</f>
        <v/>
      </c>
      <c r="L120" s="5" t="str">
        <f aca="false">IFERROR(INDEX(Scoring!$L$5:$L$337,MATCH($A120&amp;"|"&amp;$B120,Scoring!$AF$5:$AF$337,0)),"")</f>
        <v/>
      </c>
      <c r="M120" s="5" t="str">
        <f aca="false">IFERROR(INDEX(Scoring!$M$5:$M$337,MATCH($A120&amp;"|"&amp;$B120,Scoring!$AF$5:$AF$337,0)),"")</f>
        <v/>
      </c>
      <c r="N120" s="5" t="str">
        <f aca="false">IFERROR(INDEX(Scoring!$Y$5:$Y$337,MATCH($A120&amp;"|"&amp;$B120,Scoring!$AF$5:$AF$337,0)),"")</f>
        <v/>
      </c>
      <c r="O120" s="5" t="str">
        <f aca="false">IFERROR(INDEX(Scoring!$Z$5:$Z$337,MATCH($A120&amp;"|"&amp;$B120,Scoring!$AF$5:$AF$337,0)),"")</f>
        <v/>
      </c>
      <c r="P120" s="5" t="str">
        <f aca="false">IFERROR(INDEX(Scoring!$AA$5:$AA$337,MATCH($A120&amp;"|"&amp;$B120,Scoring!$AF$5:$AF$337,0)),"")</f>
        <v/>
      </c>
      <c r="Q120" s="5" t="str">
        <f aca="false">IFERROR(INDEX(Scoring!$AE$5:$AE$337,MATCH($A120&amp;"|"&amp;$B120,Scoring!$AF$5:$AF$337,0)),"")</f>
        <v/>
      </c>
    </row>
    <row r="121" customFormat="false" ht="15" hidden="false" customHeight="false" outlineLevel="0" collapsed="false">
      <c r="A121" s="5" t="s">
        <v>67</v>
      </c>
      <c r="B121" s="5" t="n">
        <v>7</v>
      </c>
      <c r="C121" s="5" t="str">
        <f aca="false">IFERROR(INDEX(Scoring!$AD$5:$AD$337,MATCH($A121&amp;"|"&amp;$B121,Scoring!$AF$5:$AF$337,0)),"")</f>
        <v/>
      </c>
      <c r="D121" s="5" t="str">
        <f aca="false">IFERROR(INDEX(Scoring!$B$5:$B$337,MATCH($A121&amp;"|"&amp;$B121,Scoring!$AF$5:$AF$337,0)),"")</f>
        <v/>
      </c>
      <c r="E121" s="5" t="str">
        <f aca="false">IFERROR(INDEX(Scoring!$D$5:$D$337,MATCH($A121&amp;"|"&amp;$B121,Scoring!$AF$5:$AF$337,0)),"")</f>
        <v/>
      </c>
      <c r="F121" s="8" t="str">
        <f aca="false">IFERROR(INDEX(Scoring!$U$5:$U$337,MATCH($A121&amp;"|"&amp;$B121,Scoring!$AF$5:$AF$337,0)),"")</f>
        <v/>
      </c>
      <c r="G121" s="7" t="str">
        <f aca="false">IFERROR(INDEX(Scoring!$O$5:$O$337,MATCH($A121&amp;"|"&amp;$B121,Scoring!$AF$5:$AF$337,0)),"")</f>
        <v/>
      </c>
      <c r="H121" s="6" t="str">
        <f aca="false">IFERROR(INDEX(Scoring!$N$5:$N$337,MATCH($A121&amp;"|"&amp;$B121,Scoring!$AF$5:$AF$337,0)),"")</f>
        <v/>
      </c>
      <c r="I121" s="5" t="str">
        <f aca="false">IFERROR(INDEX(Scoring!$F$5:$F$337,MATCH($A121&amp;"|"&amp;$B121,Scoring!$AF$5:$AF$337,0)),"")</f>
        <v/>
      </c>
      <c r="J121" s="5" t="str">
        <f aca="false">IFERROR(INDEX(Scoring!$E$5:$E$337,MATCH($A121&amp;"|"&amp;$B121,Scoring!$AF$5:$AF$337,0)),"")</f>
        <v/>
      </c>
      <c r="K121" s="5" t="str">
        <f aca="false">IFERROR(INDEX(Scoring!$K$5:$K$337,MATCH($A121&amp;"|"&amp;$B121,Scoring!$AF$5:$AF$337,0)),"")</f>
        <v/>
      </c>
      <c r="L121" s="5" t="str">
        <f aca="false">IFERROR(INDEX(Scoring!$L$5:$L$337,MATCH($A121&amp;"|"&amp;$B121,Scoring!$AF$5:$AF$337,0)),"")</f>
        <v/>
      </c>
      <c r="M121" s="5" t="str">
        <f aca="false">IFERROR(INDEX(Scoring!$M$5:$M$337,MATCH($A121&amp;"|"&amp;$B121,Scoring!$AF$5:$AF$337,0)),"")</f>
        <v/>
      </c>
      <c r="N121" s="5" t="str">
        <f aca="false">IFERROR(INDEX(Scoring!$Y$5:$Y$337,MATCH($A121&amp;"|"&amp;$B121,Scoring!$AF$5:$AF$337,0)),"")</f>
        <v/>
      </c>
      <c r="O121" s="5" t="str">
        <f aca="false">IFERROR(INDEX(Scoring!$Z$5:$Z$337,MATCH($A121&amp;"|"&amp;$B121,Scoring!$AF$5:$AF$337,0)),"")</f>
        <v/>
      </c>
      <c r="P121" s="5" t="str">
        <f aca="false">IFERROR(INDEX(Scoring!$AA$5:$AA$337,MATCH($A121&amp;"|"&amp;$B121,Scoring!$AF$5:$AF$337,0)),"")</f>
        <v/>
      </c>
      <c r="Q121" s="5" t="str">
        <f aca="false">IFERROR(INDEX(Scoring!$AE$5:$AE$337,MATCH($A121&amp;"|"&amp;$B121,Scoring!$AF$5:$AF$337,0)),"")</f>
        <v/>
      </c>
    </row>
    <row r="122" customFormat="false" ht="15" hidden="false" customHeight="false" outlineLevel="0" collapsed="false">
      <c r="A122" s="5" t="s">
        <v>67</v>
      </c>
      <c r="B122" s="5" t="n">
        <v>8</v>
      </c>
      <c r="C122" s="5" t="str">
        <f aca="false">IFERROR(INDEX(Scoring!$AD$5:$AD$337,MATCH($A122&amp;"|"&amp;$B122,Scoring!$AF$5:$AF$337,0)),"")</f>
        <v/>
      </c>
      <c r="D122" s="5" t="str">
        <f aca="false">IFERROR(INDEX(Scoring!$B$5:$B$337,MATCH($A122&amp;"|"&amp;$B122,Scoring!$AF$5:$AF$337,0)),"")</f>
        <v/>
      </c>
      <c r="E122" s="5" t="str">
        <f aca="false">IFERROR(INDEX(Scoring!$D$5:$D$337,MATCH($A122&amp;"|"&amp;$B122,Scoring!$AF$5:$AF$337,0)),"")</f>
        <v/>
      </c>
      <c r="F122" s="8" t="str">
        <f aca="false">IFERROR(INDEX(Scoring!$U$5:$U$337,MATCH($A122&amp;"|"&amp;$B122,Scoring!$AF$5:$AF$337,0)),"")</f>
        <v/>
      </c>
      <c r="G122" s="7" t="str">
        <f aca="false">IFERROR(INDEX(Scoring!$O$5:$O$337,MATCH($A122&amp;"|"&amp;$B122,Scoring!$AF$5:$AF$337,0)),"")</f>
        <v/>
      </c>
      <c r="H122" s="6" t="str">
        <f aca="false">IFERROR(INDEX(Scoring!$N$5:$N$337,MATCH($A122&amp;"|"&amp;$B122,Scoring!$AF$5:$AF$337,0)),"")</f>
        <v/>
      </c>
      <c r="I122" s="5" t="str">
        <f aca="false">IFERROR(INDEX(Scoring!$F$5:$F$337,MATCH($A122&amp;"|"&amp;$B122,Scoring!$AF$5:$AF$337,0)),"")</f>
        <v/>
      </c>
      <c r="J122" s="5" t="str">
        <f aca="false">IFERROR(INDEX(Scoring!$E$5:$E$337,MATCH($A122&amp;"|"&amp;$B122,Scoring!$AF$5:$AF$337,0)),"")</f>
        <v/>
      </c>
      <c r="K122" s="5" t="str">
        <f aca="false">IFERROR(INDEX(Scoring!$K$5:$K$337,MATCH($A122&amp;"|"&amp;$B122,Scoring!$AF$5:$AF$337,0)),"")</f>
        <v/>
      </c>
      <c r="L122" s="5" t="str">
        <f aca="false">IFERROR(INDEX(Scoring!$L$5:$L$337,MATCH($A122&amp;"|"&amp;$B122,Scoring!$AF$5:$AF$337,0)),"")</f>
        <v/>
      </c>
      <c r="M122" s="5" t="str">
        <f aca="false">IFERROR(INDEX(Scoring!$M$5:$M$337,MATCH($A122&amp;"|"&amp;$B122,Scoring!$AF$5:$AF$337,0)),"")</f>
        <v/>
      </c>
      <c r="N122" s="5" t="str">
        <f aca="false">IFERROR(INDEX(Scoring!$Y$5:$Y$337,MATCH($A122&amp;"|"&amp;$B122,Scoring!$AF$5:$AF$337,0)),"")</f>
        <v/>
      </c>
      <c r="O122" s="5" t="str">
        <f aca="false">IFERROR(INDEX(Scoring!$Z$5:$Z$337,MATCH($A122&amp;"|"&amp;$B122,Scoring!$AF$5:$AF$337,0)),"")</f>
        <v/>
      </c>
      <c r="P122" s="5" t="str">
        <f aca="false">IFERROR(INDEX(Scoring!$AA$5:$AA$337,MATCH($A122&amp;"|"&amp;$B122,Scoring!$AF$5:$AF$337,0)),"")</f>
        <v/>
      </c>
      <c r="Q122" s="5" t="str">
        <f aca="false">IFERROR(INDEX(Scoring!$AE$5:$AE$337,MATCH($A122&amp;"|"&amp;$B122,Scoring!$AF$5:$AF$337,0)),"")</f>
        <v/>
      </c>
    </row>
    <row r="123" customFormat="false" ht="15" hidden="false" customHeight="false" outlineLevel="0" collapsed="false">
      <c r="A123" s="5" t="s">
        <v>67</v>
      </c>
      <c r="B123" s="5" t="n">
        <v>9</v>
      </c>
      <c r="C123" s="5" t="str">
        <f aca="false">IFERROR(INDEX(Scoring!$AD$5:$AD$337,MATCH($A123&amp;"|"&amp;$B123,Scoring!$AF$5:$AF$337,0)),"")</f>
        <v/>
      </c>
      <c r="D123" s="5" t="str">
        <f aca="false">IFERROR(INDEX(Scoring!$B$5:$B$337,MATCH($A123&amp;"|"&amp;$B123,Scoring!$AF$5:$AF$337,0)),"")</f>
        <v/>
      </c>
      <c r="E123" s="5" t="str">
        <f aca="false">IFERROR(INDEX(Scoring!$D$5:$D$337,MATCH($A123&amp;"|"&amp;$B123,Scoring!$AF$5:$AF$337,0)),"")</f>
        <v/>
      </c>
      <c r="F123" s="8" t="str">
        <f aca="false">IFERROR(INDEX(Scoring!$U$5:$U$337,MATCH($A123&amp;"|"&amp;$B123,Scoring!$AF$5:$AF$337,0)),"")</f>
        <v/>
      </c>
      <c r="G123" s="7" t="str">
        <f aca="false">IFERROR(INDEX(Scoring!$O$5:$O$337,MATCH($A123&amp;"|"&amp;$B123,Scoring!$AF$5:$AF$337,0)),"")</f>
        <v/>
      </c>
      <c r="H123" s="6" t="str">
        <f aca="false">IFERROR(INDEX(Scoring!$N$5:$N$337,MATCH($A123&amp;"|"&amp;$B123,Scoring!$AF$5:$AF$337,0)),"")</f>
        <v/>
      </c>
      <c r="I123" s="5" t="str">
        <f aca="false">IFERROR(INDEX(Scoring!$F$5:$F$337,MATCH($A123&amp;"|"&amp;$B123,Scoring!$AF$5:$AF$337,0)),"")</f>
        <v/>
      </c>
      <c r="J123" s="5" t="str">
        <f aca="false">IFERROR(INDEX(Scoring!$E$5:$E$337,MATCH($A123&amp;"|"&amp;$B123,Scoring!$AF$5:$AF$337,0)),"")</f>
        <v/>
      </c>
      <c r="K123" s="5" t="str">
        <f aca="false">IFERROR(INDEX(Scoring!$K$5:$K$337,MATCH($A123&amp;"|"&amp;$B123,Scoring!$AF$5:$AF$337,0)),"")</f>
        <v/>
      </c>
      <c r="L123" s="5" t="str">
        <f aca="false">IFERROR(INDEX(Scoring!$L$5:$L$337,MATCH($A123&amp;"|"&amp;$B123,Scoring!$AF$5:$AF$337,0)),"")</f>
        <v/>
      </c>
      <c r="M123" s="5" t="str">
        <f aca="false">IFERROR(INDEX(Scoring!$M$5:$M$337,MATCH($A123&amp;"|"&amp;$B123,Scoring!$AF$5:$AF$337,0)),"")</f>
        <v/>
      </c>
      <c r="N123" s="5" t="str">
        <f aca="false">IFERROR(INDEX(Scoring!$Y$5:$Y$337,MATCH($A123&amp;"|"&amp;$B123,Scoring!$AF$5:$AF$337,0)),"")</f>
        <v/>
      </c>
      <c r="O123" s="5" t="str">
        <f aca="false">IFERROR(INDEX(Scoring!$Z$5:$Z$337,MATCH($A123&amp;"|"&amp;$B123,Scoring!$AF$5:$AF$337,0)),"")</f>
        <v/>
      </c>
      <c r="P123" s="5" t="str">
        <f aca="false">IFERROR(INDEX(Scoring!$AA$5:$AA$337,MATCH($A123&amp;"|"&amp;$B123,Scoring!$AF$5:$AF$337,0)),"")</f>
        <v/>
      </c>
      <c r="Q123" s="5" t="str">
        <f aca="false">IFERROR(INDEX(Scoring!$AE$5:$AE$337,MATCH($A123&amp;"|"&amp;$B123,Scoring!$AF$5:$AF$337,0)),"")</f>
        <v/>
      </c>
    </row>
    <row r="124" customFormat="false" ht="15" hidden="false" customHeight="false" outlineLevel="0" collapsed="false">
      <c r="A124" s="5" t="s">
        <v>67</v>
      </c>
      <c r="B124" s="5" t="n">
        <v>10</v>
      </c>
      <c r="C124" s="5" t="str">
        <f aca="false">IFERROR(INDEX(Scoring!$AD$5:$AD$337,MATCH($A124&amp;"|"&amp;$B124,Scoring!$AF$5:$AF$337,0)),"")</f>
        <v/>
      </c>
      <c r="D124" s="5" t="str">
        <f aca="false">IFERROR(INDEX(Scoring!$B$5:$B$337,MATCH($A124&amp;"|"&amp;$B124,Scoring!$AF$5:$AF$337,0)),"")</f>
        <v/>
      </c>
      <c r="E124" s="5" t="str">
        <f aca="false">IFERROR(INDEX(Scoring!$D$5:$D$337,MATCH($A124&amp;"|"&amp;$B124,Scoring!$AF$5:$AF$337,0)),"")</f>
        <v/>
      </c>
      <c r="F124" s="8" t="str">
        <f aca="false">IFERROR(INDEX(Scoring!$U$5:$U$337,MATCH($A124&amp;"|"&amp;$B124,Scoring!$AF$5:$AF$337,0)),"")</f>
        <v/>
      </c>
      <c r="G124" s="7" t="str">
        <f aca="false">IFERROR(INDEX(Scoring!$O$5:$O$337,MATCH($A124&amp;"|"&amp;$B124,Scoring!$AF$5:$AF$337,0)),"")</f>
        <v/>
      </c>
      <c r="H124" s="6" t="str">
        <f aca="false">IFERROR(INDEX(Scoring!$N$5:$N$337,MATCH($A124&amp;"|"&amp;$B124,Scoring!$AF$5:$AF$337,0)),"")</f>
        <v/>
      </c>
      <c r="I124" s="5" t="str">
        <f aca="false">IFERROR(INDEX(Scoring!$F$5:$F$337,MATCH($A124&amp;"|"&amp;$B124,Scoring!$AF$5:$AF$337,0)),"")</f>
        <v/>
      </c>
      <c r="J124" s="5" t="str">
        <f aca="false">IFERROR(INDEX(Scoring!$E$5:$E$337,MATCH($A124&amp;"|"&amp;$B124,Scoring!$AF$5:$AF$337,0)),"")</f>
        <v/>
      </c>
      <c r="K124" s="5" t="str">
        <f aca="false">IFERROR(INDEX(Scoring!$K$5:$K$337,MATCH($A124&amp;"|"&amp;$B124,Scoring!$AF$5:$AF$337,0)),"")</f>
        <v/>
      </c>
      <c r="L124" s="5" t="str">
        <f aca="false">IFERROR(INDEX(Scoring!$L$5:$L$337,MATCH($A124&amp;"|"&amp;$B124,Scoring!$AF$5:$AF$337,0)),"")</f>
        <v/>
      </c>
      <c r="M124" s="5" t="str">
        <f aca="false">IFERROR(INDEX(Scoring!$M$5:$M$337,MATCH($A124&amp;"|"&amp;$B124,Scoring!$AF$5:$AF$337,0)),"")</f>
        <v/>
      </c>
      <c r="N124" s="5" t="str">
        <f aca="false">IFERROR(INDEX(Scoring!$Y$5:$Y$337,MATCH($A124&amp;"|"&amp;$B124,Scoring!$AF$5:$AF$337,0)),"")</f>
        <v/>
      </c>
      <c r="O124" s="5" t="str">
        <f aca="false">IFERROR(INDEX(Scoring!$Z$5:$Z$337,MATCH($A124&amp;"|"&amp;$B124,Scoring!$AF$5:$AF$337,0)),"")</f>
        <v/>
      </c>
      <c r="P124" s="5" t="str">
        <f aca="false">IFERROR(INDEX(Scoring!$AA$5:$AA$337,MATCH($A124&amp;"|"&amp;$B124,Scoring!$AF$5:$AF$337,0)),"")</f>
        <v/>
      </c>
      <c r="Q124" s="5" t="str">
        <f aca="false">IFERROR(INDEX(Scoring!$AE$5:$AE$337,MATCH($A124&amp;"|"&amp;$B124,Scoring!$AF$5:$AF$337,0)),"")</f>
        <v/>
      </c>
    </row>
    <row r="125" customFormat="false" ht="15" hidden="false" customHeight="false" outlineLevel="0" collapsed="false">
      <c r="A125" s="14" t="s">
        <v>41</v>
      </c>
      <c r="B125" s="14" t="n">
        <v>1</v>
      </c>
      <c r="C125" s="14" t="str">
        <f aca="false">IFERROR(INDEX(Scoring!$AD$5:$AD$337,MATCH($A125&amp;"|"&amp;$B125,Scoring!$AF$5:$AF$337,0)),"")</f>
        <v>Lead</v>
      </c>
      <c r="D125" s="14" t="str">
        <f aca="false">IFERROR(INDEX(Scoring!$B$5:$B$337,MATCH($A125&amp;"|"&amp;$B125,Scoring!$AF$5:$AF$337,0)),"")</f>
        <v>Sugammadex</v>
      </c>
      <c r="E125" s="14" t="str">
        <f aca="false">IFERROR(INDEX(Scoring!$D$5:$D$337,MATCH($A125&amp;"|"&amp;$B125,Scoring!$AF$5:$AF$337,0)),"")</f>
        <v>Anaesthesia – reversal of rocuronium/vecuronium muscle relaxation</v>
      </c>
      <c r="F125" s="15" t="n">
        <f aca="false">IFERROR(INDEX(Scoring!$U$5:$U$337,MATCH($A125&amp;"|"&amp;$B125,Scoring!$AF$5:$AF$337,0)),"")</f>
        <v>0.7585</v>
      </c>
      <c r="G125" s="16" t="n">
        <f aca="false">IFERROR(INDEX(Scoring!$O$5:$O$337,MATCH($A125&amp;"|"&amp;$B125,Scoring!$AF$5:$AF$337,0)),"")</f>
        <v>32830.17</v>
      </c>
      <c r="H125" s="17" t="n">
        <f aca="false">IFERROR(INDEX(Scoring!$N$5:$N$337,MATCH($A125&amp;"|"&amp;$B125,Scoring!$AF$5:$AF$337,0)),"")</f>
        <v>79.5349</v>
      </c>
      <c r="I125" s="14" t="n">
        <f aca="false">IFERROR(INDEX(Scoring!$F$5:$F$337,MATCH($A125&amp;"|"&amp;$B125,Scoring!$AF$5:$AF$337,0)),"")</f>
        <v>6</v>
      </c>
      <c r="J125" s="14" t="n">
        <f aca="false">IFERROR(INDEX(Scoring!$E$5:$E$337,MATCH($A125&amp;"|"&amp;$B125,Scoring!$AF$5:$AF$337,0)),"")</f>
        <v>32</v>
      </c>
      <c r="K125" s="14" t="n">
        <f aca="false">IFERROR(INDEX(Scoring!$K$5:$K$337,MATCH($A125&amp;"|"&amp;$B125,Scoring!$AF$5:$AF$337,0)),"")</f>
        <v>2</v>
      </c>
      <c r="L125" s="14" t="n">
        <f aca="false">IFERROR(INDEX(Scoring!$L$5:$L$337,MATCH($A125&amp;"|"&amp;$B125,Scoring!$AF$5:$AF$337,0)),"")</f>
        <v>0</v>
      </c>
      <c r="M125" s="14" t="n">
        <f aca="false">IFERROR(INDEX(Scoring!$M$5:$M$337,MATCH($A125&amp;"|"&amp;$B125,Scoring!$AF$5:$AF$337,0)),"")</f>
        <v>0</v>
      </c>
      <c r="N125" s="14" t="str">
        <f aca="false">IFERROR(INDEX(Scoring!$Y$5:$Y$337,MATCH($A125&amp;"|"&amp;$B125,Scoring!$AF$5:$AF$337,0)),"")</f>
        <v>No</v>
      </c>
      <c r="O125" s="14" t="str">
        <f aca="false">IFERROR(INDEX(Scoring!$Z$5:$Z$337,MATCH($A125&amp;"|"&amp;$B125,Scoring!$AF$5:$AF$337,0)),"")</f>
        <v>No</v>
      </c>
      <c r="P125" s="14" t="str">
        <f aca="false">IFERROR(INDEX(Scoring!$AA$5:$AA$337,MATCH($A125&amp;"|"&amp;$B125,Scoring!$AF$5:$AF$337,0)),"")</f>
        <v>Yes</v>
      </c>
      <c r="Q125" s="14" t="str">
        <f aca="false">IFERROR(INDEX(Scoring!$AE$5:$AE$337,MATCH($A125&amp;"|"&amp;$B125,Scoring!$AF$5:$AF$337,0)),"")</f>
        <v>Differentiation in crowded generic market</v>
      </c>
    </row>
    <row r="126" customFormat="false" ht="15" hidden="false" customHeight="false" outlineLevel="0" collapsed="false">
      <c r="A126" s="5" t="s">
        <v>41</v>
      </c>
      <c r="B126" s="5" t="n">
        <v>2</v>
      </c>
      <c r="C126" s="5" t="str">
        <f aca="false">IFERROR(INDEX(Scoring!$AD$5:$AD$337,MATCH($A126&amp;"|"&amp;$B126,Scoring!$AF$5:$AF$337,0)),"")</f>
        <v>Lead</v>
      </c>
      <c r="D126" s="5" t="str">
        <f aca="false">IFERROR(INDEX(Scoring!$B$5:$B$337,MATCH($A126&amp;"|"&amp;$B126,Scoring!$AF$5:$AF$337,0)),"")</f>
        <v>Baclofen</v>
      </c>
      <c r="E126" s="5" t="str">
        <f aca="false">IFERROR(INDEX(Scoring!$D$5:$D$337,MATCH($A126&amp;"|"&amp;$B126,Scoring!$AF$5:$AF$337,0)),"")</f>
        <v>Neurology – severe spasticity (intrathecal pump)</v>
      </c>
      <c r="F126" s="8" t="n">
        <f aca="false">IFERROR(INDEX(Scoring!$U$5:$U$337,MATCH($A126&amp;"|"&amp;$B126,Scoring!$AF$5:$AF$337,0)),"")</f>
        <v>0.551</v>
      </c>
      <c r="G126" s="7" t="n">
        <f aca="false">IFERROR(INDEX(Scoring!$O$5:$O$337,MATCH($A126&amp;"|"&amp;$B126,Scoring!$AF$5:$AF$337,0)),"")</f>
        <v>5118.1328632481</v>
      </c>
      <c r="H126" s="6" t="str">
        <f aca="false">IFERROR(INDEX(Scoring!$N$5:$N$337,MATCH($A126&amp;"|"&amp;$B126,Scoring!$AF$5:$AF$337,0)),"")</f>
        <v/>
      </c>
      <c r="I126" s="5" t="n">
        <f aca="false">IFERROR(INDEX(Scoring!$F$5:$F$337,MATCH($A126&amp;"|"&amp;$B126,Scoring!$AF$5:$AF$337,0)),"")</f>
        <v>2</v>
      </c>
      <c r="J126" s="5" t="n">
        <f aca="false">IFERROR(INDEX(Scoring!$E$5:$E$337,MATCH($A126&amp;"|"&amp;$B126,Scoring!$AF$5:$AF$337,0)),"")</f>
        <v>2</v>
      </c>
      <c r="K126" s="5" t="n">
        <f aca="false">IFERROR(INDEX(Scoring!$K$5:$K$337,MATCH($A126&amp;"|"&amp;$B126,Scoring!$AF$5:$AF$337,0)),"")</f>
        <v>0</v>
      </c>
      <c r="L126" s="5" t="n">
        <f aca="false">IFERROR(INDEX(Scoring!$L$5:$L$337,MATCH($A126&amp;"|"&amp;$B126,Scoring!$AF$5:$AF$337,0)),"")</f>
        <v>0</v>
      </c>
      <c r="M126" s="5" t="n">
        <f aca="false">IFERROR(INDEX(Scoring!$M$5:$M$337,MATCH($A126&amp;"|"&amp;$B126,Scoring!$AF$5:$AF$337,0)),"")</f>
        <v>2</v>
      </c>
      <c r="N126" s="5" t="str">
        <f aca="false">IFERROR(INDEX(Scoring!$Y$5:$Y$337,MATCH($A126&amp;"|"&amp;$B126,Scoring!$AF$5:$AF$337,0)),"")</f>
        <v>No</v>
      </c>
      <c r="O126" s="5" t="str">
        <f aca="false">IFERROR(INDEX(Scoring!$Z$5:$Z$337,MATCH($A126&amp;"|"&amp;$B126,Scoring!$AF$5:$AF$337,0)),"")</f>
        <v>No</v>
      </c>
      <c r="P126" s="5" t="str">
        <f aca="false">IFERROR(INDEX(Scoring!$AA$5:$AA$337,MATCH($A126&amp;"|"&amp;$B126,Scoring!$AF$5:$AF$337,0)),"")</f>
        <v>No</v>
      </c>
      <c r="Q126" s="5" t="str">
        <f aca="false">IFERROR(INDEX(Scoring!$AE$5:$AE$337,MATCH($A126&amp;"|"&amp;$B126,Scoring!$AF$5:$AF$337,0)),"")</f>
        <v>Safety upgrade of existing prefilled syringe</v>
      </c>
    </row>
    <row r="127" customFormat="false" ht="15" hidden="false" customHeight="false" outlineLevel="0" collapsed="false">
      <c r="A127" s="5" t="s">
        <v>41</v>
      </c>
      <c r="B127" s="5" t="n">
        <v>3</v>
      </c>
      <c r="C127" s="5" t="str">
        <f aca="false">IFERROR(INDEX(Scoring!$AD$5:$AD$337,MATCH($A127&amp;"|"&amp;$B127,Scoring!$AF$5:$AF$337,0)),"")</f>
        <v>Lead</v>
      </c>
      <c r="D127" s="5" t="str">
        <f aca="false">IFERROR(INDEX(Scoring!$B$5:$B$337,MATCH($A127&amp;"|"&amp;$B127,Scoring!$AF$5:$AF$337,0)),"")</f>
        <v>Alfentanil</v>
      </c>
      <c r="E127" s="5" t="str">
        <f aca="false">IFERROR(INDEX(Scoring!$D$5:$D$337,MATCH($A127&amp;"|"&amp;$B127,Scoring!$AF$5:$AF$337,0)),"")</f>
        <v>Anaesthesia – short-acting opioid analgesia during surgery</v>
      </c>
      <c r="F127" s="8" t="n">
        <f aca="false">IFERROR(INDEX(Scoring!$U$5:$U$337,MATCH($A127&amp;"|"&amp;$B127,Scoring!$AF$5:$AF$337,0)),"")</f>
        <v>0.410005</v>
      </c>
      <c r="G127" s="7" t="n">
        <f aca="false">IFERROR(INDEX(Scoring!$O$5:$O$337,MATCH($A127&amp;"|"&amp;$B127,Scoring!$AF$5:$AF$337,0)),"")</f>
        <v>14.3047619047619</v>
      </c>
      <c r="H127" s="6" t="n">
        <f aca="false">IFERROR(INDEX(Scoring!$N$5:$N$337,MATCH($A127&amp;"|"&amp;$B127,Scoring!$AF$5:$AF$337,0)),"")</f>
        <v>163.506225</v>
      </c>
      <c r="I127" s="5" t="n">
        <f aca="false">IFERROR(INDEX(Scoring!$F$5:$F$337,MATCH($A127&amp;"|"&amp;$B127,Scoring!$AF$5:$AF$337,0)),"")</f>
        <v>6</v>
      </c>
      <c r="J127" s="5" t="n">
        <f aca="false">IFERROR(INDEX(Scoring!$E$5:$E$337,MATCH($A127&amp;"|"&amp;$B127,Scoring!$AF$5:$AF$337,0)),"")</f>
        <v>16</v>
      </c>
      <c r="K127" s="5" t="n">
        <f aca="false">IFERROR(INDEX(Scoring!$K$5:$K$337,MATCH($A127&amp;"|"&amp;$B127,Scoring!$AF$5:$AF$337,0)),"")</f>
        <v>0</v>
      </c>
      <c r="L127" s="5" t="n">
        <f aca="false">IFERROR(INDEX(Scoring!$L$5:$L$337,MATCH($A127&amp;"|"&amp;$B127,Scoring!$AF$5:$AF$337,0)),"")</f>
        <v>4</v>
      </c>
      <c r="M127" s="5" t="n">
        <f aca="false">IFERROR(INDEX(Scoring!$M$5:$M$337,MATCH($A127&amp;"|"&amp;$B127,Scoring!$AF$5:$AF$337,0)),"")</f>
        <v>0</v>
      </c>
      <c r="N127" s="5" t="str">
        <f aca="false">IFERROR(INDEX(Scoring!$Y$5:$Y$337,MATCH($A127&amp;"|"&amp;$B127,Scoring!$AF$5:$AF$337,0)),"")</f>
        <v>No</v>
      </c>
      <c r="O127" s="5" t="str">
        <f aca="false">IFERROR(INDEX(Scoring!$Z$5:$Z$337,MATCH($A127&amp;"|"&amp;$B127,Scoring!$AF$5:$AF$337,0)),"")</f>
        <v>No</v>
      </c>
      <c r="P127" s="5" t="str">
        <f aca="false">IFERROR(INDEX(Scoring!$AA$5:$AA$337,MATCH($A127&amp;"|"&amp;$B127,Scoring!$AF$5:$AF$337,0)),"")</f>
        <v>No</v>
      </c>
      <c r="Q127" s="5" t="str">
        <f aca="false">IFERROR(INDEX(Scoring!$AE$5:$AE$337,MATCH($A127&amp;"|"&amp;$B127,Scoring!$AF$5:$AF$337,0)),"")</f>
        <v>Safety-device mandate compliance</v>
      </c>
    </row>
    <row r="128" customFormat="false" ht="15" hidden="false" customHeight="false" outlineLevel="0" collapsed="false">
      <c r="A128" s="5" t="s">
        <v>41</v>
      </c>
      <c r="B128" s="5" t="n">
        <v>4</v>
      </c>
      <c r="C128" s="5" t="str">
        <f aca="false">IFERROR(INDEX(Scoring!$AD$5:$AD$337,MATCH($A128&amp;"|"&amp;$B128,Scoring!$AF$5:$AF$337,0)),"")</f>
        <v>Lead</v>
      </c>
      <c r="D128" s="5" t="str">
        <f aca="false">IFERROR(INDEX(Scoring!$B$5:$B$337,MATCH($A128&amp;"|"&amp;$B128,Scoring!$AF$5:$AF$337,0)),"")</f>
        <v>Cisatracurium</v>
      </c>
      <c r="E128" s="5" t="str">
        <f aca="false">IFERROR(INDEX(Scoring!$D$5:$D$337,MATCH($A128&amp;"|"&amp;$B128,Scoring!$AF$5:$AF$337,0)),"")</f>
        <v>Anaesthesia – muscle relaxant for surgery &amp; ICU ventilation</v>
      </c>
      <c r="F128" s="8" t="n">
        <f aca="false">IFERROR(INDEX(Scoring!$U$5:$U$337,MATCH($A128&amp;"|"&amp;$B128,Scoring!$AF$5:$AF$337,0)),"")</f>
        <v>0.3535</v>
      </c>
      <c r="G128" s="7" t="n">
        <f aca="false">IFERROR(INDEX(Scoring!$O$5:$O$337,MATCH($A128&amp;"|"&amp;$B128,Scoring!$AF$5:$AF$337,0)),"")</f>
        <v>2508.09</v>
      </c>
      <c r="H128" s="6" t="n">
        <f aca="false">IFERROR(INDEX(Scoring!$N$5:$N$337,MATCH($A128&amp;"|"&amp;$B128,Scoring!$AF$5:$AF$337,0)),"")</f>
        <v>22.385</v>
      </c>
      <c r="I128" s="5" t="n">
        <f aca="false">IFERROR(INDEX(Scoring!$F$5:$F$337,MATCH($A128&amp;"|"&amp;$B128,Scoring!$AF$5:$AF$337,0)),"")</f>
        <v>1</v>
      </c>
      <c r="J128" s="5" t="n">
        <f aca="false">IFERROR(INDEX(Scoring!$E$5:$E$337,MATCH($A128&amp;"|"&amp;$B128,Scoring!$AF$5:$AF$337,0)),"")</f>
        <v>1</v>
      </c>
      <c r="K128" s="5" t="n">
        <f aca="false">IFERROR(INDEX(Scoring!$K$5:$K$337,MATCH($A128&amp;"|"&amp;$B128,Scoring!$AF$5:$AF$337,0)),"")</f>
        <v>2</v>
      </c>
      <c r="L128" s="5" t="n">
        <f aca="false">IFERROR(INDEX(Scoring!$L$5:$L$337,MATCH($A128&amp;"|"&amp;$B128,Scoring!$AF$5:$AF$337,0)),"")</f>
        <v>0</v>
      </c>
      <c r="M128" s="5" t="n">
        <f aca="false">IFERROR(INDEX(Scoring!$M$5:$M$337,MATCH($A128&amp;"|"&amp;$B128,Scoring!$AF$5:$AF$337,0)),"")</f>
        <v>0</v>
      </c>
      <c r="N128" s="5" t="str">
        <f aca="false">IFERROR(INDEX(Scoring!$Y$5:$Y$337,MATCH($A128&amp;"|"&amp;$B128,Scoring!$AF$5:$AF$337,0)),"")</f>
        <v>No</v>
      </c>
      <c r="O128" s="5" t="str">
        <f aca="false">IFERROR(INDEX(Scoring!$Z$5:$Z$337,MATCH($A128&amp;"|"&amp;$B128,Scoring!$AF$5:$AF$337,0)),"")</f>
        <v>No</v>
      </c>
      <c r="P128" s="5" t="str">
        <f aca="false">IFERROR(INDEX(Scoring!$AA$5:$AA$337,MATCH($A128&amp;"|"&amp;$B128,Scoring!$AF$5:$AF$337,0)),"")</f>
        <v>Yes</v>
      </c>
      <c r="Q128" s="5" t="str">
        <f aca="false">IFERROR(INDEX(Scoring!$AE$5:$AE$337,MATCH($A128&amp;"|"&amp;$B128,Scoring!$AF$5:$AF$337,0)),"")</f>
        <v>Differentiation in crowded generic market</v>
      </c>
    </row>
    <row r="129" customFormat="false" ht="15" hidden="false" customHeight="false" outlineLevel="0" collapsed="false">
      <c r="A129" s="5" t="s">
        <v>41</v>
      </c>
      <c r="B129" s="5" t="n">
        <v>5</v>
      </c>
      <c r="C129" s="5" t="str">
        <f aca="false">IFERROR(INDEX(Scoring!$AD$5:$AD$337,MATCH($A129&amp;"|"&amp;$B129,Scoring!$AF$5:$AF$337,0)),"")</f>
        <v>Lead</v>
      </c>
      <c r="D129" s="5" t="str">
        <f aca="false">IFERROR(INDEX(Scoring!$B$5:$B$337,MATCH($A129&amp;"|"&amp;$B129,Scoring!$AF$5:$AF$337,0)),"")</f>
        <v>Etomidate</v>
      </c>
      <c r="E129" s="5" t="str">
        <f aca="false">IFERROR(INDEX(Scoring!$D$5:$D$337,MATCH($A129&amp;"|"&amp;$B129,Scoring!$AF$5:$AF$337,0)),"")</f>
        <v>Anaesthesia – induction of general anaesthesia (unstable patients)</v>
      </c>
      <c r="F129" s="8" t="n">
        <f aca="false">IFERROR(INDEX(Scoring!$U$5:$U$337,MATCH($A129&amp;"|"&amp;$B129,Scoring!$AF$5:$AF$337,0)),"")</f>
        <v>0.195</v>
      </c>
      <c r="G129" s="7" t="n">
        <f aca="false">IFERROR(INDEX(Scoring!$O$5:$O$337,MATCH($A129&amp;"|"&amp;$B129,Scoring!$AF$5:$AF$337,0)),"")</f>
        <v>1781.11</v>
      </c>
      <c r="H129" s="6" t="n">
        <f aca="false">IFERROR(INDEX(Scoring!$N$5:$N$337,MATCH($A129&amp;"|"&amp;$B129,Scoring!$AF$5:$AF$337,0)),"")</f>
        <v>8.7121</v>
      </c>
      <c r="I129" s="5" t="n">
        <f aca="false">IFERROR(INDEX(Scoring!$F$5:$F$337,MATCH($A129&amp;"|"&amp;$B129,Scoring!$AF$5:$AF$337,0)),"")</f>
        <v>5</v>
      </c>
      <c r="J129" s="5" t="n">
        <f aca="false">IFERROR(INDEX(Scoring!$E$5:$E$337,MATCH($A129&amp;"|"&amp;$B129,Scoring!$AF$5:$AF$337,0)),"")</f>
        <v>16</v>
      </c>
      <c r="K129" s="5" t="n">
        <f aca="false">IFERROR(INDEX(Scoring!$K$5:$K$337,MATCH($A129&amp;"|"&amp;$B129,Scoring!$AF$5:$AF$337,0)),"")</f>
        <v>0</v>
      </c>
      <c r="L129" s="5" t="n">
        <f aca="false">IFERROR(INDEX(Scoring!$L$5:$L$337,MATCH($A129&amp;"|"&amp;$B129,Scoring!$AF$5:$AF$337,0)),"")</f>
        <v>2</v>
      </c>
      <c r="M129" s="5" t="n">
        <f aca="false">IFERROR(INDEX(Scoring!$M$5:$M$337,MATCH($A129&amp;"|"&amp;$B129,Scoring!$AF$5:$AF$337,0)),"")</f>
        <v>0</v>
      </c>
      <c r="N129" s="5" t="str">
        <f aca="false">IFERROR(INDEX(Scoring!$Y$5:$Y$337,MATCH($A129&amp;"|"&amp;$B129,Scoring!$AF$5:$AF$337,0)),"")</f>
        <v>No</v>
      </c>
      <c r="O129" s="5" t="str">
        <f aca="false">IFERROR(INDEX(Scoring!$Z$5:$Z$337,MATCH($A129&amp;"|"&amp;$B129,Scoring!$AF$5:$AF$337,0)),"")</f>
        <v>No</v>
      </c>
      <c r="P129" s="5" t="str">
        <f aca="false">IFERROR(INDEX(Scoring!$AA$5:$AA$337,MATCH($A129&amp;"|"&amp;$B129,Scoring!$AF$5:$AF$337,0)),"")</f>
        <v>No</v>
      </c>
      <c r="Q129" s="5" t="str">
        <f aca="false">IFERROR(INDEX(Scoring!$AE$5:$AE$337,MATCH($A129&amp;"|"&amp;$B129,Scoring!$AF$5:$AF$337,0)),"")</f>
        <v>Safety-device mandate compliance</v>
      </c>
    </row>
    <row r="130" customFormat="false" ht="15" hidden="false" customHeight="false" outlineLevel="0" collapsed="false">
      <c r="A130" s="5" t="s">
        <v>41</v>
      </c>
      <c r="B130" s="5" t="n">
        <v>6</v>
      </c>
      <c r="C130" s="5" t="str">
        <f aca="false">IFERROR(INDEX(Scoring!$AD$5:$AD$337,MATCH($A130&amp;"|"&amp;$B130,Scoring!$AF$5:$AF$337,0)),"")</f>
        <v>Next wave</v>
      </c>
      <c r="D130" s="5" t="str">
        <f aca="false">IFERROR(INDEX(Scoring!$B$5:$B$337,MATCH($A130&amp;"|"&amp;$B130,Scoring!$AF$5:$AF$337,0)),"")</f>
        <v>Remifentanil</v>
      </c>
      <c r="E130" s="5" t="str">
        <f aca="false">IFERROR(INDEX(Scoring!$D$5:$D$337,MATCH($A130&amp;"|"&amp;$B130,Scoring!$AF$5:$AF$337,0)),"")</f>
        <v>Anaesthesia – ultra-short-acting opioid analgesia during surgery</v>
      </c>
      <c r="F130" s="8" t="n">
        <f aca="false">IFERROR(INDEX(Scoring!$U$5:$U$337,MATCH($A130&amp;"|"&amp;$B130,Scoring!$AF$5:$AF$337,0)),"")</f>
        <v>0.0211</v>
      </c>
      <c r="G130" s="7" t="n">
        <f aca="false">IFERROR(INDEX(Scoring!$O$5:$O$337,MATCH($A130&amp;"|"&amp;$B130,Scoring!$AF$5:$AF$337,0)),"")</f>
        <v>71.4487058823529</v>
      </c>
      <c r="H130" s="6" t="str">
        <f aca="false">IFERROR(INDEX(Scoring!$N$5:$N$337,MATCH($A130&amp;"|"&amp;$B130,Scoring!$AF$5:$AF$337,0)),"")</f>
        <v/>
      </c>
      <c r="I130" s="5" t="n">
        <f aca="false">IFERROR(INDEX(Scoring!$F$5:$F$337,MATCH($A130&amp;"|"&amp;$B130,Scoring!$AF$5:$AF$337,0)),"")</f>
        <v>4</v>
      </c>
      <c r="J130" s="5" t="n">
        <f aca="false">IFERROR(INDEX(Scoring!$E$5:$E$337,MATCH($A130&amp;"|"&amp;$B130,Scoring!$AF$5:$AF$337,0)),"")</f>
        <v>22</v>
      </c>
      <c r="K130" s="5" t="n">
        <f aca="false">IFERROR(INDEX(Scoring!$K$5:$K$337,MATCH($A130&amp;"|"&amp;$B130,Scoring!$AF$5:$AF$337,0)),"")</f>
        <v>0</v>
      </c>
      <c r="L130" s="5" t="n">
        <f aca="false">IFERROR(INDEX(Scoring!$L$5:$L$337,MATCH($A130&amp;"|"&amp;$B130,Scoring!$AF$5:$AF$337,0)),"")</f>
        <v>0</v>
      </c>
      <c r="M130" s="5" t="n">
        <f aca="false">IFERROR(INDEX(Scoring!$M$5:$M$337,MATCH($A130&amp;"|"&amp;$B130,Scoring!$AF$5:$AF$337,0)),"")</f>
        <v>0</v>
      </c>
      <c r="N130" s="5" t="str">
        <f aca="false">IFERROR(INDEX(Scoring!$Y$5:$Y$337,MATCH($A130&amp;"|"&amp;$B130,Scoring!$AF$5:$AF$337,0)),"")</f>
        <v>No</v>
      </c>
      <c r="O130" s="5" t="str">
        <f aca="false">IFERROR(INDEX(Scoring!$Z$5:$Z$337,MATCH($A130&amp;"|"&amp;$B130,Scoring!$AF$5:$AF$337,0)),"")</f>
        <v>No</v>
      </c>
      <c r="P130" s="5" t="str">
        <f aca="false">IFERROR(INDEX(Scoring!$AA$5:$AA$337,MATCH($A130&amp;"|"&amp;$B130,Scoring!$AF$5:$AF$337,0)),"")</f>
        <v>Yes</v>
      </c>
      <c r="Q130" s="5" t="str">
        <f aca="false">IFERROR(INDEX(Scoring!$AE$5:$AE$337,MATCH($A130&amp;"|"&amp;$B130,Scoring!$AF$5:$AF$337,0)),"")</f>
        <v>Confirm presentation (not stated in source)</v>
      </c>
    </row>
    <row r="131" customFormat="false" ht="15" hidden="false" customHeight="false" outlineLevel="0" collapsed="false">
      <c r="A131" s="5" t="s">
        <v>41</v>
      </c>
      <c r="B131" s="5" t="n">
        <v>7</v>
      </c>
      <c r="C131" s="5" t="str">
        <f aca="false">IFERROR(INDEX(Scoring!$AD$5:$AD$337,MATCH($A131&amp;"|"&amp;$B131,Scoring!$AF$5:$AF$337,0)),"")</f>
        <v/>
      </c>
      <c r="D131" s="5" t="str">
        <f aca="false">IFERROR(INDEX(Scoring!$B$5:$B$337,MATCH($A131&amp;"|"&amp;$B131,Scoring!$AF$5:$AF$337,0)),"")</f>
        <v/>
      </c>
      <c r="E131" s="5" t="str">
        <f aca="false">IFERROR(INDEX(Scoring!$D$5:$D$337,MATCH($A131&amp;"|"&amp;$B131,Scoring!$AF$5:$AF$337,0)),"")</f>
        <v/>
      </c>
      <c r="F131" s="8" t="str">
        <f aca="false">IFERROR(INDEX(Scoring!$U$5:$U$337,MATCH($A131&amp;"|"&amp;$B131,Scoring!$AF$5:$AF$337,0)),"")</f>
        <v/>
      </c>
      <c r="G131" s="7" t="str">
        <f aca="false">IFERROR(INDEX(Scoring!$O$5:$O$337,MATCH($A131&amp;"|"&amp;$B131,Scoring!$AF$5:$AF$337,0)),"")</f>
        <v/>
      </c>
      <c r="H131" s="6" t="str">
        <f aca="false">IFERROR(INDEX(Scoring!$N$5:$N$337,MATCH($A131&amp;"|"&amp;$B131,Scoring!$AF$5:$AF$337,0)),"")</f>
        <v/>
      </c>
      <c r="I131" s="5" t="str">
        <f aca="false">IFERROR(INDEX(Scoring!$F$5:$F$337,MATCH($A131&amp;"|"&amp;$B131,Scoring!$AF$5:$AF$337,0)),"")</f>
        <v/>
      </c>
      <c r="J131" s="5" t="str">
        <f aca="false">IFERROR(INDEX(Scoring!$E$5:$E$337,MATCH($A131&amp;"|"&amp;$B131,Scoring!$AF$5:$AF$337,0)),"")</f>
        <v/>
      </c>
      <c r="K131" s="5" t="str">
        <f aca="false">IFERROR(INDEX(Scoring!$K$5:$K$337,MATCH($A131&amp;"|"&amp;$B131,Scoring!$AF$5:$AF$337,0)),"")</f>
        <v/>
      </c>
      <c r="L131" s="5" t="str">
        <f aca="false">IFERROR(INDEX(Scoring!$L$5:$L$337,MATCH($A131&amp;"|"&amp;$B131,Scoring!$AF$5:$AF$337,0)),"")</f>
        <v/>
      </c>
      <c r="M131" s="5" t="str">
        <f aca="false">IFERROR(INDEX(Scoring!$M$5:$M$337,MATCH($A131&amp;"|"&amp;$B131,Scoring!$AF$5:$AF$337,0)),"")</f>
        <v/>
      </c>
      <c r="N131" s="5" t="str">
        <f aca="false">IFERROR(INDEX(Scoring!$Y$5:$Y$337,MATCH($A131&amp;"|"&amp;$B131,Scoring!$AF$5:$AF$337,0)),"")</f>
        <v/>
      </c>
      <c r="O131" s="5" t="str">
        <f aca="false">IFERROR(INDEX(Scoring!$Z$5:$Z$337,MATCH($A131&amp;"|"&amp;$B131,Scoring!$AF$5:$AF$337,0)),"")</f>
        <v/>
      </c>
      <c r="P131" s="5" t="str">
        <f aca="false">IFERROR(INDEX(Scoring!$AA$5:$AA$337,MATCH($A131&amp;"|"&amp;$B131,Scoring!$AF$5:$AF$337,0)),"")</f>
        <v/>
      </c>
      <c r="Q131" s="5" t="str">
        <f aca="false">IFERROR(INDEX(Scoring!$AE$5:$AE$337,MATCH($A131&amp;"|"&amp;$B131,Scoring!$AF$5:$AF$337,0)),"")</f>
        <v/>
      </c>
    </row>
    <row r="132" customFormat="false" ht="15" hidden="false" customHeight="false" outlineLevel="0" collapsed="false">
      <c r="A132" s="5" t="s">
        <v>41</v>
      </c>
      <c r="B132" s="5" t="n">
        <v>8</v>
      </c>
      <c r="C132" s="5" t="str">
        <f aca="false">IFERROR(INDEX(Scoring!$AD$5:$AD$337,MATCH($A132&amp;"|"&amp;$B132,Scoring!$AF$5:$AF$337,0)),"")</f>
        <v/>
      </c>
      <c r="D132" s="5" t="str">
        <f aca="false">IFERROR(INDEX(Scoring!$B$5:$B$337,MATCH($A132&amp;"|"&amp;$B132,Scoring!$AF$5:$AF$337,0)),"")</f>
        <v/>
      </c>
      <c r="E132" s="5" t="str">
        <f aca="false">IFERROR(INDEX(Scoring!$D$5:$D$337,MATCH($A132&amp;"|"&amp;$B132,Scoring!$AF$5:$AF$337,0)),"")</f>
        <v/>
      </c>
      <c r="F132" s="8" t="str">
        <f aca="false">IFERROR(INDEX(Scoring!$U$5:$U$337,MATCH($A132&amp;"|"&amp;$B132,Scoring!$AF$5:$AF$337,0)),"")</f>
        <v/>
      </c>
      <c r="G132" s="7" t="str">
        <f aca="false">IFERROR(INDEX(Scoring!$O$5:$O$337,MATCH($A132&amp;"|"&amp;$B132,Scoring!$AF$5:$AF$337,0)),"")</f>
        <v/>
      </c>
      <c r="H132" s="6" t="str">
        <f aca="false">IFERROR(INDEX(Scoring!$N$5:$N$337,MATCH($A132&amp;"|"&amp;$B132,Scoring!$AF$5:$AF$337,0)),"")</f>
        <v/>
      </c>
      <c r="I132" s="5" t="str">
        <f aca="false">IFERROR(INDEX(Scoring!$F$5:$F$337,MATCH($A132&amp;"|"&amp;$B132,Scoring!$AF$5:$AF$337,0)),"")</f>
        <v/>
      </c>
      <c r="J132" s="5" t="str">
        <f aca="false">IFERROR(INDEX(Scoring!$E$5:$E$337,MATCH($A132&amp;"|"&amp;$B132,Scoring!$AF$5:$AF$337,0)),"")</f>
        <v/>
      </c>
      <c r="K132" s="5" t="str">
        <f aca="false">IFERROR(INDEX(Scoring!$K$5:$K$337,MATCH($A132&amp;"|"&amp;$B132,Scoring!$AF$5:$AF$337,0)),"")</f>
        <v/>
      </c>
      <c r="L132" s="5" t="str">
        <f aca="false">IFERROR(INDEX(Scoring!$L$5:$L$337,MATCH($A132&amp;"|"&amp;$B132,Scoring!$AF$5:$AF$337,0)),"")</f>
        <v/>
      </c>
      <c r="M132" s="5" t="str">
        <f aca="false">IFERROR(INDEX(Scoring!$M$5:$M$337,MATCH($A132&amp;"|"&amp;$B132,Scoring!$AF$5:$AF$337,0)),"")</f>
        <v/>
      </c>
      <c r="N132" s="5" t="str">
        <f aca="false">IFERROR(INDEX(Scoring!$Y$5:$Y$337,MATCH($A132&amp;"|"&amp;$B132,Scoring!$AF$5:$AF$337,0)),"")</f>
        <v/>
      </c>
      <c r="O132" s="5" t="str">
        <f aca="false">IFERROR(INDEX(Scoring!$Z$5:$Z$337,MATCH($A132&amp;"|"&amp;$B132,Scoring!$AF$5:$AF$337,0)),"")</f>
        <v/>
      </c>
      <c r="P132" s="5" t="str">
        <f aca="false">IFERROR(INDEX(Scoring!$AA$5:$AA$337,MATCH($A132&amp;"|"&amp;$B132,Scoring!$AF$5:$AF$337,0)),"")</f>
        <v/>
      </c>
      <c r="Q132" s="5" t="str">
        <f aca="false">IFERROR(INDEX(Scoring!$AE$5:$AE$337,MATCH($A132&amp;"|"&amp;$B132,Scoring!$AF$5:$AF$337,0)),"")</f>
        <v/>
      </c>
    </row>
    <row r="133" customFormat="false" ht="15" hidden="false" customHeight="false" outlineLevel="0" collapsed="false">
      <c r="A133" s="5" t="s">
        <v>41</v>
      </c>
      <c r="B133" s="5" t="n">
        <v>9</v>
      </c>
      <c r="C133" s="5" t="str">
        <f aca="false">IFERROR(INDEX(Scoring!$AD$5:$AD$337,MATCH($A133&amp;"|"&amp;$B133,Scoring!$AF$5:$AF$337,0)),"")</f>
        <v/>
      </c>
      <c r="D133" s="5" t="str">
        <f aca="false">IFERROR(INDEX(Scoring!$B$5:$B$337,MATCH($A133&amp;"|"&amp;$B133,Scoring!$AF$5:$AF$337,0)),"")</f>
        <v/>
      </c>
      <c r="E133" s="5" t="str">
        <f aca="false">IFERROR(INDEX(Scoring!$D$5:$D$337,MATCH($A133&amp;"|"&amp;$B133,Scoring!$AF$5:$AF$337,0)),"")</f>
        <v/>
      </c>
      <c r="F133" s="8" t="str">
        <f aca="false">IFERROR(INDEX(Scoring!$U$5:$U$337,MATCH($A133&amp;"|"&amp;$B133,Scoring!$AF$5:$AF$337,0)),"")</f>
        <v/>
      </c>
      <c r="G133" s="7" t="str">
        <f aca="false">IFERROR(INDEX(Scoring!$O$5:$O$337,MATCH($A133&amp;"|"&amp;$B133,Scoring!$AF$5:$AF$337,0)),"")</f>
        <v/>
      </c>
      <c r="H133" s="6" t="str">
        <f aca="false">IFERROR(INDEX(Scoring!$N$5:$N$337,MATCH($A133&amp;"|"&amp;$B133,Scoring!$AF$5:$AF$337,0)),"")</f>
        <v/>
      </c>
      <c r="I133" s="5" t="str">
        <f aca="false">IFERROR(INDEX(Scoring!$F$5:$F$337,MATCH($A133&amp;"|"&amp;$B133,Scoring!$AF$5:$AF$337,0)),"")</f>
        <v/>
      </c>
      <c r="J133" s="5" t="str">
        <f aca="false">IFERROR(INDEX(Scoring!$E$5:$E$337,MATCH($A133&amp;"|"&amp;$B133,Scoring!$AF$5:$AF$337,0)),"")</f>
        <v/>
      </c>
      <c r="K133" s="5" t="str">
        <f aca="false">IFERROR(INDEX(Scoring!$K$5:$K$337,MATCH($A133&amp;"|"&amp;$B133,Scoring!$AF$5:$AF$337,0)),"")</f>
        <v/>
      </c>
      <c r="L133" s="5" t="str">
        <f aca="false">IFERROR(INDEX(Scoring!$L$5:$L$337,MATCH($A133&amp;"|"&amp;$B133,Scoring!$AF$5:$AF$337,0)),"")</f>
        <v/>
      </c>
      <c r="M133" s="5" t="str">
        <f aca="false">IFERROR(INDEX(Scoring!$M$5:$M$337,MATCH($A133&amp;"|"&amp;$B133,Scoring!$AF$5:$AF$337,0)),"")</f>
        <v/>
      </c>
      <c r="N133" s="5" t="str">
        <f aca="false">IFERROR(INDEX(Scoring!$Y$5:$Y$337,MATCH($A133&amp;"|"&amp;$B133,Scoring!$AF$5:$AF$337,0)),"")</f>
        <v/>
      </c>
      <c r="O133" s="5" t="str">
        <f aca="false">IFERROR(INDEX(Scoring!$Z$5:$Z$337,MATCH($A133&amp;"|"&amp;$B133,Scoring!$AF$5:$AF$337,0)),"")</f>
        <v/>
      </c>
      <c r="P133" s="5" t="str">
        <f aca="false">IFERROR(INDEX(Scoring!$AA$5:$AA$337,MATCH($A133&amp;"|"&amp;$B133,Scoring!$AF$5:$AF$337,0)),"")</f>
        <v/>
      </c>
      <c r="Q133" s="5" t="str">
        <f aca="false">IFERROR(INDEX(Scoring!$AE$5:$AE$337,MATCH($A133&amp;"|"&amp;$B133,Scoring!$AF$5:$AF$337,0)),"")</f>
        <v/>
      </c>
    </row>
    <row r="134" customFormat="false" ht="15" hidden="false" customHeight="false" outlineLevel="0" collapsed="false">
      <c r="A134" s="5" t="s">
        <v>41</v>
      </c>
      <c r="B134" s="5" t="n">
        <v>10</v>
      </c>
      <c r="C134" s="5" t="str">
        <f aca="false">IFERROR(INDEX(Scoring!$AD$5:$AD$337,MATCH($A134&amp;"|"&amp;$B134,Scoring!$AF$5:$AF$337,0)),"")</f>
        <v/>
      </c>
      <c r="D134" s="5" t="str">
        <f aca="false">IFERROR(INDEX(Scoring!$B$5:$B$337,MATCH($A134&amp;"|"&amp;$B134,Scoring!$AF$5:$AF$337,0)),"")</f>
        <v/>
      </c>
      <c r="E134" s="5" t="str">
        <f aca="false">IFERROR(INDEX(Scoring!$D$5:$D$337,MATCH($A134&amp;"|"&amp;$B134,Scoring!$AF$5:$AF$337,0)),"")</f>
        <v/>
      </c>
      <c r="F134" s="8" t="str">
        <f aca="false">IFERROR(INDEX(Scoring!$U$5:$U$337,MATCH($A134&amp;"|"&amp;$B134,Scoring!$AF$5:$AF$337,0)),"")</f>
        <v/>
      </c>
      <c r="G134" s="7" t="str">
        <f aca="false">IFERROR(INDEX(Scoring!$O$5:$O$337,MATCH($A134&amp;"|"&amp;$B134,Scoring!$AF$5:$AF$337,0)),"")</f>
        <v/>
      </c>
      <c r="H134" s="6" t="str">
        <f aca="false">IFERROR(INDEX(Scoring!$N$5:$N$337,MATCH($A134&amp;"|"&amp;$B134,Scoring!$AF$5:$AF$337,0)),"")</f>
        <v/>
      </c>
      <c r="I134" s="5" t="str">
        <f aca="false">IFERROR(INDEX(Scoring!$F$5:$F$337,MATCH($A134&amp;"|"&amp;$B134,Scoring!$AF$5:$AF$337,0)),"")</f>
        <v/>
      </c>
      <c r="J134" s="5" t="str">
        <f aca="false">IFERROR(INDEX(Scoring!$E$5:$E$337,MATCH($A134&amp;"|"&amp;$B134,Scoring!$AF$5:$AF$337,0)),"")</f>
        <v/>
      </c>
      <c r="K134" s="5" t="str">
        <f aca="false">IFERROR(INDEX(Scoring!$K$5:$K$337,MATCH($A134&amp;"|"&amp;$B134,Scoring!$AF$5:$AF$337,0)),"")</f>
        <v/>
      </c>
      <c r="L134" s="5" t="str">
        <f aca="false">IFERROR(INDEX(Scoring!$L$5:$L$337,MATCH($A134&amp;"|"&amp;$B134,Scoring!$AF$5:$AF$337,0)),"")</f>
        <v/>
      </c>
      <c r="M134" s="5" t="str">
        <f aca="false">IFERROR(INDEX(Scoring!$M$5:$M$337,MATCH($A134&amp;"|"&amp;$B134,Scoring!$AF$5:$AF$337,0)),"")</f>
        <v/>
      </c>
      <c r="N134" s="5" t="str">
        <f aca="false">IFERROR(INDEX(Scoring!$Y$5:$Y$337,MATCH($A134&amp;"|"&amp;$B134,Scoring!$AF$5:$AF$337,0)),"")</f>
        <v/>
      </c>
      <c r="O134" s="5" t="str">
        <f aca="false">IFERROR(INDEX(Scoring!$Z$5:$Z$337,MATCH($A134&amp;"|"&amp;$B134,Scoring!$AF$5:$AF$337,0)),"")</f>
        <v/>
      </c>
      <c r="P134" s="5" t="str">
        <f aca="false">IFERROR(INDEX(Scoring!$AA$5:$AA$337,MATCH($A134&amp;"|"&amp;$B134,Scoring!$AF$5:$AF$337,0)),"")</f>
        <v/>
      </c>
      <c r="Q134" s="5" t="str">
        <f aca="false">IFERROR(INDEX(Scoring!$AE$5:$AE$337,MATCH($A134&amp;"|"&amp;$B134,Scoring!$AF$5:$AF$337,0)),"")</f>
        <v/>
      </c>
    </row>
    <row r="135" customFormat="false" ht="15" hidden="false" customHeight="false" outlineLevel="0" collapsed="false">
      <c r="A135" s="14" t="s">
        <v>73</v>
      </c>
      <c r="B135" s="14" t="n">
        <v>1</v>
      </c>
      <c r="C135" s="14" t="str">
        <f aca="false">IFERROR(INDEX(Scoring!$AD$5:$AD$337,MATCH($A135&amp;"|"&amp;$B135,Scoring!$AF$5:$AF$337,0)),"")</f>
        <v>Lead</v>
      </c>
      <c r="D135" s="14" t="str">
        <f aca="false">IFERROR(INDEX(Scoring!$B$5:$B$337,MATCH($A135&amp;"|"&amp;$B135,Scoring!$AF$5:$AF$337,0)),"")</f>
        <v>Meropenem</v>
      </c>
      <c r="E135" s="14" t="str">
        <f aca="false">IFERROR(INDEX(Scoring!$D$5:$D$337,MATCH($A135&amp;"|"&amp;$B135,Scoring!$AF$5:$AF$337,0)),"")</f>
        <v>Anti-infective – severe hospital infections (ICU, sepsis, meningitis, MDR)</v>
      </c>
      <c r="F135" s="15" t="n">
        <f aca="false">IFERROR(INDEX(Scoring!$U$5:$U$337,MATCH($A135&amp;"|"&amp;$B135,Scoring!$AF$5:$AF$337,0)),"")</f>
        <v>0.587</v>
      </c>
      <c r="G135" s="16" t="n">
        <f aca="false">IFERROR(INDEX(Scoring!$O$5:$O$337,MATCH($A135&amp;"|"&amp;$B135,Scoring!$AF$5:$AF$337,0)),"")</f>
        <v>58920.4013724345</v>
      </c>
      <c r="H135" s="17" t="n">
        <f aca="false">IFERROR(INDEX(Scoring!$N$5:$N$337,MATCH($A135&amp;"|"&amp;$B135,Scoring!$AF$5:$AF$337,0)),"")</f>
        <v>11.7098</v>
      </c>
      <c r="I135" s="14" t="n">
        <f aca="false">IFERROR(INDEX(Scoring!$F$5:$F$337,MATCH($A135&amp;"|"&amp;$B135,Scoring!$AF$5:$AF$337,0)),"")</f>
        <v>6</v>
      </c>
      <c r="J135" s="14" t="n">
        <f aca="false">IFERROR(INDEX(Scoring!$E$5:$E$337,MATCH($A135&amp;"|"&amp;$B135,Scoring!$AF$5:$AF$337,0)),"")</f>
        <v>31</v>
      </c>
      <c r="K135" s="14" t="n">
        <f aca="false">IFERROR(INDEX(Scoring!$K$5:$K$337,MATCH($A135&amp;"|"&amp;$B135,Scoring!$AF$5:$AF$337,0)),"")</f>
        <v>3</v>
      </c>
      <c r="L135" s="14" t="n">
        <f aca="false">IFERROR(INDEX(Scoring!$L$5:$L$337,MATCH($A135&amp;"|"&amp;$B135,Scoring!$AF$5:$AF$337,0)),"")</f>
        <v>0</v>
      </c>
      <c r="M135" s="14" t="n">
        <f aca="false">IFERROR(INDEX(Scoring!$M$5:$M$337,MATCH($A135&amp;"|"&amp;$B135,Scoring!$AF$5:$AF$337,0)),"")</f>
        <v>0</v>
      </c>
      <c r="N135" s="14" t="str">
        <f aca="false">IFERROR(INDEX(Scoring!$Y$5:$Y$337,MATCH($A135&amp;"|"&amp;$B135,Scoring!$AF$5:$AF$337,0)),"")</f>
        <v>No</v>
      </c>
      <c r="O135" s="14" t="str">
        <f aca="false">IFERROR(INDEX(Scoring!$Z$5:$Z$337,MATCH($A135&amp;"|"&amp;$B135,Scoring!$AF$5:$AF$337,0)),"")</f>
        <v>Yes</v>
      </c>
      <c r="P135" s="14" t="str">
        <f aca="false">IFERROR(INDEX(Scoring!$AA$5:$AA$337,MATCH($A135&amp;"|"&amp;$B135,Scoring!$AF$5:$AF$337,0)),"")</f>
        <v>Yes</v>
      </c>
      <c r="Q135" s="14" t="str">
        <f aca="false">IFERROR(INDEX(Scoring!$AE$5:$AE$337,MATCH($A135&amp;"|"&amp;$B135,Scoring!$AF$5:$AF$337,0)),"")</f>
        <v>Differentiation in crowded generic market</v>
      </c>
    </row>
    <row r="136" customFormat="false" ht="15" hidden="false" customHeight="false" outlineLevel="0" collapsed="false">
      <c r="A136" s="5" t="s">
        <v>73</v>
      </c>
      <c r="B136" s="5" t="n">
        <v>2</v>
      </c>
      <c r="C136" s="5" t="str">
        <f aca="false">IFERROR(INDEX(Scoring!$AD$5:$AD$337,MATCH($A136&amp;"|"&amp;$B136,Scoring!$AF$5:$AF$337,0)),"")</f>
        <v/>
      </c>
      <c r="D136" s="5" t="str">
        <f aca="false">IFERROR(INDEX(Scoring!$B$5:$B$337,MATCH($A136&amp;"|"&amp;$B136,Scoring!$AF$5:$AF$337,0)),"")</f>
        <v/>
      </c>
      <c r="E136" s="5" t="str">
        <f aca="false">IFERROR(INDEX(Scoring!$D$5:$D$337,MATCH($A136&amp;"|"&amp;$B136,Scoring!$AF$5:$AF$337,0)),"")</f>
        <v/>
      </c>
      <c r="F136" s="8" t="str">
        <f aca="false">IFERROR(INDEX(Scoring!$U$5:$U$337,MATCH($A136&amp;"|"&amp;$B136,Scoring!$AF$5:$AF$337,0)),"")</f>
        <v/>
      </c>
      <c r="G136" s="7" t="str">
        <f aca="false">IFERROR(INDEX(Scoring!$O$5:$O$337,MATCH($A136&amp;"|"&amp;$B136,Scoring!$AF$5:$AF$337,0)),"")</f>
        <v/>
      </c>
      <c r="H136" s="6" t="str">
        <f aca="false">IFERROR(INDEX(Scoring!$N$5:$N$337,MATCH($A136&amp;"|"&amp;$B136,Scoring!$AF$5:$AF$337,0)),"")</f>
        <v/>
      </c>
      <c r="I136" s="5" t="str">
        <f aca="false">IFERROR(INDEX(Scoring!$F$5:$F$337,MATCH($A136&amp;"|"&amp;$B136,Scoring!$AF$5:$AF$337,0)),"")</f>
        <v/>
      </c>
      <c r="J136" s="5" t="str">
        <f aca="false">IFERROR(INDEX(Scoring!$E$5:$E$337,MATCH($A136&amp;"|"&amp;$B136,Scoring!$AF$5:$AF$337,0)),"")</f>
        <v/>
      </c>
      <c r="K136" s="5" t="str">
        <f aca="false">IFERROR(INDEX(Scoring!$K$5:$K$337,MATCH($A136&amp;"|"&amp;$B136,Scoring!$AF$5:$AF$337,0)),"")</f>
        <v/>
      </c>
      <c r="L136" s="5" t="str">
        <f aca="false">IFERROR(INDEX(Scoring!$L$5:$L$337,MATCH($A136&amp;"|"&amp;$B136,Scoring!$AF$5:$AF$337,0)),"")</f>
        <v/>
      </c>
      <c r="M136" s="5" t="str">
        <f aca="false">IFERROR(INDEX(Scoring!$M$5:$M$337,MATCH($A136&amp;"|"&amp;$B136,Scoring!$AF$5:$AF$337,0)),"")</f>
        <v/>
      </c>
      <c r="N136" s="5" t="str">
        <f aca="false">IFERROR(INDEX(Scoring!$Y$5:$Y$337,MATCH($A136&amp;"|"&amp;$B136,Scoring!$AF$5:$AF$337,0)),"")</f>
        <v/>
      </c>
      <c r="O136" s="5" t="str">
        <f aca="false">IFERROR(INDEX(Scoring!$Z$5:$Z$337,MATCH($A136&amp;"|"&amp;$B136,Scoring!$AF$5:$AF$337,0)),"")</f>
        <v/>
      </c>
      <c r="P136" s="5" t="str">
        <f aca="false">IFERROR(INDEX(Scoring!$AA$5:$AA$337,MATCH($A136&amp;"|"&amp;$B136,Scoring!$AF$5:$AF$337,0)),"")</f>
        <v/>
      </c>
      <c r="Q136" s="5" t="str">
        <f aca="false">IFERROR(INDEX(Scoring!$AE$5:$AE$337,MATCH($A136&amp;"|"&amp;$B136,Scoring!$AF$5:$AF$337,0)),"")</f>
        <v/>
      </c>
    </row>
    <row r="137" customFormat="false" ht="15" hidden="false" customHeight="false" outlineLevel="0" collapsed="false">
      <c r="A137" s="5" t="s">
        <v>73</v>
      </c>
      <c r="B137" s="5" t="n">
        <v>3</v>
      </c>
      <c r="C137" s="5" t="str">
        <f aca="false">IFERROR(INDEX(Scoring!$AD$5:$AD$337,MATCH($A137&amp;"|"&amp;$B137,Scoring!$AF$5:$AF$337,0)),"")</f>
        <v/>
      </c>
      <c r="D137" s="5" t="str">
        <f aca="false">IFERROR(INDEX(Scoring!$B$5:$B$337,MATCH($A137&amp;"|"&amp;$B137,Scoring!$AF$5:$AF$337,0)),"")</f>
        <v/>
      </c>
      <c r="E137" s="5" t="str">
        <f aca="false">IFERROR(INDEX(Scoring!$D$5:$D$337,MATCH($A137&amp;"|"&amp;$B137,Scoring!$AF$5:$AF$337,0)),"")</f>
        <v/>
      </c>
      <c r="F137" s="8" t="str">
        <f aca="false">IFERROR(INDEX(Scoring!$U$5:$U$337,MATCH($A137&amp;"|"&amp;$B137,Scoring!$AF$5:$AF$337,0)),"")</f>
        <v/>
      </c>
      <c r="G137" s="7" t="str">
        <f aca="false">IFERROR(INDEX(Scoring!$O$5:$O$337,MATCH($A137&amp;"|"&amp;$B137,Scoring!$AF$5:$AF$337,0)),"")</f>
        <v/>
      </c>
      <c r="H137" s="6" t="str">
        <f aca="false">IFERROR(INDEX(Scoring!$N$5:$N$337,MATCH($A137&amp;"|"&amp;$B137,Scoring!$AF$5:$AF$337,0)),"")</f>
        <v/>
      </c>
      <c r="I137" s="5" t="str">
        <f aca="false">IFERROR(INDEX(Scoring!$F$5:$F$337,MATCH($A137&amp;"|"&amp;$B137,Scoring!$AF$5:$AF$337,0)),"")</f>
        <v/>
      </c>
      <c r="J137" s="5" t="str">
        <f aca="false">IFERROR(INDEX(Scoring!$E$5:$E$337,MATCH($A137&amp;"|"&amp;$B137,Scoring!$AF$5:$AF$337,0)),"")</f>
        <v/>
      </c>
      <c r="K137" s="5" t="str">
        <f aca="false">IFERROR(INDEX(Scoring!$K$5:$K$337,MATCH($A137&amp;"|"&amp;$B137,Scoring!$AF$5:$AF$337,0)),"")</f>
        <v/>
      </c>
      <c r="L137" s="5" t="str">
        <f aca="false">IFERROR(INDEX(Scoring!$L$5:$L$337,MATCH($A137&amp;"|"&amp;$B137,Scoring!$AF$5:$AF$337,0)),"")</f>
        <v/>
      </c>
      <c r="M137" s="5" t="str">
        <f aca="false">IFERROR(INDEX(Scoring!$M$5:$M$337,MATCH($A137&amp;"|"&amp;$B137,Scoring!$AF$5:$AF$337,0)),"")</f>
        <v/>
      </c>
      <c r="N137" s="5" t="str">
        <f aca="false">IFERROR(INDEX(Scoring!$Y$5:$Y$337,MATCH($A137&amp;"|"&amp;$B137,Scoring!$AF$5:$AF$337,0)),"")</f>
        <v/>
      </c>
      <c r="O137" s="5" t="str">
        <f aca="false">IFERROR(INDEX(Scoring!$Z$5:$Z$337,MATCH($A137&amp;"|"&amp;$B137,Scoring!$AF$5:$AF$337,0)),"")</f>
        <v/>
      </c>
      <c r="P137" s="5" t="str">
        <f aca="false">IFERROR(INDEX(Scoring!$AA$5:$AA$337,MATCH($A137&amp;"|"&amp;$B137,Scoring!$AF$5:$AF$337,0)),"")</f>
        <v/>
      </c>
      <c r="Q137" s="5" t="str">
        <f aca="false">IFERROR(INDEX(Scoring!$AE$5:$AE$337,MATCH($A137&amp;"|"&amp;$B137,Scoring!$AF$5:$AF$337,0)),"")</f>
        <v/>
      </c>
    </row>
    <row r="138" customFormat="false" ht="15" hidden="false" customHeight="false" outlineLevel="0" collapsed="false">
      <c r="A138" s="5" t="s">
        <v>73</v>
      </c>
      <c r="B138" s="5" t="n">
        <v>4</v>
      </c>
      <c r="C138" s="5" t="str">
        <f aca="false">IFERROR(INDEX(Scoring!$AD$5:$AD$337,MATCH($A138&amp;"|"&amp;$B138,Scoring!$AF$5:$AF$337,0)),"")</f>
        <v/>
      </c>
      <c r="D138" s="5" t="str">
        <f aca="false">IFERROR(INDEX(Scoring!$B$5:$B$337,MATCH($A138&amp;"|"&amp;$B138,Scoring!$AF$5:$AF$337,0)),"")</f>
        <v/>
      </c>
      <c r="E138" s="5" t="str">
        <f aca="false">IFERROR(INDEX(Scoring!$D$5:$D$337,MATCH($A138&amp;"|"&amp;$B138,Scoring!$AF$5:$AF$337,0)),"")</f>
        <v/>
      </c>
      <c r="F138" s="8" t="str">
        <f aca="false">IFERROR(INDEX(Scoring!$U$5:$U$337,MATCH($A138&amp;"|"&amp;$B138,Scoring!$AF$5:$AF$337,0)),"")</f>
        <v/>
      </c>
      <c r="G138" s="7" t="str">
        <f aca="false">IFERROR(INDEX(Scoring!$O$5:$O$337,MATCH($A138&amp;"|"&amp;$B138,Scoring!$AF$5:$AF$337,0)),"")</f>
        <v/>
      </c>
      <c r="H138" s="6" t="str">
        <f aca="false">IFERROR(INDEX(Scoring!$N$5:$N$337,MATCH($A138&amp;"|"&amp;$B138,Scoring!$AF$5:$AF$337,0)),"")</f>
        <v/>
      </c>
      <c r="I138" s="5" t="str">
        <f aca="false">IFERROR(INDEX(Scoring!$F$5:$F$337,MATCH($A138&amp;"|"&amp;$B138,Scoring!$AF$5:$AF$337,0)),"")</f>
        <v/>
      </c>
      <c r="J138" s="5" t="str">
        <f aca="false">IFERROR(INDEX(Scoring!$E$5:$E$337,MATCH($A138&amp;"|"&amp;$B138,Scoring!$AF$5:$AF$337,0)),"")</f>
        <v/>
      </c>
      <c r="K138" s="5" t="str">
        <f aca="false">IFERROR(INDEX(Scoring!$K$5:$K$337,MATCH($A138&amp;"|"&amp;$B138,Scoring!$AF$5:$AF$337,0)),"")</f>
        <v/>
      </c>
      <c r="L138" s="5" t="str">
        <f aca="false">IFERROR(INDEX(Scoring!$L$5:$L$337,MATCH($A138&amp;"|"&amp;$B138,Scoring!$AF$5:$AF$337,0)),"")</f>
        <v/>
      </c>
      <c r="M138" s="5" t="str">
        <f aca="false">IFERROR(INDEX(Scoring!$M$5:$M$337,MATCH($A138&amp;"|"&amp;$B138,Scoring!$AF$5:$AF$337,0)),"")</f>
        <v/>
      </c>
      <c r="N138" s="5" t="str">
        <f aca="false">IFERROR(INDEX(Scoring!$Y$5:$Y$337,MATCH($A138&amp;"|"&amp;$B138,Scoring!$AF$5:$AF$337,0)),"")</f>
        <v/>
      </c>
      <c r="O138" s="5" t="str">
        <f aca="false">IFERROR(INDEX(Scoring!$Z$5:$Z$337,MATCH($A138&amp;"|"&amp;$B138,Scoring!$AF$5:$AF$337,0)),"")</f>
        <v/>
      </c>
      <c r="P138" s="5" t="str">
        <f aca="false">IFERROR(INDEX(Scoring!$AA$5:$AA$337,MATCH($A138&amp;"|"&amp;$B138,Scoring!$AF$5:$AF$337,0)),"")</f>
        <v/>
      </c>
      <c r="Q138" s="5" t="str">
        <f aca="false">IFERROR(INDEX(Scoring!$AE$5:$AE$337,MATCH($A138&amp;"|"&amp;$B138,Scoring!$AF$5:$AF$337,0)),"")</f>
        <v/>
      </c>
    </row>
    <row r="139" customFormat="false" ht="15" hidden="false" customHeight="false" outlineLevel="0" collapsed="false">
      <c r="A139" s="5" t="s">
        <v>73</v>
      </c>
      <c r="B139" s="5" t="n">
        <v>5</v>
      </c>
      <c r="C139" s="5" t="str">
        <f aca="false">IFERROR(INDEX(Scoring!$AD$5:$AD$337,MATCH($A139&amp;"|"&amp;$B139,Scoring!$AF$5:$AF$337,0)),"")</f>
        <v/>
      </c>
      <c r="D139" s="5" t="str">
        <f aca="false">IFERROR(INDEX(Scoring!$B$5:$B$337,MATCH($A139&amp;"|"&amp;$B139,Scoring!$AF$5:$AF$337,0)),"")</f>
        <v/>
      </c>
      <c r="E139" s="5" t="str">
        <f aca="false">IFERROR(INDEX(Scoring!$D$5:$D$337,MATCH($A139&amp;"|"&amp;$B139,Scoring!$AF$5:$AF$337,0)),"")</f>
        <v/>
      </c>
      <c r="F139" s="8" t="str">
        <f aca="false">IFERROR(INDEX(Scoring!$U$5:$U$337,MATCH($A139&amp;"|"&amp;$B139,Scoring!$AF$5:$AF$337,0)),"")</f>
        <v/>
      </c>
      <c r="G139" s="7" t="str">
        <f aca="false">IFERROR(INDEX(Scoring!$O$5:$O$337,MATCH($A139&amp;"|"&amp;$B139,Scoring!$AF$5:$AF$337,0)),"")</f>
        <v/>
      </c>
      <c r="H139" s="6" t="str">
        <f aca="false">IFERROR(INDEX(Scoring!$N$5:$N$337,MATCH($A139&amp;"|"&amp;$B139,Scoring!$AF$5:$AF$337,0)),"")</f>
        <v/>
      </c>
      <c r="I139" s="5" t="str">
        <f aca="false">IFERROR(INDEX(Scoring!$F$5:$F$337,MATCH($A139&amp;"|"&amp;$B139,Scoring!$AF$5:$AF$337,0)),"")</f>
        <v/>
      </c>
      <c r="J139" s="5" t="str">
        <f aca="false">IFERROR(INDEX(Scoring!$E$5:$E$337,MATCH($A139&amp;"|"&amp;$B139,Scoring!$AF$5:$AF$337,0)),"")</f>
        <v/>
      </c>
      <c r="K139" s="5" t="str">
        <f aca="false">IFERROR(INDEX(Scoring!$K$5:$K$337,MATCH($A139&amp;"|"&amp;$B139,Scoring!$AF$5:$AF$337,0)),"")</f>
        <v/>
      </c>
      <c r="L139" s="5" t="str">
        <f aca="false">IFERROR(INDEX(Scoring!$L$5:$L$337,MATCH($A139&amp;"|"&amp;$B139,Scoring!$AF$5:$AF$337,0)),"")</f>
        <v/>
      </c>
      <c r="M139" s="5" t="str">
        <f aca="false">IFERROR(INDEX(Scoring!$M$5:$M$337,MATCH($A139&amp;"|"&amp;$B139,Scoring!$AF$5:$AF$337,0)),"")</f>
        <v/>
      </c>
      <c r="N139" s="5" t="str">
        <f aca="false">IFERROR(INDEX(Scoring!$Y$5:$Y$337,MATCH($A139&amp;"|"&amp;$B139,Scoring!$AF$5:$AF$337,0)),"")</f>
        <v/>
      </c>
      <c r="O139" s="5" t="str">
        <f aca="false">IFERROR(INDEX(Scoring!$Z$5:$Z$337,MATCH($A139&amp;"|"&amp;$B139,Scoring!$AF$5:$AF$337,0)),"")</f>
        <v/>
      </c>
      <c r="P139" s="5" t="str">
        <f aca="false">IFERROR(INDEX(Scoring!$AA$5:$AA$337,MATCH($A139&amp;"|"&amp;$B139,Scoring!$AF$5:$AF$337,0)),"")</f>
        <v/>
      </c>
      <c r="Q139" s="5" t="str">
        <f aca="false">IFERROR(INDEX(Scoring!$AE$5:$AE$337,MATCH($A139&amp;"|"&amp;$B139,Scoring!$AF$5:$AF$337,0)),"")</f>
        <v/>
      </c>
    </row>
    <row r="140" customFormat="false" ht="15" hidden="false" customHeight="false" outlineLevel="0" collapsed="false">
      <c r="A140" s="5" t="s">
        <v>73</v>
      </c>
      <c r="B140" s="5" t="n">
        <v>6</v>
      </c>
      <c r="C140" s="5" t="str">
        <f aca="false">IFERROR(INDEX(Scoring!$AD$5:$AD$337,MATCH($A140&amp;"|"&amp;$B140,Scoring!$AF$5:$AF$337,0)),"")</f>
        <v/>
      </c>
      <c r="D140" s="5" t="str">
        <f aca="false">IFERROR(INDEX(Scoring!$B$5:$B$337,MATCH($A140&amp;"|"&amp;$B140,Scoring!$AF$5:$AF$337,0)),"")</f>
        <v/>
      </c>
      <c r="E140" s="5" t="str">
        <f aca="false">IFERROR(INDEX(Scoring!$D$5:$D$337,MATCH($A140&amp;"|"&amp;$B140,Scoring!$AF$5:$AF$337,0)),"")</f>
        <v/>
      </c>
      <c r="F140" s="8" t="str">
        <f aca="false">IFERROR(INDEX(Scoring!$U$5:$U$337,MATCH($A140&amp;"|"&amp;$B140,Scoring!$AF$5:$AF$337,0)),"")</f>
        <v/>
      </c>
      <c r="G140" s="7" t="str">
        <f aca="false">IFERROR(INDEX(Scoring!$O$5:$O$337,MATCH($A140&amp;"|"&amp;$B140,Scoring!$AF$5:$AF$337,0)),"")</f>
        <v/>
      </c>
      <c r="H140" s="6" t="str">
        <f aca="false">IFERROR(INDEX(Scoring!$N$5:$N$337,MATCH($A140&amp;"|"&amp;$B140,Scoring!$AF$5:$AF$337,0)),"")</f>
        <v/>
      </c>
      <c r="I140" s="5" t="str">
        <f aca="false">IFERROR(INDEX(Scoring!$F$5:$F$337,MATCH($A140&amp;"|"&amp;$B140,Scoring!$AF$5:$AF$337,0)),"")</f>
        <v/>
      </c>
      <c r="J140" s="5" t="str">
        <f aca="false">IFERROR(INDEX(Scoring!$E$5:$E$337,MATCH($A140&amp;"|"&amp;$B140,Scoring!$AF$5:$AF$337,0)),"")</f>
        <v/>
      </c>
      <c r="K140" s="5" t="str">
        <f aca="false">IFERROR(INDEX(Scoring!$K$5:$K$337,MATCH($A140&amp;"|"&amp;$B140,Scoring!$AF$5:$AF$337,0)),"")</f>
        <v/>
      </c>
      <c r="L140" s="5" t="str">
        <f aca="false">IFERROR(INDEX(Scoring!$L$5:$L$337,MATCH($A140&amp;"|"&amp;$B140,Scoring!$AF$5:$AF$337,0)),"")</f>
        <v/>
      </c>
      <c r="M140" s="5" t="str">
        <f aca="false">IFERROR(INDEX(Scoring!$M$5:$M$337,MATCH($A140&amp;"|"&amp;$B140,Scoring!$AF$5:$AF$337,0)),"")</f>
        <v/>
      </c>
      <c r="N140" s="5" t="str">
        <f aca="false">IFERROR(INDEX(Scoring!$Y$5:$Y$337,MATCH($A140&amp;"|"&amp;$B140,Scoring!$AF$5:$AF$337,0)),"")</f>
        <v/>
      </c>
      <c r="O140" s="5" t="str">
        <f aca="false">IFERROR(INDEX(Scoring!$Z$5:$Z$337,MATCH($A140&amp;"|"&amp;$B140,Scoring!$AF$5:$AF$337,0)),"")</f>
        <v/>
      </c>
      <c r="P140" s="5" t="str">
        <f aca="false">IFERROR(INDEX(Scoring!$AA$5:$AA$337,MATCH($A140&amp;"|"&amp;$B140,Scoring!$AF$5:$AF$337,0)),"")</f>
        <v/>
      </c>
      <c r="Q140" s="5" t="str">
        <f aca="false">IFERROR(INDEX(Scoring!$AE$5:$AE$337,MATCH($A140&amp;"|"&amp;$B140,Scoring!$AF$5:$AF$337,0)),"")</f>
        <v/>
      </c>
    </row>
    <row r="141" customFormat="false" ht="15" hidden="false" customHeight="false" outlineLevel="0" collapsed="false">
      <c r="A141" s="5" t="s">
        <v>73</v>
      </c>
      <c r="B141" s="5" t="n">
        <v>7</v>
      </c>
      <c r="C141" s="5" t="str">
        <f aca="false">IFERROR(INDEX(Scoring!$AD$5:$AD$337,MATCH($A141&amp;"|"&amp;$B141,Scoring!$AF$5:$AF$337,0)),"")</f>
        <v/>
      </c>
      <c r="D141" s="5" t="str">
        <f aca="false">IFERROR(INDEX(Scoring!$B$5:$B$337,MATCH($A141&amp;"|"&amp;$B141,Scoring!$AF$5:$AF$337,0)),"")</f>
        <v/>
      </c>
      <c r="E141" s="5" t="str">
        <f aca="false">IFERROR(INDEX(Scoring!$D$5:$D$337,MATCH($A141&amp;"|"&amp;$B141,Scoring!$AF$5:$AF$337,0)),"")</f>
        <v/>
      </c>
      <c r="F141" s="8" t="str">
        <f aca="false">IFERROR(INDEX(Scoring!$U$5:$U$337,MATCH($A141&amp;"|"&amp;$B141,Scoring!$AF$5:$AF$337,0)),"")</f>
        <v/>
      </c>
      <c r="G141" s="7" t="str">
        <f aca="false">IFERROR(INDEX(Scoring!$O$5:$O$337,MATCH($A141&amp;"|"&amp;$B141,Scoring!$AF$5:$AF$337,0)),"")</f>
        <v/>
      </c>
      <c r="H141" s="6" t="str">
        <f aca="false">IFERROR(INDEX(Scoring!$N$5:$N$337,MATCH($A141&amp;"|"&amp;$B141,Scoring!$AF$5:$AF$337,0)),"")</f>
        <v/>
      </c>
      <c r="I141" s="5" t="str">
        <f aca="false">IFERROR(INDEX(Scoring!$F$5:$F$337,MATCH($A141&amp;"|"&amp;$B141,Scoring!$AF$5:$AF$337,0)),"")</f>
        <v/>
      </c>
      <c r="J141" s="5" t="str">
        <f aca="false">IFERROR(INDEX(Scoring!$E$5:$E$337,MATCH($A141&amp;"|"&amp;$B141,Scoring!$AF$5:$AF$337,0)),"")</f>
        <v/>
      </c>
      <c r="K141" s="5" t="str">
        <f aca="false">IFERROR(INDEX(Scoring!$K$5:$K$337,MATCH($A141&amp;"|"&amp;$B141,Scoring!$AF$5:$AF$337,0)),"")</f>
        <v/>
      </c>
      <c r="L141" s="5" t="str">
        <f aca="false">IFERROR(INDEX(Scoring!$L$5:$L$337,MATCH($A141&amp;"|"&amp;$B141,Scoring!$AF$5:$AF$337,0)),"")</f>
        <v/>
      </c>
      <c r="M141" s="5" t="str">
        <f aca="false">IFERROR(INDEX(Scoring!$M$5:$M$337,MATCH($A141&amp;"|"&amp;$B141,Scoring!$AF$5:$AF$337,0)),"")</f>
        <v/>
      </c>
      <c r="N141" s="5" t="str">
        <f aca="false">IFERROR(INDEX(Scoring!$Y$5:$Y$337,MATCH($A141&amp;"|"&amp;$B141,Scoring!$AF$5:$AF$337,0)),"")</f>
        <v/>
      </c>
      <c r="O141" s="5" t="str">
        <f aca="false">IFERROR(INDEX(Scoring!$Z$5:$Z$337,MATCH($A141&amp;"|"&amp;$B141,Scoring!$AF$5:$AF$337,0)),"")</f>
        <v/>
      </c>
      <c r="P141" s="5" t="str">
        <f aca="false">IFERROR(INDEX(Scoring!$AA$5:$AA$337,MATCH($A141&amp;"|"&amp;$B141,Scoring!$AF$5:$AF$337,0)),"")</f>
        <v/>
      </c>
      <c r="Q141" s="5" t="str">
        <f aca="false">IFERROR(INDEX(Scoring!$AE$5:$AE$337,MATCH($A141&amp;"|"&amp;$B141,Scoring!$AF$5:$AF$337,0)),"")</f>
        <v/>
      </c>
    </row>
    <row r="142" customFormat="false" ht="15" hidden="false" customHeight="false" outlineLevel="0" collapsed="false">
      <c r="A142" s="5" t="s">
        <v>73</v>
      </c>
      <c r="B142" s="5" t="n">
        <v>8</v>
      </c>
      <c r="C142" s="5" t="str">
        <f aca="false">IFERROR(INDEX(Scoring!$AD$5:$AD$337,MATCH($A142&amp;"|"&amp;$B142,Scoring!$AF$5:$AF$337,0)),"")</f>
        <v/>
      </c>
      <c r="D142" s="5" t="str">
        <f aca="false">IFERROR(INDEX(Scoring!$B$5:$B$337,MATCH($A142&amp;"|"&amp;$B142,Scoring!$AF$5:$AF$337,0)),"")</f>
        <v/>
      </c>
      <c r="E142" s="5" t="str">
        <f aca="false">IFERROR(INDEX(Scoring!$D$5:$D$337,MATCH($A142&amp;"|"&amp;$B142,Scoring!$AF$5:$AF$337,0)),"")</f>
        <v/>
      </c>
      <c r="F142" s="8" t="str">
        <f aca="false">IFERROR(INDEX(Scoring!$U$5:$U$337,MATCH($A142&amp;"|"&amp;$B142,Scoring!$AF$5:$AF$337,0)),"")</f>
        <v/>
      </c>
      <c r="G142" s="7" t="str">
        <f aca="false">IFERROR(INDEX(Scoring!$O$5:$O$337,MATCH($A142&amp;"|"&amp;$B142,Scoring!$AF$5:$AF$337,0)),"")</f>
        <v/>
      </c>
      <c r="H142" s="6" t="str">
        <f aca="false">IFERROR(INDEX(Scoring!$N$5:$N$337,MATCH($A142&amp;"|"&amp;$B142,Scoring!$AF$5:$AF$337,0)),"")</f>
        <v/>
      </c>
      <c r="I142" s="5" t="str">
        <f aca="false">IFERROR(INDEX(Scoring!$F$5:$F$337,MATCH($A142&amp;"|"&amp;$B142,Scoring!$AF$5:$AF$337,0)),"")</f>
        <v/>
      </c>
      <c r="J142" s="5" t="str">
        <f aca="false">IFERROR(INDEX(Scoring!$E$5:$E$337,MATCH($A142&amp;"|"&amp;$B142,Scoring!$AF$5:$AF$337,0)),"")</f>
        <v/>
      </c>
      <c r="K142" s="5" t="str">
        <f aca="false">IFERROR(INDEX(Scoring!$K$5:$K$337,MATCH($A142&amp;"|"&amp;$B142,Scoring!$AF$5:$AF$337,0)),"")</f>
        <v/>
      </c>
      <c r="L142" s="5" t="str">
        <f aca="false">IFERROR(INDEX(Scoring!$L$5:$L$337,MATCH($A142&amp;"|"&amp;$B142,Scoring!$AF$5:$AF$337,0)),"")</f>
        <v/>
      </c>
      <c r="M142" s="5" t="str">
        <f aca="false">IFERROR(INDEX(Scoring!$M$5:$M$337,MATCH($A142&amp;"|"&amp;$B142,Scoring!$AF$5:$AF$337,0)),"")</f>
        <v/>
      </c>
      <c r="N142" s="5" t="str">
        <f aca="false">IFERROR(INDEX(Scoring!$Y$5:$Y$337,MATCH($A142&amp;"|"&amp;$B142,Scoring!$AF$5:$AF$337,0)),"")</f>
        <v/>
      </c>
      <c r="O142" s="5" t="str">
        <f aca="false">IFERROR(INDEX(Scoring!$Z$5:$Z$337,MATCH($A142&amp;"|"&amp;$B142,Scoring!$AF$5:$AF$337,0)),"")</f>
        <v/>
      </c>
      <c r="P142" s="5" t="str">
        <f aca="false">IFERROR(INDEX(Scoring!$AA$5:$AA$337,MATCH($A142&amp;"|"&amp;$B142,Scoring!$AF$5:$AF$337,0)),"")</f>
        <v/>
      </c>
      <c r="Q142" s="5" t="str">
        <f aca="false">IFERROR(INDEX(Scoring!$AE$5:$AE$337,MATCH($A142&amp;"|"&amp;$B142,Scoring!$AF$5:$AF$337,0)),"")</f>
        <v/>
      </c>
    </row>
    <row r="143" customFormat="false" ht="15" hidden="false" customHeight="false" outlineLevel="0" collapsed="false">
      <c r="A143" s="5" t="s">
        <v>73</v>
      </c>
      <c r="B143" s="5" t="n">
        <v>9</v>
      </c>
      <c r="C143" s="5" t="str">
        <f aca="false">IFERROR(INDEX(Scoring!$AD$5:$AD$337,MATCH($A143&amp;"|"&amp;$B143,Scoring!$AF$5:$AF$337,0)),"")</f>
        <v/>
      </c>
      <c r="D143" s="5" t="str">
        <f aca="false">IFERROR(INDEX(Scoring!$B$5:$B$337,MATCH($A143&amp;"|"&amp;$B143,Scoring!$AF$5:$AF$337,0)),"")</f>
        <v/>
      </c>
      <c r="E143" s="5" t="str">
        <f aca="false">IFERROR(INDEX(Scoring!$D$5:$D$337,MATCH($A143&amp;"|"&amp;$B143,Scoring!$AF$5:$AF$337,0)),"")</f>
        <v/>
      </c>
      <c r="F143" s="8" t="str">
        <f aca="false">IFERROR(INDEX(Scoring!$U$5:$U$337,MATCH($A143&amp;"|"&amp;$B143,Scoring!$AF$5:$AF$337,0)),"")</f>
        <v/>
      </c>
      <c r="G143" s="7" t="str">
        <f aca="false">IFERROR(INDEX(Scoring!$O$5:$O$337,MATCH($A143&amp;"|"&amp;$B143,Scoring!$AF$5:$AF$337,0)),"")</f>
        <v/>
      </c>
      <c r="H143" s="6" t="str">
        <f aca="false">IFERROR(INDEX(Scoring!$N$5:$N$337,MATCH($A143&amp;"|"&amp;$B143,Scoring!$AF$5:$AF$337,0)),"")</f>
        <v/>
      </c>
      <c r="I143" s="5" t="str">
        <f aca="false">IFERROR(INDEX(Scoring!$F$5:$F$337,MATCH($A143&amp;"|"&amp;$B143,Scoring!$AF$5:$AF$337,0)),"")</f>
        <v/>
      </c>
      <c r="J143" s="5" t="str">
        <f aca="false">IFERROR(INDEX(Scoring!$E$5:$E$337,MATCH($A143&amp;"|"&amp;$B143,Scoring!$AF$5:$AF$337,0)),"")</f>
        <v/>
      </c>
      <c r="K143" s="5" t="str">
        <f aca="false">IFERROR(INDEX(Scoring!$K$5:$K$337,MATCH($A143&amp;"|"&amp;$B143,Scoring!$AF$5:$AF$337,0)),"")</f>
        <v/>
      </c>
      <c r="L143" s="5" t="str">
        <f aca="false">IFERROR(INDEX(Scoring!$L$5:$L$337,MATCH($A143&amp;"|"&amp;$B143,Scoring!$AF$5:$AF$337,0)),"")</f>
        <v/>
      </c>
      <c r="M143" s="5" t="str">
        <f aca="false">IFERROR(INDEX(Scoring!$M$5:$M$337,MATCH($A143&amp;"|"&amp;$B143,Scoring!$AF$5:$AF$337,0)),"")</f>
        <v/>
      </c>
      <c r="N143" s="5" t="str">
        <f aca="false">IFERROR(INDEX(Scoring!$Y$5:$Y$337,MATCH($A143&amp;"|"&amp;$B143,Scoring!$AF$5:$AF$337,0)),"")</f>
        <v/>
      </c>
      <c r="O143" s="5" t="str">
        <f aca="false">IFERROR(INDEX(Scoring!$Z$5:$Z$337,MATCH($A143&amp;"|"&amp;$B143,Scoring!$AF$5:$AF$337,0)),"")</f>
        <v/>
      </c>
      <c r="P143" s="5" t="str">
        <f aca="false">IFERROR(INDEX(Scoring!$AA$5:$AA$337,MATCH($A143&amp;"|"&amp;$B143,Scoring!$AF$5:$AF$337,0)),"")</f>
        <v/>
      </c>
      <c r="Q143" s="5" t="str">
        <f aca="false">IFERROR(INDEX(Scoring!$AE$5:$AE$337,MATCH($A143&amp;"|"&amp;$B143,Scoring!$AF$5:$AF$337,0)),"")</f>
        <v/>
      </c>
    </row>
    <row r="144" customFormat="false" ht="15" hidden="false" customHeight="false" outlineLevel="0" collapsed="false">
      <c r="A144" s="5" t="s">
        <v>73</v>
      </c>
      <c r="B144" s="5" t="n">
        <v>10</v>
      </c>
      <c r="C144" s="5" t="str">
        <f aca="false">IFERROR(INDEX(Scoring!$AD$5:$AD$337,MATCH($A144&amp;"|"&amp;$B144,Scoring!$AF$5:$AF$337,0)),"")</f>
        <v/>
      </c>
      <c r="D144" s="5" t="str">
        <f aca="false">IFERROR(INDEX(Scoring!$B$5:$B$337,MATCH($A144&amp;"|"&amp;$B144,Scoring!$AF$5:$AF$337,0)),"")</f>
        <v/>
      </c>
      <c r="E144" s="5" t="str">
        <f aca="false">IFERROR(INDEX(Scoring!$D$5:$D$337,MATCH($A144&amp;"|"&amp;$B144,Scoring!$AF$5:$AF$337,0)),"")</f>
        <v/>
      </c>
      <c r="F144" s="8" t="str">
        <f aca="false">IFERROR(INDEX(Scoring!$U$5:$U$337,MATCH($A144&amp;"|"&amp;$B144,Scoring!$AF$5:$AF$337,0)),"")</f>
        <v/>
      </c>
      <c r="G144" s="7" t="str">
        <f aca="false">IFERROR(INDEX(Scoring!$O$5:$O$337,MATCH($A144&amp;"|"&amp;$B144,Scoring!$AF$5:$AF$337,0)),"")</f>
        <v/>
      </c>
      <c r="H144" s="6" t="str">
        <f aca="false">IFERROR(INDEX(Scoring!$N$5:$N$337,MATCH($A144&amp;"|"&amp;$B144,Scoring!$AF$5:$AF$337,0)),"")</f>
        <v/>
      </c>
      <c r="I144" s="5" t="str">
        <f aca="false">IFERROR(INDEX(Scoring!$F$5:$F$337,MATCH($A144&amp;"|"&amp;$B144,Scoring!$AF$5:$AF$337,0)),"")</f>
        <v/>
      </c>
      <c r="J144" s="5" t="str">
        <f aca="false">IFERROR(INDEX(Scoring!$E$5:$E$337,MATCH($A144&amp;"|"&amp;$B144,Scoring!$AF$5:$AF$337,0)),"")</f>
        <v/>
      </c>
      <c r="K144" s="5" t="str">
        <f aca="false">IFERROR(INDEX(Scoring!$K$5:$K$337,MATCH($A144&amp;"|"&amp;$B144,Scoring!$AF$5:$AF$337,0)),"")</f>
        <v/>
      </c>
      <c r="L144" s="5" t="str">
        <f aca="false">IFERROR(INDEX(Scoring!$L$5:$L$337,MATCH($A144&amp;"|"&amp;$B144,Scoring!$AF$5:$AF$337,0)),"")</f>
        <v/>
      </c>
      <c r="M144" s="5" t="str">
        <f aca="false">IFERROR(INDEX(Scoring!$M$5:$M$337,MATCH($A144&amp;"|"&amp;$B144,Scoring!$AF$5:$AF$337,0)),"")</f>
        <v/>
      </c>
      <c r="N144" s="5" t="str">
        <f aca="false">IFERROR(INDEX(Scoring!$Y$5:$Y$337,MATCH($A144&amp;"|"&amp;$B144,Scoring!$AF$5:$AF$337,0)),"")</f>
        <v/>
      </c>
      <c r="O144" s="5" t="str">
        <f aca="false">IFERROR(INDEX(Scoring!$Z$5:$Z$337,MATCH($A144&amp;"|"&amp;$B144,Scoring!$AF$5:$AF$337,0)),"")</f>
        <v/>
      </c>
      <c r="P144" s="5" t="str">
        <f aca="false">IFERROR(INDEX(Scoring!$AA$5:$AA$337,MATCH($A144&amp;"|"&amp;$B144,Scoring!$AF$5:$AF$337,0)),"")</f>
        <v/>
      </c>
      <c r="Q144" s="5" t="str">
        <f aca="false">IFERROR(INDEX(Scoring!$AE$5:$AE$337,MATCH($A144&amp;"|"&amp;$B144,Scoring!$AF$5:$AF$337,0)),"")</f>
        <v/>
      </c>
    </row>
    <row r="145" customFormat="false" ht="15" hidden="false" customHeight="false" outlineLevel="0" collapsed="false">
      <c r="A145" s="14" t="s">
        <v>50</v>
      </c>
      <c r="B145" s="14" t="n">
        <v>1</v>
      </c>
      <c r="C145" s="14" t="str">
        <f aca="false">IFERROR(INDEX(Scoring!$AD$5:$AD$337,MATCH($A145&amp;"|"&amp;$B145,Scoring!$AF$5:$AF$337,0)),"")</f>
        <v>Lead</v>
      </c>
      <c r="D145" s="14" t="str">
        <f aca="false">IFERROR(INDEX(Scoring!$B$5:$B$337,MATCH($A145&amp;"|"&amp;$B145,Scoring!$AF$5:$AF$337,0)),"")</f>
        <v>Bortezomib</v>
      </c>
      <c r="E145" s="14" t="str">
        <f aca="false">IFERROR(INDEX(Scoring!$D$5:$D$337,MATCH($A145&amp;"|"&amp;$B145,Scoring!$AF$5:$AF$337,0)),"")</f>
        <v>Oncology – multiple myeloma &amp; mantle cell lymphoma</v>
      </c>
      <c r="F145" s="15" t="n">
        <f aca="false">IFERROR(INDEX(Scoring!$U$5:$U$337,MATCH($A145&amp;"|"&amp;$B145,Scoring!$AF$5:$AF$337,0)),"")</f>
        <v>0.878</v>
      </c>
      <c r="G145" s="16" t="n">
        <f aca="false">IFERROR(INDEX(Scoring!$O$5:$O$337,MATCH($A145&amp;"|"&amp;$B145,Scoring!$AF$5:$AF$337,0)),"")</f>
        <v>28093.38</v>
      </c>
      <c r="H145" s="17" t="n">
        <f aca="false">IFERROR(INDEX(Scoring!$N$5:$N$337,MATCH($A145&amp;"|"&amp;$B145,Scoring!$AF$5:$AF$337,0)),"")</f>
        <v>887.32785</v>
      </c>
      <c r="I145" s="14" t="n">
        <f aca="false">IFERROR(INDEX(Scoring!$F$5:$F$337,MATCH($A145&amp;"|"&amp;$B145,Scoring!$AF$5:$AF$337,0)),"")</f>
        <v>7</v>
      </c>
      <c r="J145" s="14" t="n">
        <f aca="false">IFERROR(INDEX(Scoring!$E$5:$E$337,MATCH($A145&amp;"|"&amp;$B145,Scoring!$AF$5:$AF$337,0)),"")</f>
        <v>32</v>
      </c>
      <c r="K145" s="14" t="n">
        <f aca="false">IFERROR(INDEX(Scoring!$K$5:$K$337,MATCH($A145&amp;"|"&amp;$B145,Scoring!$AF$5:$AF$337,0)),"")</f>
        <v>4</v>
      </c>
      <c r="L145" s="14" t="n">
        <f aca="false">IFERROR(INDEX(Scoring!$L$5:$L$337,MATCH($A145&amp;"|"&amp;$B145,Scoring!$AF$5:$AF$337,0)),"")</f>
        <v>0</v>
      </c>
      <c r="M145" s="14" t="n">
        <f aca="false">IFERROR(INDEX(Scoring!$M$5:$M$337,MATCH($A145&amp;"|"&amp;$B145,Scoring!$AF$5:$AF$337,0)),"")</f>
        <v>0</v>
      </c>
      <c r="N145" s="14" t="str">
        <f aca="false">IFERROR(INDEX(Scoring!$Y$5:$Y$337,MATCH($A145&amp;"|"&amp;$B145,Scoring!$AF$5:$AF$337,0)),"")</f>
        <v>Yes</v>
      </c>
      <c r="O145" s="14" t="str">
        <f aca="false">IFERROR(INDEX(Scoring!$Z$5:$Z$337,MATCH($A145&amp;"|"&amp;$B145,Scoring!$AF$5:$AF$337,0)),"")</f>
        <v>Yes</v>
      </c>
      <c r="P145" s="14" t="str">
        <f aca="false">IFERROR(INDEX(Scoring!$AA$5:$AA$337,MATCH($A145&amp;"|"&amp;$B145,Scoring!$AF$5:$AF$337,0)),"")</f>
        <v>Yes</v>
      </c>
      <c r="Q145" s="14" t="str">
        <f aca="false">IFERROR(INDEX(Scoring!$AE$5:$AE$337,MATCH($A145&amp;"|"&amp;$B145,Scoring!$AF$5:$AF$337,0)),"")</f>
        <v>Differentiation in crowded generic market</v>
      </c>
    </row>
    <row r="146" customFormat="false" ht="15" hidden="false" customHeight="false" outlineLevel="0" collapsed="false">
      <c r="A146" s="5" t="s">
        <v>50</v>
      </c>
      <c r="B146" s="5" t="n">
        <v>2</v>
      </c>
      <c r="C146" s="5" t="str">
        <f aca="false">IFERROR(INDEX(Scoring!$AD$5:$AD$337,MATCH($A146&amp;"|"&amp;$B146,Scoring!$AF$5:$AF$337,0)),"")</f>
        <v>Lead</v>
      </c>
      <c r="D146" s="5" t="str">
        <f aca="false">IFERROR(INDEX(Scoring!$B$5:$B$337,MATCH($A146&amp;"|"&amp;$B146,Scoring!$AF$5:$AF$337,0)),"")</f>
        <v>Fulvestrant</v>
      </c>
      <c r="E146" s="5" t="str">
        <f aca="false">IFERROR(INDEX(Scoring!$D$5:$D$337,MATCH($A146&amp;"|"&amp;$B146,Scoring!$AF$5:$AF$337,0)),"")</f>
        <v>Oncology – HR+ advanced breast cancer</v>
      </c>
      <c r="F146" s="8" t="n">
        <f aca="false">IFERROR(INDEX(Scoring!$U$5:$U$337,MATCH($A146&amp;"|"&amp;$B146,Scoring!$AF$5:$AF$337,0)),"")</f>
        <v>0.8095</v>
      </c>
      <c r="G146" s="7" t="n">
        <f aca="false">IFERROR(INDEX(Scoring!$O$5:$O$337,MATCH($A146&amp;"|"&amp;$B146,Scoring!$AF$5:$AF$337,0)),"")</f>
        <v>11366.06</v>
      </c>
      <c r="H146" s="6" t="n">
        <f aca="false">IFERROR(INDEX(Scoring!$N$5:$N$337,MATCH($A146&amp;"|"&amp;$B146,Scoring!$AF$5:$AF$337,0)),"")</f>
        <v>438.5892</v>
      </c>
      <c r="I146" s="5" t="n">
        <f aca="false">IFERROR(INDEX(Scoring!$F$5:$F$337,MATCH($A146&amp;"|"&amp;$B146,Scoring!$AF$5:$AF$337,0)),"")</f>
        <v>6</v>
      </c>
      <c r="J146" s="5" t="n">
        <f aca="false">IFERROR(INDEX(Scoring!$E$5:$E$337,MATCH($A146&amp;"|"&amp;$B146,Scoring!$AF$5:$AF$337,0)),"")</f>
        <v>32</v>
      </c>
      <c r="K146" s="5" t="n">
        <f aca="false">IFERROR(INDEX(Scoring!$K$5:$K$337,MATCH($A146&amp;"|"&amp;$B146,Scoring!$AF$5:$AF$337,0)),"")</f>
        <v>0</v>
      </c>
      <c r="L146" s="5" t="n">
        <f aca="false">IFERROR(INDEX(Scoring!$L$5:$L$337,MATCH($A146&amp;"|"&amp;$B146,Scoring!$AF$5:$AF$337,0)),"")</f>
        <v>0</v>
      </c>
      <c r="M146" s="5" t="n">
        <f aca="false">IFERROR(INDEX(Scoring!$M$5:$M$337,MATCH($A146&amp;"|"&amp;$B146,Scoring!$AF$5:$AF$337,0)),"")</f>
        <v>2</v>
      </c>
      <c r="N146" s="5" t="str">
        <f aca="false">IFERROR(INDEX(Scoring!$Y$5:$Y$337,MATCH($A146&amp;"|"&amp;$B146,Scoring!$AF$5:$AF$337,0)),"")</f>
        <v>No</v>
      </c>
      <c r="O146" s="5" t="str">
        <f aca="false">IFERROR(INDEX(Scoring!$Z$5:$Z$337,MATCH($A146&amp;"|"&amp;$B146,Scoring!$AF$5:$AF$337,0)),"")</f>
        <v>No</v>
      </c>
      <c r="P146" s="5" t="str">
        <f aca="false">IFERROR(INDEX(Scoring!$AA$5:$AA$337,MATCH($A146&amp;"|"&amp;$B146,Scoring!$AF$5:$AF$337,0)),"")</f>
        <v>Yes</v>
      </c>
      <c r="Q146" s="5" t="str">
        <f aca="false">IFERROR(INDEX(Scoring!$AE$5:$AE$337,MATCH($A146&amp;"|"&amp;$B146,Scoring!$AF$5:$AF$337,0)),"")</f>
        <v>Safety upgrade of existing prefilled syringe</v>
      </c>
    </row>
    <row r="147" customFormat="false" ht="15" hidden="false" customHeight="false" outlineLevel="0" collapsed="false">
      <c r="A147" s="5" t="s">
        <v>50</v>
      </c>
      <c r="B147" s="5" t="n">
        <v>3</v>
      </c>
      <c r="C147" s="5" t="str">
        <f aca="false">IFERROR(INDEX(Scoring!$AD$5:$AD$337,MATCH($A147&amp;"|"&amp;$B147,Scoring!$AF$5:$AF$337,0)),"")</f>
        <v>Lead</v>
      </c>
      <c r="D147" s="5" t="str">
        <f aca="false">IFERROR(INDEX(Scoring!$B$5:$B$337,MATCH($A147&amp;"|"&amp;$B147,Scoring!$AF$5:$AF$337,0)),"")</f>
        <v>Sugammadex</v>
      </c>
      <c r="E147" s="5" t="str">
        <f aca="false">IFERROR(INDEX(Scoring!$D$5:$D$337,MATCH($A147&amp;"|"&amp;$B147,Scoring!$AF$5:$AF$337,0)),"")</f>
        <v>Anaesthesia – reversal of rocuronium/vecuronium muscle relaxation</v>
      </c>
      <c r="F147" s="8" t="n">
        <f aca="false">IFERROR(INDEX(Scoring!$U$5:$U$337,MATCH($A147&amp;"|"&amp;$B147,Scoring!$AF$5:$AF$337,0)),"")</f>
        <v>0.699</v>
      </c>
      <c r="G147" s="7" t="n">
        <f aca="false">IFERROR(INDEX(Scoring!$O$5:$O$337,MATCH($A147&amp;"|"&amp;$B147,Scoring!$AF$5:$AF$337,0)),"")</f>
        <v>32830.17</v>
      </c>
      <c r="H147" s="6" t="n">
        <f aca="false">IFERROR(INDEX(Scoring!$N$5:$N$337,MATCH($A147&amp;"|"&amp;$B147,Scoring!$AF$5:$AF$337,0)),"")</f>
        <v>40.14</v>
      </c>
      <c r="I147" s="5" t="n">
        <f aca="false">IFERROR(INDEX(Scoring!$F$5:$F$337,MATCH($A147&amp;"|"&amp;$B147,Scoring!$AF$5:$AF$337,0)),"")</f>
        <v>2</v>
      </c>
      <c r="J147" s="5" t="n">
        <f aca="false">IFERROR(INDEX(Scoring!$E$5:$E$337,MATCH($A147&amp;"|"&amp;$B147,Scoring!$AF$5:$AF$337,0)),"")</f>
        <v>3</v>
      </c>
      <c r="K147" s="5" t="n">
        <f aca="false">IFERROR(INDEX(Scoring!$K$5:$K$337,MATCH($A147&amp;"|"&amp;$B147,Scoring!$AF$5:$AF$337,0)),"")</f>
        <v>4</v>
      </c>
      <c r="L147" s="5" t="n">
        <f aca="false">IFERROR(INDEX(Scoring!$L$5:$L$337,MATCH($A147&amp;"|"&amp;$B147,Scoring!$AF$5:$AF$337,0)),"")</f>
        <v>0</v>
      </c>
      <c r="M147" s="5" t="n">
        <f aca="false">IFERROR(INDEX(Scoring!$M$5:$M$337,MATCH($A147&amp;"|"&amp;$B147,Scoring!$AF$5:$AF$337,0)),"")</f>
        <v>0</v>
      </c>
      <c r="N147" s="5" t="str">
        <f aca="false">IFERROR(INDEX(Scoring!$Y$5:$Y$337,MATCH($A147&amp;"|"&amp;$B147,Scoring!$AF$5:$AF$337,0)),"")</f>
        <v>No</v>
      </c>
      <c r="O147" s="5" t="str">
        <f aca="false">IFERROR(INDEX(Scoring!$Z$5:$Z$337,MATCH($A147&amp;"|"&amp;$B147,Scoring!$AF$5:$AF$337,0)),"")</f>
        <v>No</v>
      </c>
      <c r="P147" s="5" t="str">
        <f aca="false">IFERROR(INDEX(Scoring!$AA$5:$AA$337,MATCH($A147&amp;"|"&amp;$B147,Scoring!$AF$5:$AF$337,0)),"")</f>
        <v>Yes</v>
      </c>
      <c r="Q147" s="5" t="str">
        <f aca="false">IFERROR(INDEX(Scoring!$AE$5:$AE$337,MATCH($A147&amp;"|"&amp;$B147,Scoring!$AF$5:$AF$337,0)),"")</f>
        <v>Differentiation in crowded generic market</v>
      </c>
    </row>
    <row r="148" customFormat="false" ht="15" hidden="false" customHeight="false" outlineLevel="0" collapsed="false">
      <c r="A148" s="5" t="s">
        <v>50</v>
      </c>
      <c r="B148" s="5" t="n">
        <v>4</v>
      </c>
      <c r="C148" s="5" t="str">
        <f aca="false">IFERROR(INDEX(Scoring!$AD$5:$AD$337,MATCH($A148&amp;"|"&amp;$B148,Scoring!$AF$5:$AF$337,0)),"")</f>
        <v>Lead</v>
      </c>
      <c r="D148" s="5" t="str">
        <f aca="false">IFERROR(INDEX(Scoring!$B$5:$B$337,MATCH($A148&amp;"|"&amp;$B148,Scoring!$AF$5:$AF$337,0)),"")</f>
        <v>Melphalan</v>
      </c>
      <c r="E148" s="5" t="str">
        <f aca="false">IFERROR(INDEX(Scoring!$D$5:$D$337,MATCH($A148&amp;"|"&amp;$B148,Scoring!$AF$5:$AF$337,0)),"")</f>
        <v>Oncology – multiple myeloma (stem-cell transplant conditioning)</v>
      </c>
      <c r="F148" s="8" t="n">
        <f aca="false">IFERROR(INDEX(Scoring!$U$5:$U$337,MATCH($A148&amp;"|"&amp;$B148,Scoring!$AF$5:$AF$337,0)),"")</f>
        <v>0.6025</v>
      </c>
      <c r="G148" s="7" t="n">
        <f aca="false">IFERROR(INDEX(Scoring!$O$5:$O$337,MATCH($A148&amp;"|"&amp;$B148,Scoring!$AF$5:$AF$337,0)),"")</f>
        <v>2886.00398313027</v>
      </c>
      <c r="H148" s="6" t="n">
        <f aca="false">IFERROR(INDEX(Scoring!$N$5:$N$337,MATCH($A148&amp;"|"&amp;$B148,Scoring!$AF$5:$AF$337,0)),"")</f>
        <v>180.42275</v>
      </c>
      <c r="I148" s="5" t="n">
        <f aca="false">IFERROR(INDEX(Scoring!$F$5:$F$337,MATCH($A148&amp;"|"&amp;$B148,Scoring!$AF$5:$AF$337,0)),"")</f>
        <v>6</v>
      </c>
      <c r="J148" s="5" t="n">
        <f aca="false">IFERROR(INDEX(Scoring!$E$5:$E$337,MATCH($A148&amp;"|"&amp;$B148,Scoring!$AF$5:$AF$337,0)),"")</f>
        <v>29</v>
      </c>
      <c r="K148" s="5" t="n">
        <f aca="false">IFERROR(INDEX(Scoring!$K$5:$K$337,MATCH($A148&amp;"|"&amp;$B148,Scoring!$AF$5:$AF$337,0)),"")</f>
        <v>2</v>
      </c>
      <c r="L148" s="5" t="n">
        <f aca="false">IFERROR(INDEX(Scoring!$L$5:$L$337,MATCH($A148&amp;"|"&amp;$B148,Scoring!$AF$5:$AF$337,0)),"")</f>
        <v>0</v>
      </c>
      <c r="M148" s="5" t="n">
        <f aca="false">IFERROR(INDEX(Scoring!$M$5:$M$337,MATCH($A148&amp;"|"&amp;$B148,Scoring!$AF$5:$AF$337,0)),"")</f>
        <v>0</v>
      </c>
      <c r="N148" s="5" t="str">
        <f aca="false">IFERROR(INDEX(Scoring!$Y$5:$Y$337,MATCH($A148&amp;"|"&amp;$B148,Scoring!$AF$5:$AF$337,0)),"")</f>
        <v>Yes</v>
      </c>
      <c r="O148" s="5" t="str">
        <f aca="false">IFERROR(INDEX(Scoring!$Z$5:$Z$337,MATCH($A148&amp;"|"&amp;$B148,Scoring!$AF$5:$AF$337,0)),"")</f>
        <v>Yes</v>
      </c>
      <c r="P148" s="5" t="str">
        <f aca="false">IFERROR(INDEX(Scoring!$AA$5:$AA$337,MATCH($A148&amp;"|"&amp;$B148,Scoring!$AF$5:$AF$337,0)),"")</f>
        <v>Yes</v>
      </c>
      <c r="Q148" s="5" t="str">
        <f aca="false">IFERROR(INDEX(Scoring!$AE$5:$AE$337,MATCH($A148&amp;"|"&amp;$B148,Scoring!$AF$5:$AF$337,0)),"")</f>
        <v>Differentiation in crowded generic market</v>
      </c>
    </row>
    <row r="149" customFormat="false" ht="15" hidden="false" customHeight="false" outlineLevel="0" collapsed="false">
      <c r="A149" s="5" t="s">
        <v>50</v>
      </c>
      <c r="B149" s="5" t="n">
        <v>5</v>
      </c>
      <c r="C149" s="5" t="str">
        <f aca="false">IFERROR(INDEX(Scoring!$AD$5:$AD$337,MATCH($A149&amp;"|"&amp;$B149,Scoring!$AF$5:$AF$337,0)),"")</f>
        <v>Lead</v>
      </c>
      <c r="D149" s="5" t="str">
        <f aca="false">IFERROR(INDEX(Scoring!$B$5:$B$337,MATCH($A149&amp;"|"&amp;$B149,Scoring!$AF$5:$AF$337,0)),"")</f>
        <v>Doxorubicin</v>
      </c>
      <c r="E149" s="5" t="str">
        <f aca="false">IFERROR(INDEX(Scoring!$D$5:$D$337,MATCH($A149&amp;"|"&amp;$B149,Scoring!$AF$5:$AF$337,0)),"")</f>
        <v>Oncology – breast cancer, lymphomas, sarcomas, leukaemia</v>
      </c>
      <c r="F149" s="8" t="n">
        <f aca="false">IFERROR(INDEX(Scoring!$U$5:$U$337,MATCH($A149&amp;"|"&amp;$B149,Scoring!$AF$5:$AF$337,0)),"")</f>
        <v>0.6005</v>
      </c>
      <c r="G149" s="7" t="n">
        <f aca="false">IFERROR(INDEX(Scoring!$O$5:$O$337,MATCH($A149&amp;"|"&amp;$B149,Scoring!$AF$5:$AF$337,0)),"")</f>
        <v>41503.1541474654</v>
      </c>
      <c r="H149" s="6" t="n">
        <f aca="false">IFERROR(INDEX(Scoring!$N$5:$N$337,MATCH($A149&amp;"|"&amp;$B149,Scoring!$AF$5:$AF$337,0)),"")</f>
        <v>15.95</v>
      </c>
      <c r="I149" s="5" t="n">
        <f aca="false">IFERROR(INDEX(Scoring!$F$5:$F$337,MATCH($A149&amp;"|"&amp;$B149,Scoring!$AF$5:$AF$337,0)),"")</f>
        <v>1</v>
      </c>
      <c r="J149" s="5" t="n">
        <f aca="false">IFERROR(INDEX(Scoring!$E$5:$E$337,MATCH($A149&amp;"|"&amp;$B149,Scoring!$AF$5:$AF$337,0)),"")</f>
        <v>1</v>
      </c>
      <c r="K149" s="5" t="n">
        <f aca="false">IFERROR(INDEX(Scoring!$K$5:$K$337,MATCH($A149&amp;"|"&amp;$B149,Scoring!$AF$5:$AF$337,0)),"")</f>
        <v>1</v>
      </c>
      <c r="L149" s="5" t="n">
        <f aca="false">IFERROR(INDEX(Scoring!$L$5:$L$337,MATCH($A149&amp;"|"&amp;$B149,Scoring!$AF$5:$AF$337,0)),"")</f>
        <v>0</v>
      </c>
      <c r="M149" s="5" t="n">
        <f aca="false">IFERROR(INDEX(Scoring!$M$5:$M$337,MATCH($A149&amp;"|"&amp;$B149,Scoring!$AF$5:$AF$337,0)),"")</f>
        <v>0</v>
      </c>
      <c r="N149" s="5" t="str">
        <f aca="false">IFERROR(INDEX(Scoring!$Y$5:$Y$337,MATCH($A149&amp;"|"&amp;$B149,Scoring!$AF$5:$AF$337,0)),"")</f>
        <v>Yes</v>
      </c>
      <c r="O149" s="5" t="str">
        <f aca="false">IFERROR(INDEX(Scoring!$Z$5:$Z$337,MATCH($A149&amp;"|"&amp;$B149,Scoring!$AF$5:$AF$337,0)),"")</f>
        <v>No</v>
      </c>
      <c r="P149" s="5" t="str">
        <f aca="false">IFERROR(INDEX(Scoring!$AA$5:$AA$337,MATCH($A149&amp;"|"&amp;$B149,Scoring!$AF$5:$AF$337,0)),"")</f>
        <v>Yes</v>
      </c>
      <c r="Q149" s="5" t="str">
        <f aca="false">IFERROR(INDEX(Scoring!$AE$5:$AE$337,MATCH($A149&amp;"|"&amp;$B149,Scoring!$AF$5:$AF$337,0)),"")</f>
        <v>Differentiation in crowded generic market</v>
      </c>
    </row>
    <row r="150" customFormat="false" ht="15" hidden="false" customHeight="false" outlineLevel="0" collapsed="false">
      <c r="A150" s="5" t="s">
        <v>50</v>
      </c>
      <c r="B150" s="5" t="n">
        <v>6</v>
      </c>
      <c r="C150" s="5" t="str">
        <f aca="false">IFERROR(INDEX(Scoring!$AD$5:$AD$337,MATCH($A150&amp;"|"&amp;$B150,Scoring!$AF$5:$AF$337,0)),"")</f>
        <v>Next wave</v>
      </c>
      <c r="D150" s="5" t="str">
        <f aca="false">IFERROR(INDEX(Scoring!$B$5:$B$337,MATCH($A150&amp;"|"&amp;$B150,Scoring!$AF$5:$AF$337,0)),"")</f>
        <v>Meropenem</v>
      </c>
      <c r="E150" s="5" t="str">
        <f aca="false">IFERROR(INDEX(Scoring!$D$5:$D$337,MATCH($A150&amp;"|"&amp;$B150,Scoring!$AF$5:$AF$337,0)),"")</f>
        <v>Anti-infective – severe hospital infections (ICU, sepsis, meningitis, MDR)</v>
      </c>
      <c r="F150" s="8" t="n">
        <f aca="false">IFERROR(INDEX(Scoring!$U$5:$U$337,MATCH($A150&amp;"|"&amp;$B150,Scoring!$AF$5:$AF$337,0)),"")</f>
        <v>0.5905</v>
      </c>
      <c r="G150" s="7" t="n">
        <f aca="false">IFERROR(INDEX(Scoring!$O$5:$O$337,MATCH($A150&amp;"|"&amp;$B150,Scoring!$AF$5:$AF$337,0)),"")</f>
        <v>58920.4013724345</v>
      </c>
      <c r="H150" s="6" t="n">
        <f aca="false">IFERROR(INDEX(Scoring!$N$5:$N$337,MATCH($A150&amp;"|"&amp;$B150,Scoring!$AF$5:$AF$337,0)),"")</f>
        <v>11.90695625</v>
      </c>
      <c r="I150" s="5" t="n">
        <f aca="false">IFERROR(INDEX(Scoring!$F$5:$F$337,MATCH($A150&amp;"|"&amp;$B150,Scoring!$AF$5:$AF$337,0)),"")</f>
        <v>7</v>
      </c>
      <c r="J150" s="5" t="n">
        <f aca="false">IFERROR(INDEX(Scoring!$E$5:$E$337,MATCH($A150&amp;"|"&amp;$B150,Scoring!$AF$5:$AF$337,0)),"")</f>
        <v>34</v>
      </c>
      <c r="K150" s="5" t="n">
        <f aca="false">IFERROR(INDEX(Scoring!$K$5:$K$337,MATCH($A150&amp;"|"&amp;$B150,Scoring!$AF$5:$AF$337,0)),"")</f>
        <v>8</v>
      </c>
      <c r="L150" s="5" t="n">
        <f aca="false">IFERROR(INDEX(Scoring!$L$5:$L$337,MATCH($A150&amp;"|"&amp;$B150,Scoring!$AF$5:$AF$337,0)),"")</f>
        <v>0</v>
      </c>
      <c r="M150" s="5" t="n">
        <f aca="false">IFERROR(INDEX(Scoring!$M$5:$M$337,MATCH($A150&amp;"|"&amp;$B150,Scoring!$AF$5:$AF$337,0)),"")</f>
        <v>0</v>
      </c>
      <c r="N150" s="5" t="str">
        <f aca="false">IFERROR(INDEX(Scoring!$Y$5:$Y$337,MATCH($A150&amp;"|"&amp;$B150,Scoring!$AF$5:$AF$337,0)),"")</f>
        <v>No</v>
      </c>
      <c r="O150" s="5" t="str">
        <f aca="false">IFERROR(INDEX(Scoring!$Z$5:$Z$337,MATCH($A150&amp;"|"&amp;$B150,Scoring!$AF$5:$AF$337,0)),"")</f>
        <v>Yes</v>
      </c>
      <c r="P150" s="5" t="str">
        <f aca="false">IFERROR(INDEX(Scoring!$AA$5:$AA$337,MATCH($A150&amp;"|"&amp;$B150,Scoring!$AF$5:$AF$337,0)),"")</f>
        <v>Yes</v>
      </c>
      <c r="Q150" s="5" t="str">
        <f aca="false">IFERROR(INDEX(Scoring!$AE$5:$AE$337,MATCH($A150&amp;"|"&amp;$B150,Scoring!$AF$5:$AF$337,0)),"")</f>
        <v>Differentiation in crowded generic market</v>
      </c>
    </row>
    <row r="151" customFormat="false" ht="15" hidden="false" customHeight="false" outlineLevel="0" collapsed="false">
      <c r="A151" s="5" t="s">
        <v>50</v>
      </c>
      <c r="B151" s="5" t="n">
        <v>7</v>
      </c>
      <c r="C151" s="5" t="str">
        <f aca="false">IFERROR(INDEX(Scoring!$AD$5:$AD$337,MATCH($A151&amp;"|"&amp;$B151,Scoring!$AF$5:$AF$337,0)),"")</f>
        <v>Next wave</v>
      </c>
      <c r="D151" s="5" t="str">
        <f aca="false">IFERROR(INDEX(Scoring!$B$5:$B$337,MATCH($A151&amp;"|"&amp;$B151,Scoring!$AF$5:$AF$337,0)),"")</f>
        <v>Teicoplanin</v>
      </c>
      <c r="E151" s="5" t="str">
        <f aca="false">IFERROR(INDEX(Scoring!$D$5:$D$337,MATCH($A151&amp;"|"&amp;$B151,Scoring!$AF$5:$AF$337,0)),"")</f>
        <v>Anti-infective – MRSA &amp; serious Gram-positive infections</v>
      </c>
      <c r="F151" s="8" t="n">
        <f aca="false">IFERROR(INDEX(Scoring!$U$5:$U$337,MATCH($A151&amp;"|"&amp;$B151,Scoring!$AF$5:$AF$337,0)),"")</f>
        <v>0.5795</v>
      </c>
      <c r="G151" s="7" t="n">
        <f aca="false">IFERROR(INDEX(Scoring!$O$5:$O$337,MATCH($A151&amp;"|"&amp;$B151,Scoring!$AF$5:$AF$337,0)),"")</f>
        <v>6632.55</v>
      </c>
      <c r="H151" s="6" t="n">
        <f aca="false">IFERROR(INDEX(Scoring!$N$5:$N$337,MATCH($A151&amp;"|"&amp;$B151,Scoring!$AF$5:$AF$337,0)),"")</f>
        <v>36.52825</v>
      </c>
      <c r="I151" s="5" t="n">
        <f aca="false">IFERROR(INDEX(Scoring!$F$5:$F$337,MATCH($A151&amp;"|"&amp;$B151,Scoring!$AF$5:$AF$337,0)),"")</f>
        <v>6</v>
      </c>
      <c r="J151" s="5" t="n">
        <f aca="false">IFERROR(INDEX(Scoring!$E$5:$E$337,MATCH($A151&amp;"|"&amp;$B151,Scoring!$AF$5:$AF$337,0)),"")</f>
        <v>27</v>
      </c>
      <c r="K151" s="5" t="n">
        <f aca="false">IFERROR(INDEX(Scoring!$K$5:$K$337,MATCH($A151&amp;"|"&amp;$B151,Scoring!$AF$5:$AF$337,0)),"")</f>
        <v>1</v>
      </c>
      <c r="L151" s="5" t="n">
        <f aca="false">IFERROR(INDEX(Scoring!$L$5:$L$337,MATCH($A151&amp;"|"&amp;$B151,Scoring!$AF$5:$AF$337,0)),"")</f>
        <v>1</v>
      </c>
      <c r="M151" s="5" t="n">
        <f aca="false">IFERROR(INDEX(Scoring!$M$5:$M$337,MATCH($A151&amp;"|"&amp;$B151,Scoring!$AF$5:$AF$337,0)),"")</f>
        <v>0</v>
      </c>
      <c r="N151" s="5" t="str">
        <f aca="false">IFERROR(INDEX(Scoring!$Y$5:$Y$337,MATCH($A151&amp;"|"&amp;$B151,Scoring!$AF$5:$AF$337,0)),"")</f>
        <v>No</v>
      </c>
      <c r="O151" s="5" t="str">
        <f aca="false">IFERROR(INDEX(Scoring!$Z$5:$Z$337,MATCH($A151&amp;"|"&amp;$B151,Scoring!$AF$5:$AF$337,0)),"")</f>
        <v>Yes</v>
      </c>
      <c r="P151" s="5" t="str">
        <f aca="false">IFERROR(INDEX(Scoring!$AA$5:$AA$337,MATCH($A151&amp;"|"&amp;$B151,Scoring!$AF$5:$AF$337,0)),"")</f>
        <v>Yes</v>
      </c>
      <c r="Q151" s="5" t="str">
        <f aca="false">IFERROR(INDEX(Scoring!$AE$5:$AE$337,MATCH($A151&amp;"|"&amp;$B151,Scoring!$AF$5:$AF$337,0)),"")</f>
        <v>Differentiation in crowded generic market</v>
      </c>
    </row>
    <row r="152" customFormat="false" ht="15" hidden="false" customHeight="false" outlineLevel="0" collapsed="false">
      <c r="A152" s="5" t="s">
        <v>50</v>
      </c>
      <c r="B152" s="5" t="n">
        <v>8</v>
      </c>
      <c r="C152" s="5" t="str">
        <f aca="false">IFERROR(INDEX(Scoring!$AD$5:$AD$337,MATCH($A152&amp;"|"&amp;$B152,Scoring!$AF$5:$AF$337,0)),"")</f>
        <v>Next wave</v>
      </c>
      <c r="D152" s="5" t="str">
        <f aca="false">IFERROR(INDEX(Scoring!$B$5:$B$337,MATCH($A152&amp;"|"&amp;$B152,Scoring!$AF$5:$AF$337,0)),"")</f>
        <v>Aripiprazole</v>
      </c>
      <c r="E152" s="5" t="str">
        <f aca="false">IFERROR(INDEX(Scoring!$D$5:$D$337,MATCH($A152&amp;"|"&amp;$B152,Scoring!$AF$5:$AF$337,0)),"")</f>
        <v>Psychiatry – long-acting injectable for schizophrenia / bipolar I</v>
      </c>
      <c r="F152" s="8" t="n">
        <f aca="false">IFERROR(INDEX(Scoring!$U$5:$U$337,MATCH($A152&amp;"|"&amp;$B152,Scoring!$AF$5:$AF$337,0)),"")</f>
        <v>0.552</v>
      </c>
      <c r="G152" s="7" t="n">
        <f aca="false">IFERROR(INDEX(Scoring!$O$5:$O$337,MATCH($A152&amp;"|"&amp;$B152,Scoring!$AF$5:$AF$337,0)),"")</f>
        <v>1976.61265255622</v>
      </c>
      <c r="H152" s="6" t="n">
        <f aca="false">IFERROR(INDEX(Scoring!$N$5:$N$337,MATCH($A152&amp;"|"&amp;$B152,Scoring!$AF$5:$AF$337,0)),"")</f>
        <v>198.737</v>
      </c>
      <c r="I152" s="5" t="n">
        <f aca="false">IFERROR(INDEX(Scoring!$F$5:$F$337,MATCH($A152&amp;"|"&amp;$B152,Scoring!$AF$5:$AF$337,0)),"")</f>
        <v>1</v>
      </c>
      <c r="J152" s="5" t="n">
        <f aca="false">IFERROR(INDEX(Scoring!$E$5:$E$337,MATCH($A152&amp;"|"&amp;$B152,Scoring!$AF$5:$AF$337,0)),"")</f>
        <v>2</v>
      </c>
      <c r="K152" s="5" t="n">
        <f aca="false">IFERROR(INDEX(Scoring!$K$5:$K$337,MATCH($A152&amp;"|"&amp;$B152,Scoring!$AF$5:$AF$337,0)),"")</f>
        <v>3</v>
      </c>
      <c r="L152" s="5" t="n">
        <f aca="false">IFERROR(INDEX(Scoring!$L$5:$L$337,MATCH($A152&amp;"|"&amp;$B152,Scoring!$AF$5:$AF$337,0)),"")</f>
        <v>0</v>
      </c>
      <c r="M152" s="5" t="n">
        <f aca="false">IFERROR(INDEX(Scoring!$M$5:$M$337,MATCH($A152&amp;"|"&amp;$B152,Scoring!$AF$5:$AF$337,0)),"")</f>
        <v>0</v>
      </c>
      <c r="N152" s="5" t="str">
        <f aca="false">IFERROR(INDEX(Scoring!$Y$5:$Y$337,MATCH($A152&amp;"|"&amp;$B152,Scoring!$AF$5:$AF$337,0)),"")</f>
        <v>No</v>
      </c>
      <c r="O152" s="5" t="str">
        <f aca="false">IFERROR(INDEX(Scoring!$Z$5:$Z$337,MATCH($A152&amp;"|"&amp;$B152,Scoring!$AF$5:$AF$337,0)),"")</f>
        <v>Yes</v>
      </c>
      <c r="P152" s="5" t="str">
        <f aca="false">IFERROR(INDEX(Scoring!$AA$5:$AA$337,MATCH($A152&amp;"|"&amp;$B152,Scoring!$AF$5:$AF$337,0)),"")</f>
        <v>No</v>
      </c>
      <c r="Q152" s="5" t="str">
        <f aca="false">IFERROR(INDEX(Scoring!$AE$5:$AE$337,MATCH($A152&amp;"|"&amp;$B152,Scoring!$AF$5:$AF$337,0)),"")</f>
        <v>Safety-device mandate compliance</v>
      </c>
    </row>
    <row r="153" customFormat="false" ht="15" hidden="false" customHeight="false" outlineLevel="0" collapsed="false">
      <c r="A153" s="5" t="s">
        <v>50</v>
      </c>
      <c r="B153" s="5" t="n">
        <v>9</v>
      </c>
      <c r="C153" s="5" t="str">
        <f aca="false">IFERROR(INDEX(Scoring!$AD$5:$AD$337,MATCH($A153&amp;"|"&amp;$B153,Scoring!$AF$5:$AF$337,0)),"")</f>
        <v>Next wave</v>
      </c>
      <c r="D153" s="5" t="str">
        <f aca="false">IFERROR(INDEX(Scoring!$B$5:$B$337,MATCH($A153&amp;"|"&amp;$B153,Scoring!$AF$5:$AF$337,0)),"")</f>
        <v>Testosterone Cypionate</v>
      </c>
      <c r="E153" s="5" t="str">
        <f aca="false">IFERROR(INDEX(Scoring!$D$5:$D$337,MATCH($A153&amp;"|"&amp;$B153,Scoring!$AF$5:$AF$337,0)),"")</f>
        <v>Endocrinology – male hypogonadism (testosterone replacement)</v>
      </c>
      <c r="F153" s="8" t="n">
        <f aca="false">IFERROR(INDEX(Scoring!$U$5:$U$337,MATCH($A153&amp;"|"&amp;$B153,Scoring!$AF$5:$AF$337,0)),"")</f>
        <v>0.5315</v>
      </c>
      <c r="G153" s="7" t="n">
        <f aca="false">IFERROR(INDEX(Scoring!$O$5:$O$337,MATCH($A153&amp;"|"&amp;$B153,Scoring!$AF$5:$AF$337,0)),"")</f>
        <v>6893.74421052632</v>
      </c>
      <c r="H153" s="6" t="n">
        <f aca="false">IFERROR(INDEX(Scoring!$N$5:$N$337,MATCH($A153&amp;"|"&amp;$B153,Scoring!$AF$5:$AF$337,0)),"")</f>
        <v>24.4146</v>
      </c>
      <c r="I153" s="5" t="n">
        <f aca="false">IFERROR(INDEX(Scoring!$F$5:$F$337,MATCH($A153&amp;"|"&amp;$B153,Scoring!$AF$5:$AF$337,0)),"")</f>
        <v>1</v>
      </c>
      <c r="J153" s="5" t="n">
        <f aca="false">IFERROR(INDEX(Scoring!$E$5:$E$337,MATCH($A153&amp;"|"&amp;$B153,Scoring!$AF$5:$AF$337,0)),"")</f>
        <v>1</v>
      </c>
      <c r="K153" s="5" t="n">
        <f aca="false">IFERROR(INDEX(Scoring!$K$5:$K$337,MATCH($A153&amp;"|"&amp;$B153,Scoring!$AF$5:$AF$337,0)),"")</f>
        <v>1</v>
      </c>
      <c r="L153" s="5" t="n">
        <f aca="false">IFERROR(INDEX(Scoring!$L$5:$L$337,MATCH($A153&amp;"|"&amp;$B153,Scoring!$AF$5:$AF$337,0)),"")</f>
        <v>0</v>
      </c>
      <c r="M153" s="5" t="n">
        <f aca="false">IFERROR(INDEX(Scoring!$M$5:$M$337,MATCH($A153&amp;"|"&amp;$B153,Scoring!$AF$5:$AF$337,0)),"")</f>
        <v>0</v>
      </c>
      <c r="N153" s="5" t="str">
        <f aca="false">IFERROR(INDEX(Scoring!$Y$5:$Y$337,MATCH($A153&amp;"|"&amp;$B153,Scoring!$AF$5:$AF$337,0)),"")</f>
        <v>No</v>
      </c>
      <c r="O153" s="5" t="str">
        <f aca="false">IFERROR(INDEX(Scoring!$Z$5:$Z$337,MATCH($A153&amp;"|"&amp;$B153,Scoring!$AF$5:$AF$337,0)),"")</f>
        <v>No</v>
      </c>
      <c r="P153" s="5" t="str">
        <f aca="false">IFERROR(INDEX(Scoring!$AA$5:$AA$337,MATCH($A153&amp;"|"&amp;$B153,Scoring!$AF$5:$AF$337,0)),"")</f>
        <v>Yes</v>
      </c>
      <c r="Q153" s="5" t="str">
        <f aca="false">IFERROR(INDEX(Scoring!$AE$5:$AE$337,MATCH($A153&amp;"|"&amp;$B153,Scoring!$AF$5:$AF$337,0)),"")</f>
        <v>Differentiation in crowded generic market</v>
      </c>
    </row>
    <row r="154" customFormat="false" ht="15" hidden="false" customHeight="false" outlineLevel="0" collapsed="false">
      <c r="A154" s="5" t="s">
        <v>50</v>
      </c>
      <c r="B154" s="5" t="n">
        <v>10</v>
      </c>
      <c r="C154" s="5" t="str">
        <f aca="false">IFERROR(INDEX(Scoring!$AD$5:$AD$337,MATCH($A154&amp;"|"&amp;$B154,Scoring!$AF$5:$AF$337,0)),"")</f>
        <v>Next wave</v>
      </c>
      <c r="D154" s="5" t="str">
        <f aca="false">IFERROR(INDEX(Scoring!$B$5:$B$337,MATCH($A154&amp;"|"&amp;$B154,Scoring!$AF$5:$AF$337,0)),"")</f>
        <v>Pantoprazole</v>
      </c>
      <c r="E154" s="5" t="str">
        <f aca="false">IFERROR(INDEX(Scoring!$D$5:$D$337,MATCH($A154&amp;"|"&amp;$B154,Scoring!$AF$5:$AF$337,0)),"")</f>
        <v>Gastroenterology – GERD, GI bleeding, stress-ulcer prophylaxis (IV PPI)</v>
      </c>
      <c r="F154" s="8" t="n">
        <f aca="false">IFERROR(INDEX(Scoring!$U$5:$U$337,MATCH($A154&amp;"|"&amp;$B154,Scoring!$AF$5:$AF$337,0)),"")</f>
        <v>0.4547</v>
      </c>
      <c r="G154" s="7" t="n">
        <f aca="false">IFERROR(INDEX(Scoring!$O$5:$O$337,MATCH($A154&amp;"|"&amp;$B154,Scoring!$AF$5:$AF$337,0)),"")</f>
        <v>35276.7259256388</v>
      </c>
      <c r="H154" s="6" t="n">
        <f aca="false">IFERROR(INDEX(Scoring!$N$5:$N$337,MATCH($A154&amp;"|"&amp;$B154,Scoring!$AF$5:$AF$337,0)),"")</f>
        <v>6.0848</v>
      </c>
      <c r="I154" s="5" t="n">
        <f aca="false">IFERROR(INDEX(Scoring!$F$5:$F$337,MATCH($A154&amp;"|"&amp;$B154,Scoring!$AF$5:$AF$337,0)),"")</f>
        <v>6</v>
      </c>
      <c r="J154" s="5" t="n">
        <f aca="false">IFERROR(INDEX(Scoring!$E$5:$E$337,MATCH($A154&amp;"|"&amp;$B154,Scoring!$AF$5:$AF$337,0)),"")</f>
        <v>32</v>
      </c>
      <c r="K154" s="5" t="n">
        <f aca="false">IFERROR(INDEX(Scoring!$K$5:$K$337,MATCH($A154&amp;"|"&amp;$B154,Scoring!$AF$5:$AF$337,0)),"")</f>
        <v>2</v>
      </c>
      <c r="L154" s="5" t="n">
        <f aca="false">IFERROR(INDEX(Scoring!$L$5:$L$337,MATCH($A154&amp;"|"&amp;$B154,Scoring!$AF$5:$AF$337,0)),"")</f>
        <v>0</v>
      </c>
      <c r="M154" s="5" t="n">
        <f aca="false">IFERROR(INDEX(Scoring!$M$5:$M$337,MATCH($A154&amp;"|"&amp;$B154,Scoring!$AF$5:$AF$337,0)),"")</f>
        <v>0</v>
      </c>
      <c r="N154" s="5" t="str">
        <f aca="false">IFERROR(INDEX(Scoring!$Y$5:$Y$337,MATCH($A154&amp;"|"&amp;$B154,Scoring!$AF$5:$AF$337,0)),"")</f>
        <v>No</v>
      </c>
      <c r="O154" s="5" t="str">
        <f aca="false">IFERROR(INDEX(Scoring!$Z$5:$Z$337,MATCH($A154&amp;"|"&amp;$B154,Scoring!$AF$5:$AF$337,0)),"")</f>
        <v>Yes</v>
      </c>
      <c r="P154" s="5" t="str">
        <f aca="false">IFERROR(INDEX(Scoring!$AA$5:$AA$337,MATCH($A154&amp;"|"&amp;$B154,Scoring!$AF$5:$AF$337,0)),"")</f>
        <v>Yes</v>
      </c>
      <c r="Q154" s="5" t="str">
        <f aca="false">IFERROR(INDEX(Scoring!$AE$5:$AE$337,MATCH($A154&amp;"|"&amp;$B154,Scoring!$AF$5:$AF$337,0)),"")</f>
        <v>Differentiation in crowded generic market</v>
      </c>
    </row>
    <row r="155" customFormat="false" ht="15" hidden="false" customHeight="false" outlineLevel="0" collapsed="false">
      <c r="A155" s="14" t="s">
        <v>115</v>
      </c>
      <c r="B155" s="14" t="n">
        <v>1</v>
      </c>
      <c r="C155" s="14" t="str">
        <f aca="false">IFERROR(INDEX(Scoring!$AD$5:$AD$337,MATCH($A155&amp;"|"&amp;$B155,Scoring!$AF$5:$AF$337,0)),"")</f>
        <v>Lead</v>
      </c>
      <c r="D155" s="14" t="str">
        <f aca="false">IFERROR(INDEX(Scoring!$B$5:$B$337,MATCH($A155&amp;"|"&amp;$B155,Scoring!$AF$5:$AF$337,0)),"")</f>
        <v>Fulvestrant</v>
      </c>
      <c r="E155" s="14" t="str">
        <f aca="false">IFERROR(INDEX(Scoring!$D$5:$D$337,MATCH($A155&amp;"|"&amp;$B155,Scoring!$AF$5:$AF$337,0)),"")</f>
        <v>Oncology – HR+ advanced breast cancer</v>
      </c>
      <c r="F155" s="15" t="n">
        <f aca="false">IFERROR(INDEX(Scoring!$U$5:$U$337,MATCH($A155&amp;"|"&amp;$B155,Scoring!$AF$5:$AF$337,0)),"")</f>
        <v>0.813</v>
      </c>
      <c r="G155" s="16" t="n">
        <f aca="false">IFERROR(INDEX(Scoring!$O$5:$O$337,MATCH($A155&amp;"|"&amp;$B155,Scoring!$AF$5:$AF$337,0)),"")</f>
        <v>11366.06</v>
      </c>
      <c r="H155" s="17" t="n">
        <f aca="false">IFERROR(INDEX(Scoring!$N$5:$N$337,MATCH($A155&amp;"|"&amp;$B155,Scoring!$AF$5:$AF$337,0)),"")</f>
        <v>531.8684</v>
      </c>
      <c r="I155" s="14" t="n">
        <f aca="false">IFERROR(INDEX(Scoring!$F$5:$F$337,MATCH($A155&amp;"|"&amp;$B155,Scoring!$AF$5:$AF$337,0)),"")</f>
        <v>5</v>
      </c>
      <c r="J155" s="14" t="n">
        <f aca="false">IFERROR(INDEX(Scoring!$E$5:$E$337,MATCH($A155&amp;"|"&amp;$B155,Scoring!$AF$5:$AF$337,0)),"")</f>
        <v>31</v>
      </c>
      <c r="K155" s="14" t="n">
        <f aca="false">IFERROR(INDEX(Scoring!$K$5:$K$337,MATCH($A155&amp;"|"&amp;$B155,Scoring!$AF$5:$AF$337,0)),"")</f>
        <v>0</v>
      </c>
      <c r="L155" s="14" t="n">
        <f aca="false">IFERROR(INDEX(Scoring!$L$5:$L$337,MATCH($A155&amp;"|"&amp;$B155,Scoring!$AF$5:$AF$337,0)),"")</f>
        <v>0</v>
      </c>
      <c r="M155" s="14" t="n">
        <f aca="false">IFERROR(INDEX(Scoring!$M$5:$M$337,MATCH($A155&amp;"|"&amp;$B155,Scoring!$AF$5:$AF$337,0)),"")</f>
        <v>1</v>
      </c>
      <c r="N155" s="14" t="str">
        <f aca="false">IFERROR(INDEX(Scoring!$Y$5:$Y$337,MATCH($A155&amp;"|"&amp;$B155,Scoring!$AF$5:$AF$337,0)),"")</f>
        <v>No</v>
      </c>
      <c r="O155" s="14" t="str">
        <f aca="false">IFERROR(INDEX(Scoring!$Z$5:$Z$337,MATCH($A155&amp;"|"&amp;$B155,Scoring!$AF$5:$AF$337,0)),"")</f>
        <v>No</v>
      </c>
      <c r="P155" s="14" t="str">
        <f aca="false">IFERROR(INDEX(Scoring!$AA$5:$AA$337,MATCH($A155&amp;"|"&amp;$B155,Scoring!$AF$5:$AF$337,0)),"")</f>
        <v>Yes</v>
      </c>
      <c r="Q155" s="14" t="str">
        <f aca="false">IFERROR(INDEX(Scoring!$AE$5:$AE$337,MATCH($A155&amp;"|"&amp;$B155,Scoring!$AF$5:$AF$337,0)),"")</f>
        <v>Safety upgrade of existing prefilled syringe</v>
      </c>
    </row>
    <row r="156" customFormat="false" ht="15" hidden="false" customHeight="false" outlineLevel="0" collapsed="false">
      <c r="A156" s="5" t="s">
        <v>115</v>
      </c>
      <c r="B156" s="5" t="n">
        <v>2</v>
      </c>
      <c r="C156" s="5" t="str">
        <f aca="false">IFERROR(INDEX(Scoring!$AD$5:$AD$337,MATCH($A156&amp;"|"&amp;$B156,Scoring!$AF$5:$AF$337,0)),"")</f>
        <v>Lead</v>
      </c>
      <c r="D156" s="5" t="str">
        <f aca="false">IFERROR(INDEX(Scoring!$B$5:$B$337,MATCH($A156&amp;"|"&amp;$B156,Scoring!$AF$5:$AF$337,0)),"")</f>
        <v>Levetiracetam</v>
      </c>
      <c r="E156" s="5" t="str">
        <f aca="false">IFERROR(INDEX(Scoring!$D$5:$D$337,MATCH($A156&amp;"|"&amp;$B156,Scoring!$AF$5:$AF$337,0)),"")</f>
        <v>Neurology – epilepsy &amp; status epilepticus (when oral not possible)</v>
      </c>
      <c r="F156" s="8" t="n">
        <f aca="false">IFERROR(INDEX(Scoring!$U$5:$U$337,MATCH($A156&amp;"|"&amp;$B156,Scoring!$AF$5:$AF$337,0)),"")</f>
        <v>0.762</v>
      </c>
      <c r="G156" s="7" t="n">
        <f aca="false">IFERROR(INDEX(Scoring!$O$5:$O$337,MATCH($A156&amp;"|"&amp;$B156,Scoring!$AF$5:$AF$337,0)),"")</f>
        <v>18568.7513411278</v>
      </c>
      <c r="H156" s="6" t="str">
        <f aca="false">IFERROR(INDEX(Scoring!$N$5:$N$337,MATCH($A156&amp;"|"&amp;$B156,Scoring!$AF$5:$AF$337,0)),"")</f>
        <v/>
      </c>
      <c r="I156" s="5" t="n">
        <f aca="false">IFERROR(INDEX(Scoring!$F$5:$F$337,MATCH($A156&amp;"|"&amp;$B156,Scoring!$AF$5:$AF$337,0)),"")</f>
        <v>5</v>
      </c>
      <c r="J156" s="5" t="n">
        <f aca="false">IFERROR(INDEX(Scoring!$E$5:$E$337,MATCH($A156&amp;"|"&amp;$B156,Scoring!$AF$5:$AF$337,0)),"")</f>
        <v>31</v>
      </c>
      <c r="K156" s="5" t="n">
        <f aca="false">IFERROR(INDEX(Scoring!$K$5:$K$337,MATCH($A156&amp;"|"&amp;$B156,Scoring!$AF$5:$AF$337,0)),"")</f>
        <v>0</v>
      </c>
      <c r="L156" s="5" t="n">
        <f aca="false">IFERROR(INDEX(Scoring!$L$5:$L$337,MATCH($A156&amp;"|"&amp;$B156,Scoring!$AF$5:$AF$337,0)),"")</f>
        <v>0</v>
      </c>
      <c r="M156" s="5" t="n">
        <f aca="false">IFERROR(INDEX(Scoring!$M$5:$M$337,MATCH($A156&amp;"|"&amp;$B156,Scoring!$AF$5:$AF$337,0)),"")</f>
        <v>0</v>
      </c>
      <c r="N156" s="5" t="str">
        <f aca="false">IFERROR(INDEX(Scoring!$Y$5:$Y$337,MATCH($A156&amp;"|"&amp;$B156,Scoring!$AF$5:$AF$337,0)),"")</f>
        <v>No</v>
      </c>
      <c r="O156" s="5" t="str">
        <f aca="false">IFERROR(INDEX(Scoring!$Z$5:$Z$337,MATCH($A156&amp;"|"&amp;$B156,Scoring!$AF$5:$AF$337,0)),"")</f>
        <v>No</v>
      </c>
      <c r="P156" s="5" t="str">
        <f aca="false">IFERROR(INDEX(Scoring!$AA$5:$AA$337,MATCH($A156&amp;"|"&amp;$B156,Scoring!$AF$5:$AF$337,0)),"")</f>
        <v>No</v>
      </c>
      <c r="Q156" s="5" t="str">
        <f aca="false">IFERROR(INDEX(Scoring!$AE$5:$AE$337,MATCH($A156&amp;"|"&amp;$B156,Scoring!$AF$5:$AF$337,0)),"")</f>
        <v>Confirm presentation (not stated in source)</v>
      </c>
    </row>
    <row r="157" customFormat="false" ht="15" hidden="false" customHeight="false" outlineLevel="0" collapsed="false">
      <c r="A157" s="5" t="s">
        <v>115</v>
      </c>
      <c r="B157" s="5" t="n">
        <v>3</v>
      </c>
      <c r="C157" s="5" t="str">
        <f aca="false">IFERROR(INDEX(Scoring!$AD$5:$AD$337,MATCH($A157&amp;"|"&amp;$B157,Scoring!$AF$5:$AF$337,0)),"")</f>
        <v>Lead</v>
      </c>
      <c r="D157" s="5" t="str">
        <f aca="false">IFERROR(INDEX(Scoring!$B$5:$B$337,MATCH($A157&amp;"|"&amp;$B157,Scoring!$AF$5:$AF$337,0)),"")</f>
        <v>Paliperidone</v>
      </c>
      <c r="E157" s="5" t="str">
        <f aca="false">IFERROR(INDEX(Scoring!$D$5:$D$337,MATCH($A157&amp;"|"&amp;$B157,Scoring!$AF$5:$AF$337,0)),"")</f>
        <v>Psychiatry – schizophrenia (long-acting injectable)</v>
      </c>
      <c r="F157" s="8" t="n">
        <f aca="false">IFERROR(INDEX(Scoring!$U$5:$U$337,MATCH($A157&amp;"|"&amp;$B157,Scoring!$AF$5:$AF$337,0)),"")</f>
        <v>0.6735</v>
      </c>
      <c r="G157" s="7" t="n">
        <f aca="false">IFERROR(INDEX(Scoring!$O$5:$O$337,MATCH($A157&amp;"|"&amp;$B157,Scoring!$AF$5:$AF$337,0)),"")</f>
        <v>6183.15856927111</v>
      </c>
      <c r="H157" s="6" t="n">
        <f aca="false">IFERROR(INDEX(Scoring!$N$5:$N$337,MATCH($A157&amp;"|"&amp;$B157,Scoring!$AF$5:$AF$337,0)),"")</f>
        <v>118.3449</v>
      </c>
      <c r="I157" s="5" t="n">
        <f aca="false">IFERROR(INDEX(Scoring!$F$5:$F$337,MATCH($A157&amp;"|"&amp;$B157,Scoring!$AF$5:$AF$337,0)),"")</f>
        <v>5</v>
      </c>
      <c r="J157" s="5" t="n">
        <f aca="false">IFERROR(INDEX(Scoring!$E$5:$E$337,MATCH($A157&amp;"|"&amp;$B157,Scoring!$AF$5:$AF$337,0)),"")</f>
        <v>31</v>
      </c>
      <c r="K157" s="5" t="n">
        <f aca="false">IFERROR(INDEX(Scoring!$K$5:$K$337,MATCH($A157&amp;"|"&amp;$B157,Scoring!$AF$5:$AF$337,0)),"")</f>
        <v>0</v>
      </c>
      <c r="L157" s="5" t="n">
        <f aca="false">IFERROR(INDEX(Scoring!$L$5:$L$337,MATCH($A157&amp;"|"&amp;$B157,Scoring!$AF$5:$AF$337,0)),"")</f>
        <v>0</v>
      </c>
      <c r="M157" s="5" t="n">
        <f aca="false">IFERROR(INDEX(Scoring!$M$5:$M$337,MATCH($A157&amp;"|"&amp;$B157,Scoring!$AF$5:$AF$337,0)),"")</f>
        <v>1</v>
      </c>
      <c r="N157" s="5" t="str">
        <f aca="false">IFERROR(INDEX(Scoring!$Y$5:$Y$337,MATCH($A157&amp;"|"&amp;$B157,Scoring!$AF$5:$AF$337,0)),"")</f>
        <v>No</v>
      </c>
      <c r="O157" s="5" t="str">
        <f aca="false">IFERROR(INDEX(Scoring!$Z$5:$Z$337,MATCH($A157&amp;"|"&amp;$B157,Scoring!$AF$5:$AF$337,0)),"")</f>
        <v>No</v>
      </c>
      <c r="P157" s="5" t="str">
        <f aca="false">IFERROR(INDEX(Scoring!$AA$5:$AA$337,MATCH($A157&amp;"|"&amp;$B157,Scoring!$AF$5:$AF$337,0)),"")</f>
        <v>No</v>
      </c>
      <c r="Q157" s="5" t="str">
        <f aca="false">IFERROR(INDEX(Scoring!$AE$5:$AE$337,MATCH($A157&amp;"|"&amp;$B157,Scoring!$AF$5:$AF$337,0)),"")</f>
        <v>Safety upgrade of existing prefilled syringe</v>
      </c>
    </row>
    <row r="158" customFormat="false" ht="15" hidden="false" customHeight="false" outlineLevel="0" collapsed="false">
      <c r="A158" s="5" t="s">
        <v>115</v>
      </c>
      <c r="B158" s="5" t="n">
        <v>4</v>
      </c>
      <c r="C158" s="5" t="str">
        <f aca="false">IFERROR(INDEX(Scoring!$AD$5:$AD$337,MATCH($A158&amp;"|"&amp;$B158,Scoring!$AF$5:$AF$337,0)),"")</f>
        <v>Lead</v>
      </c>
      <c r="D158" s="5" t="str">
        <f aca="false">IFERROR(INDEX(Scoring!$B$5:$B$337,MATCH($A158&amp;"|"&amp;$B158,Scoring!$AF$5:$AF$337,0)),"")</f>
        <v>Voriconazole</v>
      </c>
      <c r="E158" s="5" t="str">
        <f aca="false">IFERROR(INDEX(Scoring!$D$5:$D$337,MATCH($A158&amp;"|"&amp;$B158,Scoring!$AF$5:$AF$337,0)),"")</f>
        <v>Anti-infective – invasive aspergillosis &amp; serious fungal infections</v>
      </c>
      <c r="F158" s="8" t="n">
        <f aca="false">IFERROR(INDEX(Scoring!$U$5:$U$337,MATCH($A158&amp;"|"&amp;$B158,Scoring!$AF$5:$AF$337,0)),"")</f>
        <v>0.645</v>
      </c>
      <c r="G158" s="7" t="n">
        <f aca="false">IFERROR(INDEX(Scoring!$O$5:$O$337,MATCH($A158&amp;"|"&amp;$B158,Scoring!$AF$5:$AF$337,0)),"")</f>
        <v>7260.12517453217</v>
      </c>
      <c r="H158" s="6" t="str">
        <f aca="false">IFERROR(INDEX(Scoring!$N$5:$N$337,MATCH($A158&amp;"|"&amp;$B158,Scoring!$AF$5:$AF$337,0)),"")</f>
        <v/>
      </c>
      <c r="I158" s="5" t="n">
        <f aca="false">IFERROR(INDEX(Scoring!$F$5:$F$337,MATCH($A158&amp;"|"&amp;$B158,Scoring!$AF$5:$AF$337,0)),"")</f>
        <v>5</v>
      </c>
      <c r="J158" s="5" t="n">
        <f aca="false">IFERROR(INDEX(Scoring!$E$5:$E$337,MATCH($A158&amp;"|"&amp;$B158,Scoring!$AF$5:$AF$337,0)),"")</f>
        <v>31</v>
      </c>
      <c r="K158" s="5" t="n">
        <f aca="false">IFERROR(INDEX(Scoring!$K$5:$K$337,MATCH($A158&amp;"|"&amp;$B158,Scoring!$AF$5:$AF$337,0)),"")</f>
        <v>0</v>
      </c>
      <c r="L158" s="5" t="n">
        <f aca="false">IFERROR(INDEX(Scoring!$L$5:$L$337,MATCH($A158&amp;"|"&amp;$B158,Scoring!$AF$5:$AF$337,0)),"")</f>
        <v>0</v>
      </c>
      <c r="M158" s="5" t="n">
        <f aca="false">IFERROR(INDEX(Scoring!$M$5:$M$337,MATCH($A158&amp;"|"&amp;$B158,Scoring!$AF$5:$AF$337,0)),"")</f>
        <v>0</v>
      </c>
      <c r="N158" s="5" t="str">
        <f aca="false">IFERROR(INDEX(Scoring!$Y$5:$Y$337,MATCH($A158&amp;"|"&amp;$B158,Scoring!$AF$5:$AF$337,0)),"")</f>
        <v>No</v>
      </c>
      <c r="O158" s="5" t="str">
        <f aca="false">IFERROR(INDEX(Scoring!$Z$5:$Z$337,MATCH($A158&amp;"|"&amp;$B158,Scoring!$AF$5:$AF$337,0)),"")</f>
        <v>No</v>
      </c>
      <c r="P158" s="5" t="str">
        <f aca="false">IFERROR(INDEX(Scoring!$AA$5:$AA$337,MATCH($A158&amp;"|"&amp;$B158,Scoring!$AF$5:$AF$337,0)),"")</f>
        <v>No</v>
      </c>
      <c r="Q158" s="5" t="str">
        <f aca="false">IFERROR(INDEX(Scoring!$AE$5:$AE$337,MATCH($A158&amp;"|"&amp;$B158,Scoring!$AF$5:$AF$337,0)),"")</f>
        <v>Confirm presentation (not stated in source)</v>
      </c>
    </row>
    <row r="159" customFormat="false" ht="15" hidden="false" customHeight="false" outlineLevel="0" collapsed="false">
      <c r="A159" s="5" t="s">
        <v>115</v>
      </c>
      <c r="B159" s="5" t="n">
        <v>5</v>
      </c>
      <c r="C159" s="5" t="str">
        <f aca="false">IFERROR(INDEX(Scoring!$AD$5:$AD$337,MATCH($A159&amp;"|"&amp;$B159,Scoring!$AF$5:$AF$337,0)),"")</f>
        <v>Lead</v>
      </c>
      <c r="D159" s="5" t="str">
        <f aca="false">IFERROR(INDEX(Scoring!$B$5:$B$337,MATCH($A159&amp;"|"&amp;$B159,Scoring!$AF$5:$AF$337,0)),"")</f>
        <v>Meropenem</v>
      </c>
      <c r="E159" s="5" t="str">
        <f aca="false">IFERROR(INDEX(Scoring!$D$5:$D$337,MATCH($A159&amp;"|"&amp;$B159,Scoring!$AF$5:$AF$337,0)),"")</f>
        <v>Anti-infective – severe hospital infections (ICU, sepsis, meningitis, MDR)</v>
      </c>
      <c r="F159" s="8" t="n">
        <f aca="false">IFERROR(INDEX(Scoring!$U$5:$U$337,MATCH($A159&amp;"|"&amp;$B159,Scoring!$AF$5:$AF$337,0)),"")</f>
        <v>0.592</v>
      </c>
      <c r="G159" s="7" t="n">
        <f aca="false">IFERROR(INDEX(Scoring!$O$5:$O$337,MATCH($A159&amp;"|"&amp;$B159,Scoring!$AF$5:$AF$337,0)),"")</f>
        <v>58920.4013724345</v>
      </c>
      <c r="H159" s="6" t="n">
        <f aca="false">IFERROR(INDEX(Scoring!$N$5:$N$337,MATCH($A159&amp;"|"&amp;$B159,Scoring!$AF$5:$AF$337,0)),"")</f>
        <v>12.0797</v>
      </c>
      <c r="I159" s="5" t="n">
        <f aca="false">IFERROR(INDEX(Scoring!$F$5:$F$337,MATCH($A159&amp;"|"&amp;$B159,Scoring!$AF$5:$AF$337,0)),"")</f>
        <v>5</v>
      </c>
      <c r="J159" s="5" t="n">
        <f aca="false">IFERROR(INDEX(Scoring!$E$5:$E$337,MATCH($A159&amp;"|"&amp;$B159,Scoring!$AF$5:$AF$337,0)),"")</f>
        <v>29</v>
      </c>
      <c r="K159" s="5" t="n">
        <f aca="false">IFERROR(INDEX(Scoring!$K$5:$K$337,MATCH($A159&amp;"|"&amp;$B159,Scoring!$AF$5:$AF$337,0)),"")</f>
        <v>1</v>
      </c>
      <c r="L159" s="5" t="n">
        <f aca="false">IFERROR(INDEX(Scoring!$L$5:$L$337,MATCH($A159&amp;"|"&amp;$B159,Scoring!$AF$5:$AF$337,0)),"")</f>
        <v>0</v>
      </c>
      <c r="M159" s="5" t="n">
        <f aca="false">IFERROR(INDEX(Scoring!$M$5:$M$337,MATCH($A159&amp;"|"&amp;$B159,Scoring!$AF$5:$AF$337,0)),"")</f>
        <v>0</v>
      </c>
      <c r="N159" s="5" t="str">
        <f aca="false">IFERROR(INDEX(Scoring!$Y$5:$Y$337,MATCH($A159&amp;"|"&amp;$B159,Scoring!$AF$5:$AF$337,0)),"")</f>
        <v>No</v>
      </c>
      <c r="O159" s="5" t="str">
        <f aca="false">IFERROR(INDEX(Scoring!$Z$5:$Z$337,MATCH($A159&amp;"|"&amp;$B159,Scoring!$AF$5:$AF$337,0)),"")</f>
        <v>Yes</v>
      </c>
      <c r="P159" s="5" t="str">
        <f aca="false">IFERROR(INDEX(Scoring!$AA$5:$AA$337,MATCH($A159&amp;"|"&amp;$B159,Scoring!$AF$5:$AF$337,0)),"")</f>
        <v>Yes</v>
      </c>
      <c r="Q159" s="5" t="str">
        <f aca="false">IFERROR(INDEX(Scoring!$AE$5:$AE$337,MATCH($A159&amp;"|"&amp;$B159,Scoring!$AF$5:$AF$337,0)),"")</f>
        <v>Differentiation in crowded generic market</v>
      </c>
    </row>
    <row r="160" customFormat="false" ht="15" hidden="false" customHeight="false" outlineLevel="0" collapsed="false">
      <c r="A160" s="5" t="s">
        <v>115</v>
      </c>
      <c r="B160" s="5" t="n">
        <v>6</v>
      </c>
      <c r="C160" s="5" t="str">
        <f aca="false">IFERROR(INDEX(Scoring!$AD$5:$AD$337,MATCH($A160&amp;"|"&amp;$B160,Scoring!$AF$5:$AF$337,0)),"")</f>
        <v>Next wave</v>
      </c>
      <c r="D160" s="5" t="str">
        <f aca="false">IFERROR(INDEX(Scoring!$B$5:$B$337,MATCH($A160&amp;"|"&amp;$B160,Scoring!$AF$5:$AF$337,0)),"")</f>
        <v>Granisetron</v>
      </c>
      <c r="E160" s="5" t="str">
        <f aca="false">IFERROR(INDEX(Scoring!$D$5:$D$337,MATCH($A160&amp;"|"&amp;$B160,Scoring!$AF$5:$AF$337,0)),"")</f>
        <v>Oncology supportive – chemotherapy &amp; post-op nausea/vomiting</v>
      </c>
      <c r="F160" s="8" t="n">
        <f aca="false">IFERROR(INDEX(Scoring!$U$5:$U$337,MATCH($A160&amp;"|"&amp;$B160,Scoring!$AF$5:$AF$337,0)),"")</f>
        <v>0.192</v>
      </c>
      <c r="G160" s="7" t="n">
        <f aca="false">IFERROR(INDEX(Scoring!$O$5:$O$337,MATCH($A160&amp;"|"&amp;$B160,Scoring!$AF$5:$AF$337,0)),"")</f>
        <v>701.300498773432</v>
      </c>
      <c r="H160" s="6" t="n">
        <f aca="false">IFERROR(INDEX(Scoring!$N$5:$N$337,MATCH($A160&amp;"|"&amp;$B160,Scoring!$AF$5:$AF$337,0)),"")</f>
        <v>12.2067</v>
      </c>
      <c r="I160" s="5" t="n">
        <f aca="false">IFERROR(INDEX(Scoring!$F$5:$F$337,MATCH($A160&amp;"|"&amp;$B160,Scoring!$AF$5:$AF$337,0)),"")</f>
        <v>6</v>
      </c>
      <c r="J160" s="5" t="n">
        <f aca="false">IFERROR(INDEX(Scoring!$E$5:$E$337,MATCH($A160&amp;"|"&amp;$B160,Scoring!$AF$5:$AF$337,0)),"")</f>
        <v>26</v>
      </c>
      <c r="K160" s="5" t="n">
        <f aca="false">IFERROR(INDEX(Scoring!$K$5:$K$337,MATCH($A160&amp;"|"&amp;$B160,Scoring!$AF$5:$AF$337,0)),"")</f>
        <v>0</v>
      </c>
      <c r="L160" s="5" t="n">
        <f aca="false">IFERROR(INDEX(Scoring!$L$5:$L$337,MATCH($A160&amp;"|"&amp;$B160,Scoring!$AF$5:$AF$337,0)),"")</f>
        <v>2</v>
      </c>
      <c r="M160" s="5" t="n">
        <f aca="false">IFERROR(INDEX(Scoring!$M$5:$M$337,MATCH($A160&amp;"|"&amp;$B160,Scoring!$AF$5:$AF$337,0)),"")</f>
        <v>0</v>
      </c>
      <c r="N160" s="5" t="str">
        <f aca="false">IFERROR(INDEX(Scoring!$Y$5:$Y$337,MATCH($A160&amp;"|"&amp;$B160,Scoring!$AF$5:$AF$337,0)),"")</f>
        <v>No</v>
      </c>
      <c r="O160" s="5" t="str">
        <f aca="false">IFERROR(INDEX(Scoring!$Z$5:$Z$337,MATCH($A160&amp;"|"&amp;$B160,Scoring!$AF$5:$AF$337,0)),"")</f>
        <v>No</v>
      </c>
      <c r="P160" s="5" t="str">
        <f aca="false">IFERROR(INDEX(Scoring!$AA$5:$AA$337,MATCH($A160&amp;"|"&amp;$B160,Scoring!$AF$5:$AF$337,0)),"")</f>
        <v>No</v>
      </c>
      <c r="Q160" s="5" t="str">
        <f aca="false">IFERROR(INDEX(Scoring!$AE$5:$AE$337,MATCH($A160&amp;"|"&amp;$B160,Scoring!$AF$5:$AF$337,0)),"")</f>
        <v>Safety-device mandate compliance</v>
      </c>
    </row>
    <row r="161" customFormat="false" ht="15" hidden="false" customHeight="false" outlineLevel="0" collapsed="false">
      <c r="A161" s="5" t="s">
        <v>115</v>
      </c>
      <c r="B161" s="5" t="n">
        <v>7</v>
      </c>
      <c r="C161" s="5" t="str">
        <f aca="false">IFERROR(INDEX(Scoring!$AD$5:$AD$337,MATCH($A161&amp;"|"&amp;$B161,Scoring!$AF$5:$AF$337,0)),"")</f>
        <v/>
      </c>
      <c r="D161" s="5" t="str">
        <f aca="false">IFERROR(INDEX(Scoring!$B$5:$B$337,MATCH($A161&amp;"|"&amp;$B161,Scoring!$AF$5:$AF$337,0)),"")</f>
        <v/>
      </c>
      <c r="E161" s="5" t="str">
        <f aca="false">IFERROR(INDEX(Scoring!$D$5:$D$337,MATCH($A161&amp;"|"&amp;$B161,Scoring!$AF$5:$AF$337,0)),"")</f>
        <v/>
      </c>
      <c r="F161" s="8" t="str">
        <f aca="false">IFERROR(INDEX(Scoring!$U$5:$U$337,MATCH($A161&amp;"|"&amp;$B161,Scoring!$AF$5:$AF$337,0)),"")</f>
        <v/>
      </c>
      <c r="G161" s="7" t="str">
        <f aca="false">IFERROR(INDEX(Scoring!$O$5:$O$337,MATCH($A161&amp;"|"&amp;$B161,Scoring!$AF$5:$AF$337,0)),"")</f>
        <v/>
      </c>
      <c r="H161" s="6" t="str">
        <f aca="false">IFERROR(INDEX(Scoring!$N$5:$N$337,MATCH($A161&amp;"|"&amp;$B161,Scoring!$AF$5:$AF$337,0)),"")</f>
        <v/>
      </c>
      <c r="I161" s="5" t="str">
        <f aca="false">IFERROR(INDEX(Scoring!$F$5:$F$337,MATCH($A161&amp;"|"&amp;$B161,Scoring!$AF$5:$AF$337,0)),"")</f>
        <v/>
      </c>
      <c r="J161" s="5" t="str">
        <f aca="false">IFERROR(INDEX(Scoring!$E$5:$E$337,MATCH($A161&amp;"|"&amp;$B161,Scoring!$AF$5:$AF$337,0)),"")</f>
        <v/>
      </c>
      <c r="K161" s="5" t="str">
        <f aca="false">IFERROR(INDEX(Scoring!$K$5:$K$337,MATCH($A161&amp;"|"&amp;$B161,Scoring!$AF$5:$AF$337,0)),"")</f>
        <v/>
      </c>
      <c r="L161" s="5" t="str">
        <f aca="false">IFERROR(INDEX(Scoring!$L$5:$L$337,MATCH($A161&amp;"|"&amp;$B161,Scoring!$AF$5:$AF$337,0)),"")</f>
        <v/>
      </c>
      <c r="M161" s="5" t="str">
        <f aca="false">IFERROR(INDEX(Scoring!$M$5:$M$337,MATCH($A161&amp;"|"&amp;$B161,Scoring!$AF$5:$AF$337,0)),"")</f>
        <v/>
      </c>
      <c r="N161" s="5" t="str">
        <f aca="false">IFERROR(INDEX(Scoring!$Y$5:$Y$337,MATCH($A161&amp;"|"&amp;$B161,Scoring!$AF$5:$AF$337,0)),"")</f>
        <v/>
      </c>
      <c r="O161" s="5" t="str">
        <f aca="false">IFERROR(INDEX(Scoring!$Z$5:$Z$337,MATCH($A161&amp;"|"&amp;$B161,Scoring!$AF$5:$AF$337,0)),"")</f>
        <v/>
      </c>
      <c r="P161" s="5" t="str">
        <f aca="false">IFERROR(INDEX(Scoring!$AA$5:$AA$337,MATCH($A161&amp;"|"&amp;$B161,Scoring!$AF$5:$AF$337,0)),"")</f>
        <v/>
      </c>
      <c r="Q161" s="5" t="str">
        <f aca="false">IFERROR(INDEX(Scoring!$AE$5:$AE$337,MATCH($A161&amp;"|"&amp;$B161,Scoring!$AF$5:$AF$337,0)),"")</f>
        <v/>
      </c>
    </row>
    <row r="162" customFormat="false" ht="15" hidden="false" customHeight="false" outlineLevel="0" collapsed="false">
      <c r="A162" s="5" t="s">
        <v>115</v>
      </c>
      <c r="B162" s="5" t="n">
        <v>8</v>
      </c>
      <c r="C162" s="5" t="str">
        <f aca="false">IFERROR(INDEX(Scoring!$AD$5:$AD$337,MATCH($A162&amp;"|"&amp;$B162,Scoring!$AF$5:$AF$337,0)),"")</f>
        <v/>
      </c>
      <c r="D162" s="5" t="str">
        <f aca="false">IFERROR(INDEX(Scoring!$B$5:$B$337,MATCH($A162&amp;"|"&amp;$B162,Scoring!$AF$5:$AF$337,0)),"")</f>
        <v/>
      </c>
      <c r="E162" s="5" t="str">
        <f aca="false">IFERROR(INDEX(Scoring!$D$5:$D$337,MATCH($A162&amp;"|"&amp;$B162,Scoring!$AF$5:$AF$337,0)),"")</f>
        <v/>
      </c>
      <c r="F162" s="8" t="str">
        <f aca="false">IFERROR(INDEX(Scoring!$U$5:$U$337,MATCH($A162&amp;"|"&amp;$B162,Scoring!$AF$5:$AF$337,0)),"")</f>
        <v/>
      </c>
      <c r="G162" s="7" t="str">
        <f aca="false">IFERROR(INDEX(Scoring!$O$5:$O$337,MATCH($A162&amp;"|"&amp;$B162,Scoring!$AF$5:$AF$337,0)),"")</f>
        <v/>
      </c>
      <c r="H162" s="6" t="str">
        <f aca="false">IFERROR(INDEX(Scoring!$N$5:$N$337,MATCH($A162&amp;"|"&amp;$B162,Scoring!$AF$5:$AF$337,0)),"")</f>
        <v/>
      </c>
      <c r="I162" s="5" t="str">
        <f aca="false">IFERROR(INDEX(Scoring!$F$5:$F$337,MATCH($A162&amp;"|"&amp;$B162,Scoring!$AF$5:$AF$337,0)),"")</f>
        <v/>
      </c>
      <c r="J162" s="5" t="str">
        <f aca="false">IFERROR(INDEX(Scoring!$E$5:$E$337,MATCH($A162&amp;"|"&amp;$B162,Scoring!$AF$5:$AF$337,0)),"")</f>
        <v/>
      </c>
      <c r="K162" s="5" t="str">
        <f aca="false">IFERROR(INDEX(Scoring!$K$5:$K$337,MATCH($A162&amp;"|"&amp;$B162,Scoring!$AF$5:$AF$337,0)),"")</f>
        <v/>
      </c>
      <c r="L162" s="5" t="str">
        <f aca="false">IFERROR(INDEX(Scoring!$L$5:$L$337,MATCH($A162&amp;"|"&amp;$B162,Scoring!$AF$5:$AF$337,0)),"")</f>
        <v/>
      </c>
      <c r="M162" s="5" t="str">
        <f aca="false">IFERROR(INDEX(Scoring!$M$5:$M$337,MATCH($A162&amp;"|"&amp;$B162,Scoring!$AF$5:$AF$337,0)),"")</f>
        <v/>
      </c>
      <c r="N162" s="5" t="str">
        <f aca="false">IFERROR(INDEX(Scoring!$Y$5:$Y$337,MATCH($A162&amp;"|"&amp;$B162,Scoring!$AF$5:$AF$337,0)),"")</f>
        <v/>
      </c>
      <c r="O162" s="5" t="str">
        <f aca="false">IFERROR(INDEX(Scoring!$Z$5:$Z$337,MATCH($A162&amp;"|"&amp;$B162,Scoring!$AF$5:$AF$337,0)),"")</f>
        <v/>
      </c>
      <c r="P162" s="5" t="str">
        <f aca="false">IFERROR(INDEX(Scoring!$AA$5:$AA$337,MATCH($A162&amp;"|"&amp;$B162,Scoring!$AF$5:$AF$337,0)),"")</f>
        <v/>
      </c>
      <c r="Q162" s="5" t="str">
        <f aca="false">IFERROR(INDEX(Scoring!$AE$5:$AE$337,MATCH($A162&amp;"|"&amp;$B162,Scoring!$AF$5:$AF$337,0)),"")</f>
        <v/>
      </c>
    </row>
    <row r="163" customFormat="false" ht="15" hidden="false" customHeight="false" outlineLevel="0" collapsed="false">
      <c r="A163" s="5" t="s">
        <v>115</v>
      </c>
      <c r="B163" s="5" t="n">
        <v>9</v>
      </c>
      <c r="C163" s="5" t="str">
        <f aca="false">IFERROR(INDEX(Scoring!$AD$5:$AD$337,MATCH($A163&amp;"|"&amp;$B163,Scoring!$AF$5:$AF$337,0)),"")</f>
        <v/>
      </c>
      <c r="D163" s="5" t="str">
        <f aca="false">IFERROR(INDEX(Scoring!$B$5:$B$337,MATCH($A163&amp;"|"&amp;$B163,Scoring!$AF$5:$AF$337,0)),"")</f>
        <v/>
      </c>
      <c r="E163" s="5" t="str">
        <f aca="false">IFERROR(INDEX(Scoring!$D$5:$D$337,MATCH($A163&amp;"|"&amp;$B163,Scoring!$AF$5:$AF$337,0)),"")</f>
        <v/>
      </c>
      <c r="F163" s="8" t="str">
        <f aca="false">IFERROR(INDEX(Scoring!$U$5:$U$337,MATCH($A163&amp;"|"&amp;$B163,Scoring!$AF$5:$AF$337,0)),"")</f>
        <v/>
      </c>
      <c r="G163" s="7" t="str">
        <f aca="false">IFERROR(INDEX(Scoring!$O$5:$O$337,MATCH($A163&amp;"|"&amp;$B163,Scoring!$AF$5:$AF$337,0)),"")</f>
        <v/>
      </c>
      <c r="H163" s="6" t="str">
        <f aca="false">IFERROR(INDEX(Scoring!$N$5:$N$337,MATCH($A163&amp;"|"&amp;$B163,Scoring!$AF$5:$AF$337,0)),"")</f>
        <v/>
      </c>
      <c r="I163" s="5" t="str">
        <f aca="false">IFERROR(INDEX(Scoring!$F$5:$F$337,MATCH($A163&amp;"|"&amp;$B163,Scoring!$AF$5:$AF$337,0)),"")</f>
        <v/>
      </c>
      <c r="J163" s="5" t="str">
        <f aca="false">IFERROR(INDEX(Scoring!$E$5:$E$337,MATCH($A163&amp;"|"&amp;$B163,Scoring!$AF$5:$AF$337,0)),"")</f>
        <v/>
      </c>
      <c r="K163" s="5" t="str">
        <f aca="false">IFERROR(INDEX(Scoring!$K$5:$K$337,MATCH($A163&amp;"|"&amp;$B163,Scoring!$AF$5:$AF$337,0)),"")</f>
        <v/>
      </c>
      <c r="L163" s="5" t="str">
        <f aca="false">IFERROR(INDEX(Scoring!$L$5:$L$337,MATCH($A163&amp;"|"&amp;$B163,Scoring!$AF$5:$AF$337,0)),"")</f>
        <v/>
      </c>
      <c r="M163" s="5" t="str">
        <f aca="false">IFERROR(INDEX(Scoring!$M$5:$M$337,MATCH($A163&amp;"|"&amp;$B163,Scoring!$AF$5:$AF$337,0)),"")</f>
        <v/>
      </c>
      <c r="N163" s="5" t="str">
        <f aca="false">IFERROR(INDEX(Scoring!$Y$5:$Y$337,MATCH($A163&amp;"|"&amp;$B163,Scoring!$AF$5:$AF$337,0)),"")</f>
        <v/>
      </c>
      <c r="O163" s="5" t="str">
        <f aca="false">IFERROR(INDEX(Scoring!$Z$5:$Z$337,MATCH($A163&amp;"|"&amp;$B163,Scoring!$AF$5:$AF$337,0)),"")</f>
        <v/>
      </c>
      <c r="P163" s="5" t="str">
        <f aca="false">IFERROR(INDEX(Scoring!$AA$5:$AA$337,MATCH($A163&amp;"|"&amp;$B163,Scoring!$AF$5:$AF$337,0)),"")</f>
        <v/>
      </c>
      <c r="Q163" s="5" t="str">
        <f aca="false">IFERROR(INDEX(Scoring!$AE$5:$AE$337,MATCH($A163&amp;"|"&amp;$B163,Scoring!$AF$5:$AF$337,0)),"")</f>
        <v/>
      </c>
    </row>
    <row r="164" customFormat="false" ht="15" hidden="false" customHeight="false" outlineLevel="0" collapsed="false">
      <c r="A164" s="5" t="s">
        <v>115</v>
      </c>
      <c r="B164" s="5" t="n">
        <v>10</v>
      </c>
      <c r="C164" s="5" t="str">
        <f aca="false">IFERROR(INDEX(Scoring!$AD$5:$AD$337,MATCH($A164&amp;"|"&amp;$B164,Scoring!$AF$5:$AF$337,0)),"")</f>
        <v/>
      </c>
      <c r="D164" s="5" t="str">
        <f aca="false">IFERROR(INDEX(Scoring!$B$5:$B$337,MATCH($A164&amp;"|"&amp;$B164,Scoring!$AF$5:$AF$337,0)),"")</f>
        <v/>
      </c>
      <c r="E164" s="5" t="str">
        <f aca="false">IFERROR(INDEX(Scoring!$D$5:$D$337,MATCH($A164&amp;"|"&amp;$B164,Scoring!$AF$5:$AF$337,0)),"")</f>
        <v/>
      </c>
      <c r="F164" s="8" t="str">
        <f aca="false">IFERROR(INDEX(Scoring!$U$5:$U$337,MATCH($A164&amp;"|"&amp;$B164,Scoring!$AF$5:$AF$337,0)),"")</f>
        <v/>
      </c>
      <c r="G164" s="7" t="str">
        <f aca="false">IFERROR(INDEX(Scoring!$O$5:$O$337,MATCH($A164&amp;"|"&amp;$B164,Scoring!$AF$5:$AF$337,0)),"")</f>
        <v/>
      </c>
      <c r="H164" s="6" t="str">
        <f aca="false">IFERROR(INDEX(Scoring!$N$5:$N$337,MATCH($A164&amp;"|"&amp;$B164,Scoring!$AF$5:$AF$337,0)),"")</f>
        <v/>
      </c>
      <c r="I164" s="5" t="str">
        <f aca="false">IFERROR(INDEX(Scoring!$F$5:$F$337,MATCH($A164&amp;"|"&amp;$B164,Scoring!$AF$5:$AF$337,0)),"")</f>
        <v/>
      </c>
      <c r="J164" s="5" t="str">
        <f aca="false">IFERROR(INDEX(Scoring!$E$5:$E$337,MATCH($A164&amp;"|"&amp;$B164,Scoring!$AF$5:$AF$337,0)),"")</f>
        <v/>
      </c>
      <c r="K164" s="5" t="str">
        <f aca="false">IFERROR(INDEX(Scoring!$K$5:$K$337,MATCH($A164&amp;"|"&amp;$B164,Scoring!$AF$5:$AF$337,0)),"")</f>
        <v/>
      </c>
      <c r="L164" s="5" t="str">
        <f aca="false">IFERROR(INDEX(Scoring!$L$5:$L$337,MATCH($A164&amp;"|"&amp;$B164,Scoring!$AF$5:$AF$337,0)),"")</f>
        <v/>
      </c>
      <c r="M164" s="5" t="str">
        <f aca="false">IFERROR(INDEX(Scoring!$M$5:$M$337,MATCH($A164&amp;"|"&amp;$B164,Scoring!$AF$5:$AF$337,0)),"")</f>
        <v/>
      </c>
      <c r="N164" s="5" t="str">
        <f aca="false">IFERROR(INDEX(Scoring!$Y$5:$Y$337,MATCH($A164&amp;"|"&amp;$B164,Scoring!$AF$5:$AF$337,0)),"")</f>
        <v/>
      </c>
      <c r="O164" s="5" t="str">
        <f aca="false">IFERROR(INDEX(Scoring!$Z$5:$Z$337,MATCH($A164&amp;"|"&amp;$B164,Scoring!$AF$5:$AF$337,0)),"")</f>
        <v/>
      </c>
      <c r="P164" s="5" t="str">
        <f aca="false">IFERROR(INDEX(Scoring!$AA$5:$AA$337,MATCH($A164&amp;"|"&amp;$B164,Scoring!$AF$5:$AF$337,0)),"")</f>
        <v/>
      </c>
      <c r="Q164" s="5" t="str">
        <f aca="false">IFERROR(INDEX(Scoring!$AE$5:$AE$337,MATCH($A164&amp;"|"&amp;$B164,Scoring!$AF$5:$AF$337,0)),"")</f>
        <v/>
      </c>
    </row>
    <row r="165" customFormat="false" ht="15" hidden="false" customHeight="false" outlineLevel="0" collapsed="false">
      <c r="A165" s="14" t="s">
        <v>61</v>
      </c>
      <c r="B165" s="14" t="n">
        <v>1</v>
      </c>
      <c r="C165" s="14" t="str">
        <f aca="false">IFERROR(INDEX(Scoring!$AD$5:$AD$337,MATCH($A165&amp;"|"&amp;$B165,Scoring!$AF$5:$AF$337,0)),"")</f>
        <v>Lead</v>
      </c>
      <c r="D165" s="14" t="str">
        <f aca="false">IFERROR(INDEX(Scoring!$B$5:$B$337,MATCH($A165&amp;"|"&amp;$B165,Scoring!$AF$5:$AF$337,0)),"")</f>
        <v>Ceftriaxone</v>
      </c>
      <c r="E165" s="14" t="str">
        <f aca="false">IFERROR(INDEX(Scoring!$D$5:$D$337,MATCH($A165&amp;"|"&amp;$B165,Scoring!$AF$5:$AF$337,0)),"")</f>
        <v>Anti-infective – pneumonia, meningitis, sepsis, gonorrhoea, typhoid</v>
      </c>
      <c r="F165" s="15" t="n">
        <f aca="false">IFERROR(INDEX(Scoring!$U$5:$U$337,MATCH($A165&amp;"|"&amp;$B165,Scoring!$AF$5:$AF$337,0)),"")</f>
        <v>0.717</v>
      </c>
      <c r="G165" s="16" t="n">
        <f aca="false">IFERROR(INDEX(Scoring!$O$5:$O$337,MATCH($A165&amp;"|"&amp;$B165,Scoring!$AF$5:$AF$337,0)),"")</f>
        <v>93119.22</v>
      </c>
      <c r="H165" s="17" t="n">
        <f aca="false">IFERROR(INDEX(Scoring!$N$5:$N$337,MATCH($A165&amp;"|"&amp;$B165,Scoring!$AF$5:$AF$337,0)),"")</f>
        <v>25.36</v>
      </c>
      <c r="I165" s="14" t="n">
        <f aca="false">IFERROR(INDEX(Scoring!$F$5:$F$337,MATCH($A165&amp;"|"&amp;$B165,Scoring!$AF$5:$AF$337,0)),"")</f>
        <v>1</v>
      </c>
      <c r="J165" s="14" t="n">
        <f aca="false">IFERROR(INDEX(Scoring!$E$5:$E$337,MATCH($A165&amp;"|"&amp;$B165,Scoring!$AF$5:$AF$337,0)),"")</f>
        <v>1</v>
      </c>
      <c r="K165" s="14" t="n">
        <f aca="false">IFERROR(INDEX(Scoring!$K$5:$K$337,MATCH($A165&amp;"|"&amp;$B165,Scoring!$AF$5:$AF$337,0)),"")</f>
        <v>1</v>
      </c>
      <c r="L165" s="14" t="n">
        <f aca="false">IFERROR(INDEX(Scoring!$L$5:$L$337,MATCH($A165&amp;"|"&amp;$B165,Scoring!$AF$5:$AF$337,0)),"")</f>
        <v>0</v>
      </c>
      <c r="M165" s="14" t="n">
        <f aca="false">IFERROR(INDEX(Scoring!$M$5:$M$337,MATCH($A165&amp;"|"&amp;$B165,Scoring!$AF$5:$AF$337,0)),"")</f>
        <v>0</v>
      </c>
      <c r="N165" s="14" t="str">
        <f aca="false">IFERROR(INDEX(Scoring!$Y$5:$Y$337,MATCH($A165&amp;"|"&amp;$B165,Scoring!$AF$5:$AF$337,0)),"")</f>
        <v>No</v>
      </c>
      <c r="O165" s="14" t="str">
        <f aca="false">IFERROR(INDEX(Scoring!$Z$5:$Z$337,MATCH($A165&amp;"|"&amp;$B165,Scoring!$AF$5:$AF$337,0)),"")</f>
        <v>Yes</v>
      </c>
      <c r="P165" s="14" t="str">
        <f aca="false">IFERROR(INDEX(Scoring!$AA$5:$AA$337,MATCH($A165&amp;"|"&amp;$B165,Scoring!$AF$5:$AF$337,0)),"")</f>
        <v>Yes</v>
      </c>
      <c r="Q165" s="14" t="str">
        <f aca="false">IFERROR(INDEX(Scoring!$AE$5:$AE$337,MATCH($A165&amp;"|"&amp;$B165,Scoring!$AF$5:$AF$337,0)),"")</f>
        <v>Differentiation in crowded generic market</v>
      </c>
    </row>
    <row r="166" customFormat="false" ht="15" hidden="false" customHeight="false" outlineLevel="0" collapsed="false">
      <c r="A166" s="5" t="s">
        <v>61</v>
      </c>
      <c r="B166" s="5" t="n">
        <v>2</v>
      </c>
      <c r="C166" s="5" t="str">
        <f aca="false">IFERROR(INDEX(Scoring!$AD$5:$AD$337,MATCH($A166&amp;"|"&amp;$B166,Scoring!$AF$5:$AF$337,0)),"")</f>
        <v>Lead</v>
      </c>
      <c r="D166" s="5" t="str">
        <f aca="false">IFERROR(INDEX(Scoring!$B$5:$B$337,MATCH($A166&amp;"|"&amp;$B166,Scoring!$AF$5:$AF$337,0)),"")</f>
        <v>Bleomycin</v>
      </c>
      <c r="E166" s="5" t="str">
        <f aca="false">IFERROR(INDEX(Scoring!$D$5:$D$337,MATCH($A166&amp;"|"&amp;$B166,Scoring!$AF$5:$AF$337,0)),"")</f>
        <v>Oncology – Hodgkin lymphoma, testicular &amp; squamous cell cancers</v>
      </c>
      <c r="F166" s="8" t="n">
        <f aca="false">IFERROR(INDEX(Scoring!$U$5:$U$337,MATCH($A166&amp;"|"&amp;$B166,Scoring!$AF$5:$AF$337,0)),"")</f>
        <v>0.5985</v>
      </c>
      <c r="G166" s="7" t="n">
        <f aca="false">IFERROR(INDEX(Scoring!$O$5:$O$337,MATCH($A166&amp;"|"&amp;$B166,Scoring!$AF$5:$AF$337,0)),"")</f>
        <v>3973.65</v>
      </c>
      <c r="H166" s="6" t="n">
        <f aca="false">IFERROR(INDEX(Scoring!$N$5:$N$337,MATCH($A166&amp;"|"&amp;$B166,Scoring!$AF$5:$AF$337,0)),"")</f>
        <v>81.96</v>
      </c>
      <c r="I166" s="5" t="n">
        <f aca="false">IFERROR(INDEX(Scoring!$F$5:$F$337,MATCH($A166&amp;"|"&amp;$B166,Scoring!$AF$5:$AF$337,0)),"")</f>
        <v>1</v>
      </c>
      <c r="J166" s="5" t="n">
        <f aca="false">IFERROR(INDEX(Scoring!$E$5:$E$337,MATCH($A166&amp;"|"&amp;$B166,Scoring!$AF$5:$AF$337,0)),"")</f>
        <v>1</v>
      </c>
      <c r="K166" s="5" t="n">
        <f aca="false">IFERROR(INDEX(Scoring!$K$5:$K$337,MATCH($A166&amp;"|"&amp;$B166,Scoring!$AF$5:$AF$337,0)),"")</f>
        <v>1</v>
      </c>
      <c r="L166" s="5" t="n">
        <f aca="false">IFERROR(INDEX(Scoring!$L$5:$L$337,MATCH($A166&amp;"|"&amp;$B166,Scoring!$AF$5:$AF$337,0)),"")</f>
        <v>0</v>
      </c>
      <c r="M166" s="5" t="n">
        <f aca="false">IFERROR(INDEX(Scoring!$M$5:$M$337,MATCH($A166&amp;"|"&amp;$B166,Scoring!$AF$5:$AF$337,0)),"")</f>
        <v>0</v>
      </c>
      <c r="N166" s="5" t="str">
        <f aca="false">IFERROR(INDEX(Scoring!$Y$5:$Y$337,MATCH($A166&amp;"|"&amp;$B166,Scoring!$AF$5:$AF$337,0)),"")</f>
        <v>Yes</v>
      </c>
      <c r="O166" s="5" t="str">
        <f aca="false">IFERROR(INDEX(Scoring!$Z$5:$Z$337,MATCH($A166&amp;"|"&amp;$B166,Scoring!$AF$5:$AF$337,0)),"")</f>
        <v>Yes</v>
      </c>
      <c r="P166" s="5" t="str">
        <f aca="false">IFERROR(INDEX(Scoring!$AA$5:$AA$337,MATCH($A166&amp;"|"&amp;$B166,Scoring!$AF$5:$AF$337,0)),"")</f>
        <v>Yes</v>
      </c>
      <c r="Q166" s="5" t="str">
        <f aca="false">IFERROR(INDEX(Scoring!$AE$5:$AE$337,MATCH($A166&amp;"|"&amp;$B166,Scoring!$AF$5:$AF$337,0)),"")</f>
        <v>Differentiation in crowded generic market</v>
      </c>
    </row>
    <row r="167" customFormat="false" ht="15" hidden="false" customHeight="false" outlineLevel="0" collapsed="false">
      <c r="A167" s="5" t="s">
        <v>61</v>
      </c>
      <c r="B167" s="5" t="n">
        <v>3</v>
      </c>
      <c r="C167" s="5" t="str">
        <f aca="false">IFERROR(INDEX(Scoring!$AD$5:$AD$337,MATCH($A167&amp;"|"&amp;$B167,Scoring!$AF$5:$AF$337,0)),"")</f>
        <v>Lead</v>
      </c>
      <c r="D167" s="5" t="str">
        <f aca="false">IFERROR(INDEX(Scoring!$B$5:$B$337,MATCH($A167&amp;"|"&amp;$B167,Scoring!$AF$5:$AF$337,0)),"")</f>
        <v>Meropenem</v>
      </c>
      <c r="E167" s="5" t="str">
        <f aca="false">IFERROR(INDEX(Scoring!$D$5:$D$337,MATCH($A167&amp;"|"&amp;$B167,Scoring!$AF$5:$AF$337,0)),"")</f>
        <v>Anti-infective – severe hospital infections (ICU, sepsis, meningitis, MDR)</v>
      </c>
      <c r="F167" s="8" t="n">
        <f aca="false">IFERROR(INDEX(Scoring!$U$5:$U$337,MATCH($A167&amp;"|"&amp;$B167,Scoring!$AF$5:$AF$337,0)),"")</f>
        <v>0.587</v>
      </c>
      <c r="G167" s="7" t="n">
        <f aca="false">IFERROR(INDEX(Scoring!$O$5:$O$337,MATCH($A167&amp;"|"&amp;$B167,Scoring!$AF$5:$AF$337,0)),"")</f>
        <v>58920.4013724345</v>
      </c>
      <c r="H167" s="6" t="n">
        <f aca="false">IFERROR(INDEX(Scoring!$N$5:$N$337,MATCH($A167&amp;"|"&amp;$B167,Scoring!$AF$5:$AF$337,0)),"")</f>
        <v>11.7098</v>
      </c>
      <c r="I167" s="5" t="n">
        <f aca="false">IFERROR(INDEX(Scoring!$F$5:$F$337,MATCH($A167&amp;"|"&amp;$B167,Scoring!$AF$5:$AF$337,0)),"")</f>
        <v>6</v>
      </c>
      <c r="J167" s="5" t="n">
        <f aca="false">IFERROR(INDEX(Scoring!$E$5:$E$337,MATCH($A167&amp;"|"&amp;$B167,Scoring!$AF$5:$AF$337,0)),"")</f>
        <v>31</v>
      </c>
      <c r="K167" s="5" t="n">
        <f aca="false">IFERROR(INDEX(Scoring!$K$5:$K$337,MATCH($A167&amp;"|"&amp;$B167,Scoring!$AF$5:$AF$337,0)),"")</f>
        <v>3</v>
      </c>
      <c r="L167" s="5" t="n">
        <f aca="false">IFERROR(INDEX(Scoring!$L$5:$L$337,MATCH($A167&amp;"|"&amp;$B167,Scoring!$AF$5:$AF$337,0)),"")</f>
        <v>0</v>
      </c>
      <c r="M167" s="5" t="n">
        <f aca="false">IFERROR(INDEX(Scoring!$M$5:$M$337,MATCH($A167&amp;"|"&amp;$B167,Scoring!$AF$5:$AF$337,0)),"")</f>
        <v>0</v>
      </c>
      <c r="N167" s="5" t="str">
        <f aca="false">IFERROR(INDEX(Scoring!$Y$5:$Y$337,MATCH($A167&amp;"|"&amp;$B167,Scoring!$AF$5:$AF$337,0)),"")</f>
        <v>No</v>
      </c>
      <c r="O167" s="5" t="str">
        <f aca="false">IFERROR(INDEX(Scoring!$Z$5:$Z$337,MATCH($A167&amp;"|"&amp;$B167,Scoring!$AF$5:$AF$337,0)),"")</f>
        <v>Yes</v>
      </c>
      <c r="P167" s="5" t="str">
        <f aca="false">IFERROR(INDEX(Scoring!$AA$5:$AA$337,MATCH($A167&amp;"|"&amp;$B167,Scoring!$AF$5:$AF$337,0)),"")</f>
        <v>Yes</v>
      </c>
      <c r="Q167" s="5" t="str">
        <f aca="false">IFERROR(INDEX(Scoring!$AE$5:$AE$337,MATCH($A167&amp;"|"&amp;$B167,Scoring!$AF$5:$AF$337,0)),"")</f>
        <v>Differentiation in crowded generic market</v>
      </c>
    </row>
    <row r="168" customFormat="false" ht="15" hidden="false" customHeight="false" outlineLevel="0" collapsed="false">
      <c r="A168" s="5" t="s">
        <v>61</v>
      </c>
      <c r="B168" s="5" t="n">
        <v>4</v>
      </c>
      <c r="C168" s="5" t="str">
        <f aca="false">IFERROR(INDEX(Scoring!$AD$5:$AD$337,MATCH($A168&amp;"|"&amp;$B168,Scoring!$AF$5:$AF$337,0)),"")</f>
        <v>Lead</v>
      </c>
      <c r="D168" s="5" t="str">
        <f aca="false">IFERROR(INDEX(Scoring!$B$5:$B$337,MATCH($A168&amp;"|"&amp;$B168,Scoring!$AF$5:$AF$337,0)),"")</f>
        <v>Ceftazidime</v>
      </c>
      <c r="E168" s="5" t="str">
        <f aca="false">IFERROR(INDEX(Scoring!$D$5:$D$337,MATCH($A168&amp;"|"&amp;$B168,Scoring!$AF$5:$AF$337,0)),"")</f>
        <v>Anti-infective – Pseudomonas &amp; hospital Gram-negative infections</v>
      </c>
      <c r="F168" s="8" t="n">
        <f aca="false">IFERROR(INDEX(Scoring!$U$5:$U$337,MATCH($A168&amp;"|"&amp;$B168,Scoring!$AF$5:$AF$337,0)),"")</f>
        <v>0.548</v>
      </c>
      <c r="G168" s="7" t="n">
        <f aca="false">IFERROR(INDEX(Scoring!$O$5:$O$337,MATCH($A168&amp;"|"&amp;$B168,Scoring!$AF$5:$AF$337,0)),"")</f>
        <v>5713.56</v>
      </c>
      <c r="H168" s="6" t="n">
        <f aca="false">IFERROR(INDEX(Scoring!$N$5:$N$337,MATCH($A168&amp;"|"&amp;$B168,Scoring!$AF$5:$AF$337,0)),"")</f>
        <v>34.58</v>
      </c>
      <c r="I168" s="5" t="n">
        <f aca="false">IFERROR(INDEX(Scoring!$F$5:$F$337,MATCH($A168&amp;"|"&amp;$B168,Scoring!$AF$5:$AF$337,0)),"")</f>
        <v>1</v>
      </c>
      <c r="J168" s="5" t="n">
        <f aca="false">IFERROR(INDEX(Scoring!$E$5:$E$337,MATCH($A168&amp;"|"&amp;$B168,Scoring!$AF$5:$AF$337,0)),"")</f>
        <v>1</v>
      </c>
      <c r="K168" s="5" t="n">
        <f aca="false">IFERROR(INDEX(Scoring!$K$5:$K$337,MATCH($A168&amp;"|"&amp;$B168,Scoring!$AF$5:$AF$337,0)),"")</f>
        <v>1</v>
      </c>
      <c r="L168" s="5" t="n">
        <f aca="false">IFERROR(INDEX(Scoring!$L$5:$L$337,MATCH($A168&amp;"|"&amp;$B168,Scoring!$AF$5:$AF$337,0)),"")</f>
        <v>0</v>
      </c>
      <c r="M168" s="5" t="n">
        <f aca="false">IFERROR(INDEX(Scoring!$M$5:$M$337,MATCH($A168&amp;"|"&amp;$B168,Scoring!$AF$5:$AF$337,0)),"")</f>
        <v>0</v>
      </c>
      <c r="N168" s="5" t="str">
        <f aca="false">IFERROR(INDEX(Scoring!$Y$5:$Y$337,MATCH($A168&amp;"|"&amp;$B168,Scoring!$AF$5:$AF$337,0)),"")</f>
        <v>No</v>
      </c>
      <c r="O168" s="5" t="str">
        <f aca="false">IFERROR(INDEX(Scoring!$Z$5:$Z$337,MATCH($A168&amp;"|"&amp;$B168,Scoring!$AF$5:$AF$337,0)),"")</f>
        <v>No</v>
      </c>
      <c r="P168" s="5" t="str">
        <f aca="false">IFERROR(INDEX(Scoring!$AA$5:$AA$337,MATCH($A168&amp;"|"&amp;$B168,Scoring!$AF$5:$AF$337,0)),"")</f>
        <v>Yes</v>
      </c>
      <c r="Q168" s="5" t="str">
        <f aca="false">IFERROR(INDEX(Scoring!$AE$5:$AE$337,MATCH($A168&amp;"|"&amp;$B168,Scoring!$AF$5:$AF$337,0)),"")</f>
        <v>Differentiation in crowded generic market</v>
      </c>
    </row>
    <row r="169" customFormat="false" ht="15" hidden="false" customHeight="false" outlineLevel="0" collapsed="false">
      <c r="A169" s="5" t="s">
        <v>61</v>
      </c>
      <c r="B169" s="5" t="n">
        <v>5</v>
      </c>
      <c r="C169" s="5" t="str">
        <f aca="false">IFERROR(INDEX(Scoring!$AD$5:$AD$337,MATCH($A169&amp;"|"&amp;$B169,Scoring!$AF$5:$AF$337,0)),"")</f>
        <v/>
      </c>
      <c r="D169" s="5" t="str">
        <f aca="false">IFERROR(INDEX(Scoring!$B$5:$B$337,MATCH($A169&amp;"|"&amp;$B169,Scoring!$AF$5:$AF$337,0)),"")</f>
        <v/>
      </c>
      <c r="E169" s="5" t="str">
        <f aca="false">IFERROR(INDEX(Scoring!$D$5:$D$337,MATCH($A169&amp;"|"&amp;$B169,Scoring!$AF$5:$AF$337,0)),"")</f>
        <v/>
      </c>
      <c r="F169" s="8" t="str">
        <f aca="false">IFERROR(INDEX(Scoring!$U$5:$U$337,MATCH($A169&amp;"|"&amp;$B169,Scoring!$AF$5:$AF$337,0)),"")</f>
        <v/>
      </c>
      <c r="G169" s="7" t="str">
        <f aca="false">IFERROR(INDEX(Scoring!$O$5:$O$337,MATCH($A169&amp;"|"&amp;$B169,Scoring!$AF$5:$AF$337,0)),"")</f>
        <v/>
      </c>
      <c r="H169" s="6" t="str">
        <f aca="false">IFERROR(INDEX(Scoring!$N$5:$N$337,MATCH($A169&amp;"|"&amp;$B169,Scoring!$AF$5:$AF$337,0)),"")</f>
        <v/>
      </c>
      <c r="I169" s="5" t="str">
        <f aca="false">IFERROR(INDEX(Scoring!$F$5:$F$337,MATCH($A169&amp;"|"&amp;$B169,Scoring!$AF$5:$AF$337,0)),"")</f>
        <v/>
      </c>
      <c r="J169" s="5" t="str">
        <f aca="false">IFERROR(INDEX(Scoring!$E$5:$E$337,MATCH($A169&amp;"|"&amp;$B169,Scoring!$AF$5:$AF$337,0)),"")</f>
        <v/>
      </c>
      <c r="K169" s="5" t="str">
        <f aca="false">IFERROR(INDEX(Scoring!$K$5:$K$337,MATCH($A169&amp;"|"&amp;$B169,Scoring!$AF$5:$AF$337,0)),"")</f>
        <v/>
      </c>
      <c r="L169" s="5" t="str">
        <f aca="false">IFERROR(INDEX(Scoring!$L$5:$L$337,MATCH($A169&amp;"|"&amp;$B169,Scoring!$AF$5:$AF$337,0)),"")</f>
        <v/>
      </c>
      <c r="M169" s="5" t="str">
        <f aca="false">IFERROR(INDEX(Scoring!$M$5:$M$337,MATCH($A169&amp;"|"&amp;$B169,Scoring!$AF$5:$AF$337,0)),"")</f>
        <v/>
      </c>
      <c r="N169" s="5" t="str">
        <f aca="false">IFERROR(INDEX(Scoring!$Y$5:$Y$337,MATCH($A169&amp;"|"&amp;$B169,Scoring!$AF$5:$AF$337,0)),"")</f>
        <v/>
      </c>
      <c r="O169" s="5" t="str">
        <f aca="false">IFERROR(INDEX(Scoring!$Z$5:$Z$337,MATCH($A169&amp;"|"&amp;$B169,Scoring!$AF$5:$AF$337,0)),"")</f>
        <v/>
      </c>
      <c r="P169" s="5" t="str">
        <f aca="false">IFERROR(INDEX(Scoring!$AA$5:$AA$337,MATCH($A169&amp;"|"&amp;$B169,Scoring!$AF$5:$AF$337,0)),"")</f>
        <v/>
      </c>
      <c r="Q169" s="5" t="str">
        <f aca="false">IFERROR(INDEX(Scoring!$AE$5:$AE$337,MATCH($A169&amp;"|"&amp;$B169,Scoring!$AF$5:$AF$337,0)),"")</f>
        <v/>
      </c>
    </row>
    <row r="170" customFormat="false" ht="15" hidden="false" customHeight="false" outlineLevel="0" collapsed="false">
      <c r="A170" s="5" t="s">
        <v>61</v>
      </c>
      <c r="B170" s="5" t="n">
        <v>6</v>
      </c>
      <c r="C170" s="5" t="str">
        <f aca="false">IFERROR(INDEX(Scoring!$AD$5:$AD$337,MATCH($A170&amp;"|"&amp;$B170,Scoring!$AF$5:$AF$337,0)),"")</f>
        <v/>
      </c>
      <c r="D170" s="5" t="str">
        <f aca="false">IFERROR(INDEX(Scoring!$B$5:$B$337,MATCH($A170&amp;"|"&amp;$B170,Scoring!$AF$5:$AF$337,0)),"")</f>
        <v/>
      </c>
      <c r="E170" s="5" t="str">
        <f aca="false">IFERROR(INDEX(Scoring!$D$5:$D$337,MATCH($A170&amp;"|"&amp;$B170,Scoring!$AF$5:$AF$337,0)),"")</f>
        <v/>
      </c>
      <c r="F170" s="8" t="str">
        <f aca="false">IFERROR(INDEX(Scoring!$U$5:$U$337,MATCH($A170&amp;"|"&amp;$B170,Scoring!$AF$5:$AF$337,0)),"")</f>
        <v/>
      </c>
      <c r="G170" s="7" t="str">
        <f aca="false">IFERROR(INDEX(Scoring!$O$5:$O$337,MATCH($A170&amp;"|"&amp;$B170,Scoring!$AF$5:$AF$337,0)),"")</f>
        <v/>
      </c>
      <c r="H170" s="6" t="str">
        <f aca="false">IFERROR(INDEX(Scoring!$N$5:$N$337,MATCH($A170&amp;"|"&amp;$B170,Scoring!$AF$5:$AF$337,0)),"")</f>
        <v/>
      </c>
      <c r="I170" s="5" t="str">
        <f aca="false">IFERROR(INDEX(Scoring!$F$5:$F$337,MATCH($A170&amp;"|"&amp;$B170,Scoring!$AF$5:$AF$337,0)),"")</f>
        <v/>
      </c>
      <c r="J170" s="5" t="str">
        <f aca="false">IFERROR(INDEX(Scoring!$E$5:$E$337,MATCH($A170&amp;"|"&amp;$B170,Scoring!$AF$5:$AF$337,0)),"")</f>
        <v/>
      </c>
      <c r="K170" s="5" t="str">
        <f aca="false">IFERROR(INDEX(Scoring!$K$5:$K$337,MATCH($A170&amp;"|"&amp;$B170,Scoring!$AF$5:$AF$337,0)),"")</f>
        <v/>
      </c>
      <c r="L170" s="5" t="str">
        <f aca="false">IFERROR(INDEX(Scoring!$L$5:$L$337,MATCH($A170&amp;"|"&amp;$B170,Scoring!$AF$5:$AF$337,0)),"")</f>
        <v/>
      </c>
      <c r="M170" s="5" t="str">
        <f aca="false">IFERROR(INDEX(Scoring!$M$5:$M$337,MATCH($A170&amp;"|"&amp;$B170,Scoring!$AF$5:$AF$337,0)),"")</f>
        <v/>
      </c>
      <c r="N170" s="5" t="str">
        <f aca="false">IFERROR(INDEX(Scoring!$Y$5:$Y$337,MATCH($A170&amp;"|"&amp;$B170,Scoring!$AF$5:$AF$337,0)),"")</f>
        <v/>
      </c>
      <c r="O170" s="5" t="str">
        <f aca="false">IFERROR(INDEX(Scoring!$Z$5:$Z$337,MATCH($A170&amp;"|"&amp;$B170,Scoring!$AF$5:$AF$337,0)),"")</f>
        <v/>
      </c>
      <c r="P170" s="5" t="str">
        <f aca="false">IFERROR(INDEX(Scoring!$AA$5:$AA$337,MATCH($A170&amp;"|"&amp;$B170,Scoring!$AF$5:$AF$337,0)),"")</f>
        <v/>
      </c>
      <c r="Q170" s="5" t="str">
        <f aca="false">IFERROR(INDEX(Scoring!$AE$5:$AE$337,MATCH($A170&amp;"|"&amp;$B170,Scoring!$AF$5:$AF$337,0)),"")</f>
        <v/>
      </c>
    </row>
    <row r="171" customFormat="false" ht="15" hidden="false" customHeight="false" outlineLevel="0" collapsed="false">
      <c r="A171" s="5" t="s">
        <v>61</v>
      </c>
      <c r="B171" s="5" t="n">
        <v>7</v>
      </c>
      <c r="C171" s="5" t="str">
        <f aca="false">IFERROR(INDEX(Scoring!$AD$5:$AD$337,MATCH($A171&amp;"|"&amp;$B171,Scoring!$AF$5:$AF$337,0)),"")</f>
        <v/>
      </c>
      <c r="D171" s="5" t="str">
        <f aca="false">IFERROR(INDEX(Scoring!$B$5:$B$337,MATCH($A171&amp;"|"&amp;$B171,Scoring!$AF$5:$AF$337,0)),"")</f>
        <v/>
      </c>
      <c r="E171" s="5" t="str">
        <f aca="false">IFERROR(INDEX(Scoring!$D$5:$D$337,MATCH($A171&amp;"|"&amp;$B171,Scoring!$AF$5:$AF$337,0)),"")</f>
        <v/>
      </c>
      <c r="F171" s="8" t="str">
        <f aca="false">IFERROR(INDEX(Scoring!$U$5:$U$337,MATCH($A171&amp;"|"&amp;$B171,Scoring!$AF$5:$AF$337,0)),"")</f>
        <v/>
      </c>
      <c r="G171" s="7" t="str">
        <f aca="false">IFERROR(INDEX(Scoring!$O$5:$O$337,MATCH($A171&amp;"|"&amp;$B171,Scoring!$AF$5:$AF$337,0)),"")</f>
        <v/>
      </c>
      <c r="H171" s="6" t="str">
        <f aca="false">IFERROR(INDEX(Scoring!$N$5:$N$337,MATCH($A171&amp;"|"&amp;$B171,Scoring!$AF$5:$AF$337,0)),"")</f>
        <v/>
      </c>
      <c r="I171" s="5" t="str">
        <f aca="false">IFERROR(INDEX(Scoring!$F$5:$F$337,MATCH($A171&amp;"|"&amp;$B171,Scoring!$AF$5:$AF$337,0)),"")</f>
        <v/>
      </c>
      <c r="J171" s="5" t="str">
        <f aca="false">IFERROR(INDEX(Scoring!$E$5:$E$337,MATCH($A171&amp;"|"&amp;$B171,Scoring!$AF$5:$AF$337,0)),"")</f>
        <v/>
      </c>
      <c r="K171" s="5" t="str">
        <f aca="false">IFERROR(INDEX(Scoring!$K$5:$K$337,MATCH($A171&amp;"|"&amp;$B171,Scoring!$AF$5:$AF$337,0)),"")</f>
        <v/>
      </c>
      <c r="L171" s="5" t="str">
        <f aca="false">IFERROR(INDEX(Scoring!$L$5:$L$337,MATCH($A171&amp;"|"&amp;$B171,Scoring!$AF$5:$AF$337,0)),"")</f>
        <v/>
      </c>
      <c r="M171" s="5" t="str">
        <f aca="false">IFERROR(INDEX(Scoring!$M$5:$M$337,MATCH($A171&amp;"|"&amp;$B171,Scoring!$AF$5:$AF$337,0)),"")</f>
        <v/>
      </c>
      <c r="N171" s="5" t="str">
        <f aca="false">IFERROR(INDEX(Scoring!$Y$5:$Y$337,MATCH($A171&amp;"|"&amp;$B171,Scoring!$AF$5:$AF$337,0)),"")</f>
        <v/>
      </c>
      <c r="O171" s="5" t="str">
        <f aca="false">IFERROR(INDEX(Scoring!$Z$5:$Z$337,MATCH($A171&amp;"|"&amp;$B171,Scoring!$AF$5:$AF$337,0)),"")</f>
        <v/>
      </c>
      <c r="P171" s="5" t="str">
        <f aca="false">IFERROR(INDEX(Scoring!$AA$5:$AA$337,MATCH($A171&amp;"|"&amp;$B171,Scoring!$AF$5:$AF$337,0)),"")</f>
        <v/>
      </c>
      <c r="Q171" s="5" t="str">
        <f aca="false">IFERROR(INDEX(Scoring!$AE$5:$AE$337,MATCH($A171&amp;"|"&amp;$B171,Scoring!$AF$5:$AF$337,0)),"")</f>
        <v/>
      </c>
    </row>
    <row r="172" customFormat="false" ht="15" hidden="false" customHeight="false" outlineLevel="0" collapsed="false">
      <c r="A172" s="5" t="s">
        <v>61</v>
      </c>
      <c r="B172" s="5" t="n">
        <v>8</v>
      </c>
      <c r="C172" s="5" t="str">
        <f aca="false">IFERROR(INDEX(Scoring!$AD$5:$AD$337,MATCH($A172&amp;"|"&amp;$B172,Scoring!$AF$5:$AF$337,0)),"")</f>
        <v/>
      </c>
      <c r="D172" s="5" t="str">
        <f aca="false">IFERROR(INDEX(Scoring!$B$5:$B$337,MATCH($A172&amp;"|"&amp;$B172,Scoring!$AF$5:$AF$337,0)),"")</f>
        <v/>
      </c>
      <c r="E172" s="5" t="str">
        <f aca="false">IFERROR(INDEX(Scoring!$D$5:$D$337,MATCH($A172&amp;"|"&amp;$B172,Scoring!$AF$5:$AF$337,0)),"")</f>
        <v/>
      </c>
      <c r="F172" s="8" t="str">
        <f aca="false">IFERROR(INDEX(Scoring!$U$5:$U$337,MATCH($A172&amp;"|"&amp;$B172,Scoring!$AF$5:$AF$337,0)),"")</f>
        <v/>
      </c>
      <c r="G172" s="7" t="str">
        <f aca="false">IFERROR(INDEX(Scoring!$O$5:$O$337,MATCH($A172&amp;"|"&amp;$B172,Scoring!$AF$5:$AF$337,0)),"")</f>
        <v/>
      </c>
      <c r="H172" s="6" t="str">
        <f aca="false">IFERROR(INDEX(Scoring!$N$5:$N$337,MATCH($A172&amp;"|"&amp;$B172,Scoring!$AF$5:$AF$337,0)),"")</f>
        <v/>
      </c>
      <c r="I172" s="5" t="str">
        <f aca="false">IFERROR(INDEX(Scoring!$F$5:$F$337,MATCH($A172&amp;"|"&amp;$B172,Scoring!$AF$5:$AF$337,0)),"")</f>
        <v/>
      </c>
      <c r="J172" s="5" t="str">
        <f aca="false">IFERROR(INDEX(Scoring!$E$5:$E$337,MATCH($A172&amp;"|"&amp;$B172,Scoring!$AF$5:$AF$337,0)),"")</f>
        <v/>
      </c>
      <c r="K172" s="5" t="str">
        <f aca="false">IFERROR(INDEX(Scoring!$K$5:$K$337,MATCH($A172&amp;"|"&amp;$B172,Scoring!$AF$5:$AF$337,0)),"")</f>
        <v/>
      </c>
      <c r="L172" s="5" t="str">
        <f aca="false">IFERROR(INDEX(Scoring!$L$5:$L$337,MATCH($A172&amp;"|"&amp;$B172,Scoring!$AF$5:$AF$337,0)),"")</f>
        <v/>
      </c>
      <c r="M172" s="5" t="str">
        <f aca="false">IFERROR(INDEX(Scoring!$M$5:$M$337,MATCH($A172&amp;"|"&amp;$B172,Scoring!$AF$5:$AF$337,0)),"")</f>
        <v/>
      </c>
      <c r="N172" s="5" t="str">
        <f aca="false">IFERROR(INDEX(Scoring!$Y$5:$Y$337,MATCH($A172&amp;"|"&amp;$B172,Scoring!$AF$5:$AF$337,0)),"")</f>
        <v/>
      </c>
      <c r="O172" s="5" t="str">
        <f aca="false">IFERROR(INDEX(Scoring!$Z$5:$Z$337,MATCH($A172&amp;"|"&amp;$B172,Scoring!$AF$5:$AF$337,0)),"")</f>
        <v/>
      </c>
      <c r="P172" s="5" t="str">
        <f aca="false">IFERROR(INDEX(Scoring!$AA$5:$AA$337,MATCH($A172&amp;"|"&amp;$B172,Scoring!$AF$5:$AF$337,0)),"")</f>
        <v/>
      </c>
      <c r="Q172" s="5" t="str">
        <f aca="false">IFERROR(INDEX(Scoring!$AE$5:$AE$337,MATCH($A172&amp;"|"&amp;$B172,Scoring!$AF$5:$AF$337,0)),"")</f>
        <v/>
      </c>
    </row>
    <row r="173" customFormat="false" ht="15" hidden="false" customHeight="false" outlineLevel="0" collapsed="false">
      <c r="A173" s="5" t="s">
        <v>61</v>
      </c>
      <c r="B173" s="5" t="n">
        <v>9</v>
      </c>
      <c r="C173" s="5" t="str">
        <f aca="false">IFERROR(INDEX(Scoring!$AD$5:$AD$337,MATCH($A173&amp;"|"&amp;$B173,Scoring!$AF$5:$AF$337,0)),"")</f>
        <v/>
      </c>
      <c r="D173" s="5" t="str">
        <f aca="false">IFERROR(INDEX(Scoring!$B$5:$B$337,MATCH($A173&amp;"|"&amp;$B173,Scoring!$AF$5:$AF$337,0)),"")</f>
        <v/>
      </c>
      <c r="E173" s="5" t="str">
        <f aca="false">IFERROR(INDEX(Scoring!$D$5:$D$337,MATCH($A173&amp;"|"&amp;$B173,Scoring!$AF$5:$AF$337,0)),"")</f>
        <v/>
      </c>
      <c r="F173" s="8" t="str">
        <f aca="false">IFERROR(INDEX(Scoring!$U$5:$U$337,MATCH($A173&amp;"|"&amp;$B173,Scoring!$AF$5:$AF$337,0)),"")</f>
        <v/>
      </c>
      <c r="G173" s="7" t="str">
        <f aca="false">IFERROR(INDEX(Scoring!$O$5:$O$337,MATCH($A173&amp;"|"&amp;$B173,Scoring!$AF$5:$AF$337,0)),"")</f>
        <v/>
      </c>
      <c r="H173" s="6" t="str">
        <f aca="false">IFERROR(INDEX(Scoring!$N$5:$N$337,MATCH($A173&amp;"|"&amp;$B173,Scoring!$AF$5:$AF$337,0)),"")</f>
        <v/>
      </c>
      <c r="I173" s="5" t="str">
        <f aca="false">IFERROR(INDEX(Scoring!$F$5:$F$337,MATCH($A173&amp;"|"&amp;$B173,Scoring!$AF$5:$AF$337,0)),"")</f>
        <v/>
      </c>
      <c r="J173" s="5" t="str">
        <f aca="false">IFERROR(INDEX(Scoring!$E$5:$E$337,MATCH($A173&amp;"|"&amp;$B173,Scoring!$AF$5:$AF$337,0)),"")</f>
        <v/>
      </c>
      <c r="K173" s="5" t="str">
        <f aca="false">IFERROR(INDEX(Scoring!$K$5:$K$337,MATCH($A173&amp;"|"&amp;$B173,Scoring!$AF$5:$AF$337,0)),"")</f>
        <v/>
      </c>
      <c r="L173" s="5" t="str">
        <f aca="false">IFERROR(INDEX(Scoring!$L$5:$L$337,MATCH($A173&amp;"|"&amp;$B173,Scoring!$AF$5:$AF$337,0)),"")</f>
        <v/>
      </c>
      <c r="M173" s="5" t="str">
        <f aca="false">IFERROR(INDEX(Scoring!$M$5:$M$337,MATCH($A173&amp;"|"&amp;$B173,Scoring!$AF$5:$AF$337,0)),"")</f>
        <v/>
      </c>
      <c r="N173" s="5" t="str">
        <f aca="false">IFERROR(INDEX(Scoring!$Y$5:$Y$337,MATCH($A173&amp;"|"&amp;$B173,Scoring!$AF$5:$AF$337,0)),"")</f>
        <v/>
      </c>
      <c r="O173" s="5" t="str">
        <f aca="false">IFERROR(INDEX(Scoring!$Z$5:$Z$337,MATCH($A173&amp;"|"&amp;$B173,Scoring!$AF$5:$AF$337,0)),"")</f>
        <v/>
      </c>
      <c r="P173" s="5" t="str">
        <f aca="false">IFERROR(INDEX(Scoring!$AA$5:$AA$337,MATCH($A173&amp;"|"&amp;$B173,Scoring!$AF$5:$AF$337,0)),"")</f>
        <v/>
      </c>
      <c r="Q173" s="5" t="str">
        <f aca="false">IFERROR(INDEX(Scoring!$AE$5:$AE$337,MATCH($A173&amp;"|"&amp;$B173,Scoring!$AF$5:$AF$337,0)),"")</f>
        <v/>
      </c>
    </row>
    <row r="174" customFormat="false" ht="15" hidden="false" customHeight="false" outlineLevel="0" collapsed="false">
      <c r="A174" s="5" t="s">
        <v>61</v>
      </c>
      <c r="B174" s="5" t="n">
        <v>10</v>
      </c>
      <c r="C174" s="5" t="str">
        <f aca="false">IFERROR(INDEX(Scoring!$AD$5:$AD$337,MATCH($A174&amp;"|"&amp;$B174,Scoring!$AF$5:$AF$337,0)),"")</f>
        <v/>
      </c>
      <c r="D174" s="5" t="str">
        <f aca="false">IFERROR(INDEX(Scoring!$B$5:$B$337,MATCH($A174&amp;"|"&amp;$B174,Scoring!$AF$5:$AF$337,0)),"")</f>
        <v/>
      </c>
      <c r="E174" s="5" t="str">
        <f aca="false">IFERROR(INDEX(Scoring!$D$5:$D$337,MATCH($A174&amp;"|"&amp;$B174,Scoring!$AF$5:$AF$337,0)),"")</f>
        <v/>
      </c>
      <c r="F174" s="8" t="str">
        <f aca="false">IFERROR(INDEX(Scoring!$U$5:$U$337,MATCH($A174&amp;"|"&amp;$B174,Scoring!$AF$5:$AF$337,0)),"")</f>
        <v/>
      </c>
      <c r="G174" s="7" t="str">
        <f aca="false">IFERROR(INDEX(Scoring!$O$5:$O$337,MATCH($A174&amp;"|"&amp;$B174,Scoring!$AF$5:$AF$337,0)),"")</f>
        <v/>
      </c>
      <c r="H174" s="6" t="str">
        <f aca="false">IFERROR(INDEX(Scoring!$N$5:$N$337,MATCH($A174&amp;"|"&amp;$B174,Scoring!$AF$5:$AF$337,0)),"")</f>
        <v/>
      </c>
      <c r="I174" s="5" t="str">
        <f aca="false">IFERROR(INDEX(Scoring!$F$5:$F$337,MATCH($A174&amp;"|"&amp;$B174,Scoring!$AF$5:$AF$337,0)),"")</f>
        <v/>
      </c>
      <c r="J174" s="5" t="str">
        <f aca="false">IFERROR(INDEX(Scoring!$E$5:$E$337,MATCH($A174&amp;"|"&amp;$B174,Scoring!$AF$5:$AF$337,0)),"")</f>
        <v/>
      </c>
      <c r="K174" s="5" t="str">
        <f aca="false">IFERROR(INDEX(Scoring!$K$5:$K$337,MATCH($A174&amp;"|"&amp;$B174,Scoring!$AF$5:$AF$337,0)),"")</f>
        <v/>
      </c>
      <c r="L174" s="5" t="str">
        <f aca="false">IFERROR(INDEX(Scoring!$L$5:$L$337,MATCH($A174&amp;"|"&amp;$B174,Scoring!$AF$5:$AF$337,0)),"")</f>
        <v/>
      </c>
      <c r="M174" s="5" t="str">
        <f aca="false">IFERROR(INDEX(Scoring!$M$5:$M$337,MATCH($A174&amp;"|"&amp;$B174,Scoring!$AF$5:$AF$337,0)),"")</f>
        <v/>
      </c>
      <c r="N174" s="5" t="str">
        <f aca="false">IFERROR(INDEX(Scoring!$Y$5:$Y$337,MATCH($A174&amp;"|"&amp;$B174,Scoring!$AF$5:$AF$337,0)),"")</f>
        <v/>
      </c>
      <c r="O174" s="5" t="str">
        <f aca="false">IFERROR(INDEX(Scoring!$Z$5:$Z$337,MATCH($A174&amp;"|"&amp;$B174,Scoring!$AF$5:$AF$337,0)),"")</f>
        <v/>
      </c>
      <c r="P174" s="5" t="str">
        <f aca="false">IFERROR(INDEX(Scoring!$AA$5:$AA$337,MATCH($A174&amp;"|"&amp;$B174,Scoring!$AF$5:$AF$337,0)),"")</f>
        <v/>
      </c>
      <c r="Q174" s="5" t="str">
        <f aca="false">IFERROR(INDEX(Scoring!$AE$5:$AE$337,MATCH($A174&amp;"|"&amp;$B174,Scoring!$AF$5:$AF$337,0)),"")</f>
        <v/>
      </c>
    </row>
    <row r="175" customFormat="false" ht="15" hidden="false" customHeight="false" outlineLevel="0" collapsed="false">
      <c r="A175" s="14" t="s">
        <v>38</v>
      </c>
      <c r="B175" s="14" t="n">
        <v>1</v>
      </c>
      <c r="C175" s="14" t="str">
        <f aca="false">IFERROR(INDEX(Scoring!$AD$5:$AD$337,MATCH($A175&amp;"|"&amp;$B175,Scoring!$AF$5:$AF$337,0)),"")</f>
        <v>Lead</v>
      </c>
      <c r="D175" s="14" t="str">
        <f aca="false">IFERROR(INDEX(Scoring!$B$5:$B$337,MATCH($A175&amp;"|"&amp;$B175,Scoring!$AF$5:$AF$337,0)),"")</f>
        <v>Daptomycin</v>
      </c>
      <c r="E175" s="14" t="str">
        <f aca="false">IFERROR(INDEX(Scoring!$D$5:$D$337,MATCH($A175&amp;"|"&amp;$B175,Scoring!$AF$5:$AF$337,0)),"")</f>
        <v>Anti-infective – MRSA skin infections &amp; bacteraemia</v>
      </c>
      <c r="F175" s="15" t="n">
        <f aca="false">IFERROR(INDEX(Scoring!$U$5:$U$337,MATCH($A175&amp;"|"&amp;$B175,Scoring!$AF$5:$AF$337,0)),"")</f>
        <v>0.834</v>
      </c>
      <c r="G175" s="16" t="n">
        <f aca="false">IFERROR(INDEX(Scoring!$O$5:$O$337,MATCH($A175&amp;"|"&amp;$B175,Scoring!$AF$5:$AF$337,0)),"")</f>
        <v>59827.18</v>
      </c>
      <c r="H175" s="17" t="n">
        <f aca="false">IFERROR(INDEX(Scoring!$N$5:$N$337,MATCH($A175&amp;"|"&amp;$B175,Scoring!$AF$5:$AF$337,0)),"")</f>
        <v>87.84675</v>
      </c>
      <c r="I175" s="14" t="n">
        <f aca="false">IFERROR(INDEX(Scoring!$F$5:$F$337,MATCH($A175&amp;"|"&amp;$B175,Scoring!$AF$5:$AF$337,0)),"")</f>
        <v>6</v>
      </c>
      <c r="J175" s="14" t="n">
        <f aca="false">IFERROR(INDEX(Scoring!$E$5:$E$337,MATCH($A175&amp;"|"&amp;$B175,Scoring!$AF$5:$AF$337,0)),"")</f>
        <v>30</v>
      </c>
      <c r="K175" s="14" t="n">
        <f aca="false">IFERROR(INDEX(Scoring!$K$5:$K$337,MATCH($A175&amp;"|"&amp;$B175,Scoring!$AF$5:$AF$337,0)),"")</f>
        <v>4</v>
      </c>
      <c r="L175" s="14" t="n">
        <f aca="false">IFERROR(INDEX(Scoring!$L$5:$L$337,MATCH($A175&amp;"|"&amp;$B175,Scoring!$AF$5:$AF$337,0)),"")</f>
        <v>0</v>
      </c>
      <c r="M175" s="14" t="n">
        <f aca="false">IFERROR(INDEX(Scoring!$M$5:$M$337,MATCH($A175&amp;"|"&amp;$B175,Scoring!$AF$5:$AF$337,0)),"")</f>
        <v>0</v>
      </c>
      <c r="N175" s="14" t="str">
        <f aca="false">IFERROR(INDEX(Scoring!$Y$5:$Y$337,MATCH($A175&amp;"|"&amp;$B175,Scoring!$AF$5:$AF$337,0)),"")</f>
        <v>No</v>
      </c>
      <c r="O175" s="14" t="str">
        <f aca="false">IFERROR(INDEX(Scoring!$Z$5:$Z$337,MATCH($A175&amp;"|"&amp;$B175,Scoring!$AF$5:$AF$337,0)),"")</f>
        <v>Yes</v>
      </c>
      <c r="P175" s="14" t="str">
        <f aca="false">IFERROR(INDEX(Scoring!$AA$5:$AA$337,MATCH($A175&amp;"|"&amp;$B175,Scoring!$AF$5:$AF$337,0)),"")</f>
        <v>Yes</v>
      </c>
      <c r="Q175" s="14" t="str">
        <f aca="false">IFERROR(INDEX(Scoring!$AE$5:$AE$337,MATCH($A175&amp;"|"&amp;$B175,Scoring!$AF$5:$AF$337,0)),"")</f>
        <v>Differentiation in crowded generic market</v>
      </c>
    </row>
    <row r="176" customFormat="false" ht="15" hidden="false" customHeight="false" outlineLevel="0" collapsed="false">
      <c r="A176" s="5" t="s">
        <v>38</v>
      </c>
      <c r="B176" s="5" t="n">
        <v>2</v>
      </c>
      <c r="C176" s="5" t="str">
        <f aca="false">IFERROR(INDEX(Scoring!$AD$5:$AD$337,MATCH($A176&amp;"|"&amp;$B176,Scoring!$AF$5:$AF$337,0)),"")</f>
        <v>Lead</v>
      </c>
      <c r="D176" s="5" t="str">
        <f aca="false">IFERROR(INDEX(Scoring!$B$5:$B$337,MATCH($A176&amp;"|"&amp;$B176,Scoring!$AF$5:$AF$337,0)),"")</f>
        <v>Sugammadex</v>
      </c>
      <c r="E176" s="5" t="str">
        <f aca="false">IFERROR(INDEX(Scoring!$D$5:$D$337,MATCH($A176&amp;"|"&amp;$B176,Scoring!$AF$5:$AF$337,0)),"")</f>
        <v>Anaesthesia – reversal of rocuronium/vecuronium muscle relaxation</v>
      </c>
      <c r="F176" s="8" t="n">
        <f aca="false">IFERROR(INDEX(Scoring!$U$5:$U$337,MATCH($A176&amp;"|"&amp;$B176,Scoring!$AF$5:$AF$337,0)),"")</f>
        <v>0.8085</v>
      </c>
      <c r="G176" s="7" t="n">
        <f aca="false">IFERROR(INDEX(Scoring!$O$5:$O$337,MATCH($A176&amp;"|"&amp;$B176,Scoring!$AF$5:$AF$337,0)),"")</f>
        <v>32830.17</v>
      </c>
      <c r="H176" s="6" t="n">
        <f aca="false">IFERROR(INDEX(Scoring!$N$5:$N$337,MATCH($A176&amp;"|"&amp;$B176,Scoring!$AF$5:$AF$337,0)),"")</f>
        <v>140.0938</v>
      </c>
      <c r="I176" s="5" t="n">
        <f aca="false">IFERROR(INDEX(Scoring!$F$5:$F$337,MATCH($A176&amp;"|"&amp;$B176,Scoring!$AF$5:$AF$337,0)),"")</f>
        <v>5</v>
      </c>
      <c r="J176" s="5" t="n">
        <f aca="false">IFERROR(INDEX(Scoring!$E$5:$E$337,MATCH($A176&amp;"|"&amp;$B176,Scoring!$AF$5:$AF$337,0)),"")</f>
        <v>27</v>
      </c>
      <c r="K176" s="5" t="n">
        <f aca="false">IFERROR(INDEX(Scoring!$K$5:$K$337,MATCH($A176&amp;"|"&amp;$B176,Scoring!$AF$5:$AF$337,0)),"")</f>
        <v>1</v>
      </c>
      <c r="L176" s="5" t="n">
        <f aca="false">IFERROR(INDEX(Scoring!$L$5:$L$337,MATCH($A176&amp;"|"&amp;$B176,Scoring!$AF$5:$AF$337,0)),"")</f>
        <v>1</v>
      </c>
      <c r="M176" s="5" t="n">
        <f aca="false">IFERROR(INDEX(Scoring!$M$5:$M$337,MATCH($A176&amp;"|"&amp;$B176,Scoring!$AF$5:$AF$337,0)),"")</f>
        <v>0</v>
      </c>
      <c r="N176" s="5" t="str">
        <f aca="false">IFERROR(INDEX(Scoring!$Y$5:$Y$337,MATCH($A176&amp;"|"&amp;$B176,Scoring!$AF$5:$AF$337,0)),"")</f>
        <v>No</v>
      </c>
      <c r="O176" s="5" t="str">
        <f aca="false">IFERROR(INDEX(Scoring!$Z$5:$Z$337,MATCH($A176&amp;"|"&amp;$B176,Scoring!$AF$5:$AF$337,0)),"")</f>
        <v>No</v>
      </c>
      <c r="P176" s="5" t="str">
        <f aca="false">IFERROR(INDEX(Scoring!$AA$5:$AA$337,MATCH($A176&amp;"|"&amp;$B176,Scoring!$AF$5:$AF$337,0)),"")</f>
        <v>Yes</v>
      </c>
      <c r="Q176" s="5" t="str">
        <f aca="false">IFERROR(INDEX(Scoring!$AE$5:$AE$337,MATCH($A176&amp;"|"&amp;$B176,Scoring!$AF$5:$AF$337,0)),"")</f>
        <v>Differentiation in crowded generic market</v>
      </c>
    </row>
    <row r="177" customFormat="false" ht="15" hidden="false" customHeight="false" outlineLevel="0" collapsed="false">
      <c r="A177" s="5" t="s">
        <v>38</v>
      </c>
      <c r="B177" s="5" t="n">
        <v>3</v>
      </c>
      <c r="C177" s="5" t="str">
        <f aca="false">IFERROR(INDEX(Scoring!$AD$5:$AD$337,MATCH($A177&amp;"|"&amp;$B177,Scoring!$AF$5:$AF$337,0)),"")</f>
        <v>Lead</v>
      </c>
      <c r="D177" s="5" t="str">
        <f aca="false">IFERROR(INDEX(Scoring!$B$5:$B$337,MATCH($A177&amp;"|"&amp;$B177,Scoring!$AF$5:$AF$337,0)),"")</f>
        <v>Ceftriaxone</v>
      </c>
      <c r="E177" s="5" t="str">
        <f aca="false">IFERROR(INDEX(Scoring!$D$5:$D$337,MATCH($A177&amp;"|"&amp;$B177,Scoring!$AF$5:$AF$337,0)),"")</f>
        <v>Anti-infective – pneumonia, meningitis, sepsis, gonorrhoea, typhoid</v>
      </c>
      <c r="F177" s="8" t="n">
        <f aca="false">IFERROR(INDEX(Scoring!$U$5:$U$337,MATCH($A177&amp;"|"&amp;$B177,Scoring!$AF$5:$AF$337,0)),"")</f>
        <v>0.618</v>
      </c>
      <c r="G177" s="7" t="n">
        <f aca="false">IFERROR(INDEX(Scoring!$O$5:$O$337,MATCH($A177&amp;"|"&amp;$B177,Scoring!$AF$5:$AF$337,0)),"")</f>
        <v>93119.22</v>
      </c>
      <c r="H177" s="6" t="n">
        <f aca="false">IFERROR(INDEX(Scoring!$N$5:$N$337,MATCH($A177&amp;"|"&amp;$B177,Scoring!$AF$5:$AF$337,0)),"")</f>
        <v>12.3</v>
      </c>
      <c r="I177" s="5" t="n">
        <f aca="false">IFERROR(INDEX(Scoring!$F$5:$F$337,MATCH($A177&amp;"|"&amp;$B177,Scoring!$AF$5:$AF$337,0)),"")</f>
        <v>2</v>
      </c>
      <c r="J177" s="5" t="n">
        <f aca="false">IFERROR(INDEX(Scoring!$E$5:$E$337,MATCH($A177&amp;"|"&amp;$B177,Scoring!$AF$5:$AF$337,0)),"")</f>
        <v>2</v>
      </c>
      <c r="K177" s="5" t="n">
        <f aca="false">IFERROR(INDEX(Scoring!$K$5:$K$337,MATCH($A177&amp;"|"&amp;$B177,Scoring!$AF$5:$AF$337,0)),"")</f>
        <v>3</v>
      </c>
      <c r="L177" s="5" t="n">
        <f aca="false">IFERROR(INDEX(Scoring!$L$5:$L$337,MATCH($A177&amp;"|"&amp;$B177,Scoring!$AF$5:$AF$337,0)),"")</f>
        <v>0</v>
      </c>
      <c r="M177" s="5" t="n">
        <f aca="false">IFERROR(INDEX(Scoring!$M$5:$M$337,MATCH($A177&amp;"|"&amp;$B177,Scoring!$AF$5:$AF$337,0)),"")</f>
        <v>0</v>
      </c>
      <c r="N177" s="5" t="str">
        <f aca="false">IFERROR(INDEX(Scoring!$Y$5:$Y$337,MATCH($A177&amp;"|"&amp;$B177,Scoring!$AF$5:$AF$337,0)),"")</f>
        <v>No</v>
      </c>
      <c r="O177" s="5" t="str">
        <f aca="false">IFERROR(INDEX(Scoring!$Z$5:$Z$337,MATCH($A177&amp;"|"&amp;$B177,Scoring!$AF$5:$AF$337,0)),"")</f>
        <v>Yes</v>
      </c>
      <c r="P177" s="5" t="str">
        <f aca="false">IFERROR(INDEX(Scoring!$AA$5:$AA$337,MATCH($A177&amp;"|"&amp;$B177,Scoring!$AF$5:$AF$337,0)),"")</f>
        <v>Yes</v>
      </c>
      <c r="Q177" s="5" t="str">
        <f aca="false">IFERROR(INDEX(Scoring!$AE$5:$AE$337,MATCH($A177&amp;"|"&amp;$B177,Scoring!$AF$5:$AF$337,0)),"")</f>
        <v>Differentiation in crowded generic market</v>
      </c>
    </row>
    <row r="178" customFormat="false" ht="15" hidden="false" customHeight="false" outlineLevel="0" collapsed="false">
      <c r="A178" s="5" t="s">
        <v>38</v>
      </c>
      <c r="B178" s="5" t="n">
        <v>4</v>
      </c>
      <c r="C178" s="5" t="str">
        <f aca="false">IFERROR(INDEX(Scoring!$AD$5:$AD$337,MATCH($A178&amp;"|"&amp;$B178,Scoring!$AF$5:$AF$337,0)),"")</f>
        <v>Lead</v>
      </c>
      <c r="D178" s="5" t="str">
        <f aca="false">IFERROR(INDEX(Scoring!$B$5:$B$337,MATCH($A178&amp;"|"&amp;$B178,Scoring!$AF$5:$AF$337,0)),"")</f>
        <v>Vancomycin</v>
      </c>
      <c r="E178" s="5" t="str">
        <f aca="false">IFERROR(INDEX(Scoring!$D$5:$D$337,MATCH($A178&amp;"|"&amp;$B178,Scoring!$AF$5:$AF$337,0)),"")</f>
        <v>Anti-infective – MRSA &amp; serious Gram-positive infections</v>
      </c>
      <c r="F178" s="8" t="n">
        <f aca="false">IFERROR(INDEX(Scoring!$U$5:$U$337,MATCH($A178&amp;"|"&amp;$B178,Scoring!$AF$5:$AF$337,0)),"")</f>
        <v>0.5025</v>
      </c>
      <c r="G178" s="7" t="n">
        <f aca="false">IFERROR(INDEX(Scoring!$O$5:$O$337,MATCH($A178&amp;"|"&amp;$B178,Scoring!$AF$5:$AF$337,0)),"")</f>
        <v>44038.9187717876</v>
      </c>
      <c r="H178" s="6" t="n">
        <f aca="false">IFERROR(INDEX(Scoring!$N$5:$N$337,MATCH($A178&amp;"|"&amp;$B178,Scoring!$AF$5:$AF$337,0)),"")</f>
        <v>6.7348</v>
      </c>
      <c r="I178" s="5" t="n">
        <f aca="false">IFERROR(INDEX(Scoring!$F$5:$F$337,MATCH($A178&amp;"|"&amp;$B178,Scoring!$AF$5:$AF$337,0)),"")</f>
        <v>5</v>
      </c>
      <c r="J178" s="5" t="n">
        <f aca="false">IFERROR(INDEX(Scoring!$E$5:$E$337,MATCH($A178&amp;"|"&amp;$B178,Scoring!$AF$5:$AF$337,0)),"")</f>
        <v>27</v>
      </c>
      <c r="K178" s="5" t="n">
        <f aca="false">IFERROR(INDEX(Scoring!$K$5:$K$337,MATCH($A178&amp;"|"&amp;$B178,Scoring!$AF$5:$AF$337,0)),"")</f>
        <v>1</v>
      </c>
      <c r="L178" s="5" t="n">
        <f aca="false">IFERROR(INDEX(Scoring!$L$5:$L$337,MATCH($A178&amp;"|"&amp;$B178,Scoring!$AF$5:$AF$337,0)),"")</f>
        <v>0</v>
      </c>
      <c r="M178" s="5" t="n">
        <f aca="false">IFERROR(INDEX(Scoring!$M$5:$M$337,MATCH($A178&amp;"|"&amp;$B178,Scoring!$AF$5:$AF$337,0)),"")</f>
        <v>0</v>
      </c>
      <c r="N178" s="5" t="str">
        <f aca="false">IFERROR(INDEX(Scoring!$Y$5:$Y$337,MATCH($A178&amp;"|"&amp;$B178,Scoring!$AF$5:$AF$337,0)),"")</f>
        <v>No</v>
      </c>
      <c r="O178" s="5" t="str">
        <f aca="false">IFERROR(INDEX(Scoring!$Z$5:$Z$337,MATCH($A178&amp;"|"&amp;$B178,Scoring!$AF$5:$AF$337,0)),"")</f>
        <v>Yes</v>
      </c>
      <c r="P178" s="5" t="str">
        <f aca="false">IFERROR(INDEX(Scoring!$AA$5:$AA$337,MATCH($A178&amp;"|"&amp;$B178,Scoring!$AF$5:$AF$337,0)),"")</f>
        <v>No</v>
      </c>
      <c r="Q178" s="5" t="str">
        <f aca="false">IFERROR(INDEX(Scoring!$AE$5:$AE$337,MATCH($A178&amp;"|"&amp;$B178,Scoring!$AF$5:$AF$337,0)),"")</f>
        <v>Safety-device mandate compliance</v>
      </c>
    </row>
    <row r="179" customFormat="false" ht="15" hidden="false" customHeight="false" outlineLevel="0" collapsed="false">
      <c r="A179" s="5" t="s">
        <v>38</v>
      </c>
      <c r="B179" s="5" t="n">
        <v>5</v>
      </c>
      <c r="C179" s="5" t="str">
        <f aca="false">IFERROR(INDEX(Scoring!$AD$5:$AD$337,MATCH($A179&amp;"|"&amp;$B179,Scoring!$AF$5:$AF$337,0)),"")</f>
        <v>Lead</v>
      </c>
      <c r="D179" s="5" t="str">
        <f aca="false">IFERROR(INDEX(Scoring!$B$5:$B$337,MATCH($A179&amp;"|"&amp;$B179,Scoring!$AF$5:$AF$337,0)),"")</f>
        <v>Sodium Valproate</v>
      </c>
      <c r="E179" s="5" t="str">
        <f aca="false">IFERROR(INDEX(Scoring!$D$5:$D$337,MATCH($A179&amp;"|"&amp;$B179,Scoring!$AF$5:$AF$337,0)),"")</f>
        <v>Neurology – epilepsy &amp; status epilepticus (when oral not possible)</v>
      </c>
      <c r="F179" s="8" t="n">
        <f aca="false">IFERROR(INDEX(Scoring!$U$5:$U$337,MATCH($A179&amp;"|"&amp;$B179,Scoring!$AF$5:$AF$337,0)),"")</f>
        <v>0.486</v>
      </c>
      <c r="G179" s="7" t="n">
        <f aca="false">IFERROR(INDEX(Scoring!$O$5:$O$337,MATCH($A179&amp;"|"&amp;$B179,Scoring!$AF$5:$AF$337,0)),"")</f>
        <v>3562.44935403155</v>
      </c>
      <c r="H179" s="6" t="n">
        <f aca="false">IFERROR(INDEX(Scoring!$N$5:$N$337,MATCH($A179&amp;"|"&amp;$B179,Scoring!$AF$5:$AF$337,0)),"")</f>
        <v>33.7122666666667</v>
      </c>
      <c r="I179" s="5" t="n">
        <f aca="false">IFERROR(INDEX(Scoring!$F$5:$F$337,MATCH($A179&amp;"|"&amp;$B179,Scoring!$AF$5:$AF$337,0)),"")</f>
        <v>6</v>
      </c>
      <c r="J179" s="5" t="n">
        <f aca="false">IFERROR(INDEX(Scoring!$E$5:$E$337,MATCH($A179&amp;"|"&amp;$B179,Scoring!$AF$5:$AF$337,0)),"")</f>
        <v>32</v>
      </c>
      <c r="K179" s="5" t="n">
        <f aca="false">IFERROR(INDEX(Scoring!$K$5:$K$337,MATCH($A179&amp;"|"&amp;$B179,Scoring!$AF$5:$AF$337,0)),"")</f>
        <v>1</v>
      </c>
      <c r="L179" s="5" t="n">
        <f aca="false">IFERROR(INDEX(Scoring!$L$5:$L$337,MATCH($A179&amp;"|"&amp;$B179,Scoring!$AF$5:$AF$337,0)),"")</f>
        <v>3</v>
      </c>
      <c r="M179" s="5" t="n">
        <f aca="false">IFERROR(INDEX(Scoring!$M$5:$M$337,MATCH($A179&amp;"|"&amp;$B179,Scoring!$AF$5:$AF$337,0)),"")</f>
        <v>0</v>
      </c>
      <c r="N179" s="5" t="str">
        <f aca="false">IFERROR(INDEX(Scoring!$Y$5:$Y$337,MATCH($A179&amp;"|"&amp;$B179,Scoring!$AF$5:$AF$337,0)),"")</f>
        <v>No</v>
      </c>
      <c r="O179" s="5" t="str">
        <f aca="false">IFERROR(INDEX(Scoring!$Z$5:$Z$337,MATCH($A179&amp;"|"&amp;$B179,Scoring!$AF$5:$AF$337,0)),"")</f>
        <v>No</v>
      </c>
      <c r="P179" s="5" t="str">
        <f aca="false">IFERROR(INDEX(Scoring!$AA$5:$AA$337,MATCH($A179&amp;"|"&amp;$B179,Scoring!$AF$5:$AF$337,0)),"")</f>
        <v>No</v>
      </c>
      <c r="Q179" s="5" t="str">
        <f aca="false">IFERROR(INDEX(Scoring!$AE$5:$AE$337,MATCH($A179&amp;"|"&amp;$B179,Scoring!$AF$5:$AF$337,0)),"")</f>
        <v>Safety-device mandate compliance</v>
      </c>
    </row>
    <row r="180" customFormat="false" ht="15" hidden="false" customHeight="false" outlineLevel="0" collapsed="false">
      <c r="A180" s="5" t="s">
        <v>38</v>
      </c>
      <c r="B180" s="5" t="n">
        <v>6</v>
      </c>
      <c r="C180" s="5" t="str">
        <f aca="false">IFERROR(INDEX(Scoring!$AD$5:$AD$337,MATCH($A180&amp;"|"&amp;$B180,Scoring!$AF$5:$AF$337,0)),"")</f>
        <v>Next wave</v>
      </c>
      <c r="D180" s="5" t="str">
        <f aca="false">IFERROR(INDEX(Scoring!$B$5:$B$337,MATCH($A180&amp;"|"&amp;$B180,Scoring!$AF$5:$AF$337,0)),"")</f>
        <v>Ceftazidime</v>
      </c>
      <c r="E180" s="5" t="str">
        <f aca="false">IFERROR(INDEX(Scoring!$D$5:$D$337,MATCH($A180&amp;"|"&amp;$B180,Scoring!$AF$5:$AF$337,0)),"")</f>
        <v>Anti-infective – Pseudomonas &amp; hospital Gram-negative infections</v>
      </c>
      <c r="F180" s="8" t="n">
        <f aca="false">IFERROR(INDEX(Scoring!$U$5:$U$337,MATCH($A180&amp;"|"&amp;$B180,Scoring!$AF$5:$AF$337,0)),"")</f>
        <v>0.4675</v>
      </c>
      <c r="G180" s="7" t="n">
        <f aca="false">IFERROR(INDEX(Scoring!$O$5:$O$337,MATCH($A180&amp;"|"&amp;$B180,Scoring!$AF$5:$AF$337,0)),"")</f>
        <v>5713.56</v>
      </c>
      <c r="H180" s="6" t="n">
        <f aca="false">IFERROR(INDEX(Scoring!$N$5:$N$337,MATCH($A180&amp;"|"&amp;$B180,Scoring!$AF$5:$AF$337,0)),"")</f>
        <v>20.2732</v>
      </c>
      <c r="I180" s="5" t="n">
        <f aca="false">IFERROR(INDEX(Scoring!$F$5:$F$337,MATCH($A180&amp;"|"&amp;$B180,Scoring!$AF$5:$AF$337,0)),"")</f>
        <v>6</v>
      </c>
      <c r="J180" s="5" t="n">
        <f aca="false">IFERROR(INDEX(Scoring!$E$5:$E$337,MATCH($A180&amp;"|"&amp;$B180,Scoring!$AF$5:$AF$337,0)),"")</f>
        <v>31</v>
      </c>
      <c r="K180" s="5" t="n">
        <f aca="false">IFERROR(INDEX(Scoring!$K$5:$K$337,MATCH($A180&amp;"|"&amp;$B180,Scoring!$AF$5:$AF$337,0)),"")</f>
        <v>2</v>
      </c>
      <c r="L180" s="5" t="n">
        <f aca="false">IFERROR(INDEX(Scoring!$L$5:$L$337,MATCH($A180&amp;"|"&amp;$B180,Scoring!$AF$5:$AF$337,0)),"")</f>
        <v>0</v>
      </c>
      <c r="M180" s="5" t="n">
        <f aca="false">IFERROR(INDEX(Scoring!$M$5:$M$337,MATCH($A180&amp;"|"&amp;$B180,Scoring!$AF$5:$AF$337,0)),"")</f>
        <v>0</v>
      </c>
      <c r="N180" s="5" t="str">
        <f aca="false">IFERROR(INDEX(Scoring!$Y$5:$Y$337,MATCH($A180&amp;"|"&amp;$B180,Scoring!$AF$5:$AF$337,0)),"")</f>
        <v>No</v>
      </c>
      <c r="O180" s="5" t="str">
        <f aca="false">IFERROR(INDEX(Scoring!$Z$5:$Z$337,MATCH($A180&amp;"|"&amp;$B180,Scoring!$AF$5:$AF$337,0)),"")</f>
        <v>Yes</v>
      </c>
      <c r="P180" s="5" t="str">
        <f aca="false">IFERROR(INDEX(Scoring!$AA$5:$AA$337,MATCH($A180&amp;"|"&amp;$B180,Scoring!$AF$5:$AF$337,0)),"")</f>
        <v>Yes</v>
      </c>
      <c r="Q180" s="5" t="str">
        <f aca="false">IFERROR(INDEX(Scoring!$AE$5:$AE$337,MATCH($A180&amp;"|"&amp;$B180,Scoring!$AF$5:$AF$337,0)),"")</f>
        <v>Differentiation in crowded generic market</v>
      </c>
    </row>
    <row r="181" customFormat="false" ht="15" hidden="false" customHeight="false" outlineLevel="0" collapsed="false">
      <c r="A181" s="5" t="s">
        <v>38</v>
      </c>
      <c r="B181" s="5" t="n">
        <v>7</v>
      </c>
      <c r="C181" s="5" t="str">
        <f aca="false">IFERROR(INDEX(Scoring!$AD$5:$AD$337,MATCH($A181&amp;"|"&amp;$B181,Scoring!$AF$5:$AF$337,0)),"")</f>
        <v>Next wave</v>
      </c>
      <c r="D181" s="5" t="str">
        <f aca="false">IFERROR(INDEX(Scoring!$B$5:$B$337,MATCH($A181&amp;"|"&amp;$B181,Scoring!$AF$5:$AF$337,0)),"")</f>
        <v>Milrinone</v>
      </c>
      <c r="E181" s="5" t="str">
        <f aca="false">IFERROR(INDEX(Scoring!$D$5:$D$337,MATCH($A181&amp;"|"&amp;$B181,Scoring!$AF$5:$AF$337,0)),"")</f>
        <v>Cardiovascular – acute decompensated heart failure</v>
      </c>
      <c r="F181" s="8" t="n">
        <f aca="false">IFERROR(INDEX(Scoring!$U$5:$U$337,MATCH($A181&amp;"|"&amp;$B181,Scoring!$AF$5:$AF$337,0)),"")</f>
        <v>0.4575</v>
      </c>
      <c r="G181" s="7" t="n">
        <f aca="false">IFERROR(INDEX(Scoring!$O$5:$O$337,MATCH($A181&amp;"|"&amp;$B181,Scoring!$AF$5:$AF$337,0)),"")</f>
        <v>4036.55</v>
      </c>
      <c r="H181" s="6" t="n">
        <f aca="false">IFERROR(INDEX(Scoring!$N$5:$N$337,MATCH($A181&amp;"|"&amp;$B181,Scoring!$AF$5:$AF$337,0)),"")</f>
        <v>23.70855</v>
      </c>
      <c r="I181" s="5" t="n">
        <f aca="false">IFERROR(INDEX(Scoring!$F$5:$F$337,MATCH($A181&amp;"|"&amp;$B181,Scoring!$AF$5:$AF$337,0)),"")</f>
        <v>6</v>
      </c>
      <c r="J181" s="5" t="n">
        <f aca="false">IFERROR(INDEX(Scoring!$E$5:$E$337,MATCH($A181&amp;"|"&amp;$B181,Scoring!$AF$5:$AF$337,0)),"")</f>
        <v>25</v>
      </c>
      <c r="K181" s="5" t="n">
        <f aca="false">IFERROR(INDEX(Scoring!$K$5:$K$337,MATCH($A181&amp;"|"&amp;$B181,Scoring!$AF$5:$AF$337,0)),"")</f>
        <v>0</v>
      </c>
      <c r="L181" s="5" t="n">
        <f aca="false">IFERROR(INDEX(Scoring!$L$5:$L$337,MATCH($A181&amp;"|"&amp;$B181,Scoring!$AF$5:$AF$337,0)),"")</f>
        <v>2</v>
      </c>
      <c r="M181" s="5" t="n">
        <f aca="false">IFERROR(INDEX(Scoring!$M$5:$M$337,MATCH($A181&amp;"|"&amp;$B181,Scoring!$AF$5:$AF$337,0)),"")</f>
        <v>0</v>
      </c>
      <c r="N181" s="5" t="str">
        <f aca="false">IFERROR(INDEX(Scoring!$Y$5:$Y$337,MATCH($A181&amp;"|"&amp;$B181,Scoring!$AF$5:$AF$337,0)),"")</f>
        <v>No</v>
      </c>
      <c r="O181" s="5" t="str">
        <f aca="false">IFERROR(INDEX(Scoring!$Z$5:$Z$337,MATCH($A181&amp;"|"&amp;$B181,Scoring!$AF$5:$AF$337,0)),"")</f>
        <v>No</v>
      </c>
      <c r="P181" s="5" t="str">
        <f aca="false">IFERROR(INDEX(Scoring!$AA$5:$AA$337,MATCH($A181&amp;"|"&amp;$B181,Scoring!$AF$5:$AF$337,0)),"")</f>
        <v>Yes</v>
      </c>
      <c r="Q181" s="5" t="str">
        <f aca="false">IFERROR(INDEX(Scoring!$AE$5:$AE$337,MATCH($A181&amp;"|"&amp;$B181,Scoring!$AF$5:$AF$337,0)),"")</f>
        <v>Differentiation in crowded generic market</v>
      </c>
    </row>
    <row r="182" customFormat="false" ht="15" hidden="false" customHeight="false" outlineLevel="0" collapsed="false">
      <c r="A182" s="5" t="s">
        <v>38</v>
      </c>
      <c r="B182" s="5" t="n">
        <v>8</v>
      </c>
      <c r="C182" s="5" t="str">
        <f aca="false">IFERROR(INDEX(Scoring!$AD$5:$AD$337,MATCH($A182&amp;"|"&amp;$B182,Scoring!$AF$5:$AF$337,0)),"")</f>
        <v>Next wave</v>
      </c>
      <c r="D182" s="5" t="str">
        <f aca="false">IFERROR(INDEX(Scoring!$B$5:$B$337,MATCH($A182&amp;"|"&amp;$B182,Scoring!$AF$5:$AF$337,0)),"")</f>
        <v>Ondansetron</v>
      </c>
      <c r="E182" s="5" t="str">
        <f aca="false">IFERROR(INDEX(Scoring!$D$5:$D$337,MATCH($A182&amp;"|"&amp;$B182,Scoring!$AF$5:$AF$337,0)),"")</f>
        <v>Oncology supportive – chemotherapy &amp; post-op nausea/vomiting</v>
      </c>
      <c r="F182" s="8" t="n">
        <f aca="false">IFERROR(INDEX(Scoring!$U$5:$U$337,MATCH($A182&amp;"|"&amp;$B182,Scoring!$AF$5:$AF$337,0)),"")</f>
        <v>0.377085</v>
      </c>
      <c r="G182" s="7" t="n">
        <f aca="false">IFERROR(INDEX(Scoring!$O$5:$O$337,MATCH($A182&amp;"|"&amp;$B182,Scoring!$AF$5:$AF$337,0)),"")</f>
        <v>17590.5015252859</v>
      </c>
      <c r="H182" s="6" t="n">
        <f aca="false">IFERROR(INDEX(Scoring!$N$5:$N$337,MATCH($A182&amp;"|"&amp;$B182,Scoring!$AF$5:$AF$337,0)),"")</f>
        <v>5.3223</v>
      </c>
      <c r="I182" s="5" t="n">
        <f aca="false">IFERROR(INDEX(Scoring!$F$5:$F$337,MATCH($A182&amp;"|"&amp;$B182,Scoring!$AF$5:$AF$337,0)),"")</f>
        <v>5</v>
      </c>
      <c r="J182" s="5" t="n">
        <f aca="false">IFERROR(INDEX(Scoring!$E$5:$E$337,MATCH($A182&amp;"|"&amp;$B182,Scoring!$AF$5:$AF$337,0)),"")</f>
        <v>28</v>
      </c>
      <c r="K182" s="5" t="n">
        <f aca="false">IFERROR(INDEX(Scoring!$K$5:$K$337,MATCH($A182&amp;"|"&amp;$B182,Scoring!$AF$5:$AF$337,0)),"")</f>
        <v>0</v>
      </c>
      <c r="L182" s="5" t="n">
        <f aca="false">IFERROR(INDEX(Scoring!$L$5:$L$337,MATCH($A182&amp;"|"&amp;$B182,Scoring!$AF$5:$AF$337,0)),"")</f>
        <v>1</v>
      </c>
      <c r="M182" s="5" t="n">
        <f aca="false">IFERROR(INDEX(Scoring!$M$5:$M$337,MATCH($A182&amp;"|"&amp;$B182,Scoring!$AF$5:$AF$337,0)),"")</f>
        <v>0</v>
      </c>
      <c r="N182" s="5" t="str">
        <f aca="false">IFERROR(INDEX(Scoring!$Y$5:$Y$337,MATCH($A182&amp;"|"&amp;$B182,Scoring!$AF$5:$AF$337,0)),"")</f>
        <v>No</v>
      </c>
      <c r="O182" s="5" t="str">
        <f aca="false">IFERROR(INDEX(Scoring!$Z$5:$Z$337,MATCH($A182&amp;"|"&amp;$B182,Scoring!$AF$5:$AF$337,0)),"")</f>
        <v>No</v>
      </c>
      <c r="P182" s="5" t="str">
        <f aca="false">IFERROR(INDEX(Scoring!$AA$5:$AA$337,MATCH($A182&amp;"|"&amp;$B182,Scoring!$AF$5:$AF$337,0)),"")</f>
        <v>Yes</v>
      </c>
      <c r="Q182" s="5" t="str">
        <f aca="false">IFERROR(INDEX(Scoring!$AE$5:$AE$337,MATCH($A182&amp;"|"&amp;$B182,Scoring!$AF$5:$AF$337,0)),"")</f>
        <v>Differentiation in crowded generic market</v>
      </c>
    </row>
    <row r="183" customFormat="false" ht="15" hidden="false" customHeight="false" outlineLevel="0" collapsed="false">
      <c r="A183" s="5" t="s">
        <v>38</v>
      </c>
      <c r="B183" s="5" t="n">
        <v>9</v>
      </c>
      <c r="C183" s="5" t="str">
        <f aca="false">IFERROR(INDEX(Scoring!$AD$5:$AD$337,MATCH($A183&amp;"|"&amp;$B183,Scoring!$AF$5:$AF$337,0)),"")</f>
        <v>Next wave</v>
      </c>
      <c r="D183" s="5" t="str">
        <f aca="false">IFERROR(INDEX(Scoring!$B$5:$B$337,MATCH($A183&amp;"|"&amp;$B183,Scoring!$AF$5:$AF$337,0)),"")</f>
        <v>Hyaluronidase</v>
      </c>
      <c r="E183" s="5" t="str">
        <f aca="false">IFERROR(INDEX(Scoring!$D$5:$D$337,MATCH($A183&amp;"|"&amp;$B183,Scoring!$AF$5:$AF$337,0)),"")</f>
        <v>Anaesthesia / Other – enhances dispersion of injected drugs &amp; fluids</v>
      </c>
      <c r="F183" s="8" t="n">
        <f aca="false">IFERROR(INDEX(Scoring!$U$5:$U$337,MATCH($A183&amp;"|"&amp;$B183,Scoring!$AF$5:$AF$337,0)),"")</f>
        <v>0.3466</v>
      </c>
      <c r="G183" s="7" t="n">
        <f aca="false">IFERROR(INDEX(Scoring!$O$5:$O$337,MATCH($A183&amp;"|"&amp;$B183,Scoring!$AF$5:$AF$337,0)),"")</f>
        <v>163.643043478261</v>
      </c>
      <c r="H183" s="6" t="n">
        <f aca="false">IFERROR(INDEX(Scoring!$N$5:$N$337,MATCH($A183&amp;"|"&amp;$B183,Scoring!$AF$5:$AF$337,0)),"")</f>
        <v>59.1216</v>
      </c>
      <c r="I183" s="5" t="n">
        <f aca="false">IFERROR(INDEX(Scoring!$F$5:$F$337,MATCH($A183&amp;"|"&amp;$B183,Scoring!$AF$5:$AF$337,0)),"")</f>
        <v>3</v>
      </c>
      <c r="J183" s="5" t="n">
        <f aca="false">IFERROR(INDEX(Scoring!$E$5:$E$337,MATCH($A183&amp;"|"&amp;$B183,Scoring!$AF$5:$AF$337,0)),"")</f>
        <v>6</v>
      </c>
      <c r="K183" s="5" t="n">
        <f aca="false">IFERROR(INDEX(Scoring!$K$5:$K$337,MATCH($A183&amp;"|"&amp;$B183,Scoring!$AF$5:$AF$337,0)),"")</f>
        <v>0</v>
      </c>
      <c r="L183" s="5" t="n">
        <f aca="false">IFERROR(INDEX(Scoring!$L$5:$L$337,MATCH($A183&amp;"|"&amp;$B183,Scoring!$AF$5:$AF$337,0)),"")</f>
        <v>1</v>
      </c>
      <c r="M183" s="5" t="n">
        <f aca="false">IFERROR(INDEX(Scoring!$M$5:$M$337,MATCH($A183&amp;"|"&amp;$B183,Scoring!$AF$5:$AF$337,0)),"")</f>
        <v>0</v>
      </c>
      <c r="N183" s="5" t="str">
        <f aca="false">IFERROR(INDEX(Scoring!$Y$5:$Y$337,MATCH($A183&amp;"|"&amp;$B183,Scoring!$AF$5:$AF$337,0)),"")</f>
        <v>No</v>
      </c>
      <c r="O183" s="5" t="str">
        <f aca="false">IFERROR(INDEX(Scoring!$Z$5:$Z$337,MATCH($A183&amp;"|"&amp;$B183,Scoring!$AF$5:$AF$337,0)),"")</f>
        <v>Yes</v>
      </c>
      <c r="P183" s="5" t="str">
        <f aca="false">IFERROR(INDEX(Scoring!$AA$5:$AA$337,MATCH($A183&amp;"|"&amp;$B183,Scoring!$AF$5:$AF$337,0)),"")</f>
        <v>No</v>
      </c>
      <c r="Q183" s="5" t="str">
        <f aca="false">IFERROR(INDEX(Scoring!$AE$5:$AE$337,MATCH($A183&amp;"|"&amp;$B183,Scoring!$AF$5:$AF$337,0)),"")</f>
        <v>Safety-device mandate compliance</v>
      </c>
    </row>
    <row r="184" customFormat="false" ht="15" hidden="false" customHeight="false" outlineLevel="0" collapsed="false">
      <c r="A184" s="5" t="s">
        <v>38</v>
      </c>
      <c r="B184" s="5" t="n">
        <v>10</v>
      </c>
      <c r="C184" s="5" t="str">
        <f aca="false">IFERROR(INDEX(Scoring!$AD$5:$AD$337,MATCH($A184&amp;"|"&amp;$B184,Scoring!$AF$5:$AF$337,0)),"")</f>
        <v>Next wave</v>
      </c>
      <c r="D184" s="5" t="str">
        <f aca="false">IFERROR(INDEX(Scoring!$B$5:$B$337,MATCH($A184&amp;"|"&amp;$B184,Scoring!$AF$5:$AF$337,0)),"")</f>
        <v>Haloperidol</v>
      </c>
      <c r="E184" s="5" t="str">
        <f aca="false">IFERROR(INDEX(Scoring!$D$5:$D$337,MATCH($A184&amp;"|"&amp;$B184,Scoring!$AF$5:$AF$337,0)),"")</f>
        <v>Psychiatry – acute agitation, psychosis, delirium</v>
      </c>
      <c r="F184" s="8" t="n">
        <f aca="false">IFERROR(INDEX(Scoring!$U$5:$U$337,MATCH($A184&amp;"|"&amp;$B184,Scoring!$AF$5:$AF$337,0)),"")</f>
        <v>0.346</v>
      </c>
      <c r="G184" s="7" t="n">
        <f aca="false">IFERROR(INDEX(Scoring!$O$5:$O$337,MATCH($A184&amp;"|"&amp;$B184,Scoring!$AF$5:$AF$337,0)),"")</f>
        <v>4492.81772954824</v>
      </c>
      <c r="H184" s="6" t="n">
        <f aca="false">IFERROR(INDEX(Scoring!$N$5:$N$337,MATCH($A184&amp;"|"&amp;$B184,Scoring!$AF$5:$AF$337,0)),"")</f>
        <v>8.98</v>
      </c>
      <c r="I184" s="5" t="n">
        <f aca="false">IFERROR(INDEX(Scoring!$F$5:$F$337,MATCH($A184&amp;"|"&amp;$B184,Scoring!$AF$5:$AF$337,0)),"")</f>
        <v>1</v>
      </c>
      <c r="J184" s="5" t="n">
        <f aca="false">IFERROR(INDEX(Scoring!$E$5:$E$337,MATCH($A184&amp;"|"&amp;$B184,Scoring!$AF$5:$AF$337,0)),"")</f>
        <v>1</v>
      </c>
      <c r="K184" s="5" t="n">
        <f aca="false">IFERROR(INDEX(Scoring!$K$5:$K$337,MATCH($A184&amp;"|"&amp;$B184,Scoring!$AF$5:$AF$337,0)),"")</f>
        <v>0</v>
      </c>
      <c r="L184" s="5" t="n">
        <f aca="false">IFERROR(INDEX(Scoring!$L$5:$L$337,MATCH($A184&amp;"|"&amp;$B184,Scoring!$AF$5:$AF$337,0)),"")</f>
        <v>1</v>
      </c>
      <c r="M184" s="5" t="n">
        <f aca="false">IFERROR(INDEX(Scoring!$M$5:$M$337,MATCH($A184&amp;"|"&amp;$B184,Scoring!$AF$5:$AF$337,0)),"")</f>
        <v>0</v>
      </c>
      <c r="N184" s="5" t="str">
        <f aca="false">IFERROR(INDEX(Scoring!$Y$5:$Y$337,MATCH($A184&amp;"|"&amp;$B184,Scoring!$AF$5:$AF$337,0)),"")</f>
        <v>No</v>
      </c>
      <c r="O184" s="5" t="str">
        <f aca="false">IFERROR(INDEX(Scoring!$Z$5:$Z$337,MATCH($A184&amp;"|"&amp;$B184,Scoring!$AF$5:$AF$337,0)),"")</f>
        <v>No</v>
      </c>
      <c r="P184" s="5" t="str">
        <f aca="false">IFERROR(INDEX(Scoring!$AA$5:$AA$337,MATCH($A184&amp;"|"&amp;$B184,Scoring!$AF$5:$AF$337,0)),"")</f>
        <v>No</v>
      </c>
      <c r="Q184" s="5" t="str">
        <f aca="false">IFERROR(INDEX(Scoring!$AE$5:$AE$337,MATCH($A184&amp;"|"&amp;$B184,Scoring!$AF$5:$AF$337,0)),"")</f>
        <v>Safety-device mandate compliance</v>
      </c>
    </row>
    <row r="185" customFormat="false" ht="15" hidden="false" customHeight="false" outlineLevel="0" collapsed="false">
      <c r="A185" s="14" t="s">
        <v>36</v>
      </c>
      <c r="B185" s="14" t="n">
        <v>1</v>
      </c>
      <c r="C185" s="14" t="str">
        <f aca="false">IFERROR(INDEX(Scoring!$AD$5:$AD$337,MATCH($A185&amp;"|"&amp;$B185,Scoring!$AF$5:$AF$337,0)),"")</f>
        <v>Lead</v>
      </c>
      <c r="D185" s="14" t="str">
        <f aca="false">IFERROR(INDEX(Scoring!$B$5:$B$337,MATCH($A185&amp;"|"&amp;$B185,Scoring!$AF$5:$AF$337,0)),"")</f>
        <v>Bortezomib</v>
      </c>
      <c r="E185" s="14" t="str">
        <f aca="false">IFERROR(INDEX(Scoring!$D$5:$D$337,MATCH($A185&amp;"|"&amp;$B185,Scoring!$AF$5:$AF$337,0)),"")</f>
        <v>Oncology – multiple myeloma &amp; mantle cell lymphoma</v>
      </c>
      <c r="F185" s="15" t="n">
        <f aca="false">IFERROR(INDEX(Scoring!$U$5:$U$337,MATCH($A185&amp;"|"&amp;$B185,Scoring!$AF$5:$AF$337,0)),"")</f>
        <v>0.8725</v>
      </c>
      <c r="G185" s="16" t="n">
        <f aca="false">IFERROR(INDEX(Scoring!$O$5:$O$337,MATCH($A185&amp;"|"&amp;$B185,Scoring!$AF$5:$AF$337,0)),"")</f>
        <v>28093.38</v>
      </c>
      <c r="H185" s="17" t="n">
        <f aca="false">IFERROR(INDEX(Scoring!$N$5:$N$337,MATCH($A185&amp;"|"&amp;$B185,Scoring!$AF$5:$AF$337,0)),"")</f>
        <v>618.92185</v>
      </c>
      <c r="I185" s="14" t="n">
        <f aca="false">IFERROR(INDEX(Scoring!$F$5:$F$337,MATCH($A185&amp;"|"&amp;$B185,Scoring!$AF$5:$AF$337,0)),"")</f>
        <v>7</v>
      </c>
      <c r="J185" s="14" t="n">
        <f aca="false">IFERROR(INDEX(Scoring!$E$5:$E$337,MATCH($A185&amp;"|"&amp;$B185,Scoring!$AF$5:$AF$337,0)),"")</f>
        <v>32</v>
      </c>
      <c r="K185" s="14" t="n">
        <f aca="false">IFERROR(INDEX(Scoring!$K$5:$K$337,MATCH($A185&amp;"|"&amp;$B185,Scoring!$AF$5:$AF$337,0)),"")</f>
        <v>4</v>
      </c>
      <c r="L185" s="14" t="n">
        <f aca="false">IFERROR(INDEX(Scoring!$L$5:$L$337,MATCH($A185&amp;"|"&amp;$B185,Scoring!$AF$5:$AF$337,0)),"")</f>
        <v>0</v>
      </c>
      <c r="M185" s="14" t="n">
        <f aca="false">IFERROR(INDEX(Scoring!$M$5:$M$337,MATCH($A185&amp;"|"&amp;$B185,Scoring!$AF$5:$AF$337,0)),"")</f>
        <v>0</v>
      </c>
      <c r="N185" s="14" t="str">
        <f aca="false">IFERROR(INDEX(Scoring!$Y$5:$Y$337,MATCH($A185&amp;"|"&amp;$B185,Scoring!$AF$5:$AF$337,0)),"")</f>
        <v>Yes</v>
      </c>
      <c r="O185" s="14" t="str">
        <f aca="false">IFERROR(INDEX(Scoring!$Z$5:$Z$337,MATCH($A185&amp;"|"&amp;$B185,Scoring!$AF$5:$AF$337,0)),"")</f>
        <v>Yes</v>
      </c>
      <c r="P185" s="14" t="str">
        <f aca="false">IFERROR(INDEX(Scoring!$AA$5:$AA$337,MATCH($A185&amp;"|"&amp;$B185,Scoring!$AF$5:$AF$337,0)),"")</f>
        <v>Yes</v>
      </c>
      <c r="Q185" s="14" t="str">
        <f aca="false">IFERROR(INDEX(Scoring!$AE$5:$AE$337,MATCH($A185&amp;"|"&amp;$B185,Scoring!$AF$5:$AF$337,0)),"")</f>
        <v>Differentiation in crowded generic market</v>
      </c>
    </row>
    <row r="186" customFormat="false" ht="15" hidden="false" customHeight="false" outlineLevel="0" collapsed="false">
      <c r="A186" s="5" t="s">
        <v>36</v>
      </c>
      <c r="B186" s="5" t="n">
        <v>2</v>
      </c>
      <c r="C186" s="5" t="str">
        <f aca="false">IFERROR(INDEX(Scoring!$AD$5:$AD$337,MATCH($A186&amp;"|"&amp;$B186,Scoring!$AF$5:$AF$337,0)),"")</f>
        <v>Lead</v>
      </c>
      <c r="D186" s="5" t="str">
        <f aca="false">IFERROR(INDEX(Scoring!$B$5:$B$337,MATCH($A186&amp;"|"&amp;$B186,Scoring!$AF$5:$AF$337,0)),"")</f>
        <v>Sugammadex</v>
      </c>
      <c r="E186" s="5" t="str">
        <f aca="false">IFERROR(INDEX(Scoring!$D$5:$D$337,MATCH($A186&amp;"|"&amp;$B186,Scoring!$AF$5:$AF$337,0)),"")</f>
        <v>Anaesthesia – reversal of rocuronium/vecuronium muscle relaxation</v>
      </c>
      <c r="F186" s="8" t="n">
        <f aca="false">IFERROR(INDEX(Scoring!$U$5:$U$337,MATCH($A186&amp;"|"&amp;$B186,Scoring!$AF$5:$AF$337,0)),"")</f>
        <v>0.6775</v>
      </c>
      <c r="G186" s="7" t="n">
        <f aca="false">IFERROR(INDEX(Scoring!$O$5:$O$337,MATCH($A186&amp;"|"&amp;$B186,Scoring!$AF$5:$AF$337,0)),"")</f>
        <v>32830.17</v>
      </c>
      <c r="H186" s="6" t="n">
        <f aca="false">IFERROR(INDEX(Scoring!$N$5:$N$337,MATCH($A186&amp;"|"&amp;$B186,Scoring!$AF$5:$AF$337,0)),"")</f>
        <v>35.03</v>
      </c>
      <c r="I186" s="5" t="n">
        <f aca="false">IFERROR(INDEX(Scoring!$F$5:$F$337,MATCH($A186&amp;"|"&amp;$B186,Scoring!$AF$5:$AF$337,0)),"")</f>
        <v>1</v>
      </c>
      <c r="J186" s="5" t="n">
        <f aca="false">IFERROR(INDEX(Scoring!$E$5:$E$337,MATCH($A186&amp;"|"&amp;$B186,Scoring!$AF$5:$AF$337,0)),"")</f>
        <v>1</v>
      </c>
      <c r="K186" s="5" t="n">
        <f aca="false">IFERROR(INDEX(Scoring!$K$5:$K$337,MATCH($A186&amp;"|"&amp;$B186,Scoring!$AF$5:$AF$337,0)),"")</f>
        <v>2</v>
      </c>
      <c r="L186" s="5" t="n">
        <f aca="false">IFERROR(INDEX(Scoring!$L$5:$L$337,MATCH($A186&amp;"|"&amp;$B186,Scoring!$AF$5:$AF$337,0)),"")</f>
        <v>0</v>
      </c>
      <c r="M186" s="5" t="n">
        <f aca="false">IFERROR(INDEX(Scoring!$M$5:$M$337,MATCH($A186&amp;"|"&amp;$B186,Scoring!$AF$5:$AF$337,0)),"")</f>
        <v>0</v>
      </c>
      <c r="N186" s="5" t="str">
        <f aca="false">IFERROR(INDEX(Scoring!$Y$5:$Y$337,MATCH($A186&amp;"|"&amp;$B186,Scoring!$AF$5:$AF$337,0)),"")</f>
        <v>No</v>
      </c>
      <c r="O186" s="5" t="str">
        <f aca="false">IFERROR(INDEX(Scoring!$Z$5:$Z$337,MATCH($A186&amp;"|"&amp;$B186,Scoring!$AF$5:$AF$337,0)),"")</f>
        <v>No</v>
      </c>
      <c r="P186" s="5" t="str">
        <f aca="false">IFERROR(INDEX(Scoring!$AA$5:$AA$337,MATCH($A186&amp;"|"&amp;$B186,Scoring!$AF$5:$AF$337,0)),"")</f>
        <v>Yes</v>
      </c>
      <c r="Q186" s="5" t="str">
        <f aca="false">IFERROR(INDEX(Scoring!$AE$5:$AE$337,MATCH($A186&amp;"|"&amp;$B186,Scoring!$AF$5:$AF$337,0)),"")</f>
        <v>Differentiation in crowded generic market</v>
      </c>
    </row>
    <row r="187" customFormat="false" ht="15" hidden="false" customHeight="false" outlineLevel="0" collapsed="false">
      <c r="A187" s="5" t="s">
        <v>36</v>
      </c>
      <c r="B187" s="5" t="n">
        <v>3</v>
      </c>
      <c r="C187" s="5" t="str">
        <f aca="false">IFERROR(INDEX(Scoring!$AD$5:$AD$337,MATCH($A187&amp;"|"&amp;$B187,Scoring!$AF$5:$AF$337,0)),"")</f>
        <v>Lead</v>
      </c>
      <c r="D187" s="5" t="str">
        <f aca="false">IFERROR(INDEX(Scoring!$B$5:$B$337,MATCH($A187&amp;"|"&amp;$B187,Scoring!$AF$5:$AF$337,0)),"")</f>
        <v>Fulvestrant</v>
      </c>
      <c r="E187" s="5" t="str">
        <f aca="false">IFERROR(INDEX(Scoring!$D$5:$D$337,MATCH($A187&amp;"|"&amp;$B187,Scoring!$AF$5:$AF$337,0)),"")</f>
        <v>Oncology – HR+ advanced breast cancer</v>
      </c>
      <c r="F187" s="8" t="n">
        <f aca="false">IFERROR(INDEX(Scoring!$U$5:$U$337,MATCH($A187&amp;"|"&amp;$B187,Scoring!$AF$5:$AF$337,0)),"")</f>
        <v>0.58</v>
      </c>
      <c r="G187" s="7" t="n">
        <f aca="false">IFERROR(INDEX(Scoring!$O$5:$O$337,MATCH($A187&amp;"|"&amp;$B187,Scoring!$AF$5:$AF$337,0)),"")</f>
        <v>11366.06</v>
      </c>
      <c r="H187" s="6" t="n">
        <f aca="false">IFERROR(INDEX(Scoring!$N$5:$N$337,MATCH($A187&amp;"|"&amp;$B187,Scoring!$AF$5:$AF$337,0)),"")</f>
        <v>29.97</v>
      </c>
      <c r="I187" s="5" t="n">
        <f aca="false">IFERROR(INDEX(Scoring!$F$5:$F$337,MATCH($A187&amp;"|"&amp;$B187,Scoring!$AF$5:$AF$337,0)),"")</f>
        <v>1</v>
      </c>
      <c r="J187" s="5" t="n">
        <f aca="false">IFERROR(INDEX(Scoring!$E$5:$E$337,MATCH($A187&amp;"|"&amp;$B187,Scoring!$AF$5:$AF$337,0)),"")</f>
        <v>1</v>
      </c>
      <c r="K187" s="5" t="n">
        <f aca="false">IFERROR(INDEX(Scoring!$K$5:$K$337,MATCH($A187&amp;"|"&amp;$B187,Scoring!$AF$5:$AF$337,0)),"")</f>
        <v>0</v>
      </c>
      <c r="L187" s="5" t="n">
        <f aca="false">IFERROR(INDEX(Scoring!$L$5:$L$337,MATCH($A187&amp;"|"&amp;$B187,Scoring!$AF$5:$AF$337,0)),"")</f>
        <v>0</v>
      </c>
      <c r="M187" s="5" t="n">
        <f aca="false">IFERROR(INDEX(Scoring!$M$5:$M$337,MATCH($A187&amp;"|"&amp;$B187,Scoring!$AF$5:$AF$337,0)),"")</f>
        <v>1</v>
      </c>
      <c r="N187" s="5" t="str">
        <f aca="false">IFERROR(INDEX(Scoring!$Y$5:$Y$337,MATCH($A187&amp;"|"&amp;$B187,Scoring!$AF$5:$AF$337,0)),"")</f>
        <v>No</v>
      </c>
      <c r="O187" s="5" t="str">
        <f aca="false">IFERROR(INDEX(Scoring!$Z$5:$Z$337,MATCH($A187&amp;"|"&amp;$B187,Scoring!$AF$5:$AF$337,0)),"")</f>
        <v>No</v>
      </c>
      <c r="P187" s="5" t="str">
        <f aca="false">IFERROR(INDEX(Scoring!$AA$5:$AA$337,MATCH($A187&amp;"|"&amp;$B187,Scoring!$AF$5:$AF$337,0)),"")</f>
        <v>Yes</v>
      </c>
      <c r="Q187" s="5" t="str">
        <f aca="false">IFERROR(INDEX(Scoring!$AE$5:$AE$337,MATCH($A187&amp;"|"&amp;$B187,Scoring!$AF$5:$AF$337,0)),"")</f>
        <v>Safety upgrade of existing prefilled syringe</v>
      </c>
    </row>
    <row r="188" customFormat="false" ht="15" hidden="false" customHeight="false" outlineLevel="0" collapsed="false">
      <c r="A188" s="5" t="s">
        <v>36</v>
      </c>
      <c r="B188" s="5" t="n">
        <v>4</v>
      </c>
      <c r="C188" s="5" t="str">
        <f aca="false">IFERROR(INDEX(Scoring!$AD$5:$AD$337,MATCH($A188&amp;"|"&amp;$B188,Scoring!$AF$5:$AF$337,0)),"")</f>
        <v>Lead</v>
      </c>
      <c r="D188" s="5" t="str">
        <f aca="false">IFERROR(INDEX(Scoring!$B$5:$B$337,MATCH($A188&amp;"|"&amp;$B188,Scoring!$AF$5:$AF$337,0)),"")</f>
        <v>Ceftriaxone</v>
      </c>
      <c r="E188" s="5" t="str">
        <f aca="false">IFERROR(INDEX(Scoring!$D$5:$D$337,MATCH($A188&amp;"|"&amp;$B188,Scoring!$AF$5:$AF$337,0)),"")</f>
        <v>Anti-infective – pneumonia, meningitis, sepsis, gonorrhoea, typhoid</v>
      </c>
      <c r="F188" s="8" t="n">
        <f aca="false">IFERROR(INDEX(Scoring!$U$5:$U$337,MATCH($A188&amp;"|"&amp;$B188,Scoring!$AF$5:$AF$337,0)),"")</f>
        <v>0.5645</v>
      </c>
      <c r="G188" s="7" t="n">
        <f aca="false">IFERROR(INDEX(Scoring!$O$5:$O$337,MATCH($A188&amp;"|"&amp;$B188,Scoring!$AF$5:$AF$337,0)),"")</f>
        <v>93119.22</v>
      </c>
      <c r="H188" s="6" t="n">
        <f aca="false">IFERROR(INDEX(Scoring!$N$5:$N$337,MATCH($A188&amp;"|"&amp;$B188,Scoring!$AF$5:$AF$337,0)),"")</f>
        <v>7.8196</v>
      </c>
      <c r="I188" s="5" t="n">
        <f aca="false">IFERROR(INDEX(Scoring!$F$5:$F$337,MATCH($A188&amp;"|"&amp;$B188,Scoring!$AF$5:$AF$337,0)),"")</f>
        <v>5</v>
      </c>
      <c r="J188" s="5" t="n">
        <f aca="false">IFERROR(INDEX(Scoring!$E$5:$E$337,MATCH($A188&amp;"|"&amp;$B188,Scoring!$AF$5:$AF$337,0)),"")</f>
        <v>30</v>
      </c>
      <c r="K188" s="5" t="n">
        <f aca="false">IFERROR(INDEX(Scoring!$K$5:$K$337,MATCH($A188&amp;"|"&amp;$B188,Scoring!$AF$5:$AF$337,0)),"")</f>
        <v>0</v>
      </c>
      <c r="L188" s="5" t="n">
        <f aca="false">IFERROR(INDEX(Scoring!$L$5:$L$337,MATCH($A188&amp;"|"&amp;$B188,Scoring!$AF$5:$AF$337,0)),"")</f>
        <v>1</v>
      </c>
      <c r="M188" s="5" t="n">
        <f aca="false">IFERROR(INDEX(Scoring!$M$5:$M$337,MATCH($A188&amp;"|"&amp;$B188,Scoring!$AF$5:$AF$337,0)),"")</f>
        <v>0</v>
      </c>
      <c r="N188" s="5" t="str">
        <f aca="false">IFERROR(INDEX(Scoring!$Y$5:$Y$337,MATCH($A188&amp;"|"&amp;$B188,Scoring!$AF$5:$AF$337,0)),"")</f>
        <v>No</v>
      </c>
      <c r="O188" s="5" t="str">
        <f aca="false">IFERROR(INDEX(Scoring!$Z$5:$Z$337,MATCH($A188&amp;"|"&amp;$B188,Scoring!$AF$5:$AF$337,0)),"")</f>
        <v>Yes</v>
      </c>
      <c r="P188" s="5" t="str">
        <f aca="false">IFERROR(INDEX(Scoring!$AA$5:$AA$337,MATCH($A188&amp;"|"&amp;$B188,Scoring!$AF$5:$AF$337,0)),"")</f>
        <v>Yes</v>
      </c>
      <c r="Q188" s="5" t="str">
        <f aca="false">IFERROR(INDEX(Scoring!$AE$5:$AE$337,MATCH($A188&amp;"|"&amp;$B188,Scoring!$AF$5:$AF$337,0)),"")</f>
        <v>Differentiation in crowded generic market</v>
      </c>
    </row>
    <row r="189" customFormat="false" ht="15" hidden="false" customHeight="false" outlineLevel="0" collapsed="false">
      <c r="A189" s="5" t="s">
        <v>36</v>
      </c>
      <c r="B189" s="5" t="n">
        <v>5</v>
      </c>
      <c r="C189" s="5" t="str">
        <f aca="false">IFERROR(INDEX(Scoring!$AD$5:$AD$337,MATCH($A189&amp;"|"&amp;$B189,Scoring!$AF$5:$AF$337,0)),"")</f>
        <v>Lead</v>
      </c>
      <c r="D189" s="5" t="str">
        <f aca="false">IFERROR(INDEX(Scoring!$B$5:$B$337,MATCH($A189&amp;"|"&amp;$B189,Scoring!$AF$5:$AF$337,0)),"")</f>
        <v>Hydrocortisone</v>
      </c>
      <c r="E189" s="5" t="str">
        <f aca="false">IFERROR(INDEX(Scoring!$D$5:$D$337,MATCH($A189&amp;"|"&amp;$B189,Scoring!$AF$5:$AF$337,0)),"")</f>
        <v>Endocrinology / Critical care – adrenal crisis, anaphylaxis, severe asthma, shock</v>
      </c>
      <c r="F189" s="8" t="n">
        <f aca="false">IFERROR(INDEX(Scoring!$U$5:$U$337,MATCH($A189&amp;"|"&amp;$B189,Scoring!$AF$5:$AF$337,0)),"")</f>
        <v>0.533</v>
      </c>
      <c r="G189" s="7" t="n">
        <f aca="false">IFERROR(INDEX(Scoring!$O$5:$O$337,MATCH($A189&amp;"|"&amp;$B189,Scoring!$AF$5:$AF$337,0)),"")</f>
        <v>4790.48642526433</v>
      </c>
      <c r="H189" s="6" t="str">
        <f aca="false">IFERROR(INDEX(Scoring!$N$5:$N$337,MATCH($A189&amp;"|"&amp;$B189,Scoring!$AF$5:$AF$337,0)),"")</f>
        <v/>
      </c>
      <c r="I189" s="5" t="n">
        <f aca="false">IFERROR(INDEX(Scoring!$F$5:$F$337,MATCH($A189&amp;"|"&amp;$B189,Scoring!$AF$5:$AF$337,0)),"")</f>
        <v>1</v>
      </c>
      <c r="J189" s="5" t="n">
        <f aca="false">IFERROR(INDEX(Scoring!$E$5:$E$337,MATCH($A189&amp;"|"&amp;$B189,Scoring!$AF$5:$AF$337,0)),"")</f>
        <v>1</v>
      </c>
      <c r="K189" s="5" t="n">
        <f aca="false">IFERROR(INDEX(Scoring!$K$5:$K$337,MATCH($A189&amp;"|"&amp;$B189,Scoring!$AF$5:$AF$337,0)),"")</f>
        <v>1</v>
      </c>
      <c r="L189" s="5" t="n">
        <f aca="false">IFERROR(INDEX(Scoring!$L$5:$L$337,MATCH($A189&amp;"|"&amp;$B189,Scoring!$AF$5:$AF$337,0)),"")</f>
        <v>0</v>
      </c>
      <c r="M189" s="5" t="n">
        <f aca="false">IFERROR(INDEX(Scoring!$M$5:$M$337,MATCH($A189&amp;"|"&amp;$B189,Scoring!$AF$5:$AF$337,0)),"")</f>
        <v>0</v>
      </c>
      <c r="N189" s="5" t="str">
        <f aca="false">IFERROR(INDEX(Scoring!$Y$5:$Y$337,MATCH($A189&amp;"|"&amp;$B189,Scoring!$AF$5:$AF$337,0)),"")</f>
        <v>No</v>
      </c>
      <c r="O189" s="5" t="str">
        <f aca="false">IFERROR(INDEX(Scoring!$Z$5:$Z$337,MATCH($A189&amp;"|"&amp;$B189,Scoring!$AF$5:$AF$337,0)),"")</f>
        <v>No</v>
      </c>
      <c r="P189" s="5" t="str">
        <f aca="false">IFERROR(INDEX(Scoring!$AA$5:$AA$337,MATCH($A189&amp;"|"&amp;$B189,Scoring!$AF$5:$AF$337,0)),"")</f>
        <v>Yes</v>
      </c>
      <c r="Q189" s="5" t="str">
        <f aca="false">IFERROR(INDEX(Scoring!$AE$5:$AE$337,MATCH($A189&amp;"|"&amp;$B189,Scoring!$AF$5:$AF$337,0)),"")</f>
        <v>Differentiation in crowded generic market</v>
      </c>
    </row>
    <row r="190" customFormat="false" ht="15" hidden="false" customHeight="false" outlineLevel="0" collapsed="false">
      <c r="A190" s="5" t="s">
        <v>36</v>
      </c>
      <c r="B190" s="5" t="n">
        <v>6</v>
      </c>
      <c r="C190" s="5" t="str">
        <f aca="false">IFERROR(INDEX(Scoring!$AD$5:$AD$337,MATCH($A190&amp;"|"&amp;$B190,Scoring!$AF$5:$AF$337,0)),"")</f>
        <v>Next wave</v>
      </c>
      <c r="D190" s="5" t="str">
        <f aca="false">IFERROR(INDEX(Scoring!$B$5:$B$337,MATCH($A190&amp;"|"&amp;$B190,Scoring!$AF$5:$AF$337,0)),"")</f>
        <v>Ethacrynate Sodium</v>
      </c>
      <c r="E190" s="5" t="str">
        <f aca="false">IFERROR(INDEX(Scoring!$D$5:$D$337,MATCH($A190&amp;"|"&amp;$B190,Scoring!$AF$5:$AF$337,0)),"")</f>
        <v>Cardiovascular / Renal – loop diuretic for sulfa-allergic patients</v>
      </c>
      <c r="F190" s="8" t="n">
        <f aca="false">IFERROR(INDEX(Scoring!$U$5:$U$337,MATCH($A190&amp;"|"&amp;$B190,Scoring!$AF$5:$AF$337,0)),"")</f>
        <v>0.5171</v>
      </c>
      <c r="G190" s="7" t="n">
        <f aca="false">IFERROR(INDEX(Scoring!$O$5:$O$337,MATCH($A190&amp;"|"&amp;$B190,Scoring!$AF$5:$AF$337,0)),"")</f>
        <v>147.215555555555</v>
      </c>
      <c r="H190" s="6" t="n">
        <f aca="false">IFERROR(INDEX(Scoring!$N$5:$N$337,MATCH($A190&amp;"|"&amp;$B190,Scoring!$AF$5:$AF$337,0)),"")</f>
        <v>5289.94</v>
      </c>
      <c r="I190" s="5" t="n">
        <f aca="false">IFERROR(INDEX(Scoring!$F$5:$F$337,MATCH($A190&amp;"|"&amp;$B190,Scoring!$AF$5:$AF$337,0)),"")</f>
        <v>1</v>
      </c>
      <c r="J190" s="5" t="n">
        <f aca="false">IFERROR(INDEX(Scoring!$E$5:$E$337,MATCH($A190&amp;"|"&amp;$B190,Scoring!$AF$5:$AF$337,0)),"")</f>
        <v>1</v>
      </c>
      <c r="K190" s="5" t="n">
        <f aca="false">IFERROR(INDEX(Scoring!$K$5:$K$337,MATCH($A190&amp;"|"&amp;$B190,Scoring!$AF$5:$AF$337,0)),"")</f>
        <v>0</v>
      </c>
      <c r="L190" s="5" t="n">
        <f aca="false">IFERROR(INDEX(Scoring!$L$5:$L$337,MATCH($A190&amp;"|"&amp;$B190,Scoring!$AF$5:$AF$337,0)),"")</f>
        <v>0</v>
      </c>
      <c r="M190" s="5" t="n">
        <f aca="false">IFERROR(INDEX(Scoring!$M$5:$M$337,MATCH($A190&amp;"|"&amp;$B190,Scoring!$AF$5:$AF$337,0)),"")</f>
        <v>0</v>
      </c>
      <c r="N190" s="5" t="str">
        <f aca="false">IFERROR(INDEX(Scoring!$Y$5:$Y$337,MATCH($A190&amp;"|"&amp;$B190,Scoring!$AF$5:$AF$337,0)),"")</f>
        <v>No</v>
      </c>
      <c r="O190" s="5" t="str">
        <f aca="false">IFERROR(INDEX(Scoring!$Z$5:$Z$337,MATCH($A190&amp;"|"&amp;$B190,Scoring!$AF$5:$AF$337,0)),"")</f>
        <v>No</v>
      </c>
      <c r="P190" s="5" t="str">
        <f aca="false">IFERROR(INDEX(Scoring!$AA$5:$AA$337,MATCH($A190&amp;"|"&amp;$B190,Scoring!$AF$5:$AF$337,0)),"")</f>
        <v>No</v>
      </c>
      <c r="Q190" s="5" t="str">
        <f aca="false">IFERROR(INDEX(Scoring!$AE$5:$AE$337,MATCH($A190&amp;"|"&amp;$B190,Scoring!$AF$5:$AF$337,0)),"")</f>
        <v>Confirm presentation (not stated in source)</v>
      </c>
    </row>
    <row r="191" customFormat="false" ht="15" hidden="false" customHeight="false" outlineLevel="0" collapsed="false">
      <c r="A191" s="5" t="s">
        <v>36</v>
      </c>
      <c r="B191" s="5" t="n">
        <v>7</v>
      </c>
      <c r="C191" s="5" t="str">
        <f aca="false">IFERROR(INDEX(Scoring!$AD$5:$AD$337,MATCH($A191&amp;"|"&amp;$B191,Scoring!$AF$5:$AF$337,0)),"")</f>
        <v>Next wave</v>
      </c>
      <c r="D191" s="5" t="str">
        <f aca="false">IFERROR(INDEX(Scoring!$B$5:$B$337,MATCH($A191&amp;"|"&amp;$B191,Scoring!$AF$5:$AF$337,0)),"")</f>
        <v>Indocyanine Green</v>
      </c>
      <c r="E191" s="5" t="str">
        <f aca="false">IFERROR(INDEX(Scoring!$D$5:$D$337,MATCH($A191&amp;"|"&amp;$B191,Scoring!$AF$5:$AF$337,0)),"")</f>
        <v>Diagnostics – cardiac output, liver function, ophthalmic &amp; surgical imaging</v>
      </c>
      <c r="F191" s="8" t="n">
        <f aca="false">IFERROR(INDEX(Scoring!$U$5:$U$337,MATCH($A191&amp;"|"&amp;$B191,Scoring!$AF$5:$AF$337,0)),"")</f>
        <v>0.44715</v>
      </c>
      <c r="G191" s="7" t="n">
        <f aca="false">IFERROR(INDEX(Scoring!$O$5:$O$337,MATCH($A191&amp;"|"&amp;$B191,Scoring!$AF$5:$AF$337,0)),"")</f>
        <v>214.134880952381</v>
      </c>
      <c r="H191" s="6" t="n">
        <f aca="false">IFERROR(INDEX(Scoring!$N$5:$N$337,MATCH($A191&amp;"|"&amp;$B191,Scoring!$AF$5:$AF$337,0)),"")</f>
        <v>179.58</v>
      </c>
      <c r="I191" s="5" t="n">
        <f aca="false">IFERROR(INDEX(Scoring!$F$5:$F$337,MATCH($A191&amp;"|"&amp;$B191,Scoring!$AF$5:$AF$337,0)),"")</f>
        <v>1</v>
      </c>
      <c r="J191" s="5" t="n">
        <f aca="false">IFERROR(INDEX(Scoring!$E$5:$E$337,MATCH($A191&amp;"|"&amp;$B191,Scoring!$AF$5:$AF$337,0)),"")</f>
        <v>1</v>
      </c>
      <c r="K191" s="5" t="n">
        <f aca="false">IFERROR(INDEX(Scoring!$K$5:$K$337,MATCH($A191&amp;"|"&amp;$B191,Scoring!$AF$5:$AF$337,0)),"")</f>
        <v>0</v>
      </c>
      <c r="L191" s="5" t="n">
        <f aca="false">IFERROR(INDEX(Scoring!$L$5:$L$337,MATCH($A191&amp;"|"&amp;$B191,Scoring!$AF$5:$AF$337,0)),"")</f>
        <v>0</v>
      </c>
      <c r="M191" s="5" t="n">
        <f aca="false">IFERROR(INDEX(Scoring!$M$5:$M$337,MATCH($A191&amp;"|"&amp;$B191,Scoring!$AF$5:$AF$337,0)),"")</f>
        <v>0</v>
      </c>
      <c r="N191" s="5" t="str">
        <f aca="false">IFERROR(INDEX(Scoring!$Y$5:$Y$337,MATCH($A191&amp;"|"&amp;$B191,Scoring!$AF$5:$AF$337,0)),"")</f>
        <v>No</v>
      </c>
      <c r="O191" s="5" t="str">
        <f aca="false">IFERROR(INDEX(Scoring!$Z$5:$Z$337,MATCH($A191&amp;"|"&amp;$B191,Scoring!$AF$5:$AF$337,0)),"")</f>
        <v>No</v>
      </c>
      <c r="P191" s="5" t="str">
        <f aca="false">IFERROR(INDEX(Scoring!$AA$5:$AA$337,MATCH($A191&amp;"|"&amp;$B191,Scoring!$AF$5:$AF$337,0)),"")</f>
        <v>No</v>
      </c>
      <c r="Q191" s="5" t="str">
        <f aca="false">IFERROR(INDEX(Scoring!$AE$5:$AE$337,MATCH($A191&amp;"|"&amp;$B191,Scoring!$AF$5:$AF$337,0)),"")</f>
        <v>Confirm presentation (not stated in source)</v>
      </c>
    </row>
    <row r="192" customFormat="false" ht="15" hidden="false" customHeight="false" outlineLevel="0" collapsed="false">
      <c r="A192" s="5" t="s">
        <v>36</v>
      </c>
      <c r="B192" s="5" t="n">
        <v>8</v>
      </c>
      <c r="C192" s="5" t="str">
        <f aca="false">IFERROR(INDEX(Scoring!$AD$5:$AD$337,MATCH($A192&amp;"|"&amp;$B192,Scoring!$AF$5:$AF$337,0)),"")</f>
        <v>Next wave</v>
      </c>
      <c r="D192" s="5" t="str">
        <f aca="false">IFERROR(INDEX(Scoring!$B$5:$B$337,MATCH($A192&amp;"|"&amp;$B192,Scoring!$AF$5:$AF$337,0)),"")</f>
        <v>Succinylcholine (Suxamethonium)</v>
      </c>
      <c r="E192" s="5" t="str">
        <f aca="false">IFERROR(INDEX(Scoring!$D$5:$D$337,MATCH($A192&amp;"|"&amp;$B192,Scoring!$AF$5:$AF$337,0)),"")</f>
        <v>Anaesthesia – rapid-sequence intubation (muscle relaxant)</v>
      </c>
      <c r="F192" s="8" t="n">
        <f aca="false">IFERROR(INDEX(Scoring!$U$5:$U$337,MATCH($A192&amp;"|"&amp;$B192,Scoring!$AF$5:$AF$337,0)),"")</f>
        <v>0.419</v>
      </c>
      <c r="G192" s="7" t="n">
        <f aca="false">IFERROR(INDEX(Scoring!$O$5:$O$337,MATCH($A192&amp;"|"&amp;$B192,Scoring!$AF$5:$AF$337,0)),"")</f>
        <v>3067.39</v>
      </c>
      <c r="H192" s="6" t="str">
        <f aca="false">IFERROR(INDEX(Scoring!$N$5:$N$337,MATCH($A192&amp;"|"&amp;$B192,Scoring!$AF$5:$AF$337,0)),"")</f>
        <v/>
      </c>
      <c r="I192" s="5" t="n">
        <f aca="false">IFERROR(INDEX(Scoring!$F$5:$F$337,MATCH($A192&amp;"|"&amp;$B192,Scoring!$AF$5:$AF$337,0)),"")</f>
        <v>1</v>
      </c>
      <c r="J192" s="5" t="n">
        <f aca="false">IFERROR(INDEX(Scoring!$E$5:$E$337,MATCH($A192&amp;"|"&amp;$B192,Scoring!$AF$5:$AF$337,0)),"")</f>
        <v>1</v>
      </c>
      <c r="K192" s="5" t="n">
        <f aca="false">IFERROR(INDEX(Scoring!$K$5:$K$337,MATCH($A192&amp;"|"&amp;$B192,Scoring!$AF$5:$AF$337,0)),"")</f>
        <v>1</v>
      </c>
      <c r="L192" s="5" t="n">
        <f aca="false">IFERROR(INDEX(Scoring!$L$5:$L$337,MATCH($A192&amp;"|"&amp;$B192,Scoring!$AF$5:$AF$337,0)),"")</f>
        <v>0</v>
      </c>
      <c r="M192" s="5" t="n">
        <f aca="false">IFERROR(INDEX(Scoring!$M$5:$M$337,MATCH($A192&amp;"|"&amp;$B192,Scoring!$AF$5:$AF$337,0)),"")</f>
        <v>0</v>
      </c>
      <c r="N192" s="5" t="str">
        <f aca="false">IFERROR(INDEX(Scoring!$Y$5:$Y$337,MATCH($A192&amp;"|"&amp;$B192,Scoring!$AF$5:$AF$337,0)),"")</f>
        <v>No</v>
      </c>
      <c r="O192" s="5" t="str">
        <f aca="false">IFERROR(INDEX(Scoring!$Z$5:$Z$337,MATCH($A192&amp;"|"&amp;$B192,Scoring!$AF$5:$AF$337,0)),"")</f>
        <v>No</v>
      </c>
      <c r="P192" s="5" t="str">
        <f aca="false">IFERROR(INDEX(Scoring!$AA$5:$AA$337,MATCH($A192&amp;"|"&amp;$B192,Scoring!$AF$5:$AF$337,0)),"")</f>
        <v>Yes</v>
      </c>
      <c r="Q192" s="5" t="str">
        <f aca="false">IFERROR(INDEX(Scoring!$AE$5:$AE$337,MATCH($A192&amp;"|"&amp;$B192,Scoring!$AF$5:$AF$337,0)),"")</f>
        <v>Differentiation in crowded generic market</v>
      </c>
    </row>
    <row r="193" customFormat="false" ht="15" hidden="false" customHeight="false" outlineLevel="0" collapsed="false">
      <c r="A193" s="5" t="s">
        <v>36</v>
      </c>
      <c r="B193" s="5" t="n">
        <v>9</v>
      </c>
      <c r="C193" s="5" t="str">
        <f aca="false">IFERROR(INDEX(Scoring!$AD$5:$AD$337,MATCH($A193&amp;"|"&amp;$B193,Scoring!$AF$5:$AF$337,0)),"")</f>
        <v>Next wave</v>
      </c>
      <c r="D193" s="5" t="str">
        <f aca="false">IFERROR(INDEX(Scoring!$B$5:$B$337,MATCH($A193&amp;"|"&amp;$B193,Scoring!$AF$5:$AF$337,0)),"")</f>
        <v>Cyanocobalamin</v>
      </c>
      <c r="E193" s="5" t="str">
        <f aca="false">IFERROR(INDEX(Scoring!$D$5:$D$337,MATCH($A193&amp;"|"&amp;$B193,Scoring!$AF$5:$AF$337,0)),"")</f>
        <v>Nutrition / Haematology – vitamin B12 deficiency, pernicious anaemia</v>
      </c>
      <c r="F193" s="8" t="n">
        <f aca="false">IFERROR(INDEX(Scoring!$U$5:$U$337,MATCH($A193&amp;"|"&amp;$B193,Scoring!$AF$5:$AF$337,0)),"")</f>
        <v>0.396</v>
      </c>
      <c r="G193" s="7" t="n">
        <f aca="false">IFERROR(INDEX(Scoring!$O$5:$O$337,MATCH($A193&amp;"|"&amp;$B193,Scoring!$AF$5:$AF$337,0)),"")</f>
        <v>2405.42467394154</v>
      </c>
      <c r="H193" s="6" t="n">
        <f aca="false">IFERROR(INDEX(Scoring!$N$5:$N$337,MATCH($A193&amp;"|"&amp;$B193,Scoring!$AF$5:$AF$337,0)),"")</f>
        <v>31.25</v>
      </c>
      <c r="I193" s="5" t="n">
        <f aca="false">IFERROR(INDEX(Scoring!$F$5:$F$337,MATCH($A193&amp;"|"&amp;$B193,Scoring!$AF$5:$AF$337,0)),"")</f>
        <v>1</v>
      </c>
      <c r="J193" s="5" t="n">
        <f aca="false">IFERROR(INDEX(Scoring!$E$5:$E$337,MATCH($A193&amp;"|"&amp;$B193,Scoring!$AF$5:$AF$337,0)),"")</f>
        <v>1</v>
      </c>
      <c r="K193" s="5" t="n">
        <f aca="false">IFERROR(INDEX(Scoring!$K$5:$K$337,MATCH($A193&amp;"|"&amp;$B193,Scoring!$AF$5:$AF$337,0)),"")</f>
        <v>1</v>
      </c>
      <c r="L193" s="5" t="n">
        <f aca="false">IFERROR(INDEX(Scoring!$L$5:$L$337,MATCH($A193&amp;"|"&amp;$B193,Scoring!$AF$5:$AF$337,0)),"")</f>
        <v>0</v>
      </c>
      <c r="M193" s="5" t="n">
        <f aca="false">IFERROR(INDEX(Scoring!$M$5:$M$337,MATCH($A193&amp;"|"&amp;$B193,Scoring!$AF$5:$AF$337,0)),"")</f>
        <v>0</v>
      </c>
      <c r="N193" s="5" t="str">
        <f aca="false">IFERROR(INDEX(Scoring!$Y$5:$Y$337,MATCH($A193&amp;"|"&amp;$B193,Scoring!$AF$5:$AF$337,0)),"")</f>
        <v>No</v>
      </c>
      <c r="O193" s="5" t="str">
        <f aca="false">IFERROR(INDEX(Scoring!$Z$5:$Z$337,MATCH($A193&amp;"|"&amp;$B193,Scoring!$AF$5:$AF$337,0)),"")</f>
        <v>No</v>
      </c>
      <c r="P193" s="5" t="str">
        <f aca="false">IFERROR(INDEX(Scoring!$AA$5:$AA$337,MATCH($A193&amp;"|"&amp;$B193,Scoring!$AF$5:$AF$337,0)),"")</f>
        <v>No</v>
      </c>
      <c r="Q193" s="5" t="str">
        <f aca="false">IFERROR(INDEX(Scoring!$AE$5:$AE$337,MATCH($A193&amp;"|"&amp;$B193,Scoring!$AF$5:$AF$337,0)),"")</f>
        <v>Safety-device mandate compliance</v>
      </c>
    </row>
    <row r="194" customFormat="false" ht="15" hidden="false" customHeight="false" outlineLevel="0" collapsed="false">
      <c r="A194" s="5" t="s">
        <v>36</v>
      </c>
      <c r="B194" s="5" t="n">
        <v>10</v>
      </c>
      <c r="C194" s="5" t="str">
        <f aca="false">IFERROR(INDEX(Scoring!$AD$5:$AD$337,MATCH($A194&amp;"|"&amp;$B194,Scoring!$AF$5:$AF$337,0)),"")</f>
        <v>Next wave</v>
      </c>
      <c r="D194" s="5" t="str">
        <f aca="false">IFERROR(INDEX(Scoring!$B$5:$B$337,MATCH($A194&amp;"|"&amp;$B194,Scoring!$AF$5:$AF$337,0)),"")</f>
        <v>Fluorescein Sodium</v>
      </c>
      <c r="E194" s="5" t="str">
        <f aca="false">IFERROR(INDEX(Scoring!$D$5:$D$337,MATCH($A194&amp;"|"&amp;$B194,Scoring!$AF$5:$AF$337,0)),"")</f>
        <v>Ophthalmic – diagnostic retinal angiography</v>
      </c>
      <c r="F194" s="8" t="n">
        <f aca="false">IFERROR(INDEX(Scoring!$U$5:$U$337,MATCH($A194&amp;"|"&amp;$B194,Scoring!$AF$5:$AF$337,0)),"")</f>
        <v>0.3762</v>
      </c>
      <c r="G194" s="7" t="n">
        <f aca="false">IFERROR(INDEX(Scoring!$O$5:$O$337,MATCH($A194&amp;"|"&amp;$B194,Scoring!$AF$5:$AF$337,0)),"")</f>
        <v>451.826553437165</v>
      </c>
      <c r="H194" s="6" t="n">
        <f aca="false">IFERROR(INDEX(Scoring!$N$5:$N$337,MATCH($A194&amp;"|"&amp;$B194,Scoring!$AF$5:$AF$337,0)),"")</f>
        <v>61.13</v>
      </c>
      <c r="I194" s="5" t="n">
        <f aca="false">IFERROR(INDEX(Scoring!$F$5:$F$337,MATCH($A194&amp;"|"&amp;$B194,Scoring!$AF$5:$AF$337,0)),"")</f>
        <v>1</v>
      </c>
      <c r="J194" s="5" t="n">
        <f aca="false">IFERROR(INDEX(Scoring!$E$5:$E$337,MATCH($A194&amp;"|"&amp;$B194,Scoring!$AF$5:$AF$337,0)),"")</f>
        <v>1</v>
      </c>
      <c r="K194" s="5" t="n">
        <f aca="false">IFERROR(INDEX(Scoring!$K$5:$K$337,MATCH($A194&amp;"|"&amp;$B194,Scoring!$AF$5:$AF$337,0)),"")</f>
        <v>2</v>
      </c>
      <c r="L194" s="5" t="n">
        <f aca="false">IFERROR(INDEX(Scoring!$L$5:$L$337,MATCH($A194&amp;"|"&amp;$B194,Scoring!$AF$5:$AF$337,0)),"")</f>
        <v>0</v>
      </c>
      <c r="M194" s="5" t="n">
        <f aca="false">IFERROR(INDEX(Scoring!$M$5:$M$337,MATCH($A194&amp;"|"&amp;$B194,Scoring!$AF$5:$AF$337,0)),"")</f>
        <v>0</v>
      </c>
      <c r="N194" s="5" t="str">
        <f aca="false">IFERROR(INDEX(Scoring!$Y$5:$Y$337,MATCH($A194&amp;"|"&amp;$B194,Scoring!$AF$5:$AF$337,0)),"")</f>
        <v>No</v>
      </c>
      <c r="O194" s="5" t="str">
        <f aca="false">IFERROR(INDEX(Scoring!$Z$5:$Z$337,MATCH($A194&amp;"|"&amp;$B194,Scoring!$AF$5:$AF$337,0)),"")</f>
        <v>No</v>
      </c>
      <c r="P194" s="5" t="str">
        <f aca="false">IFERROR(INDEX(Scoring!$AA$5:$AA$337,MATCH($A194&amp;"|"&amp;$B194,Scoring!$AF$5:$AF$337,0)),"")</f>
        <v>No</v>
      </c>
      <c r="Q194" s="5" t="str">
        <f aca="false">IFERROR(INDEX(Scoring!$AE$5:$AE$337,MATCH($A194&amp;"|"&amp;$B194,Scoring!$AF$5:$AF$337,0)),"")</f>
        <v>Safety-device mandate compliance</v>
      </c>
    </row>
  </sheetData>
  <autoFilter ref="A4:Q19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100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1" t="s">
        <v>230</v>
      </c>
    </row>
    <row r="3" customFormat="false" ht="15" hidden="false" customHeight="false" outlineLevel="0" collapsed="false">
      <c r="A3" s="18" t="s">
        <v>231</v>
      </c>
      <c r="B3" s="18" t="s">
        <v>232</v>
      </c>
      <c r="C3" s="18" t="s">
        <v>233</v>
      </c>
    </row>
    <row r="4" customFormat="false" ht="15" hidden="false" customHeight="false" outlineLevel="0" collapsed="false">
      <c r="A4" s="12" t="s">
        <v>234</v>
      </c>
      <c r="B4" s="19" t="n">
        <v>0</v>
      </c>
      <c r="C4" s="12" t="s">
        <v>235</v>
      </c>
    </row>
    <row r="5" customFormat="false" ht="15" hidden="false" customHeight="false" outlineLevel="0" collapsed="false">
      <c r="A5" s="12" t="s">
        <v>236</v>
      </c>
      <c r="B5" s="19" t="n">
        <v>0.5</v>
      </c>
      <c r="C5" s="12" t="s">
        <v>237</v>
      </c>
    </row>
    <row r="6" customFormat="false" ht="15" hidden="false" customHeight="false" outlineLevel="0" collapsed="false">
      <c r="A6" s="12" t="s">
        <v>238</v>
      </c>
      <c r="B6" s="19" t="n">
        <v>0.5</v>
      </c>
      <c r="C6" s="12" t="s">
        <v>239</v>
      </c>
    </row>
    <row r="7" customFormat="false" ht="15" hidden="false" customHeight="false" outlineLevel="0" collapsed="false">
      <c r="A7" s="12" t="s">
        <v>240</v>
      </c>
      <c r="B7" s="19" t="n">
        <v>0</v>
      </c>
      <c r="C7" s="12" t="s">
        <v>241</v>
      </c>
    </row>
    <row r="8" customFormat="false" ht="15" hidden="false" customHeight="false" outlineLevel="0" collapsed="false">
      <c r="A8" s="11" t="s">
        <v>242</v>
      </c>
      <c r="B8" s="20" t="n">
        <f aca="false">SUM(B4:B7)</f>
        <v>1</v>
      </c>
      <c r="C8" s="2" t="s">
        <v>243</v>
      </c>
    </row>
    <row r="10" customFormat="false" ht="15" hidden="false" customHeight="false" outlineLevel="0" collapsed="false">
      <c r="A10" s="11" t="s">
        <v>244</v>
      </c>
    </row>
    <row r="11" customFormat="false" ht="15" hidden="false" customHeight="false" outlineLevel="0" collapsed="false">
      <c r="A11" s="12" t="s">
        <v>245</v>
      </c>
      <c r="B11" s="21" t="n">
        <v>3</v>
      </c>
      <c r="C11" s="12" t="s">
        <v>246</v>
      </c>
    </row>
    <row r="12" customFormat="false" ht="15" hidden="false" customHeight="false" outlineLevel="0" collapsed="false">
      <c r="A12" s="12" t="s">
        <v>247</v>
      </c>
      <c r="B12" s="21" t="n">
        <v>2</v>
      </c>
    </row>
    <row r="13" customFormat="false" ht="15" hidden="false" customHeight="false" outlineLevel="0" collapsed="false">
      <c r="A13" s="12" t="s">
        <v>248</v>
      </c>
      <c r="B13" s="21" t="n">
        <v>1</v>
      </c>
    </row>
    <row r="15" customFormat="false" ht="15" hidden="false" customHeight="false" outlineLevel="0" collapsed="false">
      <c r="A15" s="11" t="s">
        <v>249</v>
      </c>
    </row>
    <row r="16" customFormat="false" ht="15" hidden="false" customHeight="false" outlineLevel="0" collapsed="false">
      <c r="A16" s="18" t="s">
        <v>250</v>
      </c>
      <c r="B16" s="18" t="s">
        <v>251</v>
      </c>
      <c r="C16" s="18" t="s">
        <v>252</v>
      </c>
      <c r="D16" s="18" t="s">
        <v>253</v>
      </c>
    </row>
    <row r="17" customFormat="false" ht="23.85" hidden="false" customHeight="false" outlineLevel="0" collapsed="false">
      <c r="A17" s="12" t="s">
        <v>254</v>
      </c>
      <c r="B17" s="21" t="s">
        <v>255</v>
      </c>
      <c r="C17" s="22" t="s">
        <v>256</v>
      </c>
    </row>
    <row r="18" customFormat="false" ht="15" hidden="false" customHeight="false" outlineLevel="0" collapsed="false">
      <c r="A18" s="12" t="s">
        <v>257</v>
      </c>
      <c r="B18" s="21" t="s">
        <v>255</v>
      </c>
      <c r="C18" s="22" t="s">
        <v>258</v>
      </c>
      <c r="D18" s="21" t="n">
        <v>5</v>
      </c>
    </row>
    <row r="19" customFormat="false" ht="15" hidden="false" customHeight="false" outlineLevel="0" collapsed="false">
      <c r="A19" s="12" t="s">
        <v>25</v>
      </c>
      <c r="B19" s="21" t="s">
        <v>259</v>
      </c>
      <c r="C19" s="22" t="s">
        <v>260</v>
      </c>
    </row>
    <row r="20" customFormat="false" ht="23.85" hidden="false" customHeight="false" outlineLevel="0" collapsed="false">
      <c r="A20" s="12" t="s">
        <v>261</v>
      </c>
      <c r="B20" s="21" t="s">
        <v>259</v>
      </c>
      <c r="C20" s="22" t="s">
        <v>262</v>
      </c>
    </row>
    <row r="21" customFormat="false" ht="15" hidden="false" customHeight="false" outlineLevel="0" collapsed="false">
      <c r="A21" s="12" t="s">
        <v>27</v>
      </c>
      <c r="B21" s="21" t="s">
        <v>259</v>
      </c>
      <c r="C21" s="22" t="s">
        <v>263</v>
      </c>
    </row>
    <row r="22" customFormat="false" ht="15" hidden="false" customHeight="false" outlineLevel="0" collapsed="false">
      <c r="A22" s="12" t="s">
        <v>28</v>
      </c>
      <c r="B22" s="21" t="s">
        <v>259</v>
      </c>
      <c r="C22" s="22" t="s">
        <v>264</v>
      </c>
      <c r="D22" s="21" t="n">
        <v>3</v>
      </c>
    </row>
    <row r="24" customFormat="false" ht="15" hidden="false" customHeight="false" outlineLevel="0" collapsed="false">
      <c r="A24" s="11" t="s">
        <v>265</v>
      </c>
    </row>
    <row r="25" customFormat="false" ht="15" hidden="false" customHeight="false" outlineLevel="0" collapsed="false">
      <c r="A25" s="0" t="s">
        <v>266</v>
      </c>
      <c r="B25" s="21" t="n">
        <v>5</v>
      </c>
    </row>
    <row r="26" customFormat="false" ht="15" hidden="false" customHeight="false" outlineLevel="0" collapsed="false">
      <c r="A26" s="0" t="s">
        <v>267</v>
      </c>
      <c r="B26" s="21" t="n">
        <v>5</v>
      </c>
    </row>
  </sheetData>
  <dataValidations count="1">
    <dataValidation allowBlank="false" errorStyle="stop" operator="between" showDropDown="false" showErrorMessage="false" showInputMessage="false" sqref="B17:B22" type="list">
      <formula1>"Exclude,Flag only"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90"/>
  </cols>
  <sheetData>
    <row r="1" customFormat="false" ht="39.75" hidden="false" customHeight="true" outlineLevel="0" collapsed="false">
      <c r="A1" s="3" t="s">
        <v>268</v>
      </c>
      <c r="B1" s="3" t="s">
        <v>269</v>
      </c>
      <c r="C1" s="3" t="s">
        <v>270</v>
      </c>
      <c r="D1" s="3" t="s">
        <v>244</v>
      </c>
      <c r="E1" s="3" t="s">
        <v>271</v>
      </c>
    </row>
    <row r="2" customFormat="false" ht="15" hidden="false" customHeight="false" outlineLevel="0" collapsed="false">
      <c r="A2" s="12" t="s">
        <v>272</v>
      </c>
      <c r="B2" s="12" t="s">
        <v>272</v>
      </c>
      <c r="C2" s="23" t="s">
        <v>247</v>
      </c>
      <c r="D2" s="12" t="n">
        <f aca="false">INDEX(Inputs!$B$11:$B$13,MATCH(C2,Inputs!$A$11:$A$13,0))</f>
        <v>2</v>
      </c>
      <c r="E2" s="12" t="s">
        <v>273</v>
      </c>
    </row>
    <row r="3" customFormat="false" ht="15" hidden="false" customHeight="false" outlineLevel="0" collapsed="false">
      <c r="A3" s="12" t="s">
        <v>274</v>
      </c>
      <c r="B3" s="12" t="s">
        <v>275</v>
      </c>
      <c r="C3" s="23" t="s">
        <v>248</v>
      </c>
      <c r="D3" s="12" t="n">
        <f aca="false">INDEX(Inputs!$B$11:$B$13,MATCH(C3,Inputs!$A$11:$A$13,0))</f>
        <v>1</v>
      </c>
      <c r="E3" s="12" t="s">
        <v>276</v>
      </c>
    </row>
    <row r="4" customFormat="false" ht="15" hidden="false" customHeight="false" outlineLevel="0" collapsed="false">
      <c r="A4" s="12" t="s">
        <v>277</v>
      </c>
      <c r="B4" s="12" t="s">
        <v>277</v>
      </c>
      <c r="C4" s="23" t="s">
        <v>245</v>
      </c>
      <c r="D4" s="12" t="n">
        <f aca="false">INDEX(Inputs!$B$11:$B$13,MATCH(C4,Inputs!$A$11:$A$13,0))</f>
        <v>3</v>
      </c>
      <c r="E4" s="12" t="s">
        <v>273</v>
      </c>
    </row>
    <row r="5" customFormat="false" ht="15" hidden="false" customHeight="false" outlineLevel="0" collapsed="false">
      <c r="A5" s="12" t="s">
        <v>278</v>
      </c>
      <c r="B5" s="12" t="s">
        <v>275</v>
      </c>
      <c r="C5" s="23" t="s">
        <v>248</v>
      </c>
      <c r="D5" s="12" t="n">
        <f aca="false">INDEX(Inputs!$B$11:$B$13,MATCH(C5,Inputs!$A$11:$A$13,0))</f>
        <v>1</v>
      </c>
      <c r="E5" s="12" t="s">
        <v>276</v>
      </c>
    </row>
    <row r="6" customFormat="false" ht="15" hidden="false" customHeight="false" outlineLevel="0" collapsed="false">
      <c r="A6" s="12" t="s">
        <v>279</v>
      </c>
      <c r="B6" s="12" t="s">
        <v>279</v>
      </c>
      <c r="C6" s="23" t="s">
        <v>245</v>
      </c>
      <c r="D6" s="12" t="n">
        <f aca="false">INDEX(Inputs!$B$11:$B$13,MATCH(C6,Inputs!$A$11:$A$13,0))</f>
        <v>3</v>
      </c>
      <c r="E6" s="12" t="s">
        <v>273</v>
      </c>
    </row>
    <row r="7" customFormat="false" ht="15" hidden="false" customHeight="false" outlineLevel="0" collapsed="false">
      <c r="A7" s="12" t="s">
        <v>280</v>
      </c>
      <c r="B7" s="12" t="s">
        <v>275</v>
      </c>
      <c r="C7" s="23" t="s">
        <v>248</v>
      </c>
      <c r="D7" s="12" t="n">
        <f aca="false">INDEX(Inputs!$B$11:$B$13,MATCH(C7,Inputs!$A$11:$A$13,0))</f>
        <v>1</v>
      </c>
      <c r="E7" s="12" t="s">
        <v>276</v>
      </c>
    </row>
    <row r="8" customFormat="false" ht="15" hidden="false" customHeight="false" outlineLevel="0" collapsed="false">
      <c r="A8" s="12" t="s">
        <v>281</v>
      </c>
      <c r="B8" s="12" t="s">
        <v>275</v>
      </c>
      <c r="C8" s="23" t="s">
        <v>248</v>
      </c>
      <c r="D8" s="12" t="n">
        <f aca="false">INDEX(Inputs!$B$11:$B$13,MATCH(C8,Inputs!$A$11:$A$13,0))</f>
        <v>1</v>
      </c>
      <c r="E8" s="12" t="s">
        <v>276</v>
      </c>
    </row>
    <row r="9" customFormat="false" ht="15" hidden="false" customHeight="false" outlineLevel="0" collapsed="false">
      <c r="A9" s="12" t="s">
        <v>282</v>
      </c>
      <c r="B9" s="12" t="s">
        <v>275</v>
      </c>
      <c r="C9" s="23" t="s">
        <v>248</v>
      </c>
      <c r="D9" s="12" t="n">
        <f aca="false">INDEX(Inputs!$B$11:$B$13,MATCH(C9,Inputs!$A$11:$A$13,0))</f>
        <v>1</v>
      </c>
      <c r="E9" s="12" t="s">
        <v>276</v>
      </c>
    </row>
    <row r="10" customFormat="false" ht="15" hidden="false" customHeight="false" outlineLevel="0" collapsed="false">
      <c r="A10" s="12" t="s">
        <v>283</v>
      </c>
      <c r="B10" s="12" t="s">
        <v>275</v>
      </c>
      <c r="C10" s="23" t="s">
        <v>248</v>
      </c>
      <c r="D10" s="12" t="n">
        <f aca="false">INDEX(Inputs!$B$11:$B$13,MATCH(C10,Inputs!$A$11:$A$13,0))</f>
        <v>1</v>
      </c>
      <c r="E10" s="12" t="s">
        <v>276</v>
      </c>
    </row>
    <row r="11" customFormat="false" ht="15" hidden="false" customHeight="false" outlineLevel="0" collapsed="false">
      <c r="A11" s="12" t="s">
        <v>284</v>
      </c>
      <c r="B11" s="12" t="s">
        <v>275</v>
      </c>
      <c r="C11" s="23" t="s">
        <v>248</v>
      </c>
      <c r="D11" s="12" t="n">
        <f aca="false">INDEX(Inputs!$B$11:$B$13,MATCH(C11,Inputs!$A$11:$A$13,0))</f>
        <v>1</v>
      </c>
      <c r="E11" s="12" t="s">
        <v>276</v>
      </c>
    </row>
    <row r="12" customFormat="false" ht="15" hidden="false" customHeight="false" outlineLevel="0" collapsed="false">
      <c r="A12" s="12" t="s">
        <v>285</v>
      </c>
      <c r="B12" s="12" t="s">
        <v>275</v>
      </c>
      <c r="C12" s="23" t="s">
        <v>248</v>
      </c>
      <c r="D12" s="12" t="n">
        <f aca="false">INDEX(Inputs!$B$11:$B$13,MATCH(C12,Inputs!$A$11:$A$13,0))</f>
        <v>1</v>
      </c>
      <c r="E12" s="12" t="s">
        <v>276</v>
      </c>
    </row>
    <row r="13" customFormat="false" ht="15" hidden="false" customHeight="false" outlineLevel="0" collapsed="false">
      <c r="A13" s="12" t="s">
        <v>286</v>
      </c>
      <c r="B13" s="12" t="s">
        <v>286</v>
      </c>
      <c r="C13" s="23" t="s">
        <v>245</v>
      </c>
      <c r="D13" s="12" t="n">
        <f aca="false">INDEX(Inputs!$B$11:$B$13,MATCH(C13,Inputs!$A$11:$A$13,0))</f>
        <v>3</v>
      </c>
      <c r="E13" s="12" t="s">
        <v>273</v>
      </c>
    </row>
    <row r="14" customFormat="false" ht="15" hidden="false" customHeight="false" outlineLevel="0" collapsed="false">
      <c r="A14" s="12" t="s">
        <v>287</v>
      </c>
      <c r="B14" s="12" t="s">
        <v>287</v>
      </c>
      <c r="C14" s="23" t="s">
        <v>245</v>
      </c>
      <c r="D14" s="12" t="n">
        <f aca="false">INDEX(Inputs!$B$11:$B$13,MATCH(C14,Inputs!$A$11:$A$13,0))</f>
        <v>3</v>
      </c>
      <c r="E14" s="12" t="s">
        <v>273</v>
      </c>
    </row>
    <row r="15" customFormat="false" ht="15" hidden="false" customHeight="false" outlineLevel="0" collapsed="false">
      <c r="A15" s="12" t="s">
        <v>288</v>
      </c>
      <c r="B15" s="12" t="s">
        <v>275</v>
      </c>
      <c r="C15" s="23" t="s">
        <v>248</v>
      </c>
      <c r="D15" s="12" t="n">
        <f aca="false">INDEX(Inputs!$B$11:$B$13,MATCH(C15,Inputs!$A$11:$A$13,0))</f>
        <v>1</v>
      </c>
      <c r="E15" s="12" t="s">
        <v>276</v>
      </c>
    </row>
    <row r="16" customFormat="false" ht="15" hidden="false" customHeight="false" outlineLevel="0" collapsed="false">
      <c r="A16" s="12" t="s">
        <v>289</v>
      </c>
      <c r="B16" s="12" t="s">
        <v>275</v>
      </c>
      <c r="C16" s="23" t="s">
        <v>248</v>
      </c>
      <c r="D16" s="12" t="n">
        <f aca="false">INDEX(Inputs!$B$11:$B$13,MATCH(C16,Inputs!$A$11:$A$13,0))</f>
        <v>1</v>
      </c>
      <c r="E16" s="12" t="s">
        <v>276</v>
      </c>
    </row>
    <row r="17" customFormat="false" ht="15" hidden="false" customHeight="false" outlineLevel="0" collapsed="false">
      <c r="A17" s="12" t="s">
        <v>290</v>
      </c>
      <c r="B17" s="12" t="s">
        <v>275</v>
      </c>
      <c r="C17" s="23" t="s">
        <v>248</v>
      </c>
      <c r="D17" s="12" t="n">
        <f aca="false">INDEX(Inputs!$B$11:$B$13,MATCH(C17,Inputs!$A$11:$A$13,0))</f>
        <v>1</v>
      </c>
      <c r="E17" s="12" t="s">
        <v>276</v>
      </c>
    </row>
    <row r="18" customFormat="false" ht="15" hidden="false" customHeight="false" outlineLevel="0" collapsed="false">
      <c r="A18" s="12" t="s">
        <v>291</v>
      </c>
      <c r="B18" s="12" t="s">
        <v>275</v>
      </c>
      <c r="C18" s="23" t="s">
        <v>248</v>
      </c>
      <c r="D18" s="12" t="n">
        <f aca="false">INDEX(Inputs!$B$11:$B$13,MATCH(C18,Inputs!$A$11:$A$13,0))</f>
        <v>1</v>
      </c>
      <c r="E18" s="12" t="s">
        <v>276</v>
      </c>
    </row>
    <row r="19" customFormat="false" ht="15" hidden="false" customHeight="false" outlineLevel="0" collapsed="false">
      <c r="A19" s="12" t="s">
        <v>292</v>
      </c>
      <c r="B19" s="12" t="s">
        <v>292</v>
      </c>
      <c r="C19" s="23" t="s">
        <v>247</v>
      </c>
      <c r="D19" s="12" t="n">
        <f aca="false">INDEX(Inputs!$B$11:$B$13,MATCH(C19,Inputs!$A$11:$A$13,0))</f>
        <v>2</v>
      </c>
      <c r="E19" s="12" t="s">
        <v>273</v>
      </c>
    </row>
    <row r="20" customFormat="false" ht="15" hidden="false" customHeight="false" outlineLevel="0" collapsed="false">
      <c r="A20" s="12" t="s">
        <v>293</v>
      </c>
      <c r="B20" s="12" t="s">
        <v>275</v>
      </c>
      <c r="C20" s="23" t="s">
        <v>248</v>
      </c>
      <c r="D20" s="12" t="n">
        <f aca="false">INDEX(Inputs!$B$11:$B$13,MATCH(C20,Inputs!$A$11:$A$13,0))</f>
        <v>1</v>
      </c>
      <c r="E20" s="12" t="s">
        <v>276</v>
      </c>
    </row>
    <row r="21" customFormat="false" ht="15" hidden="false" customHeight="false" outlineLevel="0" collapsed="false">
      <c r="A21" s="12" t="s">
        <v>294</v>
      </c>
      <c r="B21" s="12" t="s">
        <v>275</v>
      </c>
      <c r="C21" s="23" t="s">
        <v>248</v>
      </c>
      <c r="D21" s="12" t="n">
        <f aca="false">INDEX(Inputs!$B$11:$B$13,MATCH(C21,Inputs!$A$11:$A$13,0))</f>
        <v>1</v>
      </c>
      <c r="E21" s="12" t="s">
        <v>276</v>
      </c>
    </row>
    <row r="22" customFormat="false" ht="15" hidden="false" customHeight="false" outlineLevel="0" collapsed="false">
      <c r="A22" s="12" t="s">
        <v>295</v>
      </c>
      <c r="B22" s="12" t="s">
        <v>275</v>
      </c>
      <c r="C22" s="23" t="s">
        <v>248</v>
      </c>
      <c r="D22" s="12" t="n">
        <f aca="false">INDEX(Inputs!$B$11:$B$13,MATCH(C22,Inputs!$A$11:$A$13,0))</f>
        <v>1</v>
      </c>
      <c r="E22" s="12" t="s">
        <v>276</v>
      </c>
    </row>
    <row r="23" customFormat="false" ht="15" hidden="false" customHeight="false" outlineLevel="0" collapsed="false">
      <c r="A23" s="12" t="s">
        <v>296</v>
      </c>
      <c r="B23" s="12" t="s">
        <v>275</v>
      </c>
      <c r="C23" s="23" t="s">
        <v>248</v>
      </c>
      <c r="D23" s="12" t="n">
        <f aca="false">INDEX(Inputs!$B$11:$B$13,MATCH(C23,Inputs!$A$11:$A$13,0))</f>
        <v>1</v>
      </c>
      <c r="E23" s="12" t="s">
        <v>276</v>
      </c>
    </row>
    <row r="24" customFormat="false" ht="15" hidden="false" customHeight="false" outlineLevel="0" collapsed="false">
      <c r="A24" s="12" t="s">
        <v>297</v>
      </c>
      <c r="B24" s="12" t="s">
        <v>297</v>
      </c>
      <c r="C24" s="23" t="s">
        <v>247</v>
      </c>
      <c r="D24" s="12" t="n">
        <f aca="false">INDEX(Inputs!$B$11:$B$13,MATCH(C24,Inputs!$A$11:$A$13,0))</f>
        <v>2</v>
      </c>
      <c r="E24" s="12" t="s">
        <v>273</v>
      </c>
    </row>
    <row r="25" customFormat="false" ht="15" hidden="false" customHeight="false" outlineLevel="0" collapsed="false">
      <c r="A25" s="12" t="s">
        <v>298</v>
      </c>
      <c r="B25" s="12" t="s">
        <v>298</v>
      </c>
      <c r="C25" s="23" t="s">
        <v>245</v>
      </c>
      <c r="D25" s="12" t="n">
        <f aca="false">INDEX(Inputs!$B$11:$B$13,MATCH(C25,Inputs!$A$11:$A$13,0))</f>
        <v>3</v>
      </c>
      <c r="E25" s="12" t="s">
        <v>273</v>
      </c>
    </row>
    <row r="26" customFormat="false" ht="15" hidden="false" customHeight="false" outlineLevel="0" collapsed="false">
      <c r="A26" s="12" t="s">
        <v>299</v>
      </c>
      <c r="B26" s="12" t="s">
        <v>275</v>
      </c>
      <c r="C26" s="23" t="s">
        <v>248</v>
      </c>
      <c r="D26" s="12" t="n">
        <f aca="false">INDEX(Inputs!$B$11:$B$13,MATCH(C26,Inputs!$A$11:$A$13,0))</f>
        <v>1</v>
      </c>
      <c r="E26" s="12" t="s">
        <v>276</v>
      </c>
    </row>
    <row r="27" customFormat="false" ht="15" hidden="false" customHeight="false" outlineLevel="0" collapsed="false">
      <c r="A27" s="12" t="s">
        <v>300</v>
      </c>
      <c r="B27" s="12" t="s">
        <v>275</v>
      </c>
      <c r="C27" s="23" t="s">
        <v>248</v>
      </c>
      <c r="D27" s="12" t="n">
        <f aca="false">INDEX(Inputs!$B$11:$B$13,MATCH(C27,Inputs!$A$11:$A$13,0))</f>
        <v>1</v>
      </c>
      <c r="E27" s="12" t="s">
        <v>276</v>
      </c>
    </row>
    <row r="28" customFormat="false" ht="15" hidden="false" customHeight="false" outlineLevel="0" collapsed="false">
      <c r="A28" s="12" t="s">
        <v>301</v>
      </c>
      <c r="B28" s="12" t="s">
        <v>275</v>
      </c>
      <c r="C28" s="23" t="s">
        <v>248</v>
      </c>
      <c r="D28" s="12" t="n">
        <f aca="false">INDEX(Inputs!$B$11:$B$13,MATCH(C28,Inputs!$A$11:$A$13,0))</f>
        <v>1</v>
      </c>
      <c r="E28" s="12" t="s">
        <v>276</v>
      </c>
    </row>
    <row r="29" customFormat="false" ht="15" hidden="false" customHeight="false" outlineLevel="0" collapsed="false">
      <c r="A29" s="12" t="s">
        <v>302</v>
      </c>
      <c r="B29" s="12" t="s">
        <v>275</v>
      </c>
      <c r="C29" s="23" t="s">
        <v>248</v>
      </c>
      <c r="D29" s="12" t="n">
        <f aca="false">INDEX(Inputs!$B$11:$B$13,MATCH(C29,Inputs!$A$11:$A$13,0))</f>
        <v>1</v>
      </c>
      <c r="E29" s="12" t="s">
        <v>276</v>
      </c>
    </row>
    <row r="30" customFormat="false" ht="15" hidden="false" customHeight="false" outlineLevel="0" collapsed="false">
      <c r="A30" s="12" t="s">
        <v>303</v>
      </c>
      <c r="B30" s="12" t="s">
        <v>304</v>
      </c>
      <c r="C30" s="23" t="s">
        <v>247</v>
      </c>
      <c r="D30" s="12" t="n">
        <f aca="false">INDEX(Inputs!$B$11:$B$13,MATCH(C30,Inputs!$A$11:$A$13,0))</f>
        <v>2</v>
      </c>
      <c r="E30" s="12" t="s">
        <v>273</v>
      </c>
    </row>
    <row r="31" customFormat="false" ht="15" hidden="false" customHeight="false" outlineLevel="0" collapsed="false">
      <c r="A31" s="12" t="s">
        <v>305</v>
      </c>
      <c r="B31" s="12" t="s">
        <v>275</v>
      </c>
      <c r="C31" s="23" t="s">
        <v>248</v>
      </c>
      <c r="D31" s="12" t="n">
        <f aca="false">INDEX(Inputs!$B$11:$B$13,MATCH(C31,Inputs!$A$11:$A$13,0))</f>
        <v>1</v>
      </c>
      <c r="E31" s="12" t="s">
        <v>276</v>
      </c>
    </row>
    <row r="32" customFormat="false" ht="15" hidden="false" customHeight="false" outlineLevel="0" collapsed="false">
      <c r="A32" s="12" t="s">
        <v>306</v>
      </c>
      <c r="B32" s="12" t="s">
        <v>275</v>
      </c>
      <c r="C32" s="23" t="s">
        <v>248</v>
      </c>
      <c r="D32" s="12" t="n">
        <f aca="false">INDEX(Inputs!$B$11:$B$13,MATCH(C32,Inputs!$A$11:$A$13,0))</f>
        <v>1</v>
      </c>
      <c r="E32" s="12" t="s">
        <v>276</v>
      </c>
    </row>
    <row r="33" customFormat="false" ht="15" hidden="false" customHeight="false" outlineLevel="0" collapsed="false">
      <c r="A33" s="12" t="s">
        <v>307</v>
      </c>
      <c r="B33" s="12" t="s">
        <v>307</v>
      </c>
      <c r="C33" s="23" t="s">
        <v>247</v>
      </c>
      <c r="D33" s="12" t="n">
        <f aca="false">INDEX(Inputs!$B$11:$B$13,MATCH(C33,Inputs!$A$11:$A$13,0))</f>
        <v>2</v>
      </c>
      <c r="E33" s="12" t="s">
        <v>273</v>
      </c>
    </row>
    <row r="34" customFormat="false" ht="15" hidden="false" customHeight="false" outlineLevel="0" collapsed="false">
      <c r="A34" s="12" t="s">
        <v>308</v>
      </c>
      <c r="B34" s="12" t="s">
        <v>275</v>
      </c>
      <c r="C34" s="23" t="s">
        <v>248</v>
      </c>
      <c r="D34" s="12" t="n">
        <f aca="false">INDEX(Inputs!$B$11:$B$13,MATCH(C34,Inputs!$A$11:$A$13,0))</f>
        <v>1</v>
      </c>
      <c r="E34" s="12" t="s">
        <v>276</v>
      </c>
    </row>
    <row r="35" customFormat="false" ht="15" hidden="false" customHeight="false" outlineLevel="0" collapsed="false">
      <c r="A35" s="12" t="s">
        <v>309</v>
      </c>
      <c r="B35" s="12" t="s">
        <v>310</v>
      </c>
      <c r="C35" s="23" t="s">
        <v>245</v>
      </c>
      <c r="D35" s="12" t="n">
        <f aca="false">INDEX(Inputs!$B$11:$B$13,MATCH(C35,Inputs!$A$11:$A$13,0))</f>
        <v>3</v>
      </c>
      <c r="E35" s="12" t="s">
        <v>273</v>
      </c>
    </row>
    <row r="36" customFormat="false" ht="15" hidden="false" customHeight="false" outlineLevel="0" collapsed="false">
      <c r="A36" s="12" t="s">
        <v>311</v>
      </c>
      <c r="B36" s="12" t="s">
        <v>312</v>
      </c>
      <c r="C36" s="23" t="s">
        <v>245</v>
      </c>
      <c r="D36" s="12" t="n">
        <f aca="false">INDEX(Inputs!$B$11:$B$13,MATCH(C36,Inputs!$A$11:$A$13,0))</f>
        <v>3</v>
      </c>
      <c r="E36" s="12" t="s">
        <v>273</v>
      </c>
    </row>
    <row r="37" customFormat="false" ht="15" hidden="false" customHeight="false" outlineLevel="0" collapsed="false">
      <c r="A37" s="12" t="s">
        <v>313</v>
      </c>
      <c r="B37" s="12" t="s">
        <v>310</v>
      </c>
      <c r="C37" s="23" t="s">
        <v>245</v>
      </c>
      <c r="D37" s="12" t="n">
        <f aca="false">INDEX(Inputs!$B$11:$B$13,MATCH(C37,Inputs!$A$11:$A$13,0))</f>
        <v>3</v>
      </c>
      <c r="E37" s="12" t="s">
        <v>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60"/>
    <col collapsed="false" customWidth="true" hidden="false" outlineLevel="0" max="8" min="8" style="0" width="14"/>
  </cols>
  <sheetData>
    <row r="1" customFormat="false" ht="39.75" hidden="false" customHeight="true" outlineLevel="0" collapsed="false">
      <c r="A1" s="3" t="s">
        <v>3</v>
      </c>
      <c r="B1" s="3" t="s">
        <v>5</v>
      </c>
      <c r="C1" s="3" t="s">
        <v>314</v>
      </c>
      <c r="D1" s="3" t="s">
        <v>315</v>
      </c>
      <c r="E1" s="3" t="s">
        <v>16</v>
      </c>
      <c r="F1" s="3" t="s">
        <v>316</v>
      </c>
      <c r="G1" s="3" t="s">
        <v>317</v>
      </c>
      <c r="H1" s="3" t="s">
        <v>261</v>
      </c>
    </row>
    <row r="2" customFormat="false" ht="15" hidden="false" customHeight="false" outlineLevel="0" collapsed="false">
      <c r="A2" s="12" t="s">
        <v>34</v>
      </c>
      <c r="B2" s="12" t="s">
        <v>318</v>
      </c>
      <c r="C2" s="24" t="n">
        <v>8995.42</v>
      </c>
      <c r="D2" s="25" t="n">
        <v>0.156211180124224</v>
      </c>
      <c r="E2" s="26" t="n">
        <f aca="false">IF(ISNUMBER(D2),C2*D2,"")</f>
        <v>1405.18517391305</v>
      </c>
      <c r="F2" s="12"/>
      <c r="G2" s="12" t="s">
        <v>319</v>
      </c>
      <c r="H2" s="12" t="s">
        <v>320</v>
      </c>
    </row>
    <row r="3" customFormat="false" ht="15" hidden="false" customHeight="false" outlineLevel="0" collapsed="false">
      <c r="A3" s="12" t="s">
        <v>37</v>
      </c>
      <c r="B3" s="12" t="s">
        <v>321</v>
      </c>
      <c r="C3" s="24" t="n">
        <v>4229.67</v>
      </c>
      <c r="D3" s="25" t="n">
        <v>0.673942003609456</v>
      </c>
      <c r="E3" s="26" t="n">
        <f aca="false">IF(ISNUMBER(D3),C3*D3,"")</f>
        <v>2850.55227440681</v>
      </c>
      <c r="F3" s="12" t="s">
        <v>322</v>
      </c>
      <c r="G3" s="12" t="s">
        <v>319</v>
      </c>
      <c r="H3" s="12" t="s">
        <v>320</v>
      </c>
    </row>
    <row r="4" customFormat="false" ht="15" hidden="false" customHeight="false" outlineLevel="0" collapsed="false">
      <c r="A4" s="12" t="s">
        <v>39</v>
      </c>
      <c r="B4" s="12" t="s">
        <v>323</v>
      </c>
      <c r="C4" s="24" t="n">
        <v>15.02</v>
      </c>
      <c r="D4" s="25" t="n">
        <v>0.952380952380952</v>
      </c>
      <c r="E4" s="26" t="n">
        <f aca="false">IF(ISNUMBER(D4),C4*D4,"")</f>
        <v>14.3047619047619</v>
      </c>
      <c r="F4" s="12"/>
      <c r="G4" s="12" t="s">
        <v>319</v>
      </c>
      <c r="H4" s="12" t="s">
        <v>320</v>
      </c>
    </row>
    <row r="5" customFormat="false" ht="15" hidden="false" customHeight="false" outlineLevel="0" collapsed="false">
      <c r="A5" s="12" t="s">
        <v>42</v>
      </c>
      <c r="B5" s="12" t="s">
        <v>324</v>
      </c>
      <c r="C5" s="24" t="n">
        <v>8785.35</v>
      </c>
      <c r="D5" s="25" t="n">
        <v>0.959959846916369</v>
      </c>
      <c r="E5" s="26" t="n">
        <f aca="false">IF(ISNUMBER(D5),C5*D5,"")</f>
        <v>8433.58324110672</v>
      </c>
      <c r="F5" s="12"/>
      <c r="G5" s="12" t="s">
        <v>319</v>
      </c>
      <c r="H5" s="12" t="s">
        <v>320</v>
      </c>
    </row>
    <row r="6" customFormat="false" ht="15" hidden="false" customHeight="false" outlineLevel="0" collapsed="false">
      <c r="A6" s="12" t="s">
        <v>43</v>
      </c>
      <c r="B6" s="12" t="s">
        <v>325</v>
      </c>
      <c r="C6" s="24" t="n">
        <v>19089.13</v>
      </c>
      <c r="D6" s="25" t="n">
        <v>0.295137394358018</v>
      </c>
      <c r="E6" s="26" t="n">
        <f aca="false">IF(ISNUMBER(D6),C6*D6,"")</f>
        <v>5633.91608876147</v>
      </c>
      <c r="F6" s="12"/>
      <c r="G6" s="12" t="s">
        <v>319</v>
      </c>
      <c r="H6" s="12" t="s">
        <v>320</v>
      </c>
    </row>
    <row r="7" customFormat="false" ht="15" hidden="false" customHeight="false" outlineLevel="0" collapsed="false">
      <c r="A7" s="12" t="s">
        <v>45</v>
      </c>
      <c r="B7" s="12" t="s">
        <v>326</v>
      </c>
      <c r="C7" s="24" t="n">
        <v>433588.09</v>
      </c>
      <c r="D7" s="25" t="n">
        <v>0.0779425190719572</v>
      </c>
      <c r="E7" s="26" t="n">
        <f aca="false">IF(ISNUMBER(D7),C7*D7,"")</f>
        <v>33794.9479741985</v>
      </c>
      <c r="F7" s="12"/>
      <c r="G7" s="12" t="s">
        <v>319</v>
      </c>
      <c r="H7" s="12" t="s">
        <v>320</v>
      </c>
    </row>
    <row r="8" customFormat="false" ht="15" hidden="false" customHeight="false" outlineLevel="0" collapsed="false">
      <c r="A8" s="12" t="s">
        <v>46</v>
      </c>
      <c r="B8" s="12" t="s">
        <v>327</v>
      </c>
      <c r="C8" s="24" t="n">
        <v>52401.4</v>
      </c>
      <c r="D8" s="25" t="n">
        <v>0.670397578386193</v>
      </c>
      <c r="E8" s="26" t="n">
        <f aca="false">IF(ISNUMBER(D8),C8*D8,"")</f>
        <v>35129.7716640463</v>
      </c>
      <c r="F8" s="12" t="s">
        <v>322</v>
      </c>
      <c r="G8" s="12" t="s">
        <v>319</v>
      </c>
      <c r="H8" s="12" t="s">
        <v>320</v>
      </c>
    </row>
    <row r="9" customFormat="false" ht="15" hidden="false" customHeight="false" outlineLevel="0" collapsed="false">
      <c r="A9" s="12" t="s">
        <v>48</v>
      </c>
      <c r="B9" s="12" t="s">
        <v>328</v>
      </c>
      <c r="C9" s="24" t="n">
        <v>2127.31</v>
      </c>
      <c r="D9" s="25" t="n">
        <v>1</v>
      </c>
      <c r="E9" s="26" t="n">
        <f aca="false">IF(ISNUMBER(D9),C9*D9,"")</f>
        <v>2127.31</v>
      </c>
      <c r="F9" s="12"/>
      <c r="G9" s="12" t="s">
        <v>319</v>
      </c>
      <c r="H9" s="12" t="s">
        <v>320</v>
      </c>
    </row>
    <row r="10" customFormat="false" ht="15" hidden="false" customHeight="false" outlineLevel="0" collapsed="false">
      <c r="A10" s="12" t="s">
        <v>49</v>
      </c>
      <c r="B10" s="12" t="s">
        <v>329</v>
      </c>
      <c r="C10" s="24" t="n">
        <v>23317.34</v>
      </c>
      <c r="D10" s="25" t="n">
        <v>0.0847700746550087</v>
      </c>
      <c r="E10" s="26" t="n">
        <f aca="false">IF(ISNUMBER(D10),C10*D10,"")</f>
        <v>1976.61265255622</v>
      </c>
      <c r="F10" s="12"/>
      <c r="G10" s="12" t="s">
        <v>319</v>
      </c>
      <c r="H10" s="12" t="s">
        <v>320</v>
      </c>
    </row>
    <row r="11" customFormat="false" ht="15" hidden="false" customHeight="false" outlineLevel="0" collapsed="false">
      <c r="A11" s="12" t="s">
        <v>51</v>
      </c>
      <c r="B11" s="12" t="s">
        <v>330</v>
      </c>
      <c r="C11" s="24" t="n">
        <v>3257.58</v>
      </c>
      <c r="D11" s="25" t="n">
        <v>1</v>
      </c>
      <c r="E11" s="26" t="n">
        <f aca="false">IF(ISNUMBER(D11),C11*D11,"")</f>
        <v>3257.58</v>
      </c>
      <c r="F11" s="12"/>
      <c r="G11" s="12" t="s">
        <v>319</v>
      </c>
      <c r="H11" s="12" t="s">
        <v>320</v>
      </c>
    </row>
    <row r="12" customFormat="false" ht="15" hidden="false" customHeight="false" outlineLevel="0" collapsed="false">
      <c r="A12" s="12" t="s">
        <v>52</v>
      </c>
      <c r="B12" s="12" t="s">
        <v>331</v>
      </c>
      <c r="C12" s="24" t="n">
        <v>9295.14</v>
      </c>
      <c r="D12" s="25" t="n">
        <v>0.702152361952863</v>
      </c>
      <c r="E12" s="26" t="n">
        <f aca="false">IF(ISNUMBER(D12),C12*D12,"")</f>
        <v>6526.60450568254</v>
      </c>
      <c r="F12" s="12"/>
      <c r="G12" s="12" t="s">
        <v>319</v>
      </c>
      <c r="H12" s="12" t="s">
        <v>320</v>
      </c>
    </row>
    <row r="13" customFormat="false" ht="15" hidden="false" customHeight="false" outlineLevel="0" collapsed="false">
      <c r="A13" s="12" t="s">
        <v>53</v>
      </c>
      <c r="B13" s="12" t="s">
        <v>332</v>
      </c>
      <c r="C13" s="24" t="n">
        <v>50865.56</v>
      </c>
      <c r="D13" s="25" t="n">
        <v>0.829278792417718</v>
      </c>
      <c r="E13" s="26" t="n">
        <f aca="false">IF(ISNUMBER(D13),C13*D13,"")</f>
        <v>42181.730172451</v>
      </c>
      <c r="F13" s="12"/>
      <c r="G13" s="12" t="s">
        <v>319</v>
      </c>
      <c r="H13" s="12" t="s">
        <v>333</v>
      </c>
    </row>
    <row r="14" customFormat="false" ht="15" hidden="false" customHeight="false" outlineLevel="0" collapsed="false">
      <c r="A14" s="12" t="s">
        <v>58</v>
      </c>
      <c r="B14" s="12" t="s">
        <v>334</v>
      </c>
      <c r="C14" s="24" t="n">
        <v>13738.53</v>
      </c>
      <c r="D14" s="25" t="n">
        <v>0.372538609534506</v>
      </c>
      <c r="E14" s="26" t="n">
        <f aca="false">IF(ISNUMBER(D14),C14*D14,"")</f>
        <v>5118.1328632481</v>
      </c>
      <c r="F14" s="12"/>
      <c r="G14" s="12" t="s">
        <v>319</v>
      </c>
      <c r="H14" s="12" t="s">
        <v>320</v>
      </c>
    </row>
    <row r="15" customFormat="false" ht="15" hidden="false" customHeight="false" outlineLevel="0" collapsed="false">
      <c r="A15" s="12" t="s">
        <v>59</v>
      </c>
      <c r="B15" s="12" t="s">
        <v>335</v>
      </c>
      <c r="C15" s="24" t="n">
        <v>806.34</v>
      </c>
      <c r="D15" s="25" t="n">
        <v>1</v>
      </c>
      <c r="E15" s="26" t="n">
        <f aca="false">IF(ISNUMBER(D15),C15*D15,"")</f>
        <v>806.34</v>
      </c>
      <c r="F15" s="12"/>
      <c r="G15" s="12" t="s">
        <v>319</v>
      </c>
      <c r="H15" s="12" t="s">
        <v>320</v>
      </c>
    </row>
    <row r="16" customFormat="false" ht="15" hidden="false" customHeight="false" outlineLevel="0" collapsed="false">
      <c r="A16" s="12" t="s">
        <v>60</v>
      </c>
      <c r="B16" s="12" t="s">
        <v>336</v>
      </c>
      <c r="C16" s="24" t="n">
        <v>3973.65</v>
      </c>
      <c r="D16" s="25" t="n">
        <v>1</v>
      </c>
      <c r="E16" s="26" t="n">
        <f aca="false">IF(ISNUMBER(D16),C16*D16,"")</f>
        <v>3973.65</v>
      </c>
      <c r="F16" s="12"/>
      <c r="G16" s="12" t="s">
        <v>319</v>
      </c>
      <c r="H16" s="12" t="s">
        <v>333</v>
      </c>
    </row>
    <row r="17" customFormat="false" ht="15" hidden="false" customHeight="false" outlineLevel="0" collapsed="false">
      <c r="A17" s="12" t="s">
        <v>62</v>
      </c>
      <c r="B17" s="12" t="s">
        <v>337</v>
      </c>
      <c r="C17" s="24" t="n">
        <v>28093.38</v>
      </c>
      <c r="D17" s="25" t="n">
        <v>1</v>
      </c>
      <c r="E17" s="26" t="n">
        <f aca="false">IF(ISNUMBER(D17),C17*D17,"")</f>
        <v>28093.38</v>
      </c>
      <c r="F17" s="12"/>
      <c r="G17" s="12" t="s">
        <v>319</v>
      </c>
      <c r="H17" s="12" t="s">
        <v>333</v>
      </c>
    </row>
    <row r="18" customFormat="false" ht="15" hidden="false" customHeight="false" outlineLevel="0" collapsed="false">
      <c r="A18" s="12" t="s">
        <v>64</v>
      </c>
      <c r="B18" s="12" t="s">
        <v>338</v>
      </c>
      <c r="C18" s="24" t="n">
        <v>263.65</v>
      </c>
      <c r="D18" s="25" t="n">
        <v>0.0828659263441872</v>
      </c>
      <c r="E18" s="26" t="n">
        <f aca="false">IF(ISNUMBER(D18),C18*D18,"")</f>
        <v>21.847601480645</v>
      </c>
      <c r="F18" s="12"/>
      <c r="G18" s="12" t="s">
        <v>319</v>
      </c>
      <c r="H18" s="12" t="s">
        <v>320</v>
      </c>
    </row>
    <row r="19" customFormat="false" ht="15" hidden="false" customHeight="false" outlineLevel="0" collapsed="false">
      <c r="A19" s="12" t="s">
        <v>66</v>
      </c>
      <c r="B19" s="12" t="s">
        <v>339</v>
      </c>
      <c r="C19" s="24" t="n">
        <v>16840.43</v>
      </c>
      <c r="D19" s="25" t="n">
        <v>0.971428571428571</v>
      </c>
      <c r="E19" s="26" t="n">
        <f aca="false">IF(ISNUMBER(D19),C19*D19,"")</f>
        <v>16359.2748571429</v>
      </c>
      <c r="F19" s="12"/>
      <c r="G19" s="12" t="s">
        <v>319</v>
      </c>
      <c r="H19" s="12" t="s">
        <v>320</v>
      </c>
    </row>
    <row r="20" customFormat="false" ht="15" hidden="false" customHeight="false" outlineLevel="0" collapsed="false">
      <c r="A20" s="12" t="s">
        <v>68</v>
      </c>
      <c r="B20" s="12" t="s">
        <v>340</v>
      </c>
      <c r="C20" s="24" t="n">
        <v>49989.33</v>
      </c>
      <c r="D20" s="25" t="n">
        <v>0.0511527360425806</v>
      </c>
      <c r="E20" s="26" t="n">
        <f aca="false">IF(ISNUMBER(D20),C20*D20,"")</f>
        <v>2557.09100243546</v>
      </c>
      <c r="F20" s="12"/>
      <c r="G20" s="12" t="s">
        <v>319</v>
      </c>
      <c r="H20" s="12" t="s">
        <v>320</v>
      </c>
    </row>
    <row r="21" customFormat="false" ht="15" hidden="false" customHeight="false" outlineLevel="0" collapsed="false">
      <c r="A21" s="12" t="s">
        <v>69</v>
      </c>
      <c r="B21" s="12" t="s">
        <v>341</v>
      </c>
      <c r="C21" s="24" t="n">
        <v>3954.83</v>
      </c>
      <c r="D21" s="25" t="n">
        <v>0.916666666666667</v>
      </c>
      <c r="E21" s="26" t="n">
        <f aca="false">IF(ISNUMBER(D21),C21*D21,"")</f>
        <v>3625.26083333333</v>
      </c>
      <c r="F21" s="12"/>
      <c r="G21" s="12" t="s">
        <v>319</v>
      </c>
      <c r="H21" s="12" t="s">
        <v>320</v>
      </c>
    </row>
    <row r="22" customFormat="false" ht="15" hidden="false" customHeight="false" outlineLevel="0" collapsed="false">
      <c r="A22" s="12" t="s">
        <v>71</v>
      </c>
      <c r="B22" s="12" t="s">
        <v>342</v>
      </c>
      <c r="C22" s="24" t="n">
        <v>1929.98</v>
      </c>
      <c r="D22" s="25" t="n">
        <v>1</v>
      </c>
      <c r="E22" s="26" t="n">
        <f aca="false">IF(ISNUMBER(D22),C22*D22,"")</f>
        <v>1929.98</v>
      </c>
      <c r="F22" s="12"/>
      <c r="G22" s="12" t="s">
        <v>319</v>
      </c>
      <c r="H22" s="12" t="s">
        <v>320</v>
      </c>
    </row>
    <row r="23" customFormat="false" ht="15" hidden="false" customHeight="false" outlineLevel="0" collapsed="false">
      <c r="A23" s="12" t="s">
        <v>72</v>
      </c>
      <c r="B23" s="12" t="s">
        <v>343</v>
      </c>
      <c r="C23" s="24" t="n">
        <v>6348.25</v>
      </c>
      <c r="D23" s="25" t="n">
        <v>0.991596638655462</v>
      </c>
      <c r="E23" s="26" t="n">
        <f aca="false">IF(ISNUMBER(D23),C23*D23,"")</f>
        <v>6294.90336134454</v>
      </c>
      <c r="F23" s="12"/>
      <c r="G23" s="12" t="s">
        <v>319</v>
      </c>
      <c r="H23" s="12" t="s">
        <v>320</v>
      </c>
    </row>
    <row r="24" customFormat="false" ht="15" hidden="false" customHeight="false" outlineLevel="0" collapsed="false">
      <c r="A24" s="12" t="s">
        <v>74</v>
      </c>
      <c r="B24" s="12" t="s">
        <v>344</v>
      </c>
      <c r="C24" s="24" t="n">
        <v>5713.56</v>
      </c>
      <c r="D24" s="25" t="n">
        <v>1</v>
      </c>
      <c r="E24" s="26" t="n">
        <f aca="false">IF(ISNUMBER(D24),C24*D24,"")</f>
        <v>5713.56</v>
      </c>
      <c r="F24" s="12"/>
      <c r="G24" s="12" t="s">
        <v>319</v>
      </c>
      <c r="H24" s="12" t="s">
        <v>320</v>
      </c>
    </row>
    <row r="25" customFormat="false" ht="15" hidden="false" customHeight="false" outlineLevel="0" collapsed="false">
      <c r="A25" s="12" t="s">
        <v>75</v>
      </c>
      <c r="B25" s="12" t="s">
        <v>345</v>
      </c>
      <c r="C25" s="24" t="n">
        <v>93119.22</v>
      </c>
      <c r="D25" s="25" t="n">
        <v>1</v>
      </c>
      <c r="E25" s="26" t="n">
        <f aca="false">IF(ISNUMBER(D25),C25*D25,"")</f>
        <v>93119.22</v>
      </c>
      <c r="F25" s="12"/>
      <c r="G25" s="12" t="s">
        <v>319</v>
      </c>
      <c r="H25" s="12" t="s">
        <v>320</v>
      </c>
    </row>
    <row r="26" customFormat="false" ht="15" hidden="false" customHeight="false" outlineLevel="0" collapsed="false">
      <c r="A26" s="12" t="s">
        <v>76</v>
      </c>
      <c r="B26" s="12" t="s">
        <v>346</v>
      </c>
      <c r="C26" s="24" t="n">
        <v>3589.61</v>
      </c>
      <c r="D26" s="25" t="n">
        <v>0.833333333333333</v>
      </c>
      <c r="E26" s="26" t="n">
        <f aca="false">IF(ISNUMBER(D26),C26*D26,"")</f>
        <v>2991.34166666667</v>
      </c>
      <c r="F26" s="12"/>
      <c r="G26" s="12" t="s">
        <v>319</v>
      </c>
      <c r="H26" s="12" t="s">
        <v>320</v>
      </c>
    </row>
    <row r="27" customFormat="false" ht="15" hidden="false" customHeight="false" outlineLevel="0" collapsed="false">
      <c r="A27" s="12" t="s">
        <v>77</v>
      </c>
      <c r="B27" s="12" t="s">
        <v>347</v>
      </c>
      <c r="C27" s="24" t="n">
        <v>7691.34</v>
      </c>
      <c r="D27" s="25" t="n">
        <v>0.0201374081971097</v>
      </c>
      <c r="E27" s="26" t="n">
        <f aca="false">IF(ISNUMBER(D27),C27*D27,"")</f>
        <v>154.883653162758</v>
      </c>
      <c r="F27" s="12"/>
      <c r="G27" s="12" t="s">
        <v>319</v>
      </c>
      <c r="H27" s="12" t="s">
        <v>320</v>
      </c>
    </row>
    <row r="28" customFormat="false" ht="15" hidden="false" customHeight="false" outlineLevel="0" collapsed="false">
      <c r="A28" s="12" t="s">
        <v>78</v>
      </c>
      <c r="B28" s="12" t="s">
        <v>348</v>
      </c>
      <c r="C28" s="24" t="n">
        <v>7831.08</v>
      </c>
      <c r="D28" s="25" t="n">
        <v>0.172727272727273</v>
      </c>
      <c r="E28" s="26" t="n">
        <f aca="false">IF(ISNUMBER(D28),C28*D28,"")</f>
        <v>1352.64109090909</v>
      </c>
      <c r="F28" s="12"/>
      <c r="G28" s="12" t="s">
        <v>319</v>
      </c>
      <c r="H28" s="12" t="s">
        <v>320</v>
      </c>
    </row>
    <row r="29" customFormat="false" ht="15" hidden="false" customHeight="false" outlineLevel="0" collapsed="false">
      <c r="A29" s="12" t="s">
        <v>79</v>
      </c>
      <c r="B29" s="12" t="s">
        <v>349</v>
      </c>
      <c r="C29" s="24" t="n">
        <v>2508.09</v>
      </c>
      <c r="D29" s="25" t="n">
        <v>1</v>
      </c>
      <c r="E29" s="26" t="n">
        <f aca="false">IF(ISNUMBER(D29),C29*D29,"")</f>
        <v>2508.09</v>
      </c>
      <c r="F29" s="12"/>
      <c r="G29" s="12" t="s">
        <v>319</v>
      </c>
      <c r="H29" s="12" t="s">
        <v>320</v>
      </c>
    </row>
    <row r="30" customFormat="false" ht="15" hidden="false" customHeight="false" outlineLevel="0" collapsed="false">
      <c r="A30" s="12" t="s">
        <v>80</v>
      </c>
      <c r="B30" s="12" t="s">
        <v>350</v>
      </c>
      <c r="C30" s="24" t="n">
        <v>3010.2</v>
      </c>
      <c r="D30" s="25" t="n">
        <v>0.675601982054373</v>
      </c>
      <c r="E30" s="26" t="n">
        <f aca="false">IF(ISNUMBER(D30),C30*D30,"")</f>
        <v>2033.69708638007</v>
      </c>
      <c r="F30" s="12" t="s">
        <v>322</v>
      </c>
      <c r="G30" s="12" t="s">
        <v>319</v>
      </c>
      <c r="H30" s="12" t="s">
        <v>320</v>
      </c>
    </row>
    <row r="31" customFormat="false" ht="15" hidden="false" customHeight="false" outlineLevel="0" collapsed="false">
      <c r="A31" s="12" t="s">
        <v>81</v>
      </c>
      <c r="B31" s="12" t="s">
        <v>351</v>
      </c>
      <c r="C31" s="24" t="n">
        <v>8796.85</v>
      </c>
      <c r="D31" s="25" t="n">
        <v>0.273441592608893</v>
      </c>
      <c r="E31" s="26" t="n">
        <f aca="false">IF(ISNUMBER(D31),C31*D31,"")</f>
        <v>2405.42467394154</v>
      </c>
      <c r="F31" s="12" t="s">
        <v>322</v>
      </c>
      <c r="G31" s="12" t="s">
        <v>319</v>
      </c>
      <c r="H31" s="12" t="s">
        <v>320</v>
      </c>
    </row>
    <row r="32" customFormat="false" ht="15" hidden="false" customHeight="false" outlineLevel="0" collapsed="false">
      <c r="A32" s="12" t="s">
        <v>82</v>
      </c>
      <c r="B32" s="12" t="s">
        <v>352</v>
      </c>
      <c r="C32" s="24" t="n">
        <v>2375.17</v>
      </c>
      <c r="D32" s="25" t="n">
        <v>0.545991045991046</v>
      </c>
      <c r="E32" s="26" t="n">
        <f aca="false">IF(ISNUMBER(D32),C32*D32,"")</f>
        <v>1296.82155270655</v>
      </c>
      <c r="F32" s="12" t="s">
        <v>322</v>
      </c>
      <c r="G32" s="12" t="s">
        <v>319</v>
      </c>
      <c r="H32" s="12" t="s">
        <v>320</v>
      </c>
    </row>
    <row r="33" customFormat="false" ht="15" hidden="false" customHeight="false" outlineLevel="0" collapsed="false">
      <c r="A33" s="12" t="s">
        <v>83</v>
      </c>
      <c r="B33" s="12" t="s">
        <v>353</v>
      </c>
      <c r="C33" s="24" t="n">
        <v>4508</v>
      </c>
      <c r="D33" s="25" t="n">
        <v>0.858739397335643</v>
      </c>
      <c r="E33" s="26" t="n">
        <f aca="false">IF(ISNUMBER(D33),C33*D33,"")</f>
        <v>3871.19720318908</v>
      </c>
      <c r="F33" s="12"/>
      <c r="G33" s="12" t="s">
        <v>319</v>
      </c>
      <c r="H33" s="12" t="s">
        <v>333</v>
      </c>
    </row>
    <row r="34" customFormat="false" ht="15" hidden="false" customHeight="false" outlineLevel="0" collapsed="false">
      <c r="A34" s="12" t="s">
        <v>84</v>
      </c>
      <c r="B34" s="12" t="s">
        <v>354</v>
      </c>
      <c r="C34" s="24" t="n">
        <v>7738.99</v>
      </c>
      <c r="D34" s="25" t="n">
        <v>1</v>
      </c>
      <c r="E34" s="26" t="n">
        <f aca="false">IF(ISNUMBER(D34),C34*D34,"")</f>
        <v>7738.99</v>
      </c>
      <c r="F34" s="12"/>
      <c r="G34" s="12" t="s">
        <v>319</v>
      </c>
      <c r="H34" s="12" t="s">
        <v>333</v>
      </c>
    </row>
    <row r="35" customFormat="false" ht="15" hidden="false" customHeight="false" outlineLevel="0" collapsed="false">
      <c r="A35" s="12" t="s">
        <v>85</v>
      </c>
      <c r="B35" s="12" t="s">
        <v>355</v>
      </c>
      <c r="C35" s="24" t="n">
        <v>2151.51</v>
      </c>
      <c r="D35" s="25" t="n">
        <v>1</v>
      </c>
      <c r="E35" s="26" t="n">
        <f aca="false">IF(ISNUMBER(D35),C35*D35,"")</f>
        <v>2151.51</v>
      </c>
      <c r="F35" s="12"/>
      <c r="G35" s="12" t="s">
        <v>319</v>
      </c>
      <c r="H35" s="12" t="s">
        <v>333</v>
      </c>
    </row>
    <row r="36" customFormat="false" ht="15" hidden="false" customHeight="false" outlineLevel="0" collapsed="false">
      <c r="A36" s="12" t="s">
        <v>86</v>
      </c>
      <c r="B36" s="12" t="s">
        <v>356</v>
      </c>
      <c r="C36" s="24" t="n">
        <v>59827.18</v>
      </c>
      <c r="D36" s="25" t="n">
        <v>1</v>
      </c>
      <c r="E36" s="26" t="n">
        <f aca="false">IF(ISNUMBER(D36),C36*D36,"")</f>
        <v>59827.18</v>
      </c>
      <c r="F36" s="12"/>
      <c r="G36" s="12" t="s">
        <v>319</v>
      </c>
      <c r="H36" s="12" t="s">
        <v>320</v>
      </c>
    </row>
    <row r="37" customFormat="false" ht="15" hidden="false" customHeight="false" outlineLevel="0" collapsed="false">
      <c r="A37" s="12" t="s">
        <v>87</v>
      </c>
      <c r="B37" s="12" t="s">
        <v>357</v>
      </c>
      <c r="C37" s="24" t="n">
        <v>140.86</v>
      </c>
      <c r="D37" s="25" t="n">
        <v>1</v>
      </c>
      <c r="E37" s="26" t="n">
        <f aca="false">IF(ISNUMBER(D37),C37*D37,"")</f>
        <v>140.86</v>
      </c>
      <c r="F37" s="12"/>
      <c r="G37" s="12" t="s">
        <v>319</v>
      </c>
      <c r="H37" s="12" t="s">
        <v>320</v>
      </c>
    </row>
    <row r="38" customFormat="false" ht="15" hidden="false" customHeight="false" outlineLevel="0" collapsed="false">
      <c r="A38" s="12" t="s">
        <v>88</v>
      </c>
      <c r="B38" s="12" t="s">
        <v>358</v>
      </c>
      <c r="C38" s="24" t="n">
        <v>3429.51</v>
      </c>
      <c r="D38" s="25" t="n">
        <v>1</v>
      </c>
      <c r="E38" s="26" t="n">
        <f aca="false">IF(ISNUMBER(D38),C38*D38,"")</f>
        <v>3429.51</v>
      </c>
      <c r="F38" s="12"/>
      <c r="G38" s="12" t="s">
        <v>319</v>
      </c>
      <c r="H38" s="12" t="s">
        <v>320</v>
      </c>
    </row>
    <row r="39" customFormat="false" ht="15" hidden="false" customHeight="false" outlineLevel="0" collapsed="false">
      <c r="A39" s="12" t="s">
        <v>89</v>
      </c>
      <c r="B39" s="12" t="s">
        <v>359</v>
      </c>
      <c r="C39" s="24" t="n">
        <v>2827.35</v>
      </c>
      <c r="D39" s="25" t="n">
        <v>0.192047803841401</v>
      </c>
      <c r="E39" s="26" t="n">
        <f aca="false">IF(ISNUMBER(D39),C39*D39,"")</f>
        <v>542.986358190985</v>
      </c>
      <c r="F39" s="12"/>
      <c r="G39" s="12" t="s">
        <v>319</v>
      </c>
      <c r="H39" s="12" t="s">
        <v>320</v>
      </c>
    </row>
    <row r="40" customFormat="false" ht="15" hidden="false" customHeight="false" outlineLevel="0" collapsed="false">
      <c r="A40" s="12" t="s">
        <v>90</v>
      </c>
      <c r="B40" s="12" t="s">
        <v>360</v>
      </c>
      <c r="C40" s="24" t="n">
        <v>5403.25</v>
      </c>
      <c r="D40" s="25" t="n">
        <v>0.194998811159637</v>
      </c>
      <c r="E40" s="26" t="n">
        <f aca="false">IF(ISNUMBER(D40),C40*D40,"")</f>
        <v>1053.62732639831</v>
      </c>
      <c r="F40" s="12"/>
      <c r="G40" s="12" t="s">
        <v>319</v>
      </c>
      <c r="H40" s="12" t="s">
        <v>320</v>
      </c>
    </row>
    <row r="41" customFormat="false" ht="15" hidden="false" customHeight="false" outlineLevel="0" collapsed="false">
      <c r="A41" s="12" t="s">
        <v>91</v>
      </c>
      <c r="B41" s="12" t="s">
        <v>361</v>
      </c>
      <c r="C41" s="24" t="n">
        <v>21989.37</v>
      </c>
      <c r="D41" s="25" t="n">
        <v>0.0233396995161701</v>
      </c>
      <c r="E41" s="26" t="n">
        <f aca="false">IF(ISNUMBER(D41),C41*D41,"")</f>
        <v>513.225288349885</v>
      </c>
      <c r="F41" s="12"/>
      <c r="G41" s="12" t="s">
        <v>319</v>
      </c>
      <c r="H41" s="12" t="s">
        <v>320</v>
      </c>
    </row>
    <row r="42" customFormat="false" ht="15" hidden="false" customHeight="false" outlineLevel="0" collapsed="false">
      <c r="A42" s="12" t="s">
        <v>92</v>
      </c>
      <c r="B42" s="12" t="s">
        <v>362</v>
      </c>
      <c r="C42" s="24" t="n">
        <v>41889.23</v>
      </c>
      <c r="D42" s="25" t="n">
        <v>0.990783410138249</v>
      </c>
      <c r="E42" s="26" t="n">
        <f aca="false">IF(ISNUMBER(D42),C42*D42,"")</f>
        <v>41503.1541474654</v>
      </c>
      <c r="F42" s="12"/>
      <c r="G42" s="12" t="s">
        <v>319</v>
      </c>
      <c r="H42" s="12" t="s">
        <v>333</v>
      </c>
    </row>
    <row r="43" customFormat="false" ht="15" hidden="false" customHeight="false" outlineLevel="0" collapsed="false">
      <c r="A43" s="12" t="s">
        <v>93</v>
      </c>
      <c r="B43" s="12" t="s">
        <v>363</v>
      </c>
      <c r="C43" s="24" t="n">
        <v>170.54</v>
      </c>
      <c r="D43" s="25" t="n">
        <v>1</v>
      </c>
      <c r="E43" s="26" t="n">
        <f aca="false">IF(ISNUMBER(D43),C43*D43,"")</f>
        <v>170.54</v>
      </c>
      <c r="F43" s="12"/>
      <c r="G43" s="12" t="s">
        <v>319</v>
      </c>
      <c r="H43" s="12" t="s">
        <v>320</v>
      </c>
    </row>
    <row r="44" customFormat="false" ht="15" hidden="false" customHeight="false" outlineLevel="0" collapsed="false">
      <c r="A44" s="12" t="s">
        <v>94</v>
      </c>
      <c r="B44" s="12" t="s">
        <v>364</v>
      </c>
      <c r="C44" s="24" t="n">
        <v>5190.07</v>
      </c>
      <c r="D44" s="25" t="n">
        <v>0.95</v>
      </c>
      <c r="E44" s="26" t="n">
        <f aca="false">IF(ISNUMBER(D44),C44*D44,"")</f>
        <v>4930.5665</v>
      </c>
      <c r="F44" s="12"/>
      <c r="G44" s="12" t="s">
        <v>319</v>
      </c>
      <c r="H44" s="12" t="s">
        <v>320</v>
      </c>
    </row>
    <row r="45" customFormat="false" ht="15" hidden="false" customHeight="false" outlineLevel="0" collapsed="false">
      <c r="A45" s="12" t="s">
        <v>95</v>
      </c>
      <c r="B45" s="12" t="s">
        <v>365</v>
      </c>
      <c r="C45" s="24" t="n">
        <v>4714.67</v>
      </c>
      <c r="D45" s="25" t="n">
        <v>0.623015352554995</v>
      </c>
      <c r="E45" s="26" t="n">
        <f aca="false">IF(ISNUMBER(D45),C45*D45,"")</f>
        <v>2937.31179223046</v>
      </c>
      <c r="F45" s="12" t="s">
        <v>322</v>
      </c>
      <c r="G45" s="12" t="s">
        <v>319</v>
      </c>
      <c r="H45" s="12" t="s">
        <v>320</v>
      </c>
    </row>
    <row r="46" customFormat="false" ht="15" hidden="false" customHeight="false" outlineLevel="0" collapsed="false">
      <c r="A46" s="12" t="s">
        <v>96</v>
      </c>
      <c r="B46" s="12" t="s">
        <v>366</v>
      </c>
      <c r="C46" s="24" t="n">
        <v>4620.39</v>
      </c>
      <c r="D46" s="25" t="n">
        <v>0.805616176558289</v>
      </c>
      <c r="E46" s="26" t="n">
        <f aca="false">IF(ISNUMBER(D46),C46*D46,"")</f>
        <v>3722.26092600815</v>
      </c>
      <c r="F46" s="12" t="s">
        <v>322</v>
      </c>
      <c r="G46" s="12" t="s">
        <v>319</v>
      </c>
      <c r="H46" s="12" t="s">
        <v>320</v>
      </c>
    </row>
    <row r="47" customFormat="false" ht="15" hidden="false" customHeight="false" outlineLevel="0" collapsed="false">
      <c r="A47" s="12" t="s">
        <v>97</v>
      </c>
      <c r="B47" s="12" t="s">
        <v>367</v>
      </c>
      <c r="C47" s="24" t="n">
        <v>2783.28</v>
      </c>
      <c r="D47" s="25" t="n">
        <v>0.995283018867925</v>
      </c>
      <c r="E47" s="26" t="n">
        <f aca="false">IF(ISNUMBER(D47),C47*D47,"")</f>
        <v>2770.15132075472</v>
      </c>
      <c r="F47" s="12"/>
      <c r="G47" s="12" t="s">
        <v>319</v>
      </c>
      <c r="H47" s="12" t="s">
        <v>333</v>
      </c>
    </row>
    <row r="48" customFormat="false" ht="15" hidden="false" customHeight="false" outlineLevel="0" collapsed="false">
      <c r="A48" s="12" t="s">
        <v>98</v>
      </c>
      <c r="B48" s="12" t="s">
        <v>368</v>
      </c>
      <c r="C48" s="24" t="n">
        <v>5255.61</v>
      </c>
      <c r="D48" s="25" t="n">
        <v>0.985294117647059</v>
      </c>
      <c r="E48" s="26" t="n">
        <f aca="false">IF(ISNUMBER(D48),C48*D48,"")</f>
        <v>5178.32161764706</v>
      </c>
      <c r="F48" s="12"/>
      <c r="G48" s="12" t="s">
        <v>319</v>
      </c>
      <c r="H48" s="12" t="s">
        <v>320</v>
      </c>
    </row>
    <row r="49" customFormat="false" ht="15" hidden="false" customHeight="false" outlineLevel="0" collapsed="false">
      <c r="A49" s="12" t="s">
        <v>99</v>
      </c>
      <c r="B49" s="12" t="s">
        <v>369</v>
      </c>
      <c r="C49" s="24" t="n">
        <v>1874.63</v>
      </c>
      <c r="D49" s="25" t="n">
        <v>1</v>
      </c>
      <c r="E49" s="26" t="n">
        <f aca="false">IF(ISNUMBER(D49),C49*D49,"")</f>
        <v>1874.63</v>
      </c>
      <c r="F49" s="12"/>
      <c r="G49" s="12" t="s">
        <v>319</v>
      </c>
      <c r="H49" s="12" t="s">
        <v>333</v>
      </c>
    </row>
    <row r="50" customFormat="false" ht="15" hidden="false" customHeight="false" outlineLevel="0" collapsed="false">
      <c r="A50" s="12" t="s">
        <v>100</v>
      </c>
      <c r="B50" s="12" t="s">
        <v>370</v>
      </c>
      <c r="C50" s="24" t="n">
        <v>53539.87</v>
      </c>
      <c r="D50" s="25" t="n">
        <v>1</v>
      </c>
      <c r="E50" s="26" t="n">
        <f aca="false">IF(ISNUMBER(D50),C50*D50,"")</f>
        <v>53539.87</v>
      </c>
      <c r="F50" s="12"/>
      <c r="G50" s="12" t="s">
        <v>319</v>
      </c>
      <c r="H50" s="12" t="s">
        <v>320</v>
      </c>
    </row>
    <row r="51" customFormat="false" ht="15" hidden="false" customHeight="false" outlineLevel="0" collapsed="false">
      <c r="A51" s="12" t="s">
        <v>101</v>
      </c>
      <c r="B51" s="12" t="s">
        <v>371</v>
      </c>
      <c r="C51" s="24" t="n">
        <v>5896.49</v>
      </c>
      <c r="D51" s="25" t="n">
        <v>1</v>
      </c>
      <c r="E51" s="26" t="n">
        <f aca="false">IF(ISNUMBER(D51),C51*D51,"")</f>
        <v>5896.49</v>
      </c>
      <c r="F51" s="12"/>
      <c r="G51" s="12" t="s">
        <v>319</v>
      </c>
      <c r="H51" s="12" t="s">
        <v>320</v>
      </c>
    </row>
    <row r="52" customFormat="false" ht="15" hidden="false" customHeight="false" outlineLevel="0" collapsed="false">
      <c r="A52" s="12" t="s">
        <v>102</v>
      </c>
      <c r="B52" s="12" t="s">
        <v>372</v>
      </c>
      <c r="C52" s="24" t="n">
        <v>130453.11</v>
      </c>
      <c r="D52" s="25" t="n">
        <v>0.103608949323645</v>
      </c>
      <c r="E52" s="26" t="n">
        <f aca="false">IF(ISNUMBER(D52),C52*D52,"")</f>
        <v>13516.1096631019</v>
      </c>
      <c r="F52" s="12"/>
      <c r="G52" s="12" t="s">
        <v>319</v>
      </c>
      <c r="H52" s="12" t="s">
        <v>320</v>
      </c>
    </row>
    <row r="53" customFormat="false" ht="15" hidden="false" customHeight="false" outlineLevel="0" collapsed="false">
      <c r="A53" s="12" t="s">
        <v>103</v>
      </c>
      <c r="B53" s="12" t="s">
        <v>373</v>
      </c>
      <c r="C53" s="24" t="n">
        <v>662.47</v>
      </c>
      <c r="D53" s="25" t="n">
        <v>0.222222222222222</v>
      </c>
      <c r="E53" s="26" t="n">
        <f aca="false">IF(ISNUMBER(D53),C53*D53,"")</f>
        <v>147.215555555555</v>
      </c>
      <c r="F53" s="12"/>
      <c r="G53" s="12" t="s">
        <v>319</v>
      </c>
      <c r="H53" s="12" t="s">
        <v>320</v>
      </c>
    </row>
    <row r="54" customFormat="false" ht="15" hidden="false" customHeight="false" outlineLevel="0" collapsed="false">
      <c r="A54" s="12" t="s">
        <v>104</v>
      </c>
      <c r="B54" s="12" t="s">
        <v>374</v>
      </c>
      <c r="C54" s="24" t="n">
        <v>1781.11</v>
      </c>
      <c r="D54" s="25" t="n">
        <v>1</v>
      </c>
      <c r="E54" s="26" t="n">
        <f aca="false">IF(ISNUMBER(D54),C54*D54,"")</f>
        <v>1781.11</v>
      </c>
      <c r="F54" s="12"/>
      <c r="G54" s="12" t="s">
        <v>319</v>
      </c>
      <c r="H54" s="12" t="s">
        <v>320</v>
      </c>
    </row>
    <row r="55" customFormat="false" ht="15" hidden="false" customHeight="false" outlineLevel="0" collapsed="false">
      <c r="A55" s="12" t="s">
        <v>105</v>
      </c>
      <c r="B55" s="12" t="s">
        <v>375</v>
      </c>
      <c r="C55" s="24" t="n">
        <v>34008.96</v>
      </c>
      <c r="D55" s="25" t="n">
        <v>0.0464246545295021</v>
      </c>
      <c r="E55" s="26" t="n">
        <f aca="false">IF(ISNUMBER(D55),C55*D55,"")</f>
        <v>1578.85421890766</v>
      </c>
      <c r="F55" s="12"/>
      <c r="G55" s="12" t="s">
        <v>319</v>
      </c>
      <c r="H55" s="12" t="s">
        <v>320</v>
      </c>
    </row>
    <row r="56" customFormat="false" ht="15" hidden="false" customHeight="false" outlineLevel="0" collapsed="false">
      <c r="A56" s="12" t="s">
        <v>106</v>
      </c>
      <c r="B56" s="12" t="s">
        <v>376</v>
      </c>
      <c r="C56" s="24" t="n">
        <v>1115.28</v>
      </c>
      <c r="D56" s="25" t="n">
        <v>0.257790111422073</v>
      </c>
      <c r="E56" s="26" t="n">
        <f aca="false">IF(ISNUMBER(D56),C56*D56,"")</f>
        <v>287.50815546681</v>
      </c>
      <c r="F56" s="12"/>
      <c r="G56" s="12" t="s">
        <v>319</v>
      </c>
      <c r="H56" s="12" t="s">
        <v>320</v>
      </c>
    </row>
    <row r="57" customFormat="false" ht="15" hidden="false" customHeight="false" outlineLevel="0" collapsed="false">
      <c r="A57" s="12" t="s">
        <v>107</v>
      </c>
      <c r="B57" s="12" t="s">
        <v>377</v>
      </c>
      <c r="C57" s="24" t="n">
        <v>376.39</v>
      </c>
      <c r="D57" s="25" t="n">
        <v>0.993333333333333</v>
      </c>
      <c r="E57" s="26" t="n">
        <f aca="false">IF(ISNUMBER(D57),C57*D57,"")</f>
        <v>373.880733333333</v>
      </c>
      <c r="F57" s="12"/>
      <c r="G57" s="12" t="s">
        <v>319</v>
      </c>
      <c r="H57" s="12" t="s">
        <v>320</v>
      </c>
    </row>
    <row r="58" customFormat="false" ht="15" hidden="false" customHeight="false" outlineLevel="0" collapsed="false">
      <c r="A58" s="12" t="s">
        <v>108</v>
      </c>
      <c r="B58" s="12" t="s">
        <v>378</v>
      </c>
      <c r="C58" s="24" t="n">
        <v>18803.98</v>
      </c>
      <c r="D58" s="25" t="n">
        <v>0.334376150165624</v>
      </c>
      <c r="E58" s="26" t="n">
        <f aca="false">IF(ISNUMBER(D58),C58*D58,"")</f>
        <v>6287.60244019139</v>
      </c>
      <c r="F58" s="12" t="s">
        <v>322</v>
      </c>
      <c r="G58" s="12" t="s">
        <v>319</v>
      </c>
      <c r="H58" s="12" t="s">
        <v>320</v>
      </c>
    </row>
    <row r="59" customFormat="false" ht="15" hidden="false" customHeight="false" outlineLevel="0" collapsed="false">
      <c r="A59" s="12" t="s">
        <v>109</v>
      </c>
      <c r="B59" s="12" t="s">
        <v>379</v>
      </c>
      <c r="C59" s="24" t="n">
        <v>5234.47</v>
      </c>
      <c r="D59" s="25" t="n">
        <v>0.833333333333333</v>
      </c>
      <c r="E59" s="26" t="n">
        <f aca="false">IF(ISNUMBER(D59),C59*D59,"")</f>
        <v>4362.05833333333</v>
      </c>
      <c r="F59" s="12"/>
      <c r="G59" s="12" t="s">
        <v>319</v>
      </c>
      <c r="H59" s="12" t="s">
        <v>333</v>
      </c>
    </row>
    <row r="60" customFormat="false" ht="15" hidden="false" customHeight="false" outlineLevel="0" collapsed="false">
      <c r="A60" s="12" t="s">
        <v>110</v>
      </c>
      <c r="B60" s="12" t="s">
        <v>380</v>
      </c>
      <c r="C60" s="24" t="n">
        <v>1044.77</v>
      </c>
      <c r="D60" s="25" t="n">
        <v>0.432465091299678</v>
      </c>
      <c r="E60" s="26" t="n">
        <f aca="false">IF(ISNUMBER(D60),C60*D60,"")</f>
        <v>451.826553437165</v>
      </c>
      <c r="F60" s="12"/>
      <c r="G60" s="12" t="s">
        <v>319</v>
      </c>
      <c r="H60" s="12" t="s">
        <v>320</v>
      </c>
    </row>
    <row r="61" customFormat="false" ht="15" hidden="false" customHeight="false" outlineLevel="0" collapsed="false">
      <c r="A61" s="12" t="s">
        <v>111</v>
      </c>
      <c r="B61" s="12" t="s">
        <v>381</v>
      </c>
      <c r="C61" s="24" t="n">
        <v>7496</v>
      </c>
      <c r="D61" s="25" t="n">
        <v>0.650751867180439</v>
      </c>
      <c r="E61" s="26" t="n">
        <f aca="false">IF(ISNUMBER(D61),C61*D61,"")</f>
        <v>4878.03599638457</v>
      </c>
      <c r="F61" s="12"/>
      <c r="G61" s="12" t="s">
        <v>319</v>
      </c>
      <c r="H61" s="12" t="s">
        <v>333</v>
      </c>
    </row>
    <row r="62" customFormat="false" ht="15" hidden="false" customHeight="false" outlineLevel="0" collapsed="false">
      <c r="A62" s="12" t="s">
        <v>112</v>
      </c>
      <c r="B62" s="12" t="s">
        <v>382</v>
      </c>
      <c r="C62" s="24" t="n">
        <v>3407.51</v>
      </c>
      <c r="D62" s="25" t="n">
        <v>1</v>
      </c>
      <c r="E62" s="26" t="n">
        <f aca="false">IF(ISNUMBER(D62),C62*D62,"")</f>
        <v>3407.51</v>
      </c>
      <c r="F62" s="12"/>
      <c r="G62" s="12" t="s">
        <v>319</v>
      </c>
      <c r="H62" s="12" t="s">
        <v>320</v>
      </c>
    </row>
    <row r="63" customFormat="false" ht="15" hidden="false" customHeight="false" outlineLevel="0" collapsed="false">
      <c r="A63" s="12" t="s">
        <v>113</v>
      </c>
      <c r="B63" s="12" t="s">
        <v>383</v>
      </c>
      <c r="C63" s="24" t="n">
        <v>5357.19</v>
      </c>
      <c r="D63" s="25" t="n">
        <v>0.664995452935796</v>
      </c>
      <c r="E63" s="26" t="n">
        <f aca="false">IF(ISNUMBER(D63),C63*D63,"")</f>
        <v>3562.50699051312</v>
      </c>
      <c r="F63" s="12" t="s">
        <v>322</v>
      </c>
      <c r="G63" s="12" t="s">
        <v>319</v>
      </c>
      <c r="H63" s="12" t="s">
        <v>320</v>
      </c>
    </row>
    <row r="64" customFormat="false" ht="15" hidden="false" customHeight="false" outlineLevel="0" collapsed="false">
      <c r="A64" s="12" t="s">
        <v>114</v>
      </c>
      <c r="B64" s="12" t="s">
        <v>384</v>
      </c>
      <c r="C64" s="24" t="n">
        <v>11366.06</v>
      </c>
      <c r="D64" s="25" t="n">
        <v>1</v>
      </c>
      <c r="E64" s="26" t="n">
        <f aca="false">IF(ISNUMBER(D64),C64*D64,"")</f>
        <v>11366.06</v>
      </c>
      <c r="F64" s="12"/>
      <c r="G64" s="12" t="s">
        <v>319</v>
      </c>
      <c r="H64" s="12" t="s">
        <v>320</v>
      </c>
    </row>
    <row r="65" customFormat="false" ht="15" hidden="false" customHeight="false" outlineLevel="0" collapsed="false">
      <c r="A65" s="12" t="s">
        <v>116</v>
      </c>
      <c r="B65" s="12" t="s">
        <v>385</v>
      </c>
      <c r="C65" s="24" t="n">
        <v>135.07</v>
      </c>
      <c r="D65" s="25" t="n">
        <v>1</v>
      </c>
      <c r="E65" s="26" t="n">
        <f aca="false">IF(ISNUMBER(D65),C65*D65,"")</f>
        <v>135.07</v>
      </c>
      <c r="F65" s="12"/>
      <c r="G65" s="12" t="s">
        <v>319</v>
      </c>
      <c r="H65" s="12" t="s">
        <v>320</v>
      </c>
    </row>
    <row r="66" customFormat="false" ht="15" hidden="false" customHeight="false" outlineLevel="0" collapsed="false">
      <c r="A66" s="12" t="s">
        <v>117</v>
      </c>
      <c r="B66" s="12" t="s">
        <v>386</v>
      </c>
      <c r="C66" s="24" t="n">
        <v>3193.58</v>
      </c>
      <c r="D66" s="25" t="n">
        <v>0.4171983066393</v>
      </c>
      <c r="E66" s="26" t="n">
        <f aca="false">IF(ISNUMBER(D66),C66*D66,"")</f>
        <v>1332.35616811714</v>
      </c>
      <c r="F66" s="12"/>
      <c r="G66" s="12" t="s">
        <v>319</v>
      </c>
      <c r="H66" s="12" t="s">
        <v>320</v>
      </c>
    </row>
    <row r="67" customFormat="false" ht="15" hidden="false" customHeight="false" outlineLevel="0" collapsed="false">
      <c r="A67" s="12" t="s">
        <v>118</v>
      </c>
      <c r="B67" s="12" t="s">
        <v>387</v>
      </c>
      <c r="C67" s="24" t="n">
        <v>1206.55</v>
      </c>
      <c r="D67" s="25" t="n">
        <v>0.581244456320444</v>
      </c>
      <c r="E67" s="26" t="n">
        <f aca="false">IF(ISNUMBER(D67),C67*D67,"")</f>
        <v>701.300498773432</v>
      </c>
      <c r="F67" s="12" t="s">
        <v>322</v>
      </c>
      <c r="G67" s="12" t="s">
        <v>319</v>
      </c>
      <c r="H67" s="12" t="s">
        <v>320</v>
      </c>
    </row>
    <row r="68" customFormat="false" ht="15" hidden="false" customHeight="false" outlineLevel="0" collapsed="false">
      <c r="A68" s="12" t="s">
        <v>119</v>
      </c>
      <c r="B68" s="12" t="s">
        <v>388</v>
      </c>
      <c r="C68" s="24" t="n">
        <v>11022.87</v>
      </c>
      <c r="D68" s="25" t="n">
        <v>0.407590557590558</v>
      </c>
      <c r="E68" s="26" t="n">
        <f aca="false">IF(ISNUMBER(D68),C68*D68,"")</f>
        <v>4492.81772954824</v>
      </c>
      <c r="F68" s="12" t="s">
        <v>322</v>
      </c>
      <c r="G68" s="12" t="s">
        <v>319</v>
      </c>
      <c r="H68" s="12" t="s">
        <v>320</v>
      </c>
    </row>
    <row r="69" customFormat="false" ht="15" hidden="false" customHeight="false" outlineLevel="0" collapsed="false">
      <c r="A69" s="12" t="s">
        <v>120</v>
      </c>
      <c r="B69" s="12" t="s">
        <v>382</v>
      </c>
      <c r="C69" s="24" t="n">
        <v>1942.31</v>
      </c>
      <c r="D69" s="25" t="n">
        <v>0.833333333333333</v>
      </c>
      <c r="E69" s="26" t="n">
        <f aca="false">IF(ISNUMBER(D69),C69*D69,"")</f>
        <v>1618.59166666667</v>
      </c>
      <c r="F69" s="12"/>
      <c r="G69" s="12" t="s">
        <v>319</v>
      </c>
      <c r="H69" s="12" t="s">
        <v>320</v>
      </c>
    </row>
    <row r="70" customFormat="false" ht="15" hidden="false" customHeight="false" outlineLevel="0" collapsed="false">
      <c r="A70" s="12" t="s">
        <v>121</v>
      </c>
      <c r="B70" s="12" t="s">
        <v>389</v>
      </c>
      <c r="C70" s="24" t="n">
        <v>175.06</v>
      </c>
      <c r="D70" s="25" t="n">
        <v>0.934782608695652</v>
      </c>
      <c r="E70" s="26" t="n">
        <f aca="false">IF(ISNUMBER(D70),C70*D70,"")</f>
        <v>163.643043478261</v>
      </c>
      <c r="F70" s="12"/>
      <c r="G70" s="12" t="s">
        <v>319</v>
      </c>
      <c r="H70" s="12" t="s">
        <v>320</v>
      </c>
    </row>
    <row r="71" customFormat="false" ht="15" hidden="false" customHeight="false" outlineLevel="0" collapsed="false">
      <c r="A71" s="12" t="s">
        <v>122</v>
      </c>
      <c r="B71" s="12" t="s">
        <v>390</v>
      </c>
      <c r="C71" s="24" t="n">
        <v>21671.77</v>
      </c>
      <c r="D71" s="25" t="n">
        <v>0.162389770723104</v>
      </c>
      <c r="E71" s="26" t="n">
        <f aca="false">IF(ISNUMBER(D71),C71*D71,"")</f>
        <v>3519.27376146384</v>
      </c>
      <c r="F71" s="12"/>
      <c r="G71" s="12" t="s">
        <v>319</v>
      </c>
      <c r="H71" s="12" t="s">
        <v>320</v>
      </c>
    </row>
    <row r="72" customFormat="false" ht="15" hidden="false" customHeight="false" outlineLevel="0" collapsed="false">
      <c r="A72" s="12" t="s">
        <v>123</v>
      </c>
      <c r="B72" s="12" t="s">
        <v>391</v>
      </c>
      <c r="C72" s="24" t="n">
        <v>38106.07</v>
      </c>
      <c r="D72" s="25" t="n">
        <v>0.125714523309917</v>
      </c>
      <c r="E72" s="26" t="n">
        <f aca="false">IF(ISNUMBER(D72),C72*D72,"")</f>
        <v>4790.48642526433</v>
      </c>
      <c r="F72" s="12"/>
      <c r="G72" s="12" t="s">
        <v>319</v>
      </c>
      <c r="H72" s="12" t="s">
        <v>320</v>
      </c>
    </row>
    <row r="73" customFormat="false" ht="15" hidden="false" customHeight="false" outlineLevel="0" collapsed="false">
      <c r="A73" s="12" t="s">
        <v>124</v>
      </c>
      <c r="B73" s="12" t="s">
        <v>392</v>
      </c>
      <c r="C73" s="24" t="n">
        <v>457.96</v>
      </c>
      <c r="D73" s="25" t="n">
        <v>0.689259259259259</v>
      </c>
      <c r="E73" s="26" t="n">
        <f aca="false">IF(ISNUMBER(D73),C73*D73,"")</f>
        <v>315.65317037037</v>
      </c>
      <c r="F73" s="12" t="s">
        <v>322</v>
      </c>
      <c r="G73" s="12" t="s">
        <v>319</v>
      </c>
      <c r="H73" s="12" t="s">
        <v>320</v>
      </c>
    </row>
    <row r="74" customFormat="false" ht="15" hidden="false" customHeight="false" outlineLevel="0" collapsed="false">
      <c r="A74" s="12" t="s">
        <v>125</v>
      </c>
      <c r="B74" s="12" t="s">
        <v>393</v>
      </c>
      <c r="C74" s="24" t="n">
        <v>64.81</v>
      </c>
      <c r="D74" s="25" t="n">
        <v>0.292735042735043</v>
      </c>
      <c r="E74" s="26" t="n">
        <f aca="false">IF(ISNUMBER(D74),C74*D74,"")</f>
        <v>18.9721581196581</v>
      </c>
      <c r="F74" s="12" t="s">
        <v>322</v>
      </c>
      <c r="G74" s="12" t="s">
        <v>319</v>
      </c>
      <c r="H74" s="12" t="s">
        <v>320</v>
      </c>
    </row>
    <row r="75" customFormat="false" ht="15" hidden="false" customHeight="false" outlineLevel="0" collapsed="false">
      <c r="A75" s="12" t="s">
        <v>126</v>
      </c>
      <c r="B75" s="12" t="s">
        <v>394</v>
      </c>
      <c r="C75" s="24" t="n">
        <v>1162.12</v>
      </c>
      <c r="D75" s="25" t="n">
        <v>0.444974105461394</v>
      </c>
      <c r="E75" s="26" t="n">
        <f aca="false">IF(ISNUMBER(D75),C75*D75,"")</f>
        <v>517.113307438795</v>
      </c>
      <c r="F75" s="12"/>
      <c r="G75" s="12" t="s">
        <v>319</v>
      </c>
      <c r="H75" s="12" t="s">
        <v>320</v>
      </c>
    </row>
    <row r="76" customFormat="false" ht="15" hidden="false" customHeight="false" outlineLevel="0" collapsed="false">
      <c r="A76" s="12" t="s">
        <v>127</v>
      </c>
      <c r="B76" s="12" t="s">
        <v>395</v>
      </c>
      <c r="C76" s="24" t="n">
        <v>2015.78</v>
      </c>
      <c r="D76" s="25" t="n">
        <v>0.922757475083057</v>
      </c>
      <c r="E76" s="26" t="n">
        <f aca="false">IF(ISNUMBER(D76),C76*D76,"")</f>
        <v>1860.07606312292</v>
      </c>
      <c r="F76" s="12"/>
      <c r="G76" s="12" t="s">
        <v>319</v>
      </c>
      <c r="H76" s="12" t="s">
        <v>333</v>
      </c>
    </row>
    <row r="77" customFormat="false" ht="15" hidden="false" customHeight="false" outlineLevel="0" collapsed="false">
      <c r="A77" s="12" t="s">
        <v>128</v>
      </c>
      <c r="B77" s="12" t="s">
        <v>396</v>
      </c>
      <c r="C77" s="24" t="n">
        <v>304.87</v>
      </c>
      <c r="D77" s="25" t="n">
        <v>0.702380952380952</v>
      </c>
      <c r="E77" s="26" t="n">
        <f aca="false">IF(ISNUMBER(D77),C77*D77,"")</f>
        <v>214.134880952381</v>
      </c>
      <c r="F77" s="12" t="s">
        <v>322</v>
      </c>
      <c r="G77" s="12" t="s">
        <v>319</v>
      </c>
      <c r="H77" s="12" t="s">
        <v>320</v>
      </c>
    </row>
    <row r="78" customFormat="false" ht="15" hidden="false" customHeight="false" outlineLevel="0" collapsed="false">
      <c r="A78" s="12" t="s">
        <v>129</v>
      </c>
      <c r="B78" s="12" t="s">
        <v>397</v>
      </c>
      <c r="C78" s="24" t="n">
        <v>12587.3</v>
      </c>
      <c r="D78" s="25" t="n">
        <v>0.95</v>
      </c>
      <c r="E78" s="26" t="n">
        <f aca="false">IF(ISNUMBER(D78),C78*D78,"")</f>
        <v>11957.935</v>
      </c>
      <c r="F78" s="12"/>
      <c r="G78" s="12" t="s">
        <v>319</v>
      </c>
      <c r="H78" s="12" t="s">
        <v>320</v>
      </c>
    </row>
    <row r="79" customFormat="false" ht="15" hidden="false" customHeight="false" outlineLevel="0" collapsed="false">
      <c r="A79" s="12" t="s">
        <v>130</v>
      </c>
      <c r="B79" s="12" t="s">
        <v>398</v>
      </c>
      <c r="C79" s="24" t="n">
        <v>2931.42</v>
      </c>
      <c r="D79" s="25" t="n">
        <v>1</v>
      </c>
      <c r="E79" s="26" t="n">
        <f aca="false">IF(ISNUMBER(D79),C79*D79,"")</f>
        <v>2931.42</v>
      </c>
      <c r="F79" s="12"/>
      <c r="G79" s="12" t="s">
        <v>319</v>
      </c>
      <c r="H79" s="12" t="s">
        <v>320</v>
      </c>
    </row>
    <row r="80" customFormat="false" ht="15" hidden="false" customHeight="false" outlineLevel="0" collapsed="false">
      <c r="A80" s="12" t="s">
        <v>131</v>
      </c>
      <c r="B80" s="12" t="s">
        <v>399</v>
      </c>
      <c r="C80" s="24" t="n">
        <v>0.23</v>
      </c>
      <c r="D80" s="25" t="n">
        <v>1</v>
      </c>
      <c r="E80" s="26" t="n">
        <f aca="false">IF(ISNUMBER(D80),C80*D80,"")</f>
        <v>0.23</v>
      </c>
      <c r="F80" s="12"/>
      <c r="G80" s="12" t="s">
        <v>319</v>
      </c>
      <c r="H80" s="12" t="s">
        <v>320</v>
      </c>
    </row>
    <row r="81" customFormat="false" ht="15" hidden="false" customHeight="false" outlineLevel="0" collapsed="false">
      <c r="A81" s="12" t="s">
        <v>132</v>
      </c>
      <c r="B81" s="12" t="s">
        <v>357</v>
      </c>
      <c r="C81" s="24" t="n">
        <v>2714.83</v>
      </c>
      <c r="D81" s="25" t="n">
        <v>0.916950682168073</v>
      </c>
      <c r="E81" s="26" t="n">
        <f aca="false">IF(ISNUMBER(D81),C81*D81,"")</f>
        <v>2489.36522047035</v>
      </c>
      <c r="F81" s="12"/>
      <c r="G81" s="12" t="s">
        <v>319</v>
      </c>
      <c r="H81" s="12" t="s">
        <v>320</v>
      </c>
    </row>
    <row r="82" customFormat="false" ht="15" hidden="false" customHeight="false" outlineLevel="0" collapsed="false">
      <c r="A82" s="12" t="s">
        <v>133</v>
      </c>
      <c r="B82" s="12" t="s">
        <v>400</v>
      </c>
      <c r="C82" s="24" t="n">
        <v>106496.78</v>
      </c>
      <c r="D82" s="25" t="n">
        <v>0.174359744408496</v>
      </c>
      <c r="E82" s="26" t="n">
        <f aca="false">IF(ISNUMBER(D82),C82*D82,"")</f>
        <v>18568.7513411278</v>
      </c>
      <c r="F82" s="12"/>
      <c r="G82" s="12" t="s">
        <v>319</v>
      </c>
      <c r="H82" s="12" t="s">
        <v>320</v>
      </c>
    </row>
    <row r="83" customFormat="false" ht="15" hidden="false" customHeight="false" outlineLevel="0" collapsed="false">
      <c r="A83" s="12" t="s">
        <v>134</v>
      </c>
      <c r="B83" s="12" t="s">
        <v>401</v>
      </c>
      <c r="C83" s="24" t="n">
        <v>46739.27</v>
      </c>
      <c r="D83" s="25" t="n">
        <v>0.397871292803773</v>
      </c>
      <c r="E83" s="26" t="n">
        <f aca="false">IF(ISNUMBER(D83),C83*D83,"")</f>
        <v>18596.2137796046</v>
      </c>
      <c r="F83" s="12"/>
      <c r="G83" s="12" t="s">
        <v>319</v>
      </c>
      <c r="H83" s="12" t="s">
        <v>320</v>
      </c>
    </row>
    <row r="84" customFormat="false" ht="15" hidden="false" customHeight="false" outlineLevel="0" collapsed="false">
      <c r="A84" s="12" t="s">
        <v>135</v>
      </c>
      <c r="B84" s="12" t="s">
        <v>402</v>
      </c>
      <c r="C84" s="24" t="n">
        <v>1210.6</v>
      </c>
      <c r="D84" s="25" t="n">
        <v>0.888888888888889</v>
      </c>
      <c r="E84" s="26" t="n">
        <f aca="false">IF(ISNUMBER(D84),C84*D84,"")</f>
        <v>1076.08888888889</v>
      </c>
      <c r="F84" s="12"/>
      <c r="G84" s="12" t="s">
        <v>319</v>
      </c>
      <c r="H84" s="12" t="s">
        <v>320</v>
      </c>
    </row>
    <row r="85" customFormat="false" ht="15" hidden="false" customHeight="false" outlineLevel="0" collapsed="false">
      <c r="A85" s="12" t="s">
        <v>136</v>
      </c>
      <c r="B85" s="12" t="s">
        <v>403</v>
      </c>
      <c r="C85" s="24" t="n">
        <v>16781.35</v>
      </c>
      <c r="D85" s="25" t="n">
        <v>0.687931860654517</v>
      </c>
      <c r="E85" s="26" t="n">
        <f aca="false">IF(ISNUMBER(D85),C85*D85,"")</f>
        <v>11544.4253297947</v>
      </c>
      <c r="F85" s="12" t="s">
        <v>322</v>
      </c>
      <c r="G85" s="12" t="s">
        <v>319</v>
      </c>
      <c r="H85" s="12" t="s">
        <v>320</v>
      </c>
    </row>
    <row r="86" customFormat="false" ht="15" hidden="false" customHeight="false" outlineLevel="0" collapsed="false">
      <c r="A86" s="12" t="s">
        <v>137</v>
      </c>
      <c r="B86" s="12" t="s">
        <v>404</v>
      </c>
      <c r="C86" s="24" t="n">
        <v>417765.21</v>
      </c>
      <c r="D86" s="25" t="n">
        <v>0.857142857142857</v>
      </c>
      <c r="E86" s="26" t="n">
        <f aca="false">IF(ISNUMBER(D86),C86*D86,"")</f>
        <v>358084.465714286</v>
      </c>
      <c r="F86" s="12" t="s">
        <v>322</v>
      </c>
      <c r="G86" s="12" t="s">
        <v>319</v>
      </c>
      <c r="H86" s="12" t="s">
        <v>320</v>
      </c>
    </row>
    <row r="87" customFormat="false" ht="15" hidden="false" customHeight="false" outlineLevel="0" collapsed="false">
      <c r="A87" s="12" t="s">
        <v>138</v>
      </c>
      <c r="B87" s="12" t="s">
        <v>405</v>
      </c>
      <c r="C87" s="24" t="n">
        <v>8000.57</v>
      </c>
      <c r="D87" s="25" t="n">
        <v>0.33624222999223</v>
      </c>
      <c r="E87" s="26" t="n">
        <f aca="false">IF(ISNUMBER(D87),C87*D87,"")</f>
        <v>2690.12949800894</v>
      </c>
      <c r="F87" s="12"/>
      <c r="G87" s="12" t="s">
        <v>319</v>
      </c>
      <c r="H87" s="12" t="s">
        <v>320</v>
      </c>
    </row>
    <row r="88" customFormat="false" ht="15" hidden="false" customHeight="false" outlineLevel="0" collapsed="false">
      <c r="A88" s="12" t="s">
        <v>139</v>
      </c>
      <c r="B88" s="12" t="s">
        <v>406</v>
      </c>
      <c r="C88" s="24" t="n">
        <v>4183.29</v>
      </c>
      <c r="D88" s="25" t="n">
        <v>0.689888576486515</v>
      </c>
      <c r="E88" s="26" t="n">
        <f aca="false">IF(ISNUMBER(D88),C88*D88,"")</f>
        <v>2886.00398313027</v>
      </c>
      <c r="F88" s="12" t="s">
        <v>322</v>
      </c>
      <c r="G88" s="12" t="s">
        <v>319</v>
      </c>
      <c r="H88" s="12" t="s">
        <v>333</v>
      </c>
    </row>
    <row r="89" customFormat="false" ht="15" hidden="false" customHeight="false" outlineLevel="0" collapsed="false">
      <c r="A89" s="12" t="s">
        <v>140</v>
      </c>
      <c r="B89" s="12" t="s">
        <v>407</v>
      </c>
      <c r="C89" s="24" t="n">
        <v>59407.06</v>
      </c>
      <c r="D89" s="25" t="n">
        <v>0.991808067465962</v>
      </c>
      <c r="E89" s="26" t="n">
        <f aca="false">IF(ISNUMBER(D89),C89*D89,"")</f>
        <v>58920.4013724345</v>
      </c>
      <c r="F89" s="12"/>
      <c r="G89" s="12" t="s">
        <v>319</v>
      </c>
      <c r="H89" s="12" t="s">
        <v>320</v>
      </c>
    </row>
    <row r="90" customFormat="false" ht="15" hidden="false" customHeight="false" outlineLevel="0" collapsed="false">
      <c r="A90" s="12" t="s">
        <v>141</v>
      </c>
      <c r="B90" s="12" t="s">
        <v>408</v>
      </c>
      <c r="C90" s="24" t="n">
        <v>703.44</v>
      </c>
      <c r="D90" s="25" t="n">
        <v>0.688492063492064</v>
      </c>
      <c r="E90" s="26" t="n">
        <f aca="false">IF(ISNUMBER(D90),C90*D90,"")</f>
        <v>484.312857142858</v>
      </c>
      <c r="F90" s="12" t="s">
        <v>322</v>
      </c>
      <c r="G90" s="12" t="s">
        <v>319</v>
      </c>
      <c r="H90" s="12" t="s">
        <v>320</v>
      </c>
    </row>
    <row r="91" customFormat="false" ht="15" hidden="false" customHeight="false" outlineLevel="0" collapsed="false">
      <c r="A91" s="12" t="s">
        <v>142</v>
      </c>
      <c r="B91" s="12" t="s">
        <v>409</v>
      </c>
      <c r="C91" s="24" t="n">
        <v>1894.78</v>
      </c>
      <c r="D91" s="25" t="n">
        <v>1</v>
      </c>
      <c r="E91" s="26" t="n">
        <f aca="false">IF(ISNUMBER(D91),C91*D91,"")</f>
        <v>1894.78</v>
      </c>
      <c r="F91" s="12"/>
      <c r="G91" s="12" t="s">
        <v>319</v>
      </c>
      <c r="H91" s="12" t="s">
        <v>320</v>
      </c>
    </row>
    <row r="92" customFormat="false" ht="15" hidden="false" customHeight="false" outlineLevel="0" collapsed="false">
      <c r="A92" s="12" t="s">
        <v>143</v>
      </c>
      <c r="B92" s="12" t="s">
        <v>410</v>
      </c>
      <c r="C92" s="24" t="n">
        <v>117.07</v>
      </c>
      <c r="D92" s="25" t="n">
        <v>1</v>
      </c>
      <c r="E92" s="26" t="n">
        <f aca="false">IF(ISNUMBER(D92),C92*D92,"")</f>
        <v>117.07</v>
      </c>
      <c r="F92" s="12"/>
      <c r="G92" s="12" t="s">
        <v>319</v>
      </c>
      <c r="H92" s="12" t="s">
        <v>320</v>
      </c>
    </row>
    <row r="93" customFormat="false" ht="15" hidden="false" customHeight="false" outlineLevel="0" collapsed="false">
      <c r="A93" s="12" t="s">
        <v>144</v>
      </c>
      <c r="B93" s="12" t="s">
        <v>411</v>
      </c>
      <c r="C93" s="24" t="n">
        <v>16792.84</v>
      </c>
      <c r="D93" s="25" t="n">
        <v>0.776857437207773</v>
      </c>
      <c r="E93" s="26" t="n">
        <f aca="false">IF(ISNUMBER(D93),C93*D93,"")</f>
        <v>13045.6426458402</v>
      </c>
      <c r="F93" s="12"/>
      <c r="G93" s="12" t="s">
        <v>319</v>
      </c>
      <c r="H93" s="12" t="s">
        <v>333</v>
      </c>
    </row>
    <row r="94" customFormat="false" ht="15" hidden="false" customHeight="false" outlineLevel="0" collapsed="false">
      <c r="A94" s="12" t="s">
        <v>145</v>
      </c>
      <c r="B94" s="12" t="s">
        <v>412</v>
      </c>
      <c r="C94" s="24" t="n">
        <v>4745.88</v>
      </c>
      <c r="D94" s="25" t="n">
        <v>1</v>
      </c>
      <c r="E94" s="26" t="n">
        <f aca="false">IF(ISNUMBER(D94),C94*D94,"")</f>
        <v>4745.88</v>
      </c>
      <c r="F94" s="12"/>
      <c r="G94" s="12" t="s">
        <v>319</v>
      </c>
      <c r="H94" s="12" t="s">
        <v>320</v>
      </c>
    </row>
    <row r="95" customFormat="false" ht="15" hidden="false" customHeight="false" outlineLevel="0" collapsed="false">
      <c r="A95" s="12" t="s">
        <v>146</v>
      </c>
      <c r="B95" s="12" t="s">
        <v>413</v>
      </c>
      <c r="C95" s="24" t="n">
        <v>5838.25</v>
      </c>
      <c r="D95" s="25" t="n">
        <v>0.800763686706633</v>
      </c>
      <c r="E95" s="26" t="n">
        <f aca="false">IF(ISNUMBER(D95),C95*D95,"")</f>
        <v>4675.058593915</v>
      </c>
      <c r="F95" s="12" t="s">
        <v>322</v>
      </c>
      <c r="G95" s="12" t="s">
        <v>319</v>
      </c>
      <c r="H95" s="12" t="s">
        <v>320</v>
      </c>
    </row>
    <row r="96" customFormat="false" ht="15" hidden="false" customHeight="false" outlineLevel="0" collapsed="false">
      <c r="A96" s="12" t="s">
        <v>147</v>
      </c>
      <c r="B96" s="12" t="s">
        <v>414</v>
      </c>
      <c r="C96" s="24" t="n">
        <v>4036.55</v>
      </c>
      <c r="D96" s="25" t="n">
        <v>1</v>
      </c>
      <c r="E96" s="26" t="n">
        <f aca="false">IF(ISNUMBER(D96),C96*D96,"")</f>
        <v>4036.55</v>
      </c>
      <c r="F96" s="12"/>
      <c r="G96" s="12" t="s">
        <v>319</v>
      </c>
      <c r="H96" s="12" t="s">
        <v>320</v>
      </c>
    </row>
    <row r="97" customFormat="false" ht="15" hidden="false" customHeight="false" outlineLevel="0" collapsed="false">
      <c r="A97" s="12" t="s">
        <v>148</v>
      </c>
      <c r="B97" s="12" t="s">
        <v>415</v>
      </c>
      <c r="C97" s="24" t="n">
        <v>7654.85</v>
      </c>
      <c r="D97" s="25" t="n">
        <v>0.882348668280872</v>
      </c>
      <c r="E97" s="26" t="n">
        <f aca="false">IF(ISNUMBER(D97),C97*D97,"")</f>
        <v>6754.24670338983</v>
      </c>
      <c r="F97" s="12"/>
      <c r="G97" s="12" t="s">
        <v>319</v>
      </c>
      <c r="H97" s="12" t="s">
        <v>333</v>
      </c>
    </row>
    <row r="98" customFormat="false" ht="15" hidden="false" customHeight="false" outlineLevel="0" collapsed="false">
      <c r="A98" s="12" t="s">
        <v>149</v>
      </c>
      <c r="B98" s="12" t="s">
        <v>416</v>
      </c>
      <c r="C98" s="24" t="n">
        <v>693.76</v>
      </c>
      <c r="D98" s="25" t="n">
        <v>0.833333333333333</v>
      </c>
      <c r="E98" s="26" t="n">
        <f aca="false">IF(ISNUMBER(D98),C98*D98,"")</f>
        <v>578.133333333333</v>
      </c>
      <c r="F98" s="12"/>
      <c r="G98" s="12" t="s">
        <v>319</v>
      </c>
      <c r="H98" s="12" t="s">
        <v>333</v>
      </c>
    </row>
    <row r="99" customFormat="false" ht="15" hidden="false" customHeight="false" outlineLevel="0" collapsed="false">
      <c r="A99" s="12" t="s">
        <v>150</v>
      </c>
      <c r="B99" s="12" t="s">
        <v>417</v>
      </c>
      <c r="C99" s="24" t="n">
        <v>3640.13</v>
      </c>
      <c r="D99" s="25" t="n">
        <v>0.484908175406181</v>
      </c>
      <c r="E99" s="26" t="n">
        <f aca="false">IF(ISNUMBER(D99),C99*D99,"")</f>
        <v>1765.1287965413</v>
      </c>
      <c r="F99" s="12" t="s">
        <v>322</v>
      </c>
      <c r="G99" s="12" t="s">
        <v>319</v>
      </c>
      <c r="H99" s="12" t="s">
        <v>320</v>
      </c>
    </row>
    <row r="100" customFormat="false" ht="15" hidden="false" customHeight="false" outlineLevel="0" collapsed="false">
      <c r="A100" s="12" t="s">
        <v>151</v>
      </c>
      <c r="B100" s="12" t="s">
        <v>418</v>
      </c>
      <c r="C100" s="24" t="n">
        <v>570.1</v>
      </c>
      <c r="D100" s="25" t="n">
        <v>1</v>
      </c>
      <c r="E100" s="26" t="n">
        <f aca="false">IF(ISNUMBER(D100),C100*D100,"")</f>
        <v>570.1</v>
      </c>
      <c r="F100" s="12"/>
      <c r="G100" s="12" t="s">
        <v>319</v>
      </c>
      <c r="H100" s="12" t="s">
        <v>320</v>
      </c>
    </row>
    <row r="101" customFormat="false" ht="15" hidden="false" customHeight="false" outlineLevel="0" collapsed="false">
      <c r="A101" s="12" t="s">
        <v>152</v>
      </c>
      <c r="B101" s="12" t="s">
        <v>419</v>
      </c>
      <c r="C101" s="24" t="n">
        <v>5976.94</v>
      </c>
      <c r="D101" s="25" t="n">
        <v>0.240571827983426</v>
      </c>
      <c r="E101" s="26" t="n">
        <f aca="false">IF(ISNUMBER(D101),C101*D101,"")</f>
        <v>1437.88338154726</v>
      </c>
      <c r="F101" s="12"/>
      <c r="G101" s="12" t="s">
        <v>319</v>
      </c>
      <c r="H101" s="12" t="s">
        <v>320</v>
      </c>
    </row>
    <row r="102" customFormat="false" ht="15" hidden="false" customHeight="false" outlineLevel="0" collapsed="false">
      <c r="A102" s="12" t="s">
        <v>153</v>
      </c>
      <c r="B102" s="12" t="s">
        <v>420</v>
      </c>
      <c r="C102" s="24" t="n">
        <v>1845.67</v>
      </c>
      <c r="D102" s="25" t="n">
        <v>0.991758241758242</v>
      </c>
      <c r="E102" s="26" t="n">
        <f aca="false">IF(ISNUMBER(D102),C102*D102,"")</f>
        <v>1830.45843406593</v>
      </c>
      <c r="F102" s="12"/>
      <c r="G102" s="12" t="s">
        <v>319</v>
      </c>
      <c r="H102" s="12" t="s">
        <v>320</v>
      </c>
    </row>
    <row r="103" customFormat="false" ht="15" hidden="false" customHeight="false" outlineLevel="0" collapsed="false">
      <c r="A103" s="12" t="s">
        <v>154</v>
      </c>
      <c r="B103" s="12" t="s">
        <v>421</v>
      </c>
      <c r="C103" s="24" t="n">
        <v>8758.04</v>
      </c>
      <c r="D103" s="25" t="n">
        <v>0.981298701298701</v>
      </c>
      <c r="E103" s="26" t="n">
        <f aca="false">IF(ISNUMBER(D103),C103*D103,"")</f>
        <v>8594.25327792208</v>
      </c>
      <c r="F103" s="12"/>
      <c r="G103" s="12" t="s">
        <v>319</v>
      </c>
      <c r="H103" s="12" t="s">
        <v>320</v>
      </c>
    </row>
    <row r="104" customFormat="false" ht="15" hidden="false" customHeight="false" outlineLevel="0" collapsed="false">
      <c r="A104" s="12" t="s">
        <v>155</v>
      </c>
      <c r="B104" s="12" t="s">
        <v>422</v>
      </c>
      <c r="C104" s="24" t="n">
        <v>38680.23</v>
      </c>
      <c r="D104" s="25" t="n">
        <v>0.0316233131485411</v>
      </c>
      <c r="E104" s="26" t="n">
        <f aca="false">IF(ISNUMBER(D104),C104*D104,"")</f>
        <v>1223.19702594759</v>
      </c>
      <c r="F104" s="12"/>
      <c r="G104" s="12" t="s">
        <v>319</v>
      </c>
      <c r="H104" s="12" t="s">
        <v>320</v>
      </c>
    </row>
    <row r="105" customFormat="false" ht="15" hidden="false" customHeight="false" outlineLevel="0" collapsed="false">
      <c r="A105" s="12" t="s">
        <v>156</v>
      </c>
      <c r="B105" s="12" t="s">
        <v>387</v>
      </c>
      <c r="C105" s="24" t="n">
        <v>46507.62</v>
      </c>
      <c r="D105" s="25" t="n">
        <v>0.378228374732698</v>
      </c>
      <c r="E105" s="26" t="n">
        <f aca="false">IF(ISNUMBER(D105),C105*D105,"")</f>
        <v>17590.5015252859</v>
      </c>
      <c r="F105" s="12"/>
      <c r="G105" s="12" t="s">
        <v>319</v>
      </c>
      <c r="H105" s="12" t="s">
        <v>320</v>
      </c>
    </row>
    <row r="106" customFormat="false" ht="15" hidden="false" customHeight="false" outlineLevel="0" collapsed="false">
      <c r="A106" s="12" t="s">
        <v>157</v>
      </c>
      <c r="B106" s="12" t="s">
        <v>418</v>
      </c>
      <c r="C106" s="24" t="n">
        <v>280.98</v>
      </c>
      <c r="D106" s="25" t="n">
        <v>0.928571428571429</v>
      </c>
      <c r="E106" s="26" t="n">
        <f aca="false">IF(ISNUMBER(D106),C106*D106,"")</f>
        <v>260.91</v>
      </c>
      <c r="F106" s="12"/>
      <c r="G106" s="12" t="s">
        <v>319</v>
      </c>
      <c r="H106" s="12" t="s">
        <v>320</v>
      </c>
    </row>
    <row r="107" customFormat="false" ht="15" hidden="false" customHeight="false" outlineLevel="0" collapsed="false">
      <c r="A107" s="12" t="s">
        <v>158</v>
      </c>
      <c r="B107" s="12" t="s">
        <v>423</v>
      </c>
      <c r="C107" s="24" t="n">
        <v>8362.23</v>
      </c>
      <c r="D107" s="25" t="n">
        <v>0.863192645479244</v>
      </c>
      <c r="E107" s="26" t="n">
        <f aca="false">IF(ISNUMBER(D107),C107*D107,"")</f>
        <v>7218.2154358059</v>
      </c>
      <c r="F107" s="12" t="s">
        <v>322</v>
      </c>
      <c r="G107" s="12" t="s">
        <v>319</v>
      </c>
      <c r="H107" s="12" t="s">
        <v>320</v>
      </c>
    </row>
    <row r="108" customFormat="false" ht="15" hidden="false" customHeight="false" outlineLevel="0" collapsed="false">
      <c r="A108" s="12" t="s">
        <v>159</v>
      </c>
      <c r="B108" s="12" t="s">
        <v>424</v>
      </c>
      <c r="C108" s="24" t="n">
        <v>29883.81</v>
      </c>
      <c r="D108" s="25" t="n">
        <v>0.901785714285714</v>
      </c>
      <c r="E108" s="26" t="n">
        <f aca="false">IF(ISNUMBER(D108),C108*D108,"")</f>
        <v>26948.7929464286</v>
      </c>
      <c r="F108" s="12" t="s">
        <v>322</v>
      </c>
      <c r="G108" s="12" t="s">
        <v>319</v>
      </c>
      <c r="H108" s="12" t="s">
        <v>333</v>
      </c>
    </row>
    <row r="109" customFormat="false" ht="15" hidden="false" customHeight="false" outlineLevel="0" collapsed="false">
      <c r="A109" s="12" t="s">
        <v>160</v>
      </c>
      <c r="B109" s="12" t="s">
        <v>425</v>
      </c>
      <c r="C109" s="24" t="n">
        <v>8244.44</v>
      </c>
      <c r="D109" s="25" t="n">
        <v>0.749979206504154</v>
      </c>
      <c r="E109" s="26" t="n">
        <f aca="false">IF(ISNUMBER(D109),C109*D109,"")</f>
        <v>6183.15856927111</v>
      </c>
      <c r="F109" s="12" t="s">
        <v>322</v>
      </c>
      <c r="G109" s="12" t="s">
        <v>319</v>
      </c>
      <c r="H109" s="12" t="s">
        <v>320</v>
      </c>
    </row>
    <row r="110" customFormat="false" ht="15" hidden="false" customHeight="false" outlineLevel="0" collapsed="false">
      <c r="A110" s="12" t="s">
        <v>161</v>
      </c>
      <c r="B110" s="12" t="s">
        <v>426</v>
      </c>
      <c r="C110" s="24" t="n">
        <v>3113.83</v>
      </c>
      <c r="D110" s="25" t="n">
        <v>0.899884259259259</v>
      </c>
      <c r="E110" s="26" t="n">
        <f aca="false">IF(ISNUMBER(D110),C110*D110,"")</f>
        <v>2802.08660300926</v>
      </c>
      <c r="F110" s="12"/>
      <c r="G110" s="12" t="s">
        <v>319</v>
      </c>
      <c r="H110" s="12" t="s">
        <v>320</v>
      </c>
    </row>
    <row r="111" customFormat="false" ht="15" hidden="false" customHeight="false" outlineLevel="0" collapsed="false">
      <c r="A111" s="12" t="s">
        <v>162</v>
      </c>
      <c r="B111" s="12" t="s">
        <v>427</v>
      </c>
      <c r="C111" s="24" t="n">
        <v>140084.73</v>
      </c>
      <c r="D111" s="25" t="n">
        <v>0.251824206147514</v>
      </c>
      <c r="E111" s="26" t="n">
        <f aca="false">IF(ISNUMBER(D111),C111*D111,"")</f>
        <v>35276.7259256388</v>
      </c>
      <c r="F111" s="12"/>
      <c r="G111" s="12" t="s">
        <v>319</v>
      </c>
      <c r="H111" s="12" t="s">
        <v>320</v>
      </c>
    </row>
    <row r="112" customFormat="false" ht="15" hidden="false" customHeight="false" outlineLevel="0" collapsed="false">
      <c r="A112" s="12" t="s">
        <v>163</v>
      </c>
      <c r="B112" s="12" t="s">
        <v>428</v>
      </c>
      <c r="C112" s="24" t="n">
        <v>6450.54</v>
      </c>
      <c r="D112" s="25" t="n">
        <v>0.449896846448571</v>
      </c>
      <c r="E112" s="26" t="n">
        <f aca="false">IF(ISNUMBER(D112),C112*D112,"")</f>
        <v>2902.07760389037</v>
      </c>
      <c r="F112" s="12"/>
      <c r="G112" s="12" t="s">
        <v>319</v>
      </c>
      <c r="H112" s="12" t="s">
        <v>320</v>
      </c>
    </row>
    <row r="113" customFormat="false" ht="15" hidden="false" customHeight="false" outlineLevel="0" collapsed="false">
      <c r="A113" s="12" t="s">
        <v>164</v>
      </c>
      <c r="B113" s="12" t="s">
        <v>429</v>
      </c>
      <c r="C113" s="24" t="n">
        <v>22355.46</v>
      </c>
      <c r="D113" s="25" t="n">
        <v>0.985714285714286</v>
      </c>
      <c r="E113" s="26" t="n">
        <f aca="false">IF(ISNUMBER(D113),C113*D113,"")</f>
        <v>22036.0962857143</v>
      </c>
      <c r="F113" s="12"/>
      <c r="G113" s="12" t="s">
        <v>319</v>
      </c>
      <c r="H113" s="12" t="s">
        <v>320</v>
      </c>
    </row>
    <row r="114" customFormat="false" ht="15" hidden="false" customHeight="false" outlineLevel="0" collapsed="false">
      <c r="A114" s="12" t="s">
        <v>165</v>
      </c>
      <c r="B114" s="12" t="s">
        <v>430</v>
      </c>
      <c r="C114" s="24" t="n">
        <v>2202.64</v>
      </c>
      <c r="D114" s="25" t="n">
        <v>0.75</v>
      </c>
      <c r="E114" s="26" t="n">
        <f aca="false">IF(ISNUMBER(D114),C114*D114,"")</f>
        <v>1651.98</v>
      </c>
      <c r="F114" s="12"/>
      <c r="G114" s="12" t="s">
        <v>319</v>
      </c>
      <c r="H114" s="12" t="s">
        <v>320</v>
      </c>
    </row>
    <row r="115" customFormat="false" ht="15" hidden="false" customHeight="false" outlineLevel="0" collapsed="false">
      <c r="A115" s="12" t="s">
        <v>166</v>
      </c>
      <c r="B115" s="12" t="s">
        <v>409</v>
      </c>
      <c r="C115" s="24" t="n">
        <v>49365.77</v>
      </c>
      <c r="D115" s="25" t="n">
        <v>0.115367076010264</v>
      </c>
      <c r="E115" s="26" t="n">
        <f aca="false">IF(ISNUMBER(D115),C115*D115,"")</f>
        <v>5695.18453989521</v>
      </c>
      <c r="F115" s="12"/>
      <c r="G115" s="12" t="s">
        <v>319</v>
      </c>
      <c r="H115" s="12" t="s">
        <v>320</v>
      </c>
    </row>
    <row r="116" customFormat="false" ht="15" hidden="false" customHeight="false" outlineLevel="0" collapsed="false">
      <c r="A116" s="12" t="s">
        <v>167</v>
      </c>
      <c r="B116" s="12" t="s">
        <v>431</v>
      </c>
      <c r="C116" s="24" t="n">
        <v>6050.02</v>
      </c>
      <c r="D116" s="25" t="n">
        <v>0.332148543177955</v>
      </c>
      <c r="E116" s="26" t="n">
        <f aca="false">IF(ISNUMBER(D116),C116*D116,"")</f>
        <v>2009.50532919749</v>
      </c>
      <c r="F116" s="12"/>
      <c r="G116" s="12" t="s">
        <v>319</v>
      </c>
      <c r="H116" s="12" t="s">
        <v>320</v>
      </c>
    </row>
    <row r="117" customFormat="false" ht="15" hidden="false" customHeight="false" outlineLevel="0" collapsed="false">
      <c r="A117" s="12" t="s">
        <v>168</v>
      </c>
      <c r="B117" s="12" t="s">
        <v>432</v>
      </c>
      <c r="C117" s="24" t="n">
        <v>5770.02</v>
      </c>
      <c r="D117" s="25" t="n">
        <v>0.455812270878129</v>
      </c>
      <c r="E117" s="26" t="n">
        <f aca="false">IF(ISNUMBER(D117),C117*D117,"")</f>
        <v>2630.04591921222</v>
      </c>
      <c r="F117" s="12" t="s">
        <v>322</v>
      </c>
      <c r="G117" s="12" t="s">
        <v>319</v>
      </c>
      <c r="H117" s="12" t="s">
        <v>320</v>
      </c>
    </row>
    <row r="118" customFormat="false" ht="15" hidden="false" customHeight="false" outlineLevel="0" collapsed="false">
      <c r="A118" s="12" t="s">
        <v>169</v>
      </c>
      <c r="B118" s="12" t="s">
        <v>433</v>
      </c>
      <c r="C118" s="24" t="n">
        <v>32204.47</v>
      </c>
      <c r="D118" s="25" t="n">
        <v>1</v>
      </c>
      <c r="E118" s="26" t="n">
        <f aca="false">IF(ISNUMBER(D118),C118*D118,"")</f>
        <v>32204.47</v>
      </c>
      <c r="F118" s="12"/>
      <c r="G118" s="12" t="s">
        <v>319</v>
      </c>
      <c r="H118" s="12" t="s">
        <v>320</v>
      </c>
    </row>
    <row r="119" customFormat="false" ht="15" hidden="false" customHeight="false" outlineLevel="0" collapsed="false">
      <c r="A119" s="12" t="s">
        <v>170</v>
      </c>
      <c r="B119" s="12" t="s">
        <v>434</v>
      </c>
      <c r="C119" s="24" t="n">
        <v>7904.67</v>
      </c>
      <c r="D119" s="25" t="n">
        <v>1</v>
      </c>
      <c r="E119" s="26" t="n">
        <f aca="false">IF(ISNUMBER(D119),C119*D119,"")</f>
        <v>7904.67</v>
      </c>
      <c r="F119" s="12"/>
      <c r="G119" s="12" t="s">
        <v>319</v>
      </c>
      <c r="H119" s="12" t="s">
        <v>320</v>
      </c>
    </row>
    <row r="120" customFormat="false" ht="15" hidden="false" customHeight="false" outlineLevel="0" collapsed="false">
      <c r="A120" s="12" t="s">
        <v>171</v>
      </c>
      <c r="B120" s="12" t="s">
        <v>435</v>
      </c>
      <c r="C120" s="24" t="n">
        <v>22018.81</v>
      </c>
      <c r="D120" s="25" t="n">
        <v>0.110870072040337</v>
      </c>
      <c r="E120" s="26" t="n">
        <f aca="false">IF(ISNUMBER(D120),C120*D120,"")</f>
        <v>2441.22705094249</v>
      </c>
      <c r="F120" s="12"/>
      <c r="G120" s="12" t="s">
        <v>319</v>
      </c>
      <c r="H120" s="12" t="s">
        <v>320</v>
      </c>
    </row>
    <row r="121" customFormat="false" ht="15" hidden="false" customHeight="false" outlineLevel="0" collapsed="false">
      <c r="A121" s="12" t="s">
        <v>172</v>
      </c>
      <c r="B121" s="12" t="s">
        <v>436</v>
      </c>
      <c r="C121" s="24" t="n">
        <v>54682.27</v>
      </c>
      <c r="D121" s="25" t="n">
        <v>0.998949579831933</v>
      </c>
      <c r="E121" s="26" t="n">
        <f aca="false">IF(ISNUMBER(D121),C121*D121,"")</f>
        <v>54624.8306407563</v>
      </c>
      <c r="F121" s="12"/>
      <c r="G121" s="12" t="s">
        <v>319</v>
      </c>
      <c r="H121" s="12" t="s">
        <v>320</v>
      </c>
    </row>
    <row r="122" customFormat="false" ht="15" hidden="false" customHeight="false" outlineLevel="0" collapsed="false">
      <c r="A122" s="12" t="s">
        <v>173</v>
      </c>
      <c r="B122" s="12" t="s">
        <v>437</v>
      </c>
      <c r="C122" s="24" t="n">
        <v>1176.33</v>
      </c>
      <c r="D122" s="25" t="n">
        <v>0.857142857142857</v>
      </c>
      <c r="E122" s="26" t="n">
        <f aca="false">IF(ISNUMBER(D122),C122*D122,"")</f>
        <v>1008.28285714286</v>
      </c>
      <c r="F122" s="12" t="s">
        <v>322</v>
      </c>
      <c r="G122" s="12" t="s">
        <v>319</v>
      </c>
      <c r="H122" s="12" t="s">
        <v>320</v>
      </c>
    </row>
    <row r="123" customFormat="false" ht="15" hidden="false" customHeight="false" outlineLevel="0" collapsed="false">
      <c r="A123" s="12" t="s">
        <v>174</v>
      </c>
      <c r="B123" s="12" t="s">
        <v>438</v>
      </c>
      <c r="C123" s="24" t="n">
        <v>843.51</v>
      </c>
      <c r="D123" s="25" t="n">
        <v>1</v>
      </c>
      <c r="E123" s="26" t="n">
        <f aca="false">IF(ISNUMBER(D123),C123*D123,"")</f>
        <v>843.51</v>
      </c>
      <c r="F123" s="12"/>
      <c r="G123" s="12" t="s">
        <v>319</v>
      </c>
      <c r="H123" s="12" t="s">
        <v>320</v>
      </c>
    </row>
    <row r="124" customFormat="false" ht="15" hidden="false" customHeight="false" outlineLevel="0" collapsed="false">
      <c r="A124" s="12" t="s">
        <v>175</v>
      </c>
      <c r="B124" s="12" t="s">
        <v>439</v>
      </c>
      <c r="C124" s="24" t="n">
        <v>1127.64</v>
      </c>
      <c r="D124" s="25" t="n">
        <v>1</v>
      </c>
      <c r="E124" s="26" t="n">
        <f aca="false">IF(ISNUMBER(D124),C124*D124,"")</f>
        <v>1127.64</v>
      </c>
      <c r="F124" s="12"/>
      <c r="G124" s="12" t="s">
        <v>319</v>
      </c>
      <c r="H124" s="12" t="s">
        <v>320</v>
      </c>
    </row>
    <row r="125" customFormat="false" ht="15" hidden="false" customHeight="false" outlineLevel="0" collapsed="false">
      <c r="A125" s="12" t="s">
        <v>176</v>
      </c>
      <c r="B125" s="12" t="s">
        <v>440</v>
      </c>
      <c r="C125" s="24" t="n">
        <v>71.73</v>
      </c>
      <c r="D125" s="25" t="n">
        <v>0.996078431372549</v>
      </c>
      <c r="E125" s="26" t="n">
        <f aca="false">IF(ISNUMBER(D125),C125*D125,"")</f>
        <v>71.4487058823529</v>
      </c>
      <c r="F125" s="12"/>
      <c r="G125" s="12" t="s">
        <v>319</v>
      </c>
      <c r="H125" s="12" t="s">
        <v>320</v>
      </c>
    </row>
    <row r="126" customFormat="false" ht="15" hidden="false" customHeight="false" outlineLevel="0" collapsed="false">
      <c r="A126" s="12" t="s">
        <v>177</v>
      </c>
      <c r="B126" s="12" t="s">
        <v>330</v>
      </c>
      <c r="C126" s="24" t="n">
        <v>20408.58</v>
      </c>
      <c r="D126" s="25" t="n">
        <v>0.989010989010989</v>
      </c>
      <c r="E126" s="26" t="n">
        <f aca="false">IF(ISNUMBER(D126),C126*D126,"")</f>
        <v>20184.3098901099</v>
      </c>
      <c r="F126" s="12"/>
      <c r="G126" s="12" t="s">
        <v>319</v>
      </c>
      <c r="H126" s="12" t="s">
        <v>320</v>
      </c>
    </row>
    <row r="127" customFormat="false" ht="15" hidden="false" customHeight="false" outlineLevel="0" collapsed="false">
      <c r="A127" s="12" t="s">
        <v>178</v>
      </c>
      <c r="B127" s="12" t="s">
        <v>441</v>
      </c>
      <c r="C127" s="24" t="n">
        <v>8072.59</v>
      </c>
      <c r="D127" s="25" t="n">
        <v>1</v>
      </c>
      <c r="E127" s="26" t="n">
        <f aca="false">IF(ISNUMBER(D127),C127*D127,"")</f>
        <v>8072.59</v>
      </c>
      <c r="F127" s="12"/>
      <c r="G127" s="12" t="s">
        <v>319</v>
      </c>
      <c r="H127" s="12" t="s">
        <v>320</v>
      </c>
    </row>
    <row r="128" customFormat="false" ht="15" hidden="false" customHeight="false" outlineLevel="0" collapsed="false">
      <c r="A128" s="12" t="s">
        <v>179</v>
      </c>
      <c r="B128" s="12" t="s">
        <v>442</v>
      </c>
      <c r="C128" s="24" t="n">
        <v>71311.67</v>
      </c>
      <c r="D128" s="25" t="n">
        <v>0.0105877483794673</v>
      </c>
      <c r="E128" s="26" t="n">
        <f aca="false">IF(ISNUMBER(D128),C128*D128,"")</f>
        <v>755.030018479607</v>
      </c>
      <c r="F128" s="12"/>
      <c r="G128" s="12" t="s">
        <v>319</v>
      </c>
      <c r="H128" s="12" t="s">
        <v>320</v>
      </c>
    </row>
    <row r="129" customFormat="false" ht="15" hidden="false" customHeight="false" outlineLevel="0" collapsed="false">
      <c r="A129" s="12" t="s">
        <v>180</v>
      </c>
      <c r="B129" s="12" t="s">
        <v>443</v>
      </c>
      <c r="C129" s="24" t="n">
        <v>19666.38</v>
      </c>
      <c r="D129" s="25" t="n">
        <v>0.184745819777854</v>
      </c>
      <c r="E129" s="26" t="n">
        <f aca="false">IF(ISNUMBER(D129),C129*D129,"")</f>
        <v>3633.28149516279</v>
      </c>
      <c r="F129" s="12"/>
      <c r="G129" s="12" t="s">
        <v>319</v>
      </c>
      <c r="H129" s="12" t="s">
        <v>320</v>
      </c>
    </row>
    <row r="130" customFormat="false" ht="15" hidden="false" customHeight="false" outlineLevel="0" collapsed="false">
      <c r="A130" s="12" t="s">
        <v>181</v>
      </c>
      <c r="B130" s="12" t="s">
        <v>400</v>
      </c>
      <c r="C130" s="24" t="n">
        <v>18439.5</v>
      </c>
      <c r="D130" s="25" t="n">
        <v>0.193196635159931</v>
      </c>
      <c r="E130" s="26" t="n">
        <f aca="false">IF(ISNUMBER(D130),C130*D130,"")</f>
        <v>3562.44935403155</v>
      </c>
      <c r="F130" s="12"/>
      <c r="G130" s="12" t="s">
        <v>319</v>
      </c>
      <c r="H130" s="12" t="s">
        <v>320</v>
      </c>
    </row>
    <row r="131" customFormat="false" ht="15" hidden="false" customHeight="false" outlineLevel="0" collapsed="false">
      <c r="A131" s="12" t="s">
        <v>182</v>
      </c>
      <c r="B131" s="12" t="s">
        <v>444</v>
      </c>
      <c r="C131" s="24" t="n">
        <v>1308.54</v>
      </c>
      <c r="D131" s="25" t="n">
        <v>0.37037037037037</v>
      </c>
      <c r="E131" s="26" t="n">
        <f aca="false">IF(ISNUMBER(D131),C131*D131,"")</f>
        <v>484.644444444444</v>
      </c>
      <c r="F131" s="12" t="s">
        <v>322</v>
      </c>
      <c r="G131" s="12" t="s">
        <v>319</v>
      </c>
      <c r="H131" s="12" t="s">
        <v>320</v>
      </c>
    </row>
    <row r="132" customFormat="false" ht="15" hidden="false" customHeight="false" outlineLevel="0" collapsed="false">
      <c r="A132" s="12" t="s">
        <v>183</v>
      </c>
      <c r="B132" s="12" t="s">
        <v>445</v>
      </c>
      <c r="C132" s="24" t="n">
        <v>3067.39</v>
      </c>
      <c r="D132" s="25" t="n">
        <v>1</v>
      </c>
      <c r="E132" s="26" t="n">
        <f aca="false">IF(ISNUMBER(D132),C132*D132,"")</f>
        <v>3067.39</v>
      </c>
      <c r="F132" s="12"/>
      <c r="G132" s="12" t="s">
        <v>319</v>
      </c>
      <c r="H132" s="12" t="s">
        <v>320</v>
      </c>
    </row>
    <row r="133" customFormat="false" ht="15" hidden="false" customHeight="false" outlineLevel="0" collapsed="false">
      <c r="A133" s="12" t="s">
        <v>184</v>
      </c>
      <c r="B133" s="12" t="s">
        <v>446</v>
      </c>
      <c r="C133" s="24" t="n">
        <v>32830.17</v>
      </c>
      <c r="D133" s="25" t="n">
        <v>1</v>
      </c>
      <c r="E133" s="26" t="n">
        <f aca="false">IF(ISNUMBER(D133),C133*D133,"")</f>
        <v>32830.17</v>
      </c>
      <c r="F133" s="12"/>
      <c r="G133" s="12" t="s">
        <v>319</v>
      </c>
      <c r="H133" s="12" t="s">
        <v>320</v>
      </c>
    </row>
    <row r="134" customFormat="false" ht="15" hidden="false" customHeight="false" outlineLevel="0" collapsed="false">
      <c r="A134" s="12" t="s">
        <v>185</v>
      </c>
      <c r="B134" s="12" t="s">
        <v>447</v>
      </c>
      <c r="C134" s="24" t="n">
        <v>7074.72</v>
      </c>
      <c r="D134" s="25" t="n">
        <v>0.9375</v>
      </c>
      <c r="E134" s="26" t="n">
        <f aca="false">IF(ISNUMBER(D134),C134*D134,"")</f>
        <v>6632.55</v>
      </c>
      <c r="F134" s="12"/>
      <c r="G134" s="12" t="s">
        <v>319</v>
      </c>
      <c r="H134" s="12" t="s">
        <v>320</v>
      </c>
    </row>
    <row r="135" customFormat="false" ht="15" hidden="false" customHeight="false" outlineLevel="0" collapsed="false">
      <c r="A135" s="12" t="s">
        <v>186</v>
      </c>
      <c r="B135" s="12" t="s">
        <v>448</v>
      </c>
      <c r="C135" s="24" t="n">
        <v>77.4</v>
      </c>
      <c r="D135" s="25" t="n">
        <v>1</v>
      </c>
      <c r="E135" s="26" t="n">
        <f aca="false">IF(ISNUMBER(D135),C135*D135,"")</f>
        <v>77.4</v>
      </c>
      <c r="F135" s="12"/>
      <c r="G135" s="12" t="s">
        <v>319</v>
      </c>
      <c r="H135" s="12" t="s">
        <v>320</v>
      </c>
    </row>
    <row r="136" customFormat="false" ht="15" hidden="false" customHeight="false" outlineLevel="0" collapsed="false">
      <c r="A136" s="12" t="s">
        <v>187</v>
      </c>
      <c r="B136" s="12" t="s">
        <v>449</v>
      </c>
      <c r="C136" s="24" t="n">
        <v>7276.73</v>
      </c>
      <c r="D136" s="25" t="n">
        <v>0.947368421052632</v>
      </c>
      <c r="E136" s="26" t="n">
        <f aca="false">IF(ISNUMBER(D136),C136*D136,"")</f>
        <v>6893.74421052632</v>
      </c>
      <c r="F136" s="12"/>
      <c r="G136" s="12" t="s">
        <v>319</v>
      </c>
      <c r="H136" s="12" t="s">
        <v>320</v>
      </c>
    </row>
    <row r="137" customFormat="false" ht="15" hidden="false" customHeight="false" outlineLevel="0" collapsed="false">
      <c r="A137" s="12" t="s">
        <v>188</v>
      </c>
      <c r="B137" s="12" t="s">
        <v>450</v>
      </c>
      <c r="C137" s="24" t="n">
        <v>1202.23</v>
      </c>
      <c r="D137" s="25" t="n">
        <v>1</v>
      </c>
      <c r="E137" s="26" t="n">
        <f aca="false">IF(ISNUMBER(D137),C137*D137,"")</f>
        <v>1202.23</v>
      </c>
      <c r="F137" s="12"/>
      <c r="G137" s="12" t="s">
        <v>319</v>
      </c>
      <c r="H137" s="12" t="s">
        <v>320</v>
      </c>
    </row>
    <row r="138" customFormat="false" ht="15" hidden="false" customHeight="false" outlineLevel="0" collapsed="false">
      <c r="A138" s="12" t="s">
        <v>189</v>
      </c>
      <c r="B138" s="12" t="s">
        <v>451</v>
      </c>
      <c r="C138" s="24" t="n">
        <v>262.84</v>
      </c>
      <c r="D138" s="25" t="n">
        <v>0.703571428571429</v>
      </c>
      <c r="E138" s="26" t="n">
        <f aca="false">IF(ISNUMBER(D138),C138*D138,"")</f>
        <v>184.926714285714</v>
      </c>
      <c r="F138" s="12" t="s">
        <v>322</v>
      </c>
      <c r="G138" s="12" t="s">
        <v>319</v>
      </c>
      <c r="H138" s="12" t="s">
        <v>320</v>
      </c>
    </row>
    <row r="139" customFormat="false" ht="15" hidden="false" customHeight="false" outlineLevel="0" collapsed="false">
      <c r="A139" s="12" t="s">
        <v>190</v>
      </c>
      <c r="B139" s="12" t="s">
        <v>452</v>
      </c>
      <c r="C139" s="24" t="n">
        <v>11040.91</v>
      </c>
      <c r="D139" s="25" t="n">
        <v>1</v>
      </c>
      <c r="E139" s="26" t="n">
        <f aca="false">IF(ISNUMBER(D139),C139*D139,"")</f>
        <v>11040.91</v>
      </c>
      <c r="F139" s="12"/>
      <c r="G139" s="12" t="s">
        <v>319</v>
      </c>
      <c r="H139" s="12" t="s">
        <v>333</v>
      </c>
    </row>
    <row r="140" customFormat="false" ht="15" hidden="false" customHeight="false" outlineLevel="0" collapsed="false">
      <c r="A140" s="12" t="s">
        <v>191</v>
      </c>
      <c r="B140" s="12" t="s">
        <v>453</v>
      </c>
      <c r="C140" s="24" t="n">
        <v>6629.25</v>
      </c>
      <c r="D140" s="25" t="n">
        <v>0.998427672955975</v>
      </c>
      <c r="E140" s="26" t="n">
        <f aca="false">IF(ISNUMBER(D140),C140*D140,"")</f>
        <v>6618.8266509434</v>
      </c>
      <c r="F140" s="12"/>
      <c r="G140" s="12" t="s">
        <v>319</v>
      </c>
      <c r="H140" s="12" t="s">
        <v>320</v>
      </c>
    </row>
    <row r="141" customFormat="false" ht="15" hidden="false" customHeight="false" outlineLevel="0" collapsed="false">
      <c r="A141" s="12" t="s">
        <v>192</v>
      </c>
      <c r="B141" s="12" t="s">
        <v>454</v>
      </c>
      <c r="C141" s="24" t="n">
        <v>2812.77</v>
      </c>
      <c r="D141" s="25" t="n">
        <v>1</v>
      </c>
      <c r="E141" s="26" t="n">
        <f aca="false">IF(ISNUMBER(D141),C141*D141,"")</f>
        <v>2812.77</v>
      </c>
      <c r="F141" s="12"/>
      <c r="G141" s="12" t="s">
        <v>319</v>
      </c>
      <c r="H141" s="12" t="s">
        <v>320</v>
      </c>
    </row>
    <row r="142" customFormat="false" ht="15" hidden="false" customHeight="false" outlineLevel="0" collapsed="false">
      <c r="A142" s="12" t="s">
        <v>193</v>
      </c>
      <c r="B142" s="12" t="s">
        <v>455</v>
      </c>
      <c r="C142" s="24" t="n">
        <v>36428.56</v>
      </c>
      <c r="D142" s="25" t="n">
        <v>0.618159088235815</v>
      </c>
      <c r="E142" s="26" t="n">
        <f aca="false">IF(ISNUMBER(D142),C142*D142,"")</f>
        <v>22518.6454353437</v>
      </c>
      <c r="F142" s="12"/>
      <c r="G142" s="12" t="s">
        <v>319</v>
      </c>
      <c r="H142" s="12" t="s">
        <v>320</v>
      </c>
    </row>
    <row r="143" customFormat="false" ht="15" hidden="false" customHeight="false" outlineLevel="0" collapsed="false">
      <c r="A143" s="12" t="s">
        <v>194</v>
      </c>
      <c r="B143" s="12" t="s">
        <v>456</v>
      </c>
      <c r="C143" s="24" t="n">
        <v>142879.93</v>
      </c>
      <c r="D143" s="25" t="n">
        <v>0.928913192071087</v>
      </c>
      <c r="E143" s="26" t="n">
        <f aca="false">IF(ISNUMBER(D143),C143*D143,"")</f>
        <v>132723.051859193</v>
      </c>
      <c r="F143" s="12"/>
      <c r="G143" s="12" t="s">
        <v>319</v>
      </c>
      <c r="H143" s="12" t="s">
        <v>320</v>
      </c>
    </row>
    <row r="144" customFormat="false" ht="15" hidden="false" customHeight="false" outlineLevel="0" collapsed="false">
      <c r="A144" s="12" t="s">
        <v>195</v>
      </c>
      <c r="B144" s="12" t="s">
        <v>457</v>
      </c>
      <c r="C144" s="24" t="n">
        <v>16205.48</v>
      </c>
      <c r="D144" s="25" t="n">
        <v>0.262678151411075</v>
      </c>
      <c r="E144" s="26" t="n">
        <f aca="false">IF(ISNUMBER(D144),C144*D144,"")</f>
        <v>4256.82552912915</v>
      </c>
      <c r="F144" s="12"/>
      <c r="G144" s="12" t="s">
        <v>319</v>
      </c>
      <c r="H144" s="12" t="s">
        <v>320</v>
      </c>
    </row>
    <row r="145" customFormat="false" ht="15" hidden="false" customHeight="false" outlineLevel="0" collapsed="false">
      <c r="A145" s="12" t="s">
        <v>196</v>
      </c>
      <c r="B145" s="12" t="s">
        <v>458</v>
      </c>
      <c r="C145" s="24" t="n">
        <v>2485.93</v>
      </c>
      <c r="D145" s="25" t="n">
        <v>1</v>
      </c>
      <c r="E145" s="26" t="n">
        <f aca="false">IF(ISNUMBER(D145),C145*D145,"")</f>
        <v>2485.93</v>
      </c>
      <c r="F145" s="12"/>
      <c r="G145" s="12" t="s">
        <v>319</v>
      </c>
      <c r="H145" s="12" t="s">
        <v>320</v>
      </c>
    </row>
    <row r="146" customFormat="false" ht="15" hidden="false" customHeight="false" outlineLevel="0" collapsed="false">
      <c r="A146" s="12" t="s">
        <v>197</v>
      </c>
      <c r="B146" s="12" t="s">
        <v>447</v>
      </c>
      <c r="C146" s="24" t="n">
        <v>53526.71</v>
      </c>
      <c r="D146" s="25" t="n">
        <v>0.822746602056947</v>
      </c>
      <c r="E146" s="26" t="n">
        <f aca="false">IF(ISNUMBER(D146),C146*D146,"")</f>
        <v>44038.9187717876</v>
      </c>
      <c r="F146" s="12"/>
      <c r="G146" s="12" t="s">
        <v>319</v>
      </c>
      <c r="H146" s="12" t="s">
        <v>320</v>
      </c>
    </row>
    <row r="147" customFormat="false" ht="15" hidden="false" customHeight="false" outlineLevel="0" collapsed="false">
      <c r="A147" s="12" t="s">
        <v>198</v>
      </c>
      <c r="B147" s="12" t="s">
        <v>330</v>
      </c>
      <c r="C147" s="24" t="n">
        <v>3923.58</v>
      </c>
      <c r="D147" s="25" t="n">
        <v>1</v>
      </c>
      <c r="E147" s="26" t="n">
        <f aca="false">IF(ISNUMBER(D147),C147*D147,"")</f>
        <v>3923.58</v>
      </c>
      <c r="F147" s="12"/>
      <c r="G147" s="12" t="s">
        <v>319</v>
      </c>
      <c r="H147" s="12" t="s">
        <v>320</v>
      </c>
    </row>
    <row r="148" customFormat="false" ht="15" hidden="false" customHeight="false" outlineLevel="0" collapsed="false">
      <c r="A148" s="12" t="s">
        <v>199</v>
      </c>
      <c r="B148" s="12" t="s">
        <v>459</v>
      </c>
      <c r="C148" s="24" t="n">
        <v>13615.47</v>
      </c>
      <c r="D148" s="25" t="n">
        <v>0.18191811645244</v>
      </c>
      <c r="E148" s="26" t="n">
        <f aca="false">IF(ISNUMBER(D148),C148*D148,"")</f>
        <v>2476.9006570147</v>
      </c>
      <c r="F148" s="12"/>
      <c r="G148" s="12" t="s">
        <v>319</v>
      </c>
      <c r="H148" s="12" t="s">
        <v>320</v>
      </c>
    </row>
    <row r="149" customFormat="false" ht="15" hidden="false" customHeight="false" outlineLevel="0" collapsed="false">
      <c r="A149" s="12" t="s">
        <v>200</v>
      </c>
      <c r="B149" s="12" t="s">
        <v>460</v>
      </c>
      <c r="C149" s="24" t="n">
        <v>520.76</v>
      </c>
      <c r="D149" s="25" t="n">
        <v>1</v>
      </c>
      <c r="E149" s="26" t="n">
        <f aca="false">IF(ISNUMBER(D149),C149*D149,"")</f>
        <v>520.76</v>
      </c>
      <c r="F149" s="12"/>
      <c r="G149" s="12" t="s">
        <v>319</v>
      </c>
      <c r="H149" s="12" t="s">
        <v>333</v>
      </c>
    </row>
    <row r="150" customFormat="false" ht="15" hidden="false" customHeight="false" outlineLevel="0" collapsed="false">
      <c r="A150" s="12" t="s">
        <v>201</v>
      </c>
      <c r="B150" s="12" t="s">
        <v>461</v>
      </c>
      <c r="C150" s="24" t="n">
        <v>1326.8</v>
      </c>
      <c r="D150" s="25" t="n">
        <v>0.925925925925926</v>
      </c>
      <c r="E150" s="26" t="n">
        <f aca="false">IF(ISNUMBER(D150),C150*D150,"")</f>
        <v>1228.51851851852</v>
      </c>
      <c r="F150" s="12"/>
      <c r="G150" s="12" t="s">
        <v>319</v>
      </c>
      <c r="H150" s="12" t="s">
        <v>333</v>
      </c>
    </row>
    <row r="151" customFormat="false" ht="15" hidden="false" customHeight="false" outlineLevel="0" collapsed="false">
      <c r="A151" s="12" t="s">
        <v>202</v>
      </c>
      <c r="B151" s="12" t="s">
        <v>462</v>
      </c>
      <c r="C151" s="24" t="n">
        <v>528.18</v>
      </c>
      <c r="D151" s="25" t="n">
        <v>0.571145833333333</v>
      </c>
      <c r="E151" s="26" t="n">
        <f aca="false">IF(ISNUMBER(D151),C151*D151,"")</f>
        <v>301.66780625</v>
      </c>
      <c r="F151" s="12" t="s">
        <v>322</v>
      </c>
      <c r="G151" s="12" t="s">
        <v>319</v>
      </c>
      <c r="H151" s="12" t="s">
        <v>333</v>
      </c>
    </row>
    <row r="152" customFormat="false" ht="15" hidden="false" customHeight="false" outlineLevel="0" collapsed="false">
      <c r="A152" s="12" t="s">
        <v>203</v>
      </c>
      <c r="B152" s="12" t="s">
        <v>463</v>
      </c>
      <c r="C152" s="24" t="n">
        <v>17324.19</v>
      </c>
      <c r="D152" s="25" t="n">
        <v>0.419074437219412</v>
      </c>
      <c r="E152" s="26" t="n">
        <f aca="false">IF(ISNUMBER(D152),C152*D152,"")</f>
        <v>7260.12517453217</v>
      </c>
      <c r="F152" s="12" t="s">
        <v>322</v>
      </c>
      <c r="G152" s="12" t="s">
        <v>319</v>
      </c>
      <c r="H152" s="12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30"/>
    <col collapsed="false" customWidth="true" hidden="false" outlineLevel="0" max="5" min="4" style="0" width="10"/>
  </cols>
  <sheetData>
    <row r="1" customFormat="false" ht="39.75" hidden="false" customHeight="true" outlineLevel="0" collapsed="false">
      <c r="A1" s="3" t="s">
        <v>3</v>
      </c>
      <c r="B1" s="3" t="s">
        <v>4</v>
      </c>
      <c r="C1" s="3" t="s">
        <v>464</v>
      </c>
      <c r="D1" s="3" t="s">
        <v>465</v>
      </c>
      <c r="E1" s="3" t="s">
        <v>244</v>
      </c>
    </row>
    <row r="2" customFormat="false" ht="15" hidden="false" customHeight="false" outlineLevel="0" collapsed="false">
      <c r="A2" s="12" t="s">
        <v>34</v>
      </c>
      <c r="B2" s="12" t="s">
        <v>35</v>
      </c>
      <c r="C2" s="12" t="s">
        <v>274</v>
      </c>
      <c r="D2" s="12" t="str">
        <f aca="false">INDEX('Country Tiers'!$C$2:$C$37,MATCH(C2,'Country Tiers'!$A$2:$A$37,0))</f>
        <v>Tier 3</v>
      </c>
      <c r="E2" s="12" t="n">
        <f aca="false">INDEX('Country Tiers'!$D$2:$D$37,MATCH(C2,'Country Tiers'!$A$2:$A$37,0))</f>
        <v>1</v>
      </c>
    </row>
    <row r="3" customFormat="false" ht="15" hidden="false" customHeight="false" outlineLevel="0" collapsed="false">
      <c r="A3" s="12" t="s">
        <v>34</v>
      </c>
      <c r="B3" s="12" t="s">
        <v>35</v>
      </c>
      <c r="C3" s="12" t="s">
        <v>277</v>
      </c>
      <c r="D3" s="12" t="str">
        <f aca="false">INDEX('Country Tiers'!$C$2:$C$37,MATCH(C3,'Country Tiers'!$A$2:$A$37,0))</f>
        <v>Tier 1</v>
      </c>
      <c r="E3" s="12" t="n">
        <f aca="false">INDEX('Country Tiers'!$D$2:$D$37,MATCH(C3,'Country Tiers'!$A$2:$A$37,0))</f>
        <v>3</v>
      </c>
    </row>
    <row r="4" customFormat="false" ht="15" hidden="false" customHeight="false" outlineLevel="0" collapsed="false">
      <c r="A4" s="12" t="s">
        <v>34</v>
      </c>
      <c r="B4" s="12" t="s">
        <v>35</v>
      </c>
      <c r="C4" s="12" t="s">
        <v>280</v>
      </c>
      <c r="D4" s="12" t="str">
        <f aca="false">INDEX('Country Tiers'!$C$2:$C$37,MATCH(C4,'Country Tiers'!$A$2:$A$37,0))</f>
        <v>Tier 3</v>
      </c>
      <c r="E4" s="12" t="n">
        <f aca="false">INDEX('Country Tiers'!$D$2:$D$37,MATCH(C4,'Country Tiers'!$A$2:$A$37,0))</f>
        <v>1</v>
      </c>
    </row>
    <row r="5" customFormat="false" ht="15" hidden="false" customHeight="false" outlineLevel="0" collapsed="false">
      <c r="A5" s="12" t="s">
        <v>34</v>
      </c>
      <c r="B5" s="12" t="s">
        <v>35</v>
      </c>
      <c r="C5" s="12" t="s">
        <v>281</v>
      </c>
      <c r="D5" s="12" t="str">
        <f aca="false">INDEX('Country Tiers'!$C$2:$C$37,MATCH(C5,'Country Tiers'!$A$2:$A$37,0))</f>
        <v>Tier 3</v>
      </c>
      <c r="E5" s="12" t="n">
        <f aca="false">INDEX('Country Tiers'!$D$2:$D$37,MATCH(C5,'Country Tiers'!$A$2:$A$37,0))</f>
        <v>1</v>
      </c>
    </row>
    <row r="6" customFormat="false" ht="15" hidden="false" customHeight="false" outlineLevel="0" collapsed="false">
      <c r="A6" s="12" t="s">
        <v>34</v>
      </c>
      <c r="B6" s="12" t="s">
        <v>35</v>
      </c>
      <c r="C6" s="12" t="s">
        <v>282</v>
      </c>
      <c r="D6" s="12" t="str">
        <f aca="false">INDEX('Country Tiers'!$C$2:$C$37,MATCH(C6,'Country Tiers'!$A$2:$A$37,0))</f>
        <v>Tier 3</v>
      </c>
      <c r="E6" s="12" t="n">
        <f aca="false">INDEX('Country Tiers'!$D$2:$D$37,MATCH(C6,'Country Tiers'!$A$2:$A$37,0))</f>
        <v>1</v>
      </c>
    </row>
    <row r="7" customFormat="false" ht="15" hidden="false" customHeight="false" outlineLevel="0" collapsed="false">
      <c r="A7" s="12" t="s">
        <v>34</v>
      </c>
      <c r="B7" s="12" t="s">
        <v>35</v>
      </c>
      <c r="C7" s="12" t="s">
        <v>283</v>
      </c>
      <c r="D7" s="12" t="str">
        <f aca="false">INDEX('Country Tiers'!$C$2:$C$37,MATCH(C7,'Country Tiers'!$A$2:$A$37,0))</f>
        <v>Tier 3</v>
      </c>
      <c r="E7" s="12" t="n">
        <f aca="false">INDEX('Country Tiers'!$D$2:$D$37,MATCH(C7,'Country Tiers'!$A$2:$A$37,0))</f>
        <v>1</v>
      </c>
    </row>
    <row r="8" customFormat="false" ht="15" hidden="false" customHeight="false" outlineLevel="0" collapsed="false">
      <c r="A8" s="12" t="s">
        <v>34</v>
      </c>
      <c r="B8" s="12" t="s">
        <v>35</v>
      </c>
      <c r="C8" s="12" t="s">
        <v>286</v>
      </c>
      <c r="D8" s="12" t="str">
        <f aca="false">INDEX('Country Tiers'!$C$2:$C$37,MATCH(C8,'Country Tiers'!$A$2:$A$37,0))</f>
        <v>Tier 1</v>
      </c>
      <c r="E8" s="12" t="n">
        <f aca="false">INDEX('Country Tiers'!$D$2:$D$37,MATCH(C8,'Country Tiers'!$A$2:$A$37,0))</f>
        <v>3</v>
      </c>
    </row>
    <row r="9" customFormat="false" ht="15" hidden="false" customHeight="false" outlineLevel="0" collapsed="false">
      <c r="A9" s="12" t="s">
        <v>34</v>
      </c>
      <c r="B9" s="12" t="s">
        <v>35</v>
      </c>
      <c r="C9" s="12" t="s">
        <v>287</v>
      </c>
      <c r="D9" s="12" t="str">
        <f aca="false">INDEX('Country Tiers'!$C$2:$C$37,MATCH(C9,'Country Tiers'!$A$2:$A$37,0))</f>
        <v>Tier 1</v>
      </c>
      <c r="E9" s="12" t="n">
        <f aca="false">INDEX('Country Tiers'!$D$2:$D$37,MATCH(C9,'Country Tiers'!$A$2:$A$37,0))</f>
        <v>3</v>
      </c>
    </row>
    <row r="10" customFormat="false" ht="15" hidden="false" customHeight="false" outlineLevel="0" collapsed="false">
      <c r="A10" s="12" t="s">
        <v>34</v>
      </c>
      <c r="B10" s="12" t="s">
        <v>35</v>
      </c>
      <c r="C10" s="12" t="s">
        <v>288</v>
      </c>
      <c r="D10" s="12" t="str">
        <f aca="false">INDEX('Country Tiers'!$C$2:$C$37,MATCH(C10,'Country Tiers'!$A$2:$A$37,0))</f>
        <v>Tier 3</v>
      </c>
      <c r="E10" s="12" t="n">
        <f aca="false">INDEX('Country Tiers'!$D$2:$D$37,MATCH(C10,'Country Tiers'!$A$2:$A$37,0))</f>
        <v>1</v>
      </c>
    </row>
    <row r="11" customFormat="false" ht="15" hidden="false" customHeight="false" outlineLevel="0" collapsed="false">
      <c r="A11" s="12" t="s">
        <v>34</v>
      </c>
      <c r="B11" s="12" t="s">
        <v>35</v>
      </c>
      <c r="C11" s="12" t="s">
        <v>289</v>
      </c>
      <c r="D11" s="12" t="str">
        <f aca="false">INDEX('Country Tiers'!$C$2:$C$37,MATCH(C11,'Country Tiers'!$A$2:$A$37,0))</f>
        <v>Tier 3</v>
      </c>
      <c r="E11" s="12" t="n">
        <f aca="false">INDEX('Country Tiers'!$D$2:$D$37,MATCH(C11,'Country Tiers'!$A$2:$A$37,0))</f>
        <v>1</v>
      </c>
    </row>
    <row r="12" customFormat="false" ht="15" hidden="false" customHeight="false" outlineLevel="0" collapsed="false">
      <c r="A12" s="12" t="s">
        <v>34</v>
      </c>
      <c r="B12" s="12" t="s">
        <v>35</v>
      </c>
      <c r="C12" s="12" t="s">
        <v>290</v>
      </c>
      <c r="D12" s="12" t="str">
        <f aca="false">INDEX('Country Tiers'!$C$2:$C$37,MATCH(C12,'Country Tiers'!$A$2:$A$37,0))</f>
        <v>Tier 3</v>
      </c>
      <c r="E12" s="12" t="n">
        <f aca="false">INDEX('Country Tiers'!$D$2:$D$37,MATCH(C12,'Country Tiers'!$A$2:$A$37,0))</f>
        <v>1</v>
      </c>
    </row>
    <row r="13" customFormat="false" ht="15" hidden="false" customHeight="false" outlineLevel="0" collapsed="false">
      <c r="A13" s="12" t="s">
        <v>34</v>
      </c>
      <c r="B13" s="12" t="s">
        <v>35</v>
      </c>
      <c r="C13" s="12" t="s">
        <v>291</v>
      </c>
      <c r="D13" s="12" t="str">
        <f aca="false">INDEX('Country Tiers'!$C$2:$C$37,MATCH(C13,'Country Tiers'!$A$2:$A$37,0))</f>
        <v>Tier 3</v>
      </c>
      <c r="E13" s="12" t="n">
        <f aca="false">INDEX('Country Tiers'!$D$2:$D$37,MATCH(C13,'Country Tiers'!$A$2:$A$37,0))</f>
        <v>1</v>
      </c>
    </row>
    <row r="14" customFormat="false" ht="15" hidden="false" customHeight="false" outlineLevel="0" collapsed="false">
      <c r="A14" s="12" t="s">
        <v>34</v>
      </c>
      <c r="B14" s="12" t="s">
        <v>35</v>
      </c>
      <c r="C14" s="12" t="s">
        <v>292</v>
      </c>
      <c r="D14" s="12" t="str">
        <f aca="false">INDEX('Country Tiers'!$C$2:$C$37,MATCH(C14,'Country Tiers'!$A$2:$A$37,0))</f>
        <v>Tier 2</v>
      </c>
      <c r="E14" s="12" t="n">
        <f aca="false">INDEX('Country Tiers'!$D$2:$D$37,MATCH(C14,'Country Tiers'!$A$2:$A$37,0))</f>
        <v>2</v>
      </c>
    </row>
    <row r="15" customFormat="false" ht="15" hidden="false" customHeight="false" outlineLevel="0" collapsed="false">
      <c r="A15" s="12" t="s">
        <v>34</v>
      </c>
      <c r="B15" s="12" t="s">
        <v>35</v>
      </c>
      <c r="C15" s="12" t="s">
        <v>293</v>
      </c>
      <c r="D15" s="12" t="str">
        <f aca="false">INDEX('Country Tiers'!$C$2:$C$37,MATCH(C15,'Country Tiers'!$A$2:$A$37,0))</f>
        <v>Tier 3</v>
      </c>
      <c r="E15" s="12" t="n">
        <f aca="false">INDEX('Country Tiers'!$D$2:$D$37,MATCH(C15,'Country Tiers'!$A$2:$A$37,0))</f>
        <v>1</v>
      </c>
    </row>
    <row r="16" customFormat="false" ht="15" hidden="false" customHeight="false" outlineLevel="0" collapsed="false">
      <c r="A16" s="12" t="s">
        <v>34</v>
      </c>
      <c r="B16" s="12" t="s">
        <v>35</v>
      </c>
      <c r="C16" s="12" t="s">
        <v>295</v>
      </c>
      <c r="D16" s="12" t="str">
        <f aca="false">INDEX('Country Tiers'!$C$2:$C$37,MATCH(C16,'Country Tiers'!$A$2:$A$37,0))</f>
        <v>Tier 3</v>
      </c>
      <c r="E16" s="12" t="n">
        <f aca="false">INDEX('Country Tiers'!$D$2:$D$37,MATCH(C16,'Country Tiers'!$A$2:$A$37,0))</f>
        <v>1</v>
      </c>
    </row>
    <row r="17" customFormat="false" ht="15" hidden="false" customHeight="false" outlineLevel="0" collapsed="false">
      <c r="A17" s="12" t="s">
        <v>34</v>
      </c>
      <c r="B17" s="12" t="s">
        <v>35</v>
      </c>
      <c r="C17" s="12" t="s">
        <v>296</v>
      </c>
      <c r="D17" s="12" t="str">
        <f aca="false">INDEX('Country Tiers'!$C$2:$C$37,MATCH(C17,'Country Tiers'!$A$2:$A$37,0))</f>
        <v>Tier 3</v>
      </c>
      <c r="E17" s="12" t="n">
        <f aca="false">INDEX('Country Tiers'!$D$2:$D$37,MATCH(C17,'Country Tiers'!$A$2:$A$37,0))</f>
        <v>1</v>
      </c>
    </row>
    <row r="18" customFormat="false" ht="15" hidden="false" customHeight="false" outlineLevel="0" collapsed="false">
      <c r="A18" s="12" t="s">
        <v>34</v>
      </c>
      <c r="B18" s="12" t="s">
        <v>35</v>
      </c>
      <c r="C18" s="12" t="s">
        <v>297</v>
      </c>
      <c r="D18" s="12" t="str">
        <f aca="false">INDEX('Country Tiers'!$C$2:$C$37,MATCH(C18,'Country Tiers'!$A$2:$A$37,0))</f>
        <v>Tier 2</v>
      </c>
      <c r="E18" s="12" t="n">
        <f aca="false">INDEX('Country Tiers'!$D$2:$D$37,MATCH(C18,'Country Tiers'!$A$2:$A$37,0))</f>
        <v>2</v>
      </c>
    </row>
    <row r="19" customFormat="false" ht="15" hidden="false" customHeight="false" outlineLevel="0" collapsed="false">
      <c r="A19" s="12" t="s">
        <v>34</v>
      </c>
      <c r="B19" s="12" t="s">
        <v>35</v>
      </c>
      <c r="C19" s="12" t="s">
        <v>298</v>
      </c>
      <c r="D19" s="12" t="str">
        <f aca="false">INDEX('Country Tiers'!$C$2:$C$37,MATCH(C19,'Country Tiers'!$A$2:$A$37,0))</f>
        <v>Tier 1</v>
      </c>
      <c r="E19" s="12" t="n">
        <f aca="false">INDEX('Country Tiers'!$D$2:$D$37,MATCH(C19,'Country Tiers'!$A$2:$A$37,0))</f>
        <v>3</v>
      </c>
    </row>
    <row r="20" customFormat="false" ht="15" hidden="false" customHeight="false" outlineLevel="0" collapsed="false">
      <c r="A20" s="12" t="s">
        <v>34</v>
      </c>
      <c r="B20" s="12" t="s">
        <v>35</v>
      </c>
      <c r="C20" s="12" t="s">
        <v>299</v>
      </c>
      <c r="D20" s="12" t="str">
        <f aca="false">INDEX('Country Tiers'!$C$2:$C$37,MATCH(C20,'Country Tiers'!$A$2:$A$37,0))</f>
        <v>Tier 3</v>
      </c>
      <c r="E20" s="12" t="n">
        <f aca="false">INDEX('Country Tiers'!$D$2:$D$37,MATCH(C20,'Country Tiers'!$A$2:$A$37,0))</f>
        <v>1</v>
      </c>
    </row>
    <row r="21" customFormat="false" ht="15" hidden="false" customHeight="false" outlineLevel="0" collapsed="false">
      <c r="A21" s="12" t="s">
        <v>34</v>
      </c>
      <c r="B21" s="12" t="s">
        <v>35</v>
      </c>
      <c r="C21" s="12" t="s">
        <v>300</v>
      </c>
      <c r="D21" s="12" t="str">
        <f aca="false">INDEX('Country Tiers'!$C$2:$C$37,MATCH(C21,'Country Tiers'!$A$2:$A$37,0))</f>
        <v>Tier 3</v>
      </c>
      <c r="E21" s="12" t="n">
        <f aca="false">INDEX('Country Tiers'!$D$2:$D$37,MATCH(C21,'Country Tiers'!$A$2:$A$37,0))</f>
        <v>1</v>
      </c>
    </row>
    <row r="22" customFormat="false" ht="15" hidden="false" customHeight="false" outlineLevel="0" collapsed="false">
      <c r="A22" s="12" t="s">
        <v>34</v>
      </c>
      <c r="B22" s="12" t="s">
        <v>35</v>
      </c>
      <c r="C22" s="12" t="s">
        <v>301</v>
      </c>
      <c r="D22" s="12" t="str">
        <f aca="false">INDEX('Country Tiers'!$C$2:$C$37,MATCH(C22,'Country Tiers'!$A$2:$A$37,0))</f>
        <v>Tier 3</v>
      </c>
      <c r="E22" s="12" t="n">
        <f aca="false">INDEX('Country Tiers'!$D$2:$D$37,MATCH(C22,'Country Tiers'!$A$2:$A$37,0))</f>
        <v>1</v>
      </c>
    </row>
    <row r="23" customFormat="false" ht="15" hidden="false" customHeight="false" outlineLevel="0" collapsed="false">
      <c r="A23" s="12" t="s">
        <v>34</v>
      </c>
      <c r="B23" s="12" t="s">
        <v>35</v>
      </c>
      <c r="C23" s="12" t="s">
        <v>302</v>
      </c>
      <c r="D23" s="12" t="str">
        <f aca="false">INDEX('Country Tiers'!$C$2:$C$37,MATCH(C23,'Country Tiers'!$A$2:$A$37,0))</f>
        <v>Tier 3</v>
      </c>
      <c r="E23" s="12" t="n">
        <f aca="false">INDEX('Country Tiers'!$D$2:$D$37,MATCH(C23,'Country Tiers'!$A$2:$A$37,0))</f>
        <v>1</v>
      </c>
    </row>
    <row r="24" customFormat="false" ht="15" hidden="false" customHeight="false" outlineLevel="0" collapsed="false">
      <c r="A24" s="12" t="s">
        <v>34</v>
      </c>
      <c r="B24" s="12" t="s">
        <v>35</v>
      </c>
      <c r="C24" s="12" t="s">
        <v>305</v>
      </c>
      <c r="D24" s="12" t="str">
        <f aca="false">INDEX('Country Tiers'!$C$2:$C$37,MATCH(C24,'Country Tiers'!$A$2:$A$37,0))</f>
        <v>Tier 3</v>
      </c>
      <c r="E24" s="12" t="n">
        <f aca="false">INDEX('Country Tiers'!$D$2:$D$37,MATCH(C24,'Country Tiers'!$A$2:$A$37,0))</f>
        <v>1</v>
      </c>
    </row>
    <row r="25" customFormat="false" ht="15" hidden="false" customHeight="false" outlineLevel="0" collapsed="false">
      <c r="A25" s="12" t="s">
        <v>34</v>
      </c>
      <c r="B25" s="12" t="s">
        <v>35</v>
      </c>
      <c r="C25" s="12" t="s">
        <v>307</v>
      </c>
      <c r="D25" s="12" t="str">
        <f aca="false">INDEX('Country Tiers'!$C$2:$C$37,MATCH(C25,'Country Tiers'!$A$2:$A$37,0))</f>
        <v>Tier 2</v>
      </c>
      <c r="E25" s="12" t="n">
        <f aca="false">INDEX('Country Tiers'!$D$2:$D$37,MATCH(C25,'Country Tiers'!$A$2:$A$37,0))</f>
        <v>2</v>
      </c>
    </row>
    <row r="26" customFormat="false" ht="15" hidden="false" customHeight="false" outlineLevel="0" collapsed="false">
      <c r="A26" s="12" t="s">
        <v>34</v>
      </c>
      <c r="B26" s="12" t="s">
        <v>35</v>
      </c>
      <c r="C26" s="12" t="s">
        <v>308</v>
      </c>
      <c r="D26" s="12" t="str">
        <f aca="false">INDEX('Country Tiers'!$C$2:$C$37,MATCH(C26,'Country Tiers'!$A$2:$A$37,0))</f>
        <v>Tier 3</v>
      </c>
      <c r="E26" s="12" t="n">
        <f aca="false">INDEX('Country Tiers'!$D$2:$D$37,MATCH(C26,'Country Tiers'!$A$2:$A$37,0))</f>
        <v>1</v>
      </c>
    </row>
    <row r="27" customFormat="false" ht="15" hidden="false" customHeight="false" outlineLevel="0" collapsed="false">
      <c r="A27" s="12" t="s">
        <v>34</v>
      </c>
      <c r="B27" s="12" t="s">
        <v>35</v>
      </c>
      <c r="C27" s="12" t="s">
        <v>309</v>
      </c>
      <c r="D27" s="12" t="str">
        <f aca="false">INDEX('Country Tiers'!$C$2:$C$37,MATCH(C27,'Country Tiers'!$A$2:$A$37,0))</f>
        <v>Tier 1</v>
      </c>
      <c r="E27" s="12" t="n">
        <f aca="false">INDEX('Country Tiers'!$D$2:$D$37,MATCH(C27,'Country Tiers'!$A$2:$A$37,0))</f>
        <v>3</v>
      </c>
    </row>
    <row r="28" customFormat="false" ht="15" hidden="false" customHeight="false" outlineLevel="0" collapsed="false">
      <c r="A28" s="12" t="s">
        <v>34</v>
      </c>
      <c r="B28" s="12" t="s">
        <v>35</v>
      </c>
      <c r="C28" s="12" t="s">
        <v>313</v>
      </c>
      <c r="D28" s="12" t="str">
        <f aca="false">INDEX('Country Tiers'!$C$2:$C$37,MATCH(C28,'Country Tiers'!$A$2:$A$37,0))</f>
        <v>Tier 1</v>
      </c>
      <c r="E28" s="12" t="n">
        <f aca="false">INDEX('Country Tiers'!$D$2:$D$37,MATCH(C28,'Country Tiers'!$A$2:$A$37,0))</f>
        <v>3</v>
      </c>
    </row>
    <row r="29" customFormat="false" ht="15" hidden="false" customHeight="false" outlineLevel="0" collapsed="false">
      <c r="A29" s="12" t="s">
        <v>34</v>
      </c>
      <c r="B29" s="12" t="s">
        <v>36</v>
      </c>
      <c r="C29" s="12" t="s">
        <v>311</v>
      </c>
      <c r="D29" s="12" t="str">
        <f aca="false">INDEX('Country Tiers'!$C$2:$C$37,MATCH(C29,'Country Tiers'!$A$2:$A$37,0))</f>
        <v>Tier 1</v>
      </c>
      <c r="E29" s="12" t="n">
        <f aca="false">INDEX('Country Tiers'!$D$2:$D$37,MATCH(C29,'Country Tiers'!$A$2:$A$37,0))</f>
        <v>3</v>
      </c>
    </row>
    <row r="30" customFormat="false" ht="15" hidden="false" customHeight="false" outlineLevel="0" collapsed="false">
      <c r="A30" s="12" t="s">
        <v>37</v>
      </c>
      <c r="B30" s="12" t="s">
        <v>38</v>
      </c>
      <c r="C30" s="12" t="s">
        <v>274</v>
      </c>
      <c r="D30" s="12" t="str">
        <f aca="false">INDEX('Country Tiers'!$C$2:$C$37,MATCH(C30,'Country Tiers'!$A$2:$A$37,0))</f>
        <v>Tier 3</v>
      </c>
      <c r="E30" s="12" t="n">
        <f aca="false">INDEX('Country Tiers'!$D$2:$D$37,MATCH(C30,'Country Tiers'!$A$2:$A$37,0))</f>
        <v>1</v>
      </c>
    </row>
    <row r="31" customFormat="false" ht="15" hidden="false" customHeight="false" outlineLevel="0" collapsed="false">
      <c r="A31" s="12" t="s">
        <v>37</v>
      </c>
      <c r="B31" s="12" t="s">
        <v>38</v>
      </c>
      <c r="C31" s="12" t="s">
        <v>277</v>
      </c>
      <c r="D31" s="12" t="str">
        <f aca="false">INDEX('Country Tiers'!$C$2:$C$37,MATCH(C31,'Country Tiers'!$A$2:$A$37,0))</f>
        <v>Tier 1</v>
      </c>
      <c r="E31" s="12" t="n">
        <f aca="false">INDEX('Country Tiers'!$D$2:$D$37,MATCH(C31,'Country Tiers'!$A$2:$A$37,0))</f>
        <v>3</v>
      </c>
    </row>
    <row r="32" customFormat="false" ht="15" hidden="false" customHeight="false" outlineLevel="0" collapsed="false">
      <c r="A32" s="12" t="s">
        <v>37</v>
      </c>
      <c r="B32" s="12" t="s">
        <v>38</v>
      </c>
      <c r="C32" s="12" t="s">
        <v>281</v>
      </c>
      <c r="D32" s="12" t="str">
        <f aca="false">INDEX('Country Tiers'!$C$2:$C$37,MATCH(C32,'Country Tiers'!$A$2:$A$37,0))</f>
        <v>Tier 3</v>
      </c>
      <c r="E32" s="12" t="n">
        <f aca="false">INDEX('Country Tiers'!$D$2:$D$37,MATCH(C32,'Country Tiers'!$A$2:$A$37,0))</f>
        <v>1</v>
      </c>
    </row>
    <row r="33" customFormat="false" ht="15" hidden="false" customHeight="false" outlineLevel="0" collapsed="false">
      <c r="A33" s="12" t="s">
        <v>37</v>
      </c>
      <c r="B33" s="12" t="s">
        <v>38</v>
      </c>
      <c r="C33" s="12" t="s">
        <v>282</v>
      </c>
      <c r="D33" s="12" t="str">
        <f aca="false">INDEX('Country Tiers'!$C$2:$C$37,MATCH(C33,'Country Tiers'!$A$2:$A$37,0))</f>
        <v>Tier 3</v>
      </c>
      <c r="E33" s="12" t="n">
        <f aca="false">INDEX('Country Tiers'!$D$2:$D$37,MATCH(C33,'Country Tiers'!$A$2:$A$37,0))</f>
        <v>1</v>
      </c>
    </row>
    <row r="34" customFormat="false" ht="15" hidden="false" customHeight="false" outlineLevel="0" collapsed="false">
      <c r="A34" s="12" t="s">
        <v>37</v>
      </c>
      <c r="B34" s="12" t="s">
        <v>38</v>
      </c>
      <c r="C34" s="12" t="s">
        <v>283</v>
      </c>
      <c r="D34" s="12" t="str">
        <f aca="false">INDEX('Country Tiers'!$C$2:$C$37,MATCH(C34,'Country Tiers'!$A$2:$A$37,0))</f>
        <v>Tier 3</v>
      </c>
      <c r="E34" s="12" t="n">
        <f aca="false">INDEX('Country Tiers'!$D$2:$D$37,MATCH(C34,'Country Tiers'!$A$2:$A$37,0))</f>
        <v>1</v>
      </c>
    </row>
    <row r="35" customFormat="false" ht="15" hidden="false" customHeight="false" outlineLevel="0" collapsed="false">
      <c r="A35" s="12" t="s">
        <v>37</v>
      </c>
      <c r="B35" s="12" t="s">
        <v>38</v>
      </c>
      <c r="C35" s="12" t="s">
        <v>284</v>
      </c>
      <c r="D35" s="12" t="str">
        <f aca="false">INDEX('Country Tiers'!$C$2:$C$37,MATCH(C35,'Country Tiers'!$A$2:$A$37,0))</f>
        <v>Tier 3</v>
      </c>
      <c r="E35" s="12" t="n">
        <f aca="false">INDEX('Country Tiers'!$D$2:$D$37,MATCH(C35,'Country Tiers'!$A$2:$A$37,0))</f>
        <v>1</v>
      </c>
    </row>
    <row r="36" customFormat="false" ht="15" hidden="false" customHeight="false" outlineLevel="0" collapsed="false">
      <c r="A36" s="12" t="s">
        <v>37</v>
      </c>
      <c r="B36" s="12" t="s">
        <v>38</v>
      </c>
      <c r="C36" s="12" t="s">
        <v>285</v>
      </c>
      <c r="D36" s="12" t="str">
        <f aca="false">INDEX('Country Tiers'!$C$2:$C$37,MATCH(C36,'Country Tiers'!$A$2:$A$37,0))</f>
        <v>Tier 3</v>
      </c>
      <c r="E36" s="12" t="n">
        <f aca="false">INDEX('Country Tiers'!$D$2:$D$37,MATCH(C36,'Country Tiers'!$A$2:$A$37,0))</f>
        <v>1</v>
      </c>
    </row>
    <row r="37" customFormat="false" ht="15" hidden="false" customHeight="false" outlineLevel="0" collapsed="false">
      <c r="A37" s="12" t="s">
        <v>37</v>
      </c>
      <c r="B37" s="12" t="s">
        <v>38</v>
      </c>
      <c r="C37" s="12" t="s">
        <v>286</v>
      </c>
      <c r="D37" s="12" t="str">
        <f aca="false">INDEX('Country Tiers'!$C$2:$C$37,MATCH(C37,'Country Tiers'!$A$2:$A$37,0))</f>
        <v>Tier 1</v>
      </c>
      <c r="E37" s="12" t="n">
        <f aca="false">INDEX('Country Tiers'!$D$2:$D$37,MATCH(C37,'Country Tiers'!$A$2:$A$37,0))</f>
        <v>3</v>
      </c>
    </row>
    <row r="38" customFormat="false" ht="15" hidden="false" customHeight="false" outlineLevel="0" collapsed="false">
      <c r="A38" s="12" t="s">
        <v>37</v>
      </c>
      <c r="B38" s="12" t="s">
        <v>38</v>
      </c>
      <c r="C38" s="12" t="s">
        <v>287</v>
      </c>
      <c r="D38" s="12" t="str">
        <f aca="false">INDEX('Country Tiers'!$C$2:$C$37,MATCH(C38,'Country Tiers'!$A$2:$A$37,0))</f>
        <v>Tier 1</v>
      </c>
      <c r="E38" s="12" t="n">
        <f aca="false">INDEX('Country Tiers'!$D$2:$D$37,MATCH(C38,'Country Tiers'!$A$2:$A$37,0))</f>
        <v>3</v>
      </c>
    </row>
    <row r="39" customFormat="false" ht="15" hidden="false" customHeight="false" outlineLevel="0" collapsed="false">
      <c r="A39" s="12" t="s">
        <v>37</v>
      </c>
      <c r="B39" s="12" t="s">
        <v>38</v>
      </c>
      <c r="C39" s="12" t="s">
        <v>288</v>
      </c>
      <c r="D39" s="12" t="str">
        <f aca="false">INDEX('Country Tiers'!$C$2:$C$37,MATCH(C39,'Country Tiers'!$A$2:$A$37,0))</f>
        <v>Tier 3</v>
      </c>
      <c r="E39" s="12" t="n">
        <f aca="false">INDEX('Country Tiers'!$D$2:$D$37,MATCH(C39,'Country Tiers'!$A$2:$A$37,0))</f>
        <v>1</v>
      </c>
    </row>
    <row r="40" customFormat="false" ht="15" hidden="false" customHeight="false" outlineLevel="0" collapsed="false">
      <c r="A40" s="12" t="s">
        <v>37</v>
      </c>
      <c r="B40" s="12" t="s">
        <v>38</v>
      </c>
      <c r="C40" s="12" t="s">
        <v>289</v>
      </c>
      <c r="D40" s="12" t="str">
        <f aca="false">INDEX('Country Tiers'!$C$2:$C$37,MATCH(C40,'Country Tiers'!$A$2:$A$37,0))</f>
        <v>Tier 3</v>
      </c>
      <c r="E40" s="12" t="n">
        <f aca="false">INDEX('Country Tiers'!$D$2:$D$37,MATCH(C40,'Country Tiers'!$A$2:$A$37,0))</f>
        <v>1</v>
      </c>
    </row>
    <row r="41" customFormat="false" ht="15" hidden="false" customHeight="false" outlineLevel="0" collapsed="false">
      <c r="A41" s="12" t="s">
        <v>37</v>
      </c>
      <c r="B41" s="12" t="s">
        <v>38</v>
      </c>
      <c r="C41" s="12" t="s">
        <v>291</v>
      </c>
      <c r="D41" s="12" t="str">
        <f aca="false">INDEX('Country Tiers'!$C$2:$C$37,MATCH(C41,'Country Tiers'!$A$2:$A$37,0))</f>
        <v>Tier 3</v>
      </c>
      <c r="E41" s="12" t="n">
        <f aca="false">INDEX('Country Tiers'!$D$2:$D$37,MATCH(C41,'Country Tiers'!$A$2:$A$37,0))</f>
        <v>1</v>
      </c>
    </row>
    <row r="42" customFormat="false" ht="15" hidden="false" customHeight="false" outlineLevel="0" collapsed="false">
      <c r="A42" s="12" t="s">
        <v>37</v>
      </c>
      <c r="B42" s="12" t="s">
        <v>38</v>
      </c>
      <c r="C42" s="12" t="s">
        <v>292</v>
      </c>
      <c r="D42" s="12" t="str">
        <f aca="false">INDEX('Country Tiers'!$C$2:$C$37,MATCH(C42,'Country Tiers'!$A$2:$A$37,0))</f>
        <v>Tier 2</v>
      </c>
      <c r="E42" s="12" t="n">
        <f aca="false">INDEX('Country Tiers'!$D$2:$D$37,MATCH(C42,'Country Tiers'!$A$2:$A$37,0))</f>
        <v>2</v>
      </c>
    </row>
    <row r="43" customFormat="false" ht="15" hidden="false" customHeight="false" outlineLevel="0" collapsed="false">
      <c r="A43" s="12" t="s">
        <v>37</v>
      </c>
      <c r="B43" s="12" t="s">
        <v>38</v>
      </c>
      <c r="C43" s="12" t="s">
        <v>295</v>
      </c>
      <c r="D43" s="12" t="str">
        <f aca="false">INDEX('Country Tiers'!$C$2:$C$37,MATCH(C43,'Country Tiers'!$A$2:$A$37,0))</f>
        <v>Tier 3</v>
      </c>
      <c r="E43" s="12" t="n">
        <f aca="false">INDEX('Country Tiers'!$D$2:$D$37,MATCH(C43,'Country Tiers'!$A$2:$A$37,0))</f>
        <v>1</v>
      </c>
    </row>
    <row r="44" customFormat="false" ht="15" hidden="false" customHeight="false" outlineLevel="0" collapsed="false">
      <c r="A44" s="12" t="s">
        <v>37</v>
      </c>
      <c r="B44" s="12" t="s">
        <v>38</v>
      </c>
      <c r="C44" s="12" t="s">
        <v>296</v>
      </c>
      <c r="D44" s="12" t="str">
        <f aca="false">INDEX('Country Tiers'!$C$2:$C$37,MATCH(C44,'Country Tiers'!$A$2:$A$37,0))</f>
        <v>Tier 3</v>
      </c>
      <c r="E44" s="12" t="n">
        <f aca="false">INDEX('Country Tiers'!$D$2:$D$37,MATCH(C44,'Country Tiers'!$A$2:$A$37,0))</f>
        <v>1</v>
      </c>
    </row>
    <row r="45" customFormat="false" ht="15" hidden="false" customHeight="false" outlineLevel="0" collapsed="false">
      <c r="A45" s="12" t="s">
        <v>37</v>
      </c>
      <c r="B45" s="12" t="s">
        <v>38</v>
      </c>
      <c r="C45" s="12" t="s">
        <v>298</v>
      </c>
      <c r="D45" s="12" t="str">
        <f aca="false">INDEX('Country Tiers'!$C$2:$C$37,MATCH(C45,'Country Tiers'!$A$2:$A$37,0))</f>
        <v>Tier 1</v>
      </c>
      <c r="E45" s="12" t="n">
        <f aca="false">INDEX('Country Tiers'!$D$2:$D$37,MATCH(C45,'Country Tiers'!$A$2:$A$37,0))</f>
        <v>3</v>
      </c>
    </row>
    <row r="46" customFormat="false" ht="15" hidden="false" customHeight="false" outlineLevel="0" collapsed="false">
      <c r="A46" s="12" t="s">
        <v>37</v>
      </c>
      <c r="B46" s="12" t="s">
        <v>38</v>
      </c>
      <c r="C46" s="12" t="s">
        <v>299</v>
      </c>
      <c r="D46" s="12" t="str">
        <f aca="false">INDEX('Country Tiers'!$C$2:$C$37,MATCH(C46,'Country Tiers'!$A$2:$A$37,0))</f>
        <v>Tier 3</v>
      </c>
      <c r="E46" s="12" t="n">
        <f aca="false">INDEX('Country Tiers'!$D$2:$D$37,MATCH(C46,'Country Tiers'!$A$2:$A$37,0))</f>
        <v>1</v>
      </c>
    </row>
    <row r="47" customFormat="false" ht="15" hidden="false" customHeight="false" outlineLevel="0" collapsed="false">
      <c r="A47" s="12" t="s">
        <v>37</v>
      </c>
      <c r="B47" s="12" t="s">
        <v>38</v>
      </c>
      <c r="C47" s="12" t="s">
        <v>300</v>
      </c>
      <c r="D47" s="12" t="str">
        <f aca="false">INDEX('Country Tiers'!$C$2:$C$37,MATCH(C47,'Country Tiers'!$A$2:$A$37,0))</f>
        <v>Tier 3</v>
      </c>
      <c r="E47" s="12" t="n">
        <f aca="false">INDEX('Country Tiers'!$D$2:$D$37,MATCH(C47,'Country Tiers'!$A$2:$A$37,0))</f>
        <v>1</v>
      </c>
    </row>
    <row r="48" customFormat="false" ht="15" hidden="false" customHeight="false" outlineLevel="0" collapsed="false">
      <c r="A48" s="12" t="s">
        <v>37</v>
      </c>
      <c r="B48" s="12" t="s">
        <v>38</v>
      </c>
      <c r="C48" s="12" t="s">
        <v>301</v>
      </c>
      <c r="D48" s="12" t="str">
        <f aca="false">INDEX('Country Tiers'!$C$2:$C$37,MATCH(C48,'Country Tiers'!$A$2:$A$37,0))</f>
        <v>Tier 3</v>
      </c>
      <c r="E48" s="12" t="n">
        <f aca="false">INDEX('Country Tiers'!$D$2:$D$37,MATCH(C48,'Country Tiers'!$A$2:$A$37,0))</f>
        <v>1</v>
      </c>
    </row>
    <row r="49" customFormat="false" ht="15" hidden="false" customHeight="false" outlineLevel="0" collapsed="false">
      <c r="A49" s="12" t="s">
        <v>37</v>
      </c>
      <c r="B49" s="12" t="s">
        <v>38</v>
      </c>
      <c r="C49" s="12" t="s">
        <v>305</v>
      </c>
      <c r="D49" s="12" t="str">
        <f aca="false">INDEX('Country Tiers'!$C$2:$C$37,MATCH(C49,'Country Tiers'!$A$2:$A$37,0))</f>
        <v>Tier 3</v>
      </c>
      <c r="E49" s="12" t="n">
        <f aca="false">INDEX('Country Tiers'!$D$2:$D$37,MATCH(C49,'Country Tiers'!$A$2:$A$37,0))</f>
        <v>1</v>
      </c>
    </row>
    <row r="50" customFormat="false" ht="15" hidden="false" customHeight="false" outlineLevel="0" collapsed="false">
      <c r="A50" s="12" t="s">
        <v>37</v>
      </c>
      <c r="B50" s="12" t="s">
        <v>38</v>
      </c>
      <c r="C50" s="12" t="s">
        <v>307</v>
      </c>
      <c r="D50" s="12" t="str">
        <f aca="false">INDEX('Country Tiers'!$C$2:$C$37,MATCH(C50,'Country Tiers'!$A$2:$A$37,0))</f>
        <v>Tier 2</v>
      </c>
      <c r="E50" s="12" t="n">
        <f aca="false">INDEX('Country Tiers'!$D$2:$D$37,MATCH(C50,'Country Tiers'!$A$2:$A$37,0))</f>
        <v>2</v>
      </c>
    </row>
    <row r="51" customFormat="false" ht="15" hidden="false" customHeight="false" outlineLevel="0" collapsed="false">
      <c r="A51" s="12" t="s">
        <v>37</v>
      </c>
      <c r="B51" s="12" t="s">
        <v>38</v>
      </c>
      <c r="C51" s="12" t="s">
        <v>308</v>
      </c>
      <c r="D51" s="12" t="str">
        <f aca="false">INDEX('Country Tiers'!$C$2:$C$37,MATCH(C51,'Country Tiers'!$A$2:$A$37,0))</f>
        <v>Tier 3</v>
      </c>
      <c r="E51" s="12" t="n">
        <f aca="false">INDEX('Country Tiers'!$D$2:$D$37,MATCH(C51,'Country Tiers'!$A$2:$A$37,0))</f>
        <v>1</v>
      </c>
    </row>
    <row r="52" customFormat="false" ht="15" hidden="false" customHeight="false" outlineLevel="0" collapsed="false">
      <c r="A52" s="12" t="s">
        <v>37</v>
      </c>
      <c r="B52" s="12" t="s">
        <v>38</v>
      </c>
      <c r="C52" s="12" t="s">
        <v>309</v>
      </c>
      <c r="D52" s="12" t="str">
        <f aca="false">INDEX('Country Tiers'!$C$2:$C$37,MATCH(C52,'Country Tiers'!$A$2:$A$37,0))</f>
        <v>Tier 1</v>
      </c>
      <c r="E52" s="12" t="n">
        <f aca="false">INDEX('Country Tiers'!$D$2:$D$37,MATCH(C52,'Country Tiers'!$A$2:$A$37,0))</f>
        <v>3</v>
      </c>
    </row>
    <row r="53" customFormat="false" ht="15" hidden="false" customHeight="false" outlineLevel="0" collapsed="false">
      <c r="A53" s="12" t="s">
        <v>37</v>
      </c>
      <c r="B53" s="12" t="s">
        <v>38</v>
      </c>
      <c r="C53" s="12" t="s">
        <v>313</v>
      </c>
      <c r="D53" s="12" t="str">
        <f aca="false">INDEX('Country Tiers'!$C$2:$C$37,MATCH(C53,'Country Tiers'!$A$2:$A$37,0))</f>
        <v>Tier 1</v>
      </c>
      <c r="E53" s="12" t="n">
        <f aca="false">INDEX('Country Tiers'!$D$2:$D$37,MATCH(C53,'Country Tiers'!$A$2:$A$37,0))</f>
        <v>3</v>
      </c>
    </row>
    <row r="54" customFormat="false" ht="15" hidden="false" customHeight="false" outlineLevel="0" collapsed="false">
      <c r="A54" s="12" t="s">
        <v>39</v>
      </c>
      <c r="B54" s="12" t="s">
        <v>40</v>
      </c>
      <c r="C54" s="12" t="s">
        <v>272</v>
      </c>
      <c r="D54" s="12" t="str">
        <f aca="false">INDEX('Country Tiers'!$C$2:$C$37,MATCH(C54,'Country Tiers'!$A$2:$A$37,0))</f>
        <v>Tier 2</v>
      </c>
      <c r="E54" s="12" t="n">
        <f aca="false">INDEX('Country Tiers'!$D$2:$D$37,MATCH(C54,'Country Tiers'!$A$2:$A$37,0))</f>
        <v>2</v>
      </c>
    </row>
    <row r="55" customFormat="false" ht="15" hidden="false" customHeight="false" outlineLevel="0" collapsed="false">
      <c r="A55" s="12" t="s">
        <v>39</v>
      </c>
      <c r="B55" s="12" t="s">
        <v>41</v>
      </c>
      <c r="C55" s="12" t="s">
        <v>272</v>
      </c>
      <c r="D55" s="12" t="str">
        <f aca="false">INDEX('Country Tiers'!$C$2:$C$37,MATCH(C55,'Country Tiers'!$A$2:$A$37,0))</f>
        <v>Tier 2</v>
      </c>
      <c r="E55" s="12" t="n">
        <f aca="false">INDEX('Country Tiers'!$D$2:$D$37,MATCH(C55,'Country Tiers'!$A$2:$A$37,0))</f>
        <v>2</v>
      </c>
    </row>
    <row r="56" customFormat="false" ht="15" hidden="false" customHeight="false" outlineLevel="0" collapsed="false">
      <c r="A56" s="12" t="s">
        <v>39</v>
      </c>
      <c r="B56" s="12" t="s">
        <v>41</v>
      </c>
      <c r="C56" s="12" t="s">
        <v>274</v>
      </c>
      <c r="D56" s="12" t="str">
        <f aca="false">INDEX('Country Tiers'!$C$2:$C$37,MATCH(C56,'Country Tiers'!$A$2:$A$37,0))</f>
        <v>Tier 3</v>
      </c>
      <c r="E56" s="12" t="n">
        <f aca="false">INDEX('Country Tiers'!$D$2:$D$37,MATCH(C56,'Country Tiers'!$A$2:$A$37,0))</f>
        <v>1</v>
      </c>
    </row>
    <row r="57" customFormat="false" ht="15" hidden="false" customHeight="false" outlineLevel="0" collapsed="false">
      <c r="A57" s="12" t="s">
        <v>39</v>
      </c>
      <c r="B57" s="12" t="s">
        <v>41</v>
      </c>
      <c r="C57" s="12" t="s">
        <v>277</v>
      </c>
      <c r="D57" s="12" t="str">
        <f aca="false">INDEX('Country Tiers'!$C$2:$C$37,MATCH(C57,'Country Tiers'!$A$2:$A$37,0))</f>
        <v>Tier 1</v>
      </c>
      <c r="E57" s="12" t="n">
        <f aca="false">INDEX('Country Tiers'!$D$2:$D$37,MATCH(C57,'Country Tiers'!$A$2:$A$37,0))</f>
        <v>3</v>
      </c>
    </row>
    <row r="58" customFormat="false" ht="15" hidden="false" customHeight="false" outlineLevel="0" collapsed="false">
      <c r="A58" s="12" t="s">
        <v>39</v>
      </c>
      <c r="B58" s="12" t="s">
        <v>41</v>
      </c>
      <c r="C58" s="12" t="s">
        <v>282</v>
      </c>
      <c r="D58" s="12" t="str">
        <f aca="false">INDEX('Country Tiers'!$C$2:$C$37,MATCH(C58,'Country Tiers'!$A$2:$A$37,0))</f>
        <v>Tier 3</v>
      </c>
      <c r="E58" s="12" t="n">
        <f aca="false">INDEX('Country Tiers'!$D$2:$D$37,MATCH(C58,'Country Tiers'!$A$2:$A$37,0))</f>
        <v>1</v>
      </c>
    </row>
    <row r="59" customFormat="false" ht="15" hidden="false" customHeight="false" outlineLevel="0" collapsed="false">
      <c r="A59" s="12" t="s">
        <v>39</v>
      </c>
      <c r="B59" s="12" t="s">
        <v>41</v>
      </c>
      <c r="C59" s="12" t="s">
        <v>285</v>
      </c>
      <c r="D59" s="12" t="str">
        <f aca="false">INDEX('Country Tiers'!$C$2:$C$37,MATCH(C59,'Country Tiers'!$A$2:$A$37,0))</f>
        <v>Tier 3</v>
      </c>
      <c r="E59" s="12" t="n">
        <f aca="false">INDEX('Country Tiers'!$D$2:$D$37,MATCH(C59,'Country Tiers'!$A$2:$A$37,0))</f>
        <v>1</v>
      </c>
    </row>
    <row r="60" customFormat="false" ht="15" hidden="false" customHeight="false" outlineLevel="0" collapsed="false">
      <c r="A60" s="12" t="s">
        <v>39</v>
      </c>
      <c r="B60" s="12" t="s">
        <v>41</v>
      </c>
      <c r="C60" s="12" t="s">
        <v>286</v>
      </c>
      <c r="D60" s="12" t="str">
        <f aca="false">INDEX('Country Tiers'!$C$2:$C$37,MATCH(C60,'Country Tiers'!$A$2:$A$37,0))</f>
        <v>Tier 1</v>
      </c>
      <c r="E60" s="12" t="n">
        <f aca="false">INDEX('Country Tiers'!$D$2:$D$37,MATCH(C60,'Country Tiers'!$A$2:$A$37,0))</f>
        <v>3</v>
      </c>
    </row>
    <row r="61" customFormat="false" ht="15" hidden="false" customHeight="false" outlineLevel="0" collapsed="false">
      <c r="A61" s="12" t="s">
        <v>39</v>
      </c>
      <c r="B61" s="12" t="s">
        <v>41</v>
      </c>
      <c r="C61" s="12" t="s">
        <v>287</v>
      </c>
      <c r="D61" s="12" t="str">
        <f aca="false">INDEX('Country Tiers'!$C$2:$C$37,MATCH(C61,'Country Tiers'!$A$2:$A$37,0))</f>
        <v>Tier 1</v>
      </c>
      <c r="E61" s="12" t="n">
        <f aca="false">INDEX('Country Tiers'!$D$2:$D$37,MATCH(C61,'Country Tiers'!$A$2:$A$37,0))</f>
        <v>3</v>
      </c>
    </row>
    <row r="62" customFormat="false" ht="15" hidden="false" customHeight="false" outlineLevel="0" collapsed="false">
      <c r="A62" s="12" t="s">
        <v>39</v>
      </c>
      <c r="B62" s="12" t="s">
        <v>41</v>
      </c>
      <c r="C62" s="12" t="s">
        <v>292</v>
      </c>
      <c r="D62" s="12" t="str">
        <f aca="false">INDEX('Country Tiers'!$C$2:$C$37,MATCH(C62,'Country Tiers'!$A$2:$A$37,0))</f>
        <v>Tier 2</v>
      </c>
      <c r="E62" s="12" t="n">
        <f aca="false">INDEX('Country Tiers'!$D$2:$D$37,MATCH(C62,'Country Tiers'!$A$2:$A$37,0))</f>
        <v>2</v>
      </c>
    </row>
    <row r="63" customFormat="false" ht="15" hidden="false" customHeight="false" outlineLevel="0" collapsed="false">
      <c r="A63" s="12" t="s">
        <v>39</v>
      </c>
      <c r="B63" s="12" t="s">
        <v>41</v>
      </c>
      <c r="C63" s="12" t="s">
        <v>296</v>
      </c>
      <c r="D63" s="12" t="str">
        <f aca="false">INDEX('Country Tiers'!$C$2:$C$37,MATCH(C63,'Country Tiers'!$A$2:$A$37,0))</f>
        <v>Tier 3</v>
      </c>
      <c r="E63" s="12" t="n">
        <f aca="false">INDEX('Country Tiers'!$D$2:$D$37,MATCH(C63,'Country Tiers'!$A$2:$A$37,0))</f>
        <v>1</v>
      </c>
    </row>
    <row r="64" customFormat="false" ht="15" hidden="false" customHeight="false" outlineLevel="0" collapsed="false">
      <c r="A64" s="12" t="s">
        <v>39</v>
      </c>
      <c r="B64" s="12" t="s">
        <v>41</v>
      </c>
      <c r="C64" s="12" t="s">
        <v>298</v>
      </c>
      <c r="D64" s="12" t="str">
        <f aca="false">INDEX('Country Tiers'!$C$2:$C$37,MATCH(C64,'Country Tiers'!$A$2:$A$37,0))</f>
        <v>Tier 1</v>
      </c>
      <c r="E64" s="12" t="n">
        <f aca="false">INDEX('Country Tiers'!$D$2:$D$37,MATCH(C64,'Country Tiers'!$A$2:$A$37,0))</f>
        <v>3</v>
      </c>
    </row>
    <row r="65" customFormat="false" ht="15" hidden="false" customHeight="false" outlineLevel="0" collapsed="false">
      <c r="A65" s="12" t="s">
        <v>39</v>
      </c>
      <c r="B65" s="12" t="s">
        <v>41</v>
      </c>
      <c r="C65" s="12" t="s">
        <v>299</v>
      </c>
      <c r="D65" s="12" t="str">
        <f aca="false">INDEX('Country Tiers'!$C$2:$C$37,MATCH(C65,'Country Tiers'!$A$2:$A$37,0))</f>
        <v>Tier 3</v>
      </c>
      <c r="E65" s="12" t="n">
        <f aca="false">INDEX('Country Tiers'!$D$2:$D$37,MATCH(C65,'Country Tiers'!$A$2:$A$37,0))</f>
        <v>1</v>
      </c>
    </row>
    <row r="66" customFormat="false" ht="15" hidden="false" customHeight="false" outlineLevel="0" collapsed="false">
      <c r="A66" s="12" t="s">
        <v>39</v>
      </c>
      <c r="B66" s="12" t="s">
        <v>41</v>
      </c>
      <c r="C66" s="12" t="s">
        <v>301</v>
      </c>
      <c r="D66" s="12" t="str">
        <f aca="false">INDEX('Country Tiers'!$C$2:$C$37,MATCH(C66,'Country Tiers'!$A$2:$A$37,0))</f>
        <v>Tier 3</v>
      </c>
      <c r="E66" s="12" t="n">
        <f aca="false">INDEX('Country Tiers'!$D$2:$D$37,MATCH(C66,'Country Tiers'!$A$2:$A$37,0))</f>
        <v>1</v>
      </c>
    </row>
    <row r="67" customFormat="false" ht="15" hidden="false" customHeight="false" outlineLevel="0" collapsed="false">
      <c r="A67" s="12" t="s">
        <v>39</v>
      </c>
      <c r="B67" s="12" t="s">
        <v>41</v>
      </c>
      <c r="C67" s="12" t="s">
        <v>303</v>
      </c>
      <c r="D67" s="12" t="str">
        <f aca="false">INDEX('Country Tiers'!$C$2:$C$37,MATCH(C67,'Country Tiers'!$A$2:$A$37,0))</f>
        <v>Tier 2</v>
      </c>
      <c r="E67" s="12" t="n">
        <f aca="false">INDEX('Country Tiers'!$D$2:$D$37,MATCH(C67,'Country Tiers'!$A$2:$A$37,0))</f>
        <v>2</v>
      </c>
    </row>
    <row r="68" customFormat="false" ht="15" hidden="false" customHeight="false" outlineLevel="0" collapsed="false">
      <c r="A68" s="12" t="s">
        <v>39</v>
      </c>
      <c r="B68" s="12" t="s">
        <v>41</v>
      </c>
      <c r="C68" s="12" t="s">
        <v>308</v>
      </c>
      <c r="D68" s="12" t="str">
        <f aca="false">INDEX('Country Tiers'!$C$2:$C$37,MATCH(C68,'Country Tiers'!$A$2:$A$37,0))</f>
        <v>Tier 3</v>
      </c>
      <c r="E68" s="12" t="n">
        <f aca="false">INDEX('Country Tiers'!$D$2:$D$37,MATCH(C68,'Country Tiers'!$A$2:$A$37,0))</f>
        <v>1</v>
      </c>
    </row>
    <row r="69" customFormat="false" ht="15" hidden="false" customHeight="false" outlineLevel="0" collapsed="false">
      <c r="A69" s="12" t="s">
        <v>39</v>
      </c>
      <c r="B69" s="12" t="s">
        <v>41</v>
      </c>
      <c r="C69" s="12" t="s">
        <v>309</v>
      </c>
      <c r="D69" s="12" t="str">
        <f aca="false">INDEX('Country Tiers'!$C$2:$C$37,MATCH(C69,'Country Tiers'!$A$2:$A$37,0))</f>
        <v>Tier 1</v>
      </c>
      <c r="E69" s="12" t="n">
        <f aca="false">INDEX('Country Tiers'!$D$2:$D$37,MATCH(C69,'Country Tiers'!$A$2:$A$37,0))</f>
        <v>3</v>
      </c>
    </row>
    <row r="70" customFormat="false" ht="15" hidden="false" customHeight="false" outlineLevel="0" collapsed="false">
      <c r="A70" s="12" t="s">
        <v>39</v>
      </c>
      <c r="B70" s="12" t="s">
        <v>41</v>
      </c>
      <c r="C70" s="12" t="s">
        <v>313</v>
      </c>
      <c r="D70" s="12" t="str">
        <f aca="false">INDEX('Country Tiers'!$C$2:$C$37,MATCH(C70,'Country Tiers'!$A$2:$A$37,0))</f>
        <v>Tier 1</v>
      </c>
      <c r="E70" s="12" t="n">
        <f aca="false">INDEX('Country Tiers'!$D$2:$D$37,MATCH(C70,'Country Tiers'!$A$2:$A$37,0))</f>
        <v>3</v>
      </c>
    </row>
    <row r="71" customFormat="false" ht="15" hidden="false" customHeight="false" outlineLevel="0" collapsed="false">
      <c r="A71" s="12" t="s">
        <v>42</v>
      </c>
      <c r="B71" s="12" t="s">
        <v>35</v>
      </c>
      <c r="C71" s="12" t="s">
        <v>272</v>
      </c>
      <c r="D71" s="12" t="str">
        <f aca="false">INDEX('Country Tiers'!$C$2:$C$37,MATCH(C71,'Country Tiers'!$A$2:$A$37,0))</f>
        <v>Tier 2</v>
      </c>
      <c r="E71" s="12" t="n">
        <f aca="false">INDEX('Country Tiers'!$D$2:$D$37,MATCH(C71,'Country Tiers'!$A$2:$A$37,0))</f>
        <v>2</v>
      </c>
    </row>
    <row r="72" customFormat="false" ht="15" hidden="false" customHeight="false" outlineLevel="0" collapsed="false">
      <c r="A72" s="12" t="s">
        <v>42</v>
      </c>
      <c r="B72" s="12" t="s">
        <v>35</v>
      </c>
      <c r="C72" s="12" t="s">
        <v>274</v>
      </c>
      <c r="D72" s="12" t="str">
        <f aca="false">INDEX('Country Tiers'!$C$2:$C$37,MATCH(C72,'Country Tiers'!$A$2:$A$37,0))</f>
        <v>Tier 3</v>
      </c>
      <c r="E72" s="12" t="n">
        <f aca="false">INDEX('Country Tiers'!$D$2:$D$37,MATCH(C72,'Country Tiers'!$A$2:$A$37,0))</f>
        <v>1</v>
      </c>
    </row>
    <row r="73" customFormat="false" ht="15" hidden="false" customHeight="false" outlineLevel="0" collapsed="false">
      <c r="A73" s="12" t="s">
        <v>42</v>
      </c>
      <c r="B73" s="12" t="s">
        <v>35</v>
      </c>
      <c r="C73" s="12" t="s">
        <v>277</v>
      </c>
      <c r="D73" s="12" t="str">
        <f aca="false">INDEX('Country Tiers'!$C$2:$C$37,MATCH(C73,'Country Tiers'!$A$2:$A$37,0))</f>
        <v>Tier 1</v>
      </c>
      <c r="E73" s="12" t="n">
        <f aca="false">INDEX('Country Tiers'!$D$2:$D$37,MATCH(C73,'Country Tiers'!$A$2:$A$37,0))</f>
        <v>3</v>
      </c>
    </row>
    <row r="74" customFormat="false" ht="15" hidden="false" customHeight="false" outlineLevel="0" collapsed="false">
      <c r="A74" s="12" t="s">
        <v>42</v>
      </c>
      <c r="B74" s="12" t="s">
        <v>35</v>
      </c>
      <c r="C74" s="12" t="s">
        <v>278</v>
      </c>
      <c r="D74" s="12" t="str">
        <f aca="false">INDEX('Country Tiers'!$C$2:$C$37,MATCH(C74,'Country Tiers'!$A$2:$A$37,0))</f>
        <v>Tier 3</v>
      </c>
      <c r="E74" s="12" t="n">
        <f aca="false">INDEX('Country Tiers'!$D$2:$D$37,MATCH(C74,'Country Tiers'!$A$2:$A$37,0))</f>
        <v>1</v>
      </c>
    </row>
    <row r="75" customFormat="false" ht="15" hidden="false" customHeight="false" outlineLevel="0" collapsed="false">
      <c r="A75" s="12" t="s">
        <v>42</v>
      </c>
      <c r="B75" s="12" t="s">
        <v>35</v>
      </c>
      <c r="C75" s="12" t="s">
        <v>279</v>
      </c>
      <c r="D75" s="12" t="str">
        <f aca="false">INDEX('Country Tiers'!$C$2:$C$37,MATCH(C75,'Country Tiers'!$A$2:$A$37,0))</f>
        <v>Tier 1</v>
      </c>
      <c r="E75" s="12" t="n">
        <f aca="false">INDEX('Country Tiers'!$D$2:$D$37,MATCH(C75,'Country Tiers'!$A$2:$A$37,0))</f>
        <v>3</v>
      </c>
    </row>
    <row r="76" customFormat="false" ht="15" hidden="false" customHeight="false" outlineLevel="0" collapsed="false">
      <c r="A76" s="12" t="s">
        <v>42</v>
      </c>
      <c r="B76" s="12" t="s">
        <v>35</v>
      </c>
      <c r="C76" s="12" t="s">
        <v>280</v>
      </c>
      <c r="D76" s="12" t="str">
        <f aca="false">INDEX('Country Tiers'!$C$2:$C$37,MATCH(C76,'Country Tiers'!$A$2:$A$37,0))</f>
        <v>Tier 3</v>
      </c>
      <c r="E76" s="12" t="n">
        <f aca="false">INDEX('Country Tiers'!$D$2:$D$37,MATCH(C76,'Country Tiers'!$A$2:$A$37,0))</f>
        <v>1</v>
      </c>
    </row>
    <row r="77" customFormat="false" ht="15" hidden="false" customHeight="false" outlineLevel="0" collapsed="false">
      <c r="A77" s="12" t="s">
        <v>42</v>
      </c>
      <c r="B77" s="12" t="s">
        <v>35</v>
      </c>
      <c r="C77" s="12" t="s">
        <v>281</v>
      </c>
      <c r="D77" s="12" t="str">
        <f aca="false">INDEX('Country Tiers'!$C$2:$C$37,MATCH(C77,'Country Tiers'!$A$2:$A$37,0))</f>
        <v>Tier 3</v>
      </c>
      <c r="E77" s="12" t="n">
        <f aca="false">INDEX('Country Tiers'!$D$2:$D$37,MATCH(C77,'Country Tiers'!$A$2:$A$37,0))</f>
        <v>1</v>
      </c>
    </row>
    <row r="78" customFormat="false" ht="15" hidden="false" customHeight="false" outlineLevel="0" collapsed="false">
      <c r="A78" s="12" t="s">
        <v>42</v>
      </c>
      <c r="B78" s="12" t="s">
        <v>35</v>
      </c>
      <c r="C78" s="12" t="s">
        <v>282</v>
      </c>
      <c r="D78" s="12" t="str">
        <f aca="false">INDEX('Country Tiers'!$C$2:$C$37,MATCH(C78,'Country Tiers'!$A$2:$A$37,0))</f>
        <v>Tier 3</v>
      </c>
      <c r="E78" s="12" t="n">
        <f aca="false">INDEX('Country Tiers'!$D$2:$D$37,MATCH(C78,'Country Tiers'!$A$2:$A$37,0))</f>
        <v>1</v>
      </c>
    </row>
    <row r="79" customFormat="false" ht="15" hidden="false" customHeight="false" outlineLevel="0" collapsed="false">
      <c r="A79" s="12" t="s">
        <v>42</v>
      </c>
      <c r="B79" s="12" t="s">
        <v>35</v>
      </c>
      <c r="C79" s="12" t="s">
        <v>283</v>
      </c>
      <c r="D79" s="12" t="str">
        <f aca="false">INDEX('Country Tiers'!$C$2:$C$37,MATCH(C79,'Country Tiers'!$A$2:$A$37,0))</f>
        <v>Tier 3</v>
      </c>
      <c r="E79" s="12" t="n">
        <f aca="false">INDEX('Country Tiers'!$D$2:$D$37,MATCH(C79,'Country Tiers'!$A$2:$A$37,0))</f>
        <v>1</v>
      </c>
    </row>
    <row r="80" customFormat="false" ht="15" hidden="false" customHeight="false" outlineLevel="0" collapsed="false">
      <c r="A80" s="12" t="s">
        <v>42</v>
      </c>
      <c r="B80" s="12" t="s">
        <v>35</v>
      </c>
      <c r="C80" s="12" t="s">
        <v>284</v>
      </c>
      <c r="D80" s="12" t="str">
        <f aca="false">INDEX('Country Tiers'!$C$2:$C$37,MATCH(C80,'Country Tiers'!$A$2:$A$37,0))</f>
        <v>Tier 3</v>
      </c>
      <c r="E80" s="12" t="n">
        <f aca="false">INDEX('Country Tiers'!$D$2:$D$37,MATCH(C80,'Country Tiers'!$A$2:$A$37,0))</f>
        <v>1</v>
      </c>
    </row>
    <row r="81" customFormat="false" ht="15" hidden="false" customHeight="false" outlineLevel="0" collapsed="false">
      <c r="A81" s="12" t="s">
        <v>42</v>
      </c>
      <c r="B81" s="12" t="s">
        <v>35</v>
      </c>
      <c r="C81" s="12" t="s">
        <v>285</v>
      </c>
      <c r="D81" s="12" t="str">
        <f aca="false">INDEX('Country Tiers'!$C$2:$C$37,MATCH(C81,'Country Tiers'!$A$2:$A$37,0))</f>
        <v>Tier 3</v>
      </c>
      <c r="E81" s="12" t="n">
        <f aca="false">INDEX('Country Tiers'!$D$2:$D$37,MATCH(C81,'Country Tiers'!$A$2:$A$37,0))</f>
        <v>1</v>
      </c>
    </row>
    <row r="82" customFormat="false" ht="15" hidden="false" customHeight="false" outlineLevel="0" collapsed="false">
      <c r="A82" s="12" t="s">
        <v>42</v>
      </c>
      <c r="B82" s="12" t="s">
        <v>35</v>
      </c>
      <c r="C82" s="12" t="s">
        <v>286</v>
      </c>
      <c r="D82" s="12" t="str">
        <f aca="false">INDEX('Country Tiers'!$C$2:$C$37,MATCH(C82,'Country Tiers'!$A$2:$A$37,0))</f>
        <v>Tier 1</v>
      </c>
      <c r="E82" s="12" t="n">
        <f aca="false">INDEX('Country Tiers'!$D$2:$D$37,MATCH(C82,'Country Tiers'!$A$2:$A$37,0))</f>
        <v>3</v>
      </c>
    </row>
    <row r="83" customFormat="false" ht="15" hidden="false" customHeight="false" outlineLevel="0" collapsed="false">
      <c r="A83" s="12" t="s">
        <v>42</v>
      </c>
      <c r="B83" s="12" t="s">
        <v>35</v>
      </c>
      <c r="C83" s="12" t="s">
        <v>287</v>
      </c>
      <c r="D83" s="12" t="str">
        <f aca="false">INDEX('Country Tiers'!$C$2:$C$37,MATCH(C83,'Country Tiers'!$A$2:$A$37,0))</f>
        <v>Tier 1</v>
      </c>
      <c r="E83" s="12" t="n">
        <f aca="false">INDEX('Country Tiers'!$D$2:$D$37,MATCH(C83,'Country Tiers'!$A$2:$A$37,0))</f>
        <v>3</v>
      </c>
    </row>
    <row r="84" customFormat="false" ht="15" hidden="false" customHeight="false" outlineLevel="0" collapsed="false">
      <c r="A84" s="12" t="s">
        <v>42</v>
      </c>
      <c r="B84" s="12" t="s">
        <v>35</v>
      </c>
      <c r="C84" s="12" t="s">
        <v>288</v>
      </c>
      <c r="D84" s="12" t="str">
        <f aca="false">INDEX('Country Tiers'!$C$2:$C$37,MATCH(C84,'Country Tiers'!$A$2:$A$37,0))</f>
        <v>Tier 3</v>
      </c>
      <c r="E84" s="12" t="n">
        <f aca="false">INDEX('Country Tiers'!$D$2:$D$37,MATCH(C84,'Country Tiers'!$A$2:$A$37,0))</f>
        <v>1</v>
      </c>
    </row>
    <row r="85" customFormat="false" ht="15" hidden="false" customHeight="false" outlineLevel="0" collapsed="false">
      <c r="A85" s="12" t="s">
        <v>42</v>
      </c>
      <c r="B85" s="12" t="s">
        <v>35</v>
      </c>
      <c r="C85" s="12" t="s">
        <v>289</v>
      </c>
      <c r="D85" s="12" t="str">
        <f aca="false">INDEX('Country Tiers'!$C$2:$C$37,MATCH(C85,'Country Tiers'!$A$2:$A$37,0))</f>
        <v>Tier 3</v>
      </c>
      <c r="E85" s="12" t="n">
        <f aca="false">INDEX('Country Tiers'!$D$2:$D$37,MATCH(C85,'Country Tiers'!$A$2:$A$37,0))</f>
        <v>1</v>
      </c>
    </row>
    <row r="86" customFormat="false" ht="15" hidden="false" customHeight="false" outlineLevel="0" collapsed="false">
      <c r="A86" s="12" t="s">
        <v>42</v>
      </c>
      <c r="B86" s="12" t="s">
        <v>35</v>
      </c>
      <c r="C86" s="12" t="s">
        <v>290</v>
      </c>
      <c r="D86" s="12" t="str">
        <f aca="false">INDEX('Country Tiers'!$C$2:$C$37,MATCH(C86,'Country Tiers'!$A$2:$A$37,0))</f>
        <v>Tier 3</v>
      </c>
      <c r="E86" s="12" t="n">
        <f aca="false">INDEX('Country Tiers'!$D$2:$D$37,MATCH(C86,'Country Tiers'!$A$2:$A$37,0))</f>
        <v>1</v>
      </c>
    </row>
    <row r="87" customFormat="false" ht="15" hidden="false" customHeight="false" outlineLevel="0" collapsed="false">
      <c r="A87" s="12" t="s">
        <v>42</v>
      </c>
      <c r="B87" s="12" t="s">
        <v>35</v>
      </c>
      <c r="C87" s="12" t="s">
        <v>291</v>
      </c>
      <c r="D87" s="12" t="str">
        <f aca="false">INDEX('Country Tiers'!$C$2:$C$37,MATCH(C87,'Country Tiers'!$A$2:$A$37,0))</f>
        <v>Tier 3</v>
      </c>
      <c r="E87" s="12" t="n">
        <f aca="false">INDEX('Country Tiers'!$D$2:$D$37,MATCH(C87,'Country Tiers'!$A$2:$A$37,0))</f>
        <v>1</v>
      </c>
    </row>
    <row r="88" customFormat="false" ht="15" hidden="false" customHeight="false" outlineLevel="0" collapsed="false">
      <c r="A88" s="12" t="s">
        <v>42</v>
      </c>
      <c r="B88" s="12" t="s">
        <v>35</v>
      </c>
      <c r="C88" s="12" t="s">
        <v>292</v>
      </c>
      <c r="D88" s="12" t="str">
        <f aca="false">INDEX('Country Tiers'!$C$2:$C$37,MATCH(C88,'Country Tiers'!$A$2:$A$37,0))</f>
        <v>Tier 2</v>
      </c>
      <c r="E88" s="12" t="n">
        <f aca="false">INDEX('Country Tiers'!$D$2:$D$37,MATCH(C88,'Country Tiers'!$A$2:$A$37,0))</f>
        <v>2</v>
      </c>
    </row>
    <row r="89" customFormat="false" ht="15" hidden="false" customHeight="false" outlineLevel="0" collapsed="false">
      <c r="A89" s="12" t="s">
        <v>42</v>
      </c>
      <c r="B89" s="12" t="s">
        <v>35</v>
      </c>
      <c r="C89" s="12" t="s">
        <v>293</v>
      </c>
      <c r="D89" s="12" t="str">
        <f aca="false">INDEX('Country Tiers'!$C$2:$C$37,MATCH(C89,'Country Tiers'!$A$2:$A$37,0))</f>
        <v>Tier 3</v>
      </c>
      <c r="E89" s="12" t="n">
        <f aca="false">INDEX('Country Tiers'!$D$2:$D$37,MATCH(C89,'Country Tiers'!$A$2:$A$37,0))</f>
        <v>1</v>
      </c>
    </row>
    <row r="90" customFormat="false" ht="15" hidden="false" customHeight="false" outlineLevel="0" collapsed="false">
      <c r="A90" s="12" t="s">
        <v>42</v>
      </c>
      <c r="B90" s="12" t="s">
        <v>35</v>
      </c>
      <c r="C90" s="12" t="s">
        <v>294</v>
      </c>
      <c r="D90" s="12" t="str">
        <f aca="false">INDEX('Country Tiers'!$C$2:$C$37,MATCH(C90,'Country Tiers'!$A$2:$A$37,0))</f>
        <v>Tier 3</v>
      </c>
      <c r="E90" s="12" t="n">
        <f aca="false">INDEX('Country Tiers'!$D$2:$D$37,MATCH(C90,'Country Tiers'!$A$2:$A$37,0))</f>
        <v>1</v>
      </c>
    </row>
    <row r="91" customFormat="false" ht="15" hidden="false" customHeight="false" outlineLevel="0" collapsed="false">
      <c r="A91" s="12" t="s">
        <v>42</v>
      </c>
      <c r="B91" s="12" t="s">
        <v>35</v>
      </c>
      <c r="C91" s="12" t="s">
        <v>295</v>
      </c>
      <c r="D91" s="12" t="str">
        <f aca="false">INDEX('Country Tiers'!$C$2:$C$37,MATCH(C91,'Country Tiers'!$A$2:$A$37,0))</f>
        <v>Tier 3</v>
      </c>
      <c r="E91" s="12" t="n">
        <f aca="false">INDEX('Country Tiers'!$D$2:$D$37,MATCH(C91,'Country Tiers'!$A$2:$A$37,0))</f>
        <v>1</v>
      </c>
    </row>
    <row r="92" customFormat="false" ht="15" hidden="false" customHeight="false" outlineLevel="0" collapsed="false">
      <c r="A92" s="12" t="s">
        <v>42</v>
      </c>
      <c r="B92" s="12" t="s">
        <v>35</v>
      </c>
      <c r="C92" s="12" t="s">
        <v>296</v>
      </c>
      <c r="D92" s="12" t="str">
        <f aca="false">INDEX('Country Tiers'!$C$2:$C$37,MATCH(C92,'Country Tiers'!$A$2:$A$37,0))</f>
        <v>Tier 3</v>
      </c>
      <c r="E92" s="12" t="n">
        <f aca="false">INDEX('Country Tiers'!$D$2:$D$37,MATCH(C92,'Country Tiers'!$A$2:$A$37,0))</f>
        <v>1</v>
      </c>
    </row>
    <row r="93" customFormat="false" ht="15" hidden="false" customHeight="false" outlineLevel="0" collapsed="false">
      <c r="A93" s="12" t="s">
        <v>42</v>
      </c>
      <c r="B93" s="12" t="s">
        <v>35</v>
      </c>
      <c r="C93" s="12" t="s">
        <v>297</v>
      </c>
      <c r="D93" s="12" t="str">
        <f aca="false">INDEX('Country Tiers'!$C$2:$C$37,MATCH(C93,'Country Tiers'!$A$2:$A$37,0))</f>
        <v>Tier 2</v>
      </c>
      <c r="E93" s="12" t="n">
        <f aca="false">INDEX('Country Tiers'!$D$2:$D$37,MATCH(C93,'Country Tiers'!$A$2:$A$37,0))</f>
        <v>2</v>
      </c>
    </row>
    <row r="94" customFormat="false" ht="15" hidden="false" customHeight="false" outlineLevel="0" collapsed="false">
      <c r="A94" s="12" t="s">
        <v>42</v>
      </c>
      <c r="B94" s="12" t="s">
        <v>35</v>
      </c>
      <c r="C94" s="12" t="s">
        <v>299</v>
      </c>
      <c r="D94" s="12" t="str">
        <f aca="false">INDEX('Country Tiers'!$C$2:$C$37,MATCH(C94,'Country Tiers'!$A$2:$A$37,0))</f>
        <v>Tier 3</v>
      </c>
      <c r="E94" s="12" t="n">
        <f aca="false">INDEX('Country Tiers'!$D$2:$D$37,MATCH(C94,'Country Tiers'!$A$2:$A$37,0))</f>
        <v>1</v>
      </c>
    </row>
    <row r="95" customFormat="false" ht="15" hidden="false" customHeight="false" outlineLevel="0" collapsed="false">
      <c r="A95" s="12" t="s">
        <v>42</v>
      </c>
      <c r="B95" s="12" t="s">
        <v>35</v>
      </c>
      <c r="C95" s="12" t="s">
        <v>300</v>
      </c>
      <c r="D95" s="12" t="str">
        <f aca="false">INDEX('Country Tiers'!$C$2:$C$37,MATCH(C95,'Country Tiers'!$A$2:$A$37,0))</f>
        <v>Tier 3</v>
      </c>
      <c r="E95" s="12" t="n">
        <f aca="false">INDEX('Country Tiers'!$D$2:$D$37,MATCH(C95,'Country Tiers'!$A$2:$A$37,0))</f>
        <v>1</v>
      </c>
    </row>
    <row r="96" customFormat="false" ht="15" hidden="false" customHeight="false" outlineLevel="0" collapsed="false">
      <c r="A96" s="12" t="s">
        <v>42</v>
      </c>
      <c r="B96" s="12" t="s">
        <v>35</v>
      </c>
      <c r="C96" s="12" t="s">
        <v>301</v>
      </c>
      <c r="D96" s="12" t="str">
        <f aca="false">INDEX('Country Tiers'!$C$2:$C$37,MATCH(C96,'Country Tiers'!$A$2:$A$37,0))</f>
        <v>Tier 3</v>
      </c>
      <c r="E96" s="12" t="n">
        <f aca="false">INDEX('Country Tiers'!$D$2:$D$37,MATCH(C96,'Country Tiers'!$A$2:$A$37,0))</f>
        <v>1</v>
      </c>
    </row>
    <row r="97" customFormat="false" ht="15" hidden="false" customHeight="false" outlineLevel="0" collapsed="false">
      <c r="A97" s="12" t="s">
        <v>42</v>
      </c>
      <c r="B97" s="12" t="s">
        <v>35</v>
      </c>
      <c r="C97" s="12" t="s">
        <v>302</v>
      </c>
      <c r="D97" s="12" t="str">
        <f aca="false">INDEX('Country Tiers'!$C$2:$C$37,MATCH(C97,'Country Tiers'!$A$2:$A$37,0))</f>
        <v>Tier 3</v>
      </c>
      <c r="E97" s="12" t="n">
        <f aca="false">INDEX('Country Tiers'!$D$2:$D$37,MATCH(C97,'Country Tiers'!$A$2:$A$37,0))</f>
        <v>1</v>
      </c>
    </row>
    <row r="98" customFormat="false" ht="15" hidden="false" customHeight="false" outlineLevel="0" collapsed="false">
      <c r="A98" s="12" t="s">
        <v>42</v>
      </c>
      <c r="B98" s="12" t="s">
        <v>35</v>
      </c>
      <c r="C98" s="12" t="s">
        <v>305</v>
      </c>
      <c r="D98" s="12" t="str">
        <f aca="false">INDEX('Country Tiers'!$C$2:$C$37,MATCH(C98,'Country Tiers'!$A$2:$A$37,0))</f>
        <v>Tier 3</v>
      </c>
      <c r="E98" s="12" t="n">
        <f aca="false">INDEX('Country Tiers'!$D$2:$D$37,MATCH(C98,'Country Tiers'!$A$2:$A$37,0))</f>
        <v>1</v>
      </c>
    </row>
    <row r="99" customFormat="false" ht="15" hidden="false" customHeight="false" outlineLevel="0" collapsed="false">
      <c r="A99" s="12" t="s">
        <v>42</v>
      </c>
      <c r="B99" s="12" t="s">
        <v>35</v>
      </c>
      <c r="C99" s="12" t="s">
        <v>307</v>
      </c>
      <c r="D99" s="12" t="str">
        <f aca="false">INDEX('Country Tiers'!$C$2:$C$37,MATCH(C99,'Country Tiers'!$A$2:$A$37,0))</f>
        <v>Tier 2</v>
      </c>
      <c r="E99" s="12" t="n">
        <f aca="false">INDEX('Country Tiers'!$D$2:$D$37,MATCH(C99,'Country Tiers'!$A$2:$A$37,0))</f>
        <v>2</v>
      </c>
    </row>
    <row r="100" customFormat="false" ht="15" hidden="false" customHeight="false" outlineLevel="0" collapsed="false">
      <c r="A100" s="12" t="s">
        <v>42</v>
      </c>
      <c r="B100" s="12" t="s">
        <v>35</v>
      </c>
      <c r="C100" s="12" t="s">
        <v>308</v>
      </c>
      <c r="D100" s="12" t="str">
        <f aca="false">INDEX('Country Tiers'!$C$2:$C$37,MATCH(C100,'Country Tiers'!$A$2:$A$37,0))</f>
        <v>Tier 3</v>
      </c>
      <c r="E100" s="12" t="n">
        <f aca="false">INDEX('Country Tiers'!$D$2:$D$37,MATCH(C100,'Country Tiers'!$A$2:$A$37,0))</f>
        <v>1</v>
      </c>
    </row>
    <row r="101" customFormat="false" ht="15" hidden="false" customHeight="false" outlineLevel="0" collapsed="false">
      <c r="A101" s="12" t="s">
        <v>42</v>
      </c>
      <c r="B101" s="12" t="s">
        <v>35</v>
      </c>
      <c r="C101" s="12" t="s">
        <v>309</v>
      </c>
      <c r="D101" s="12" t="str">
        <f aca="false">INDEX('Country Tiers'!$C$2:$C$37,MATCH(C101,'Country Tiers'!$A$2:$A$37,0))</f>
        <v>Tier 1</v>
      </c>
      <c r="E101" s="12" t="n">
        <f aca="false">INDEX('Country Tiers'!$D$2:$D$37,MATCH(C101,'Country Tiers'!$A$2:$A$37,0))</f>
        <v>3</v>
      </c>
    </row>
    <row r="102" customFormat="false" ht="15" hidden="false" customHeight="false" outlineLevel="0" collapsed="false">
      <c r="A102" s="12" t="s">
        <v>42</v>
      </c>
      <c r="B102" s="12" t="s">
        <v>35</v>
      </c>
      <c r="C102" s="12" t="s">
        <v>313</v>
      </c>
      <c r="D102" s="12" t="str">
        <f aca="false">INDEX('Country Tiers'!$C$2:$C$37,MATCH(C102,'Country Tiers'!$A$2:$A$37,0))</f>
        <v>Tier 1</v>
      </c>
      <c r="E102" s="12" t="n">
        <f aca="false">INDEX('Country Tiers'!$D$2:$D$37,MATCH(C102,'Country Tiers'!$A$2:$A$37,0))</f>
        <v>3</v>
      </c>
    </row>
    <row r="103" customFormat="false" ht="15" hidden="false" customHeight="false" outlineLevel="0" collapsed="false">
      <c r="A103" s="12" t="s">
        <v>42</v>
      </c>
      <c r="B103" s="12" t="s">
        <v>38</v>
      </c>
      <c r="C103" s="12" t="s">
        <v>272</v>
      </c>
      <c r="D103" s="12" t="str">
        <f aca="false">INDEX('Country Tiers'!$C$2:$C$37,MATCH(C103,'Country Tiers'!$A$2:$A$37,0))</f>
        <v>Tier 2</v>
      </c>
      <c r="E103" s="12" t="n">
        <f aca="false">INDEX('Country Tiers'!$D$2:$D$37,MATCH(C103,'Country Tiers'!$A$2:$A$37,0))</f>
        <v>2</v>
      </c>
    </row>
    <row r="104" customFormat="false" ht="15" hidden="false" customHeight="false" outlineLevel="0" collapsed="false">
      <c r="A104" s="12" t="s">
        <v>43</v>
      </c>
      <c r="B104" s="12" t="s">
        <v>44</v>
      </c>
      <c r="C104" s="12" t="s">
        <v>274</v>
      </c>
      <c r="D104" s="12" t="str">
        <f aca="false">INDEX('Country Tiers'!$C$2:$C$37,MATCH(C104,'Country Tiers'!$A$2:$A$37,0))</f>
        <v>Tier 3</v>
      </c>
      <c r="E104" s="12" t="n">
        <f aca="false">INDEX('Country Tiers'!$D$2:$D$37,MATCH(C104,'Country Tiers'!$A$2:$A$37,0))</f>
        <v>1</v>
      </c>
    </row>
    <row r="105" customFormat="false" ht="15" hidden="false" customHeight="false" outlineLevel="0" collapsed="false">
      <c r="A105" s="12" t="s">
        <v>43</v>
      </c>
      <c r="B105" s="12" t="s">
        <v>44</v>
      </c>
      <c r="C105" s="12" t="s">
        <v>277</v>
      </c>
      <c r="D105" s="12" t="str">
        <f aca="false">INDEX('Country Tiers'!$C$2:$C$37,MATCH(C105,'Country Tiers'!$A$2:$A$37,0))</f>
        <v>Tier 1</v>
      </c>
      <c r="E105" s="12" t="n">
        <f aca="false">INDEX('Country Tiers'!$D$2:$D$37,MATCH(C105,'Country Tiers'!$A$2:$A$37,0))</f>
        <v>3</v>
      </c>
    </row>
    <row r="106" customFormat="false" ht="15" hidden="false" customHeight="false" outlineLevel="0" collapsed="false">
      <c r="A106" s="12" t="s">
        <v>43</v>
      </c>
      <c r="B106" s="12" t="s">
        <v>44</v>
      </c>
      <c r="C106" s="12" t="s">
        <v>278</v>
      </c>
      <c r="D106" s="12" t="str">
        <f aca="false">INDEX('Country Tiers'!$C$2:$C$37,MATCH(C106,'Country Tiers'!$A$2:$A$37,0))</f>
        <v>Tier 3</v>
      </c>
      <c r="E106" s="12" t="n">
        <f aca="false">INDEX('Country Tiers'!$D$2:$D$37,MATCH(C106,'Country Tiers'!$A$2:$A$37,0))</f>
        <v>1</v>
      </c>
    </row>
    <row r="107" customFormat="false" ht="15" hidden="false" customHeight="false" outlineLevel="0" collapsed="false">
      <c r="A107" s="12" t="s">
        <v>43</v>
      </c>
      <c r="B107" s="12" t="s">
        <v>44</v>
      </c>
      <c r="C107" s="12" t="s">
        <v>280</v>
      </c>
      <c r="D107" s="12" t="str">
        <f aca="false">INDEX('Country Tiers'!$C$2:$C$37,MATCH(C107,'Country Tiers'!$A$2:$A$37,0))</f>
        <v>Tier 3</v>
      </c>
      <c r="E107" s="12" t="n">
        <f aca="false">INDEX('Country Tiers'!$D$2:$D$37,MATCH(C107,'Country Tiers'!$A$2:$A$37,0))</f>
        <v>1</v>
      </c>
    </row>
    <row r="108" customFormat="false" ht="15" hidden="false" customHeight="false" outlineLevel="0" collapsed="false">
      <c r="A108" s="12" t="s">
        <v>43</v>
      </c>
      <c r="B108" s="12" t="s">
        <v>44</v>
      </c>
      <c r="C108" s="12" t="s">
        <v>281</v>
      </c>
      <c r="D108" s="12" t="str">
        <f aca="false">INDEX('Country Tiers'!$C$2:$C$37,MATCH(C108,'Country Tiers'!$A$2:$A$37,0))</f>
        <v>Tier 3</v>
      </c>
      <c r="E108" s="12" t="n">
        <f aca="false">INDEX('Country Tiers'!$D$2:$D$37,MATCH(C108,'Country Tiers'!$A$2:$A$37,0))</f>
        <v>1</v>
      </c>
    </row>
    <row r="109" customFormat="false" ht="15" hidden="false" customHeight="false" outlineLevel="0" collapsed="false">
      <c r="A109" s="12" t="s">
        <v>43</v>
      </c>
      <c r="B109" s="12" t="s">
        <v>44</v>
      </c>
      <c r="C109" s="12" t="s">
        <v>282</v>
      </c>
      <c r="D109" s="12" t="str">
        <f aca="false">INDEX('Country Tiers'!$C$2:$C$37,MATCH(C109,'Country Tiers'!$A$2:$A$37,0))</f>
        <v>Tier 3</v>
      </c>
      <c r="E109" s="12" t="n">
        <f aca="false">INDEX('Country Tiers'!$D$2:$D$37,MATCH(C109,'Country Tiers'!$A$2:$A$37,0))</f>
        <v>1</v>
      </c>
    </row>
    <row r="110" customFormat="false" ht="15" hidden="false" customHeight="false" outlineLevel="0" collapsed="false">
      <c r="A110" s="12" t="s">
        <v>43</v>
      </c>
      <c r="B110" s="12" t="s">
        <v>44</v>
      </c>
      <c r="C110" s="12" t="s">
        <v>283</v>
      </c>
      <c r="D110" s="12" t="str">
        <f aca="false">INDEX('Country Tiers'!$C$2:$C$37,MATCH(C110,'Country Tiers'!$A$2:$A$37,0))</f>
        <v>Tier 3</v>
      </c>
      <c r="E110" s="12" t="n">
        <f aca="false">INDEX('Country Tiers'!$D$2:$D$37,MATCH(C110,'Country Tiers'!$A$2:$A$37,0))</f>
        <v>1</v>
      </c>
    </row>
    <row r="111" customFormat="false" ht="15" hidden="false" customHeight="false" outlineLevel="0" collapsed="false">
      <c r="A111" s="12" t="s">
        <v>43</v>
      </c>
      <c r="B111" s="12" t="s">
        <v>44</v>
      </c>
      <c r="C111" s="12" t="s">
        <v>284</v>
      </c>
      <c r="D111" s="12" t="str">
        <f aca="false">INDEX('Country Tiers'!$C$2:$C$37,MATCH(C111,'Country Tiers'!$A$2:$A$37,0))</f>
        <v>Tier 3</v>
      </c>
      <c r="E111" s="12" t="n">
        <f aca="false">INDEX('Country Tiers'!$D$2:$D$37,MATCH(C111,'Country Tiers'!$A$2:$A$37,0))</f>
        <v>1</v>
      </c>
    </row>
    <row r="112" customFormat="false" ht="15" hidden="false" customHeight="false" outlineLevel="0" collapsed="false">
      <c r="A112" s="12" t="s">
        <v>43</v>
      </c>
      <c r="B112" s="12" t="s">
        <v>44</v>
      </c>
      <c r="C112" s="12" t="s">
        <v>285</v>
      </c>
      <c r="D112" s="12" t="str">
        <f aca="false">INDEX('Country Tiers'!$C$2:$C$37,MATCH(C112,'Country Tiers'!$A$2:$A$37,0))</f>
        <v>Tier 3</v>
      </c>
      <c r="E112" s="12" t="n">
        <f aca="false">INDEX('Country Tiers'!$D$2:$D$37,MATCH(C112,'Country Tiers'!$A$2:$A$37,0))</f>
        <v>1</v>
      </c>
    </row>
    <row r="113" customFormat="false" ht="15" hidden="false" customHeight="false" outlineLevel="0" collapsed="false">
      <c r="A113" s="12" t="s">
        <v>43</v>
      </c>
      <c r="B113" s="12" t="s">
        <v>44</v>
      </c>
      <c r="C113" s="12" t="s">
        <v>286</v>
      </c>
      <c r="D113" s="12" t="str">
        <f aca="false">INDEX('Country Tiers'!$C$2:$C$37,MATCH(C113,'Country Tiers'!$A$2:$A$37,0))</f>
        <v>Tier 1</v>
      </c>
      <c r="E113" s="12" t="n">
        <f aca="false">INDEX('Country Tiers'!$D$2:$D$37,MATCH(C113,'Country Tiers'!$A$2:$A$37,0))</f>
        <v>3</v>
      </c>
    </row>
    <row r="114" customFormat="false" ht="15" hidden="false" customHeight="false" outlineLevel="0" collapsed="false">
      <c r="A114" s="12" t="s">
        <v>43</v>
      </c>
      <c r="B114" s="12" t="s">
        <v>44</v>
      </c>
      <c r="C114" s="12" t="s">
        <v>287</v>
      </c>
      <c r="D114" s="12" t="str">
        <f aca="false">INDEX('Country Tiers'!$C$2:$C$37,MATCH(C114,'Country Tiers'!$A$2:$A$37,0))</f>
        <v>Tier 1</v>
      </c>
      <c r="E114" s="12" t="n">
        <f aca="false">INDEX('Country Tiers'!$D$2:$D$37,MATCH(C114,'Country Tiers'!$A$2:$A$37,0))</f>
        <v>3</v>
      </c>
    </row>
    <row r="115" customFormat="false" ht="15" hidden="false" customHeight="false" outlineLevel="0" collapsed="false">
      <c r="A115" s="12" t="s">
        <v>43</v>
      </c>
      <c r="B115" s="12" t="s">
        <v>44</v>
      </c>
      <c r="C115" s="12" t="s">
        <v>288</v>
      </c>
      <c r="D115" s="12" t="str">
        <f aca="false">INDEX('Country Tiers'!$C$2:$C$37,MATCH(C115,'Country Tiers'!$A$2:$A$37,0))</f>
        <v>Tier 3</v>
      </c>
      <c r="E115" s="12" t="n">
        <f aca="false">INDEX('Country Tiers'!$D$2:$D$37,MATCH(C115,'Country Tiers'!$A$2:$A$37,0))</f>
        <v>1</v>
      </c>
    </row>
    <row r="116" customFormat="false" ht="15" hidden="false" customHeight="false" outlineLevel="0" collapsed="false">
      <c r="A116" s="12" t="s">
        <v>43</v>
      </c>
      <c r="B116" s="12" t="s">
        <v>44</v>
      </c>
      <c r="C116" s="12" t="s">
        <v>289</v>
      </c>
      <c r="D116" s="12" t="str">
        <f aca="false">INDEX('Country Tiers'!$C$2:$C$37,MATCH(C116,'Country Tiers'!$A$2:$A$37,0))</f>
        <v>Tier 3</v>
      </c>
      <c r="E116" s="12" t="n">
        <f aca="false">INDEX('Country Tiers'!$D$2:$D$37,MATCH(C116,'Country Tiers'!$A$2:$A$37,0))</f>
        <v>1</v>
      </c>
    </row>
    <row r="117" customFormat="false" ht="15" hidden="false" customHeight="false" outlineLevel="0" collapsed="false">
      <c r="A117" s="12" t="s">
        <v>43</v>
      </c>
      <c r="B117" s="12" t="s">
        <v>44</v>
      </c>
      <c r="C117" s="12" t="s">
        <v>290</v>
      </c>
      <c r="D117" s="12" t="str">
        <f aca="false">INDEX('Country Tiers'!$C$2:$C$37,MATCH(C117,'Country Tiers'!$A$2:$A$37,0))</f>
        <v>Tier 3</v>
      </c>
      <c r="E117" s="12" t="n">
        <f aca="false">INDEX('Country Tiers'!$D$2:$D$37,MATCH(C117,'Country Tiers'!$A$2:$A$37,0))</f>
        <v>1</v>
      </c>
    </row>
    <row r="118" customFormat="false" ht="15" hidden="false" customHeight="false" outlineLevel="0" collapsed="false">
      <c r="A118" s="12" t="s">
        <v>43</v>
      </c>
      <c r="B118" s="12" t="s">
        <v>44</v>
      </c>
      <c r="C118" s="12" t="s">
        <v>291</v>
      </c>
      <c r="D118" s="12" t="str">
        <f aca="false">INDEX('Country Tiers'!$C$2:$C$37,MATCH(C118,'Country Tiers'!$A$2:$A$37,0))</f>
        <v>Tier 3</v>
      </c>
      <c r="E118" s="12" t="n">
        <f aca="false">INDEX('Country Tiers'!$D$2:$D$37,MATCH(C118,'Country Tiers'!$A$2:$A$37,0))</f>
        <v>1</v>
      </c>
    </row>
    <row r="119" customFormat="false" ht="15" hidden="false" customHeight="false" outlineLevel="0" collapsed="false">
      <c r="A119" s="12" t="s">
        <v>43</v>
      </c>
      <c r="B119" s="12" t="s">
        <v>44</v>
      </c>
      <c r="C119" s="12" t="s">
        <v>292</v>
      </c>
      <c r="D119" s="12" t="str">
        <f aca="false">INDEX('Country Tiers'!$C$2:$C$37,MATCH(C119,'Country Tiers'!$A$2:$A$37,0))</f>
        <v>Tier 2</v>
      </c>
      <c r="E119" s="12" t="n">
        <f aca="false">INDEX('Country Tiers'!$D$2:$D$37,MATCH(C119,'Country Tiers'!$A$2:$A$37,0))</f>
        <v>2</v>
      </c>
    </row>
    <row r="120" customFormat="false" ht="15" hidden="false" customHeight="false" outlineLevel="0" collapsed="false">
      <c r="A120" s="12" t="s">
        <v>43</v>
      </c>
      <c r="B120" s="12" t="s">
        <v>44</v>
      </c>
      <c r="C120" s="12" t="s">
        <v>293</v>
      </c>
      <c r="D120" s="12" t="str">
        <f aca="false">INDEX('Country Tiers'!$C$2:$C$37,MATCH(C120,'Country Tiers'!$A$2:$A$37,0))</f>
        <v>Tier 3</v>
      </c>
      <c r="E120" s="12" t="n">
        <f aca="false">INDEX('Country Tiers'!$D$2:$D$37,MATCH(C120,'Country Tiers'!$A$2:$A$37,0))</f>
        <v>1</v>
      </c>
    </row>
    <row r="121" customFormat="false" ht="15" hidden="false" customHeight="false" outlineLevel="0" collapsed="false">
      <c r="A121" s="12" t="s">
        <v>43</v>
      </c>
      <c r="B121" s="12" t="s">
        <v>44</v>
      </c>
      <c r="C121" s="12" t="s">
        <v>295</v>
      </c>
      <c r="D121" s="12" t="str">
        <f aca="false">INDEX('Country Tiers'!$C$2:$C$37,MATCH(C121,'Country Tiers'!$A$2:$A$37,0))</f>
        <v>Tier 3</v>
      </c>
      <c r="E121" s="12" t="n">
        <f aca="false">INDEX('Country Tiers'!$D$2:$D$37,MATCH(C121,'Country Tiers'!$A$2:$A$37,0))</f>
        <v>1</v>
      </c>
    </row>
    <row r="122" customFormat="false" ht="15" hidden="false" customHeight="false" outlineLevel="0" collapsed="false">
      <c r="A122" s="12" t="s">
        <v>43</v>
      </c>
      <c r="B122" s="12" t="s">
        <v>44</v>
      </c>
      <c r="C122" s="12" t="s">
        <v>296</v>
      </c>
      <c r="D122" s="12" t="str">
        <f aca="false">INDEX('Country Tiers'!$C$2:$C$37,MATCH(C122,'Country Tiers'!$A$2:$A$37,0))</f>
        <v>Tier 3</v>
      </c>
      <c r="E122" s="12" t="n">
        <f aca="false">INDEX('Country Tiers'!$D$2:$D$37,MATCH(C122,'Country Tiers'!$A$2:$A$37,0))</f>
        <v>1</v>
      </c>
    </row>
    <row r="123" customFormat="false" ht="15" hidden="false" customHeight="false" outlineLevel="0" collapsed="false">
      <c r="A123" s="12" t="s">
        <v>43</v>
      </c>
      <c r="B123" s="12" t="s">
        <v>44</v>
      </c>
      <c r="C123" s="12" t="s">
        <v>297</v>
      </c>
      <c r="D123" s="12" t="str">
        <f aca="false">INDEX('Country Tiers'!$C$2:$C$37,MATCH(C123,'Country Tiers'!$A$2:$A$37,0))</f>
        <v>Tier 2</v>
      </c>
      <c r="E123" s="12" t="n">
        <f aca="false">INDEX('Country Tiers'!$D$2:$D$37,MATCH(C123,'Country Tiers'!$A$2:$A$37,0))</f>
        <v>2</v>
      </c>
    </row>
    <row r="124" customFormat="false" ht="15" hidden="false" customHeight="false" outlineLevel="0" collapsed="false">
      <c r="A124" s="12" t="s">
        <v>43</v>
      </c>
      <c r="B124" s="12" t="s">
        <v>44</v>
      </c>
      <c r="C124" s="12" t="s">
        <v>298</v>
      </c>
      <c r="D124" s="12" t="str">
        <f aca="false">INDEX('Country Tiers'!$C$2:$C$37,MATCH(C124,'Country Tiers'!$A$2:$A$37,0))</f>
        <v>Tier 1</v>
      </c>
      <c r="E124" s="12" t="n">
        <f aca="false">INDEX('Country Tiers'!$D$2:$D$37,MATCH(C124,'Country Tiers'!$A$2:$A$37,0))</f>
        <v>3</v>
      </c>
    </row>
    <row r="125" customFormat="false" ht="15" hidden="false" customHeight="false" outlineLevel="0" collapsed="false">
      <c r="A125" s="12" t="s">
        <v>43</v>
      </c>
      <c r="B125" s="12" t="s">
        <v>44</v>
      </c>
      <c r="C125" s="12" t="s">
        <v>299</v>
      </c>
      <c r="D125" s="12" t="str">
        <f aca="false">INDEX('Country Tiers'!$C$2:$C$37,MATCH(C125,'Country Tiers'!$A$2:$A$37,0))</f>
        <v>Tier 3</v>
      </c>
      <c r="E125" s="12" t="n">
        <f aca="false">INDEX('Country Tiers'!$D$2:$D$37,MATCH(C125,'Country Tiers'!$A$2:$A$37,0))</f>
        <v>1</v>
      </c>
    </row>
    <row r="126" customFormat="false" ht="15" hidden="false" customHeight="false" outlineLevel="0" collapsed="false">
      <c r="A126" s="12" t="s">
        <v>43</v>
      </c>
      <c r="B126" s="12" t="s">
        <v>44</v>
      </c>
      <c r="C126" s="12" t="s">
        <v>300</v>
      </c>
      <c r="D126" s="12" t="str">
        <f aca="false">INDEX('Country Tiers'!$C$2:$C$37,MATCH(C126,'Country Tiers'!$A$2:$A$37,0))</f>
        <v>Tier 3</v>
      </c>
      <c r="E126" s="12" t="n">
        <f aca="false">INDEX('Country Tiers'!$D$2:$D$37,MATCH(C126,'Country Tiers'!$A$2:$A$37,0))</f>
        <v>1</v>
      </c>
    </row>
    <row r="127" customFormat="false" ht="15" hidden="false" customHeight="false" outlineLevel="0" collapsed="false">
      <c r="A127" s="12" t="s">
        <v>43</v>
      </c>
      <c r="B127" s="12" t="s">
        <v>44</v>
      </c>
      <c r="C127" s="12" t="s">
        <v>301</v>
      </c>
      <c r="D127" s="12" t="str">
        <f aca="false">INDEX('Country Tiers'!$C$2:$C$37,MATCH(C127,'Country Tiers'!$A$2:$A$37,0))</f>
        <v>Tier 3</v>
      </c>
      <c r="E127" s="12" t="n">
        <f aca="false">INDEX('Country Tiers'!$D$2:$D$37,MATCH(C127,'Country Tiers'!$A$2:$A$37,0))</f>
        <v>1</v>
      </c>
    </row>
    <row r="128" customFormat="false" ht="15" hidden="false" customHeight="false" outlineLevel="0" collapsed="false">
      <c r="A128" s="12" t="s">
        <v>43</v>
      </c>
      <c r="B128" s="12" t="s">
        <v>44</v>
      </c>
      <c r="C128" s="12" t="s">
        <v>302</v>
      </c>
      <c r="D128" s="12" t="str">
        <f aca="false">INDEX('Country Tiers'!$C$2:$C$37,MATCH(C128,'Country Tiers'!$A$2:$A$37,0))</f>
        <v>Tier 3</v>
      </c>
      <c r="E128" s="12" t="n">
        <f aca="false">INDEX('Country Tiers'!$D$2:$D$37,MATCH(C128,'Country Tiers'!$A$2:$A$37,0))</f>
        <v>1</v>
      </c>
    </row>
    <row r="129" customFormat="false" ht="15" hidden="false" customHeight="false" outlineLevel="0" collapsed="false">
      <c r="A129" s="12" t="s">
        <v>43</v>
      </c>
      <c r="B129" s="12" t="s">
        <v>44</v>
      </c>
      <c r="C129" s="12" t="s">
        <v>303</v>
      </c>
      <c r="D129" s="12" t="str">
        <f aca="false">INDEX('Country Tiers'!$C$2:$C$37,MATCH(C129,'Country Tiers'!$A$2:$A$37,0))</f>
        <v>Tier 2</v>
      </c>
      <c r="E129" s="12" t="n">
        <f aca="false">INDEX('Country Tiers'!$D$2:$D$37,MATCH(C129,'Country Tiers'!$A$2:$A$37,0))</f>
        <v>2</v>
      </c>
    </row>
    <row r="130" customFormat="false" ht="15" hidden="false" customHeight="false" outlineLevel="0" collapsed="false">
      <c r="A130" s="12" t="s">
        <v>43</v>
      </c>
      <c r="B130" s="12" t="s">
        <v>44</v>
      </c>
      <c r="C130" s="12" t="s">
        <v>305</v>
      </c>
      <c r="D130" s="12" t="str">
        <f aca="false">INDEX('Country Tiers'!$C$2:$C$37,MATCH(C130,'Country Tiers'!$A$2:$A$37,0))</f>
        <v>Tier 3</v>
      </c>
      <c r="E130" s="12" t="n">
        <f aca="false">INDEX('Country Tiers'!$D$2:$D$37,MATCH(C130,'Country Tiers'!$A$2:$A$37,0))</f>
        <v>1</v>
      </c>
    </row>
    <row r="131" customFormat="false" ht="15" hidden="false" customHeight="false" outlineLevel="0" collapsed="false">
      <c r="A131" s="12" t="s">
        <v>43</v>
      </c>
      <c r="B131" s="12" t="s">
        <v>44</v>
      </c>
      <c r="C131" s="12" t="s">
        <v>306</v>
      </c>
      <c r="D131" s="12" t="str">
        <f aca="false">INDEX('Country Tiers'!$C$2:$C$37,MATCH(C131,'Country Tiers'!$A$2:$A$37,0))</f>
        <v>Tier 3</v>
      </c>
      <c r="E131" s="12" t="n">
        <f aca="false">INDEX('Country Tiers'!$D$2:$D$37,MATCH(C131,'Country Tiers'!$A$2:$A$37,0))</f>
        <v>1</v>
      </c>
    </row>
    <row r="132" customFormat="false" ht="15" hidden="false" customHeight="false" outlineLevel="0" collapsed="false">
      <c r="A132" s="12" t="s">
        <v>43</v>
      </c>
      <c r="B132" s="12" t="s">
        <v>44</v>
      </c>
      <c r="C132" s="12" t="s">
        <v>307</v>
      </c>
      <c r="D132" s="12" t="str">
        <f aca="false">INDEX('Country Tiers'!$C$2:$C$37,MATCH(C132,'Country Tiers'!$A$2:$A$37,0))</f>
        <v>Tier 2</v>
      </c>
      <c r="E132" s="12" t="n">
        <f aca="false">INDEX('Country Tiers'!$D$2:$D$37,MATCH(C132,'Country Tiers'!$A$2:$A$37,0))</f>
        <v>2</v>
      </c>
    </row>
    <row r="133" customFormat="false" ht="15" hidden="false" customHeight="false" outlineLevel="0" collapsed="false">
      <c r="A133" s="12" t="s">
        <v>43</v>
      </c>
      <c r="B133" s="12" t="s">
        <v>44</v>
      </c>
      <c r="C133" s="12" t="s">
        <v>308</v>
      </c>
      <c r="D133" s="12" t="str">
        <f aca="false">INDEX('Country Tiers'!$C$2:$C$37,MATCH(C133,'Country Tiers'!$A$2:$A$37,0))</f>
        <v>Tier 3</v>
      </c>
      <c r="E133" s="12" t="n">
        <f aca="false">INDEX('Country Tiers'!$D$2:$D$37,MATCH(C133,'Country Tiers'!$A$2:$A$37,0))</f>
        <v>1</v>
      </c>
    </row>
    <row r="134" customFormat="false" ht="15" hidden="false" customHeight="false" outlineLevel="0" collapsed="false">
      <c r="A134" s="12" t="s">
        <v>43</v>
      </c>
      <c r="B134" s="12" t="s">
        <v>44</v>
      </c>
      <c r="C134" s="12" t="s">
        <v>313</v>
      </c>
      <c r="D134" s="12" t="str">
        <f aca="false">INDEX('Country Tiers'!$C$2:$C$37,MATCH(C134,'Country Tiers'!$A$2:$A$37,0))</f>
        <v>Tier 1</v>
      </c>
      <c r="E134" s="12" t="n">
        <f aca="false">INDEX('Country Tiers'!$D$2:$D$37,MATCH(C134,'Country Tiers'!$A$2:$A$37,0))</f>
        <v>3</v>
      </c>
    </row>
    <row r="135" customFormat="false" ht="15" hidden="false" customHeight="false" outlineLevel="0" collapsed="false">
      <c r="A135" s="12" t="s">
        <v>45</v>
      </c>
      <c r="B135" s="12" t="s">
        <v>44</v>
      </c>
      <c r="C135" s="12" t="s">
        <v>274</v>
      </c>
      <c r="D135" s="12" t="str">
        <f aca="false">INDEX('Country Tiers'!$C$2:$C$37,MATCH(C135,'Country Tiers'!$A$2:$A$37,0))</f>
        <v>Tier 3</v>
      </c>
      <c r="E135" s="12" t="n">
        <f aca="false">INDEX('Country Tiers'!$D$2:$D$37,MATCH(C135,'Country Tiers'!$A$2:$A$37,0))</f>
        <v>1</v>
      </c>
    </row>
    <row r="136" customFormat="false" ht="15" hidden="false" customHeight="false" outlineLevel="0" collapsed="false">
      <c r="A136" s="12" t="s">
        <v>45</v>
      </c>
      <c r="B136" s="12" t="s">
        <v>44</v>
      </c>
      <c r="C136" s="12" t="s">
        <v>277</v>
      </c>
      <c r="D136" s="12" t="str">
        <f aca="false">INDEX('Country Tiers'!$C$2:$C$37,MATCH(C136,'Country Tiers'!$A$2:$A$37,0))</f>
        <v>Tier 1</v>
      </c>
      <c r="E136" s="12" t="n">
        <f aca="false">INDEX('Country Tiers'!$D$2:$D$37,MATCH(C136,'Country Tiers'!$A$2:$A$37,0))</f>
        <v>3</v>
      </c>
    </row>
    <row r="137" customFormat="false" ht="15" hidden="false" customHeight="false" outlineLevel="0" collapsed="false">
      <c r="A137" s="12" t="s">
        <v>45</v>
      </c>
      <c r="B137" s="12" t="s">
        <v>44</v>
      </c>
      <c r="C137" s="12" t="s">
        <v>278</v>
      </c>
      <c r="D137" s="12" t="str">
        <f aca="false">INDEX('Country Tiers'!$C$2:$C$37,MATCH(C137,'Country Tiers'!$A$2:$A$37,0))</f>
        <v>Tier 3</v>
      </c>
      <c r="E137" s="12" t="n">
        <f aca="false">INDEX('Country Tiers'!$D$2:$D$37,MATCH(C137,'Country Tiers'!$A$2:$A$37,0))</f>
        <v>1</v>
      </c>
    </row>
    <row r="138" customFormat="false" ht="15" hidden="false" customHeight="false" outlineLevel="0" collapsed="false">
      <c r="A138" s="12" t="s">
        <v>45</v>
      </c>
      <c r="B138" s="12" t="s">
        <v>44</v>
      </c>
      <c r="C138" s="12" t="s">
        <v>280</v>
      </c>
      <c r="D138" s="12" t="str">
        <f aca="false">INDEX('Country Tiers'!$C$2:$C$37,MATCH(C138,'Country Tiers'!$A$2:$A$37,0))</f>
        <v>Tier 3</v>
      </c>
      <c r="E138" s="12" t="n">
        <f aca="false">INDEX('Country Tiers'!$D$2:$D$37,MATCH(C138,'Country Tiers'!$A$2:$A$37,0))</f>
        <v>1</v>
      </c>
    </row>
    <row r="139" customFormat="false" ht="15" hidden="false" customHeight="false" outlineLevel="0" collapsed="false">
      <c r="A139" s="12" t="s">
        <v>45</v>
      </c>
      <c r="B139" s="12" t="s">
        <v>44</v>
      </c>
      <c r="C139" s="12" t="s">
        <v>281</v>
      </c>
      <c r="D139" s="12" t="str">
        <f aca="false">INDEX('Country Tiers'!$C$2:$C$37,MATCH(C139,'Country Tiers'!$A$2:$A$37,0))</f>
        <v>Tier 3</v>
      </c>
      <c r="E139" s="12" t="n">
        <f aca="false">INDEX('Country Tiers'!$D$2:$D$37,MATCH(C139,'Country Tiers'!$A$2:$A$37,0))</f>
        <v>1</v>
      </c>
    </row>
    <row r="140" customFormat="false" ht="15" hidden="false" customHeight="false" outlineLevel="0" collapsed="false">
      <c r="A140" s="12" t="s">
        <v>45</v>
      </c>
      <c r="B140" s="12" t="s">
        <v>44</v>
      </c>
      <c r="C140" s="12" t="s">
        <v>282</v>
      </c>
      <c r="D140" s="12" t="str">
        <f aca="false">INDEX('Country Tiers'!$C$2:$C$37,MATCH(C140,'Country Tiers'!$A$2:$A$37,0))</f>
        <v>Tier 3</v>
      </c>
      <c r="E140" s="12" t="n">
        <f aca="false">INDEX('Country Tiers'!$D$2:$D$37,MATCH(C140,'Country Tiers'!$A$2:$A$37,0))</f>
        <v>1</v>
      </c>
    </row>
    <row r="141" customFormat="false" ht="15" hidden="false" customHeight="false" outlineLevel="0" collapsed="false">
      <c r="A141" s="12" t="s">
        <v>45</v>
      </c>
      <c r="B141" s="12" t="s">
        <v>44</v>
      </c>
      <c r="C141" s="12" t="s">
        <v>283</v>
      </c>
      <c r="D141" s="12" t="str">
        <f aca="false">INDEX('Country Tiers'!$C$2:$C$37,MATCH(C141,'Country Tiers'!$A$2:$A$37,0))</f>
        <v>Tier 3</v>
      </c>
      <c r="E141" s="12" t="n">
        <f aca="false">INDEX('Country Tiers'!$D$2:$D$37,MATCH(C141,'Country Tiers'!$A$2:$A$37,0))</f>
        <v>1</v>
      </c>
    </row>
    <row r="142" customFormat="false" ht="15" hidden="false" customHeight="false" outlineLevel="0" collapsed="false">
      <c r="A142" s="12" t="s">
        <v>45</v>
      </c>
      <c r="B142" s="12" t="s">
        <v>44</v>
      </c>
      <c r="C142" s="12" t="s">
        <v>284</v>
      </c>
      <c r="D142" s="12" t="str">
        <f aca="false">INDEX('Country Tiers'!$C$2:$C$37,MATCH(C142,'Country Tiers'!$A$2:$A$37,0))</f>
        <v>Tier 3</v>
      </c>
      <c r="E142" s="12" t="n">
        <f aca="false">INDEX('Country Tiers'!$D$2:$D$37,MATCH(C142,'Country Tiers'!$A$2:$A$37,0))</f>
        <v>1</v>
      </c>
    </row>
    <row r="143" customFormat="false" ht="15" hidden="false" customHeight="false" outlineLevel="0" collapsed="false">
      <c r="A143" s="12" t="s">
        <v>45</v>
      </c>
      <c r="B143" s="12" t="s">
        <v>44</v>
      </c>
      <c r="C143" s="12" t="s">
        <v>285</v>
      </c>
      <c r="D143" s="12" t="str">
        <f aca="false">INDEX('Country Tiers'!$C$2:$C$37,MATCH(C143,'Country Tiers'!$A$2:$A$37,0))</f>
        <v>Tier 3</v>
      </c>
      <c r="E143" s="12" t="n">
        <f aca="false">INDEX('Country Tiers'!$D$2:$D$37,MATCH(C143,'Country Tiers'!$A$2:$A$37,0))</f>
        <v>1</v>
      </c>
    </row>
    <row r="144" customFormat="false" ht="15" hidden="false" customHeight="false" outlineLevel="0" collapsed="false">
      <c r="A144" s="12" t="s">
        <v>45</v>
      </c>
      <c r="B144" s="12" t="s">
        <v>44</v>
      </c>
      <c r="C144" s="12" t="s">
        <v>286</v>
      </c>
      <c r="D144" s="12" t="str">
        <f aca="false">INDEX('Country Tiers'!$C$2:$C$37,MATCH(C144,'Country Tiers'!$A$2:$A$37,0))</f>
        <v>Tier 1</v>
      </c>
      <c r="E144" s="12" t="n">
        <f aca="false">INDEX('Country Tiers'!$D$2:$D$37,MATCH(C144,'Country Tiers'!$A$2:$A$37,0))</f>
        <v>3</v>
      </c>
    </row>
    <row r="145" customFormat="false" ht="15" hidden="false" customHeight="false" outlineLevel="0" collapsed="false">
      <c r="A145" s="12" t="s">
        <v>45</v>
      </c>
      <c r="B145" s="12" t="s">
        <v>44</v>
      </c>
      <c r="C145" s="12" t="s">
        <v>287</v>
      </c>
      <c r="D145" s="12" t="str">
        <f aca="false">INDEX('Country Tiers'!$C$2:$C$37,MATCH(C145,'Country Tiers'!$A$2:$A$37,0))</f>
        <v>Tier 1</v>
      </c>
      <c r="E145" s="12" t="n">
        <f aca="false">INDEX('Country Tiers'!$D$2:$D$37,MATCH(C145,'Country Tiers'!$A$2:$A$37,0))</f>
        <v>3</v>
      </c>
    </row>
    <row r="146" customFormat="false" ht="15" hidden="false" customHeight="false" outlineLevel="0" collapsed="false">
      <c r="A146" s="12" t="s">
        <v>45</v>
      </c>
      <c r="B146" s="12" t="s">
        <v>44</v>
      </c>
      <c r="C146" s="12" t="s">
        <v>288</v>
      </c>
      <c r="D146" s="12" t="str">
        <f aca="false">INDEX('Country Tiers'!$C$2:$C$37,MATCH(C146,'Country Tiers'!$A$2:$A$37,0))</f>
        <v>Tier 3</v>
      </c>
      <c r="E146" s="12" t="n">
        <f aca="false">INDEX('Country Tiers'!$D$2:$D$37,MATCH(C146,'Country Tiers'!$A$2:$A$37,0))</f>
        <v>1</v>
      </c>
    </row>
    <row r="147" customFormat="false" ht="15" hidden="false" customHeight="false" outlineLevel="0" collapsed="false">
      <c r="A147" s="12" t="s">
        <v>45</v>
      </c>
      <c r="B147" s="12" t="s">
        <v>44</v>
      </c>
      <c r="C147" s="12" t="s">
        <v>290</v>
      </c>
      <c r="D147" s="12" t="str">
        <f aca="false">INDEX('Country Tiers'!$C$2:$C$37,MATCH(C147,'Country Tiers'!$A$2:$A$37,0))</f>
        <v>Tier 3</v>
      </c>
      <c r="E147" s="12" t="n">
        <f aca="false">INDEX('Country Tiers'!$D$2:$D$37,MATCH(C147,'Country Tiers'!$A$2:$A$37,0))</f>
        <v>1</v>
      </c>
    </row>
    <row r="148" customFormat="false" ht="15" hidden="false" customHeight="false" outlineLevel="0" collapsed="false">
      <c r="A148" s="12" t="s">
        <v>45</v>
      </c>
      <c r="B148" s="12" t="s">
        <v>44</v>
      </c>
      <c r="C148" s="12" t="s">
        <v>291</v>
      </c>
      <c r="D148" s="12" t="str">
        <f aca="false">INDEX('Country Tiers'!$C$2:$C$37,MATCH(C148,'Country Tiers'!$A$2:$A$37,0))</f>
        <v>Tier 3</v>
      </c>
      <c r="E148" s="12" t="n">
        <f aca="false">INDEX('Country Tiers'!$D$2:$D$37,MATCH(C148,'Country Tiers'!$A$2:$A$37,0))</f>
        <v>1</v>
      </c>
    </row>
    <row r="149" customFormat="false" ht="15" hidden="false" customHeight="false" outlineLevel="0" collapsed="false">
      <c r="A149" s="12" t="s">
        <v>45</v>
      </c>
      <c r="B149" s="12" t="s">
        <v>44</v>
      </c>
      <c r="C149" s="12" t="s">
        <v>292</v>
      </c>
      <c r="D149" s="12" t="str">
        <f aca="false">INDEX('Country Tiers'!$C$2:$C$37,MATCH(C149,'Country Tiers'!$A$2:$A$37,0))</f>
        <v>Tier 2</v>
      </c>
      <c r="E149" s="12" t="n">
        <f aca="false">INDEX('Country Tiers'!$D$2:$D$37,MATCH(C149,'Country Tiers'!$A$2:$A$37,0))</f>
        <v>2</v>
      </c>
    </row>
    <row r="150" customFormat="false" ht="15" hidden="false" customHeight="false" outlineLevel="0" collapsed="false">
      <c r="A150" s="12" t="s">
        <v>45</v>
      </c>
      <c r="B150" s="12" t="s">
        <v>44</v>
      </c>
      <c r="C150" s="12" t="s">
        <v>293</v>
      </c>
      <c r="D150" s="12" t="str">
        <f aca="false">INDEX('Country Tiers'!$C$2:$C$37,MATCH(C150,'Country Tiers'!$A$2:$A$37,0))</f>
        <v>Tier 3</v>
      </c>
      <c r="E150" s="12" t="n">
        <f aca="false">INDEX('Country Tiers'!$D$2:$D$37,MATCH(C150,'Country Tiers'!$A$2:$A$37,0))</f>
        <v>1</v>
      </c>
    </row>
    <row r="151" customFormat="false" ht="15" hidden="false" customHeight="false" outlineLevel="0" collapsed="false">
      <c r="A151" s="12" t="s">
        <v>45</v>
      </c>
      <c r="B151" s="12" t="s">
        <v>44</v>
      </c>
      <c r="C151" s="12" t="s">
        <v>295</v>
      </c>
      <c r="D151" s="12" t="str">
        <f aca="false">INDEX('Country Tiers'!$C$2:$C$37,MATCH(C151,'Country Tiers'!$A$2:$A$37,0))</f>
        <v>Tier 3</v>
      </c>
      <c r="E151" s="12" t="n">
        <f aca="false">INDEX('Country Tiers'!$D$2:$D$37,MATCH(C151,'Country Tiers'!$A$2:$A$37,0))</f>
        <v>1</v>
      </c>
    </row>
    <row r="152" customFormat="false" ht="15" hidden="false" customHeight="false" outlineLevel="0" collapsed="false">
      <c r="A152" s="12" t="s">
        <v>45</v>
      </c>
      <c r="B152" s="12" t="s">
        <v>44</v>
      </c>
      <c r="C152" s="12" t="s">
        <v>296</v>
      </c>
      <c r="D152" s="12" t="str">
        <f aca="false">INDEX('Country Tiers'!$C$2:$C$37,MATCH(C152,'Country Tiers'!$A$2:$A$37,0))</f>
        <v>Tier 3</v>
      </c>
      <c r="E152" s="12" t="n">
        <f aca="false">INDEX('Country Tiers'!$D$2:$D$37,MATCH(C152,'Country Tiers'!$A$2:$A$37,0))</f>
        <v>1</v>
      </c>
    </row>
    <row r="153" customFormat="false" ht="15" hidden="false" customHeight="false" outlineLevel="0" collapsed="false">
      <c r="A153" s="12" t="s">
        <v>45</v>
      </c>
      <c r="B153" s="12" t="s">
        <v>44</v>
      </c>
      <c r="C153" s="12" t="s">
        <v>297</v>
      </c>
      <c r="D153" s="12" t="str">
        <f aca="false">INDEX('Country Tiers'!$C$2:$C$37,MATCH(C153,'Country Tiers'!$A$2:$A$37,0))</f>
        <v>Tier 2</v>
      </c>
      <c r="E153" s="12" t="n">
        <f aca="false">INDEX('Country Tiers'!$D$2:$D$37,MATCH(C153,'Country Tiers'!$A$2:$A$37,0))</f>
        <v>2</v>
      </c>
    </row>
    <row r="154" customFormat="false" ht="15" hidden="false" customHeight="false" outlineLevel="0" collapsed="false">
      <c r="A154" s="12" t="s">
        <v>45</v>
      </c>
      <c r="B154" s="12" t="s">
        <v>44</v>
      </c>
      <c r="C154" s="12" t="s">
        <v>298</v>
      </c>
      <c r="D154" s="12" t="str">
        <f aca="false">INDEX('Country Tiers'!$C$2:$C$37,MATCH(C154,'Country Tiers'!$A$2:$A$37,0))</f>
        <v>Tier 1</v>
      </c>
      <c r="E154" s="12" t="n">
        <f aca="false">INDEX('Country Tiers'!$D$2:$D$37,MATCH(C154,'Country Tiers'!$A$2:$A$37,0))</f>
        <v>3</v>
      </c>
    </row>
    <row r="155" customFormat="false" ht="15" hidden="false" customHeight="false" outlineLevel="0" collapsed="false">
      <c r="A155" s="12" t="s">
        <v>45</v>
      </c>
      <c r="B155" s="12" t="s">
        <v>44</v>
      </c>
      <c r="C155" s="12" t="s">
        <v>299</v>
      </c>
      <c r="D155" s="12" t="str">
        <f aca="false">INDEX('Country Tiers'!$C$2:$C$37,MATCH(C155,'Country Tiers'!$A$2:$A$37,0))</f>
        <v>Tier 3</v>
      </c>
      <c r="E155" s="12" t="n">
        <f aca="false">INDEX('Country Tiers'!$D$2:$D$37,MATCH(C155,'Country Tiers'!$A$2:$A$37,0))</f>
        <v>1</v>
      </c>
    </row>
    <row r="156" customFormat="false" ht="15" hidden="false" customHeight="false" outlineLevel="0" collapsed="false">
      <c r="A156" s="12" t="s">
        <v>45</v>
      </c>
      <c r="B156" s="12" t="s">
        <v>44</v>
      </c>
      <c r="C156" s="12" t="s">
        <v>300</v>
      </c>
      <c r="D156" s="12" t="str">
        <f aca="false">INDEX('Country Tiers'!$C$2:$C$37,MATCH(C156,'Country Tiers'!$A$2:$A$37,0))</f>
        <v>Tier 3</v>
      </c>
      <c r="E156" s="12" t="n">
        <f aca="false">INDEX('Country Tiers'!$D$2:$D$37,MATCH(C156,'Country Tiers'!$A$2:$A$37,0))</f>
        <v>1</v>
      </c>
    </row>
    <row r="157" customFormat="false" ht="15" hidden="false" customHeight="false" outlineLevel="0" collapsed="false">
      <c r="A157" s="12" t="s">
        <v>45</v>
      </c>
      <c r="B157" s="12" t="s">
        <v>44</v>
      </c>
      <c r="C157" s="12" t="s">
        <v>301</v>
      </c>
      <c r="D157" s="12" t="str">
        <f aca="false">INDEX('Country Tiers'!$C$2:$C$37,MATCH(C157,'Country Tiers'!$A$2:$A$37,0))</f>
        <v>Tier 3</v>
      </c>
      <c r="E157" s="12" t="n">
        <f aca="false">INDEX('Country Tiers'!$D$2:$D$37,MATCH(C157,'Country Tiers'!$A$2:$A$37,0))</f>
        <v>1</v>
      </c>
    </row>
    <row r="158" customFormat="false" ht="15" hidden="false" customHeight="false" outlineLevel="0" collapsed="false">
      <c r="A158" s="12" t="s">
        <v>45</v>
      </c>
      <c r="B158" s="12" t="s">
        <v>44</v>
      </c>
      <c r="C158" s="12" t="s">
        <v>302</v>
      </c>
      <c r="D158" s="12" t="str">
        <f aca="false">INDEX('Country Tiers'!$C$2:$C$37,MATCH(C158,'Country Tiers'!$A$2:$A$37,0))</f>
        <v>Tier 3</v>
      </c>
      <c r="E158" s="12" t="n">
        <f aca="false">INDEX('Country Tiers'!$D$2:$D$37,MATCH(C158,'Country Tiers'!$A$2:$A$37,0))</f>
        <v>1</v>
      </c>
    </row>
    <row r="159" customFormat="false" ht="15" hidden="false" customHeight="false" outlineLevel="0" collapsed="false">
      <c r="A159" s="12" t="s">
        <v>45</v>
      </c>
      <c r="B159" s="12" t="s">
        <v>44</v>
      </c>
      <c r="C159" s="12" t="s">
        <v>305</v>
      </c>
      <c r="D159" s="12" t="str">
        <f aca="false">INDEX('Country Tiers'!$C$2:$C$37,MATCH(C159,'Country Tiers'!$A$2:$A$37,0))</f>
        <v>Tier 3</v>
      </c>
      <c r="E159" s="12" t="n">
        <f aca="false">INDEX('Country Tiers'!$D$2:$D$37,MATCH(C159,'Country Tiers'!$A$2:$A$37,0))</f>
        <v>1</v>
      </c>
    </row>
    <row r="160" customFormat="false" ht="15" hidden="false" customHeight="false" outlineLevel="0" collapsed="false">
      <c r="A160" s="12" t="s">
        <v>45</v>
      </c>
      <c r="B160" s="12" t="s">
        <v>44</v>
      </c>
      <c r="C160" s="12" t="s">
        <v>306</v>
      </c>
      <c r="D160" s="12" t="str">
        <f aca="false">INDEX('Country Tiers'!$C$2:$C$37,MATCH(C160,'Country Tiers'!$A$2:$A$37,0))</f>
        <v>Tier 3</v>
      </c>
      <c r="E160" s="12" t="n">
        <f aca="false">INDEX('Country Tiers'!$D$2:$D$37,MATCH(C160,'Country Tiers'!$A$2:$A$37,0))</f>
        <v>1</v>
      </c>
    </row>
    <row r="161" customFormat="false" ht="15" hidden="false" customHeight="false" outlineLevel="0" collapsed="false">
      <c r="A161" s="12" t="s">
        <v>45</v>
      </c>
      <c r="B161" s="12" t="s">
        <v>44</v>
      </c>
      <c r="C161" s="12" t="s">
        <v>307</v>
      </c>
      <c r="D161" s="12" t="str">
        <f aca="false">INDEX('Country Tiers'!$C$2:$C$37,MATCH(C161,'Country Tiers'!$A$2:$A$37,0))</f>
        <v>Tier 2</v>
      </c>
      <c r="E161" s="12" t="n">
        <f aca="false">INDEX('Country Tiers'!$D$2:$D$37,MATCH(C161,'Country Tiers'!$A$2:$A$37,0))</f>
        <v>2</v>
      </c>
    </row>
    <row r="162" customFormat="false" ht="15" hidden="false" customHeight="false" outlineLevel="0" collapsed="false">
      <c r="A162" s="12" t="s">
        <v>45</v>
      </c>
      <c r="B162" s="12" t="s">
        <v>44</v>
      </c>
      <c r="C162" s="12" t="s">
        <v>308</v>
      </c>
      <c r="D162" s="12" t="str">
        <f aca="false">INDEX('Country Tiers'!$C$2:$C$37,MATCH(C162,'Country Tiers'!$A$2:$A$37,0))</f>
        <v>Tier 3</v>
      </c>
      <c r="E162" s="12" t="n">
        <f aca="false">INDEX('Country Tiers'!$D$2:$D$37,MATCH(C162,'Country Tiers'!$A$2:$A$37,0))</f>
        <v>1</v>
      </c>
    </row>
    <row r="163" customFormat="false" ht="15" hidden="false" customHeight="false" outlineLevel="0" collapsed="false">
      <c r="A163" s="12" t="s">
        <v>45</v>
      </c>
      <c r="B163" s="12" t="s">
        <v>44</v>
      </c>
      <c r="C163" s="12" t="s">
        <v>313</v>
      </c>
      <c r="D163" s="12" t="str">
        <f aca="false">INDEX('Country Tiers'!$C$2:$C$37,MATCH(C163,'Country Tiers'!$A$2:$A$37,0))</f>
        <v>Tier 1</v>
      </c>
      <c r="E163" s="12" t="n">
        <f aca="false">INDEX('Country Tiers'!$D$2:$D$37,MATCH(C163,'Country Tiers'!$A$2:$A$37,0))</f>
        <v>3</v>
      </c>
    </row>
    <row r="164" customFormat="false" ht="15" hidden="false" customHeight="false" outlineLevel="0" collapsed="false">
      <c r="A164" s="12" t="s">
        <v>46</v>
      </c>
      <c r="B164" s="12" t="s">
        <v>47</v>
      </c>
      <c r="C164" s="12" t="s">
        <v>279</v>
      </c>
      <c r="D164" s="12" t="str">
        <f aca="false">INDEX('Country Tiers'!$C$2:$C$37,MATCH(C164,'Country Tiers'!$A$2:$A$37,0))</f>
        <v>Tier 1</v>
      </c>
      <c r="E164" s="12" t="n">
        <f aca="false">INDEX('Country Tiers'!$D$2:$D$37,MATCH(C164,'Country Tiers'!$A$2:$A$37,0))</f>
        <v>3</v>
      </c>
    </row>
    <row r="165" customFormat="false" ht="15" hidden="false" customHeight="false" outlineLevel="0" collapsed="false">
      <c r="A165" s="12" t="s">
        <v>46</v>
      </c>
      <c r="B165" s="12" t="s">
        <v>35</v>
      </c>
      <c r="C165" s="12" t="s">
        <v>274</v>
      </c>
      <c r="D165" s="12" t="str">
        <f aca="false">INDEX('Country Tiers'!$C$2:$C$37,MATCH(C165,'Country Tiers'!$A$2:$A$37,0))</f>
        <v>Tier 3</v>
      </c>
      <c r="E165" s="12" t="n">
        <f aca="false">INDEX('Country Tiers'!$D$2:$D$37,MATCH(C165,'Country Tiers'!$A$2:$A$37,0))</f>
        <v>1</v>
      </c>
    </row>
    <row r="166" customFormat="false" ht="15" hidden="false" customHeight="false" outlineLevel="0" collapsed="false">
      <c r="A166" s="12" t="s">
        <v>46</v>
      </c>
      <c r="B166" s="12" t="s">
        <v>35</v>
      </c>
      <c r="C166" s="12" t="s">
        <v>278</v>
      </c>
      <c r="D166" s="12" t="str">
        <f aca="false">INDEX('Country Tiers'!$C$2:$C$37,MATCH(C166,'Country Tiers'!$A$2:$A$37,0))</f>
        <v>Tier 3</v>
      </c>
      <c r="E166" s="12" t="n">
        <f aca="false">INDEX('Country Tiers'!$D$2:$D$37,MATCH(C166,'Country Tiers'!$A$2:$A$37,0))</f>
        <v>1</v>
      </c>
    </row>
    <row r="167" customFormat="false" ht="15" hidden="false" customHeight="false" outlineLevel="0" collapsed="false">
      <c r="A167" s="12" t="s">
        <v>46</v>
      </c>
      <c r="B167" s="12" t="s">
        <v>35</v>
      </c>
      <c r="C167" s="12" t="s">
        <v>280</v>
      </c>
      <c r="D167" s="12" t="str">
        <f aca="false">INDEX('Country Tiers'!$C$2:$C$37,MATCH(C167,'Country Tiers'!$A$2:$A$37,0))</f>
        <v>Tier 3</v>
      </c>
      <c r="E167" s="12" t="n">
        <f aca="false">INDEX('Country Tiers'!$D$2:$D$37,MATCH(C167,'Country Tiers'!$A$2:$A$37,0))</f>
        <v>1</v>
      </c>
    </row>
    <row r="168" customFormat="false" ht="15" hidden="false" customHeight="false" outlineLevel="0" collapsed="false">
      <c r="A168" s="12" t="s">
        <v>46</v>
      </c>
      <c r="B168" s="12" t="s">
        <v>35</v>
      </c>
      <c r="C168" s="12" t="s">
        <v>281</v>
      </c>
      <c r="D168" s="12" t="str">
        <f aca="false">INDEX('Country Tiers'!$C$2:$C$37,MATCH(C168,'Country Tiers'!$A$2:$A$37,0))</f>
        <v>Tier 3</v>
      </c>
      <c r="E168" s="12" t="n">
        <f aca="false">INDEX('Country Tiers'!$D$2:$D$37,MATCH(C168,'Country Tiers'!$A$2:$A$37,0))</f>
        <v>1</v>
      </c>
    </row>
    <row r="169" customFormat="false" ht="15" hidden="false" customHeight="false" outlineLevel="0" collapsed="false">
      <c r="A169" s="12" t="s">
        <v>46</v>
      </c>
      <c r="B169" s="12" t="s">
        <v>35</v>
      </c>
      <c r="C169" s="12" t="s">
        <v>282</v>
      </c>
      <c r="D169" s="12" t="str">
        <f aca="false">INDEX('Country Tiers'!$C$2:$C$37,MATCH(C169,'Country Tiers'!$A$2:$A$37,0))</f>
        <v>Tier 3</v>
      </c>
      <c r="E169" s="12" t="n">
        <f aca="false">INDEX('Country Tiers'!$D$2:$D$37,MATCH(C169,'Country Tiers'!$A$2:$A$37,0))</f>
        <v>1</v>
      </c>
    </row>
    <row r="170" customFormat="false" ht="15" hidden="false" customHeight="false" outlineLevel="0" collapsed="false">
      <c r="A170" s="12" t="s">
        <v>46</v>
      </c>
      <c r="B170" s="12" t="s">
        <v>35</v>
      </c>
      <c r="C170" s="12" t="s">
        <v>283</v>
      </c>
      <c r="D170" s="12" t="str">
        <f aca="false">INDEX('Country Tiers'!$C$2:$C$37,MATCH(C170,'Country Tiers'!$A$2:$A$37,0))</f>
        <v>Tier 3</v>
      </c>
      <c r="E170" s="12" t="n">
        <f aca="false">INDEX('Country Tiers'!$D$2:$D$37,MATCH(C170,'Country Tiers'!$A$2:$A$37,0))</f>
        <v>1</v>
      </c>
    </row>
    <row r="171" customFormat="false" ht="15" hidden="false" customHeight="false" outlineLevel="0" collapsed="false">
      <c r="A171" s="12" t="s">
        <v>46</v>
      </c>
      <c r="B171" s="12" t="s">
        <v>35</v>
      </c>
      <c r="C171" s="12" t="s">
        <v>284</v>
      </c>
      <c r="D171" s="12" t="str">
        <f aca="false">INDEX('Country Tiers'!$C$2:$C$37,MATCH(C171,'Country Tiers'!$A$2:$A$37,0))</f>
        <v>Tier 3</v>
      </c>
      <c r="E171" s="12" t="n">
        <f aca="false">INDEX('Country Tiers'!$D$2:$D$37,MATCH(C171,'Country Tiers'!$A$2:$A$37,0))</f>
        <v>1</v>
      </c>
    </row>
    <row r="172" customFormat="false" ht="15" hidden="false" customHeight="false" outlineLevel="0" collapsed="false">
      <c r="A172" s="12" t="s">
        <v>46</v>
      </c>
      <c r="B172" s="12" t="s">
        <v>35</v>
      </c>
      <c r="C172" s="12" t="s">
        <v>285</v>
      </c>
      <c r="D172" s="12" t="str">
        <f aca="false">INDEX('Country Tiers'!$C$2:$C$37,MATCH(C172,'Country Tiers'!$A$2:$A$37,0))</f>
        <v>Tier 3</v>
      </c>
      <c r="E172" s="12" t="n">
        <f aca="false">INDEX('Country Tiers'!$D$2:$D$37,MATCH(C172,'Country Tiers'!$A$2:$A$37,0))</f>
        <v>1</v>
      </c>
    </row>
    <row r="173" customFormat="false" ht="15" hidden="false" customHeight="false" outlineLevel="0" collapsed="false">
      <c r="A173" s="12" t="s">
        <v>46</v>
      </c>
      <c r="B173" s="12" t="s">
        <v>35</v>
      </c>
      <c r="C173" s="12" t="s">
        <v>286</v>
      </c>
      <c r="D173" s="12" t="str">
        <f aca="false">INDEX('Country Tiers'!$C$2:$C$37,MATCH(C173,'Country Tiers'!$A$2:$A$37,0))</f>
        <v>Tier 1</v>
      </c>
      <c r="E173" s="12" t="n">
        <f aca="false">INDEX('Country Tiers'!$D$2:$D$37,MATCH(C173,'Country Tiers'!$A$2:$A$37,0))</f>
        <v>3</v>
      </c>
    </row>
    <row r="174" customFormat="false" ht="15" hidden="false" customHeight="false" outlineLevel="0" collapsed="false">
      <c r="A174" s="12" t="s">
        <v>46</v>
      </c>
      <c r="B174" s="12" t="s">
        <v>35</v>
      </c>
      <c r="C174" s="12" t="s">
        <v>287</v>
      </c>
      <c r="D174" s="12" t="str">
        <f aca="false">INDEX('Country Tiers'!$C$2:$C$37,MATCH(C174,'Country Tiers'!$A$2:$A$37,0))</f>
        <v>Tier 1</v>
      </c>
      <c r="E174" s="12" t="n">
        <f aca="false">INDEX('Country Tiers'!$D$2:$D$37,MATCH(C174,'Country Tiers'!$A$2:$A$37,0))</f>
        <v>3</v>
      </c>
    </row>
    <row r="175" customFormat="false" ht="15" hidden="false" customHeight="false" outlineLevel="0" collapsed="false">
      <c r="A175" s="12" t="s">
        <v>46</v>
      </c>
      <c r="B175" s="12" t="s">
        <v>35</v>
      </c>
      <c r="C175" s="12" t="s">
        <v>288</v>
      </c>
      <c r="D175" s="12" t="str">
        <f aca="false">INDEX('Country Tiers'!$C$2:$C$37,MATCH(C175,'Country Tiers'!$A$2:$A$37,0))</f>
        <v>Tier 3</v>
      </c>
      <c r="E175" s="12" t="n">
        <f aca="false">INDEX('Country Tiers'!$D$2:$D$37,MATCH(C175,'Country Tiers'!$A$2:$A$37,0))</f>
        <v>1</v>
      </c>
    </row>
    <row r="176" customFormat="false" ht="15" hidden="false" customHeight="false" outlineLevel="0" collapsed="false">
      <c r="A176" s="12" t="s">
        <v>46</v>
      </c>
      <c r="B176" s="12" t="s">
        <v>35</v>
      </c>
      <c r="C176" s="12" t="s">
        <v>289</v>
      </c>
      <c r="D176" s="12" t="str">
        <f aca="false">INDEX('Country Tiers'!$C$2:$C$37,MATCH(C176,'Country Tiers'!$A$2:$A$37,0))</f>
        <v>Tier 3</v>
      </c>
      <c r="E176" s="12" t="n">
        <f aca="false">INDEX('Country Tiers'!$D$2:$D$37,MATCH(C176,'Country Tiers'!$A$2:$A$37,0))</f>
        <v>1</v>
      </c>
    </row>
    <row r="177" customFormat="false" ht="15" hidden="false" customHeight="false" outlineLevel="0" collapsed="false">
      <c r="A177" s="12" t="s">
        <v>46</v>
      </c>
      <c r="B177" s="12" t="s">
        <v>35</v>
      </c>
      <c r="C177" s="12" t="s">
        <v>290</v>
      </c>
      <c r="D177" s="12" t="str">
        <f aca="false">INDEX('Country Tiers'!$C$2:$C$37,MATCH(C177,'Country Tiers'!$A$2:$A$37,0))</f>
        <v>Tier 3</v>
      </c>
      <c r="E177" s="12" t="n">
        <f aca="false">INDEX('Country Tiers'!$D$2:$D$37,MATCH(C177,'Country Tiers'!$A$2:$A$37,0))</f>
        <v>1</v>
      </c>
    </row>
    <row r="178" customFormat="false" ht="15" hidden="false" customHeight="false" outlineLevel="0" collapsed="false">
      <c r="A178" s="12" t="s">
        <v>46</v>
      </c>
      <c r="B178" s="12" t="s">
        <v>35</v>
      </c>
      <c r="C178" s="12" t="s">
        <v>292</v>
      </c>
      <c r="D178" s="12" t="str">
        <f aca="false">INDEX('Country Tiers'!$C$2:$C$37,MATCH(C178,'Country Tiers'!$A$2:$A$37,0))</f>
        <v>Tier 2</v>
      </c>
      <c r="E178" s="12" t="n">
        <f aca="false">INDEX('Country Tiers'!$D$2:$D$37,MATCH(C178,'Country Tiers'!$A$2:$A$37,0))</f>
        <v>2</v>
      </c>
    </row>
    <row r="179" customFormat="false" ht="15" hidden="false" customHeight="false" outlineLevel="0" collapsed="false">
      <c r="A179" s="12" t="s">
        <v>46</v>
      </c>
      <c r="B179" s="12" t="s">
        <v>35</v>
      </c>
      <c r="C179" s="12" t="s">
        <v>293</v>
      </c>
      <c r="D179" s="12" t="str">
        <f aca="false">INDEX('Country Tiers'!$C$2:$C$37,MATCH(C179,'Country Tiers'!$A$2:$A$37,0))</f>
        <v>Tier 3</v>
      </c>
      <c r="E179" s="12" t="n">
        <f aca="false">INDEX('Country Tiers'!$D$2:$D$37,MATCH(C179,'Country Tiers'!$A$2:$A$37,0))</f>
        <v>1</v>
      </c>
    </row>
    <row r="180" customFormat="false" ht="15" hidden="false" customHeight="false" outlineLevel="0" collapsed="false">
      <c r="A180" s="12" t="s">
        <v>46</v>
      </c>
      <c r="B180" s="12" t="s">
        <v>35</v>
      </c>
      <c r="C180" s="12" t="s">
        <v>295</v>
      </c>
      <c r="D180" s="12" t="str">
        <f aca="false">INDEX('Country Tiers'!$C$2:$C$37,MATCH(C180,'Country Tiers'!$A$2:$A$37,0))</f>
        <v>Tier 3</v>
      </c>
      <c r="E180" s="12" t="n">
        <f aca="false">INDEX('Country Tiers'!$D$2:$D$37,MATCH(C180,'Country Tiers'!$A$2:$A$37,0))</f>
        <v>1</v>
      </c>
    </row>
    <row r="181" customFormat="false" ht="15" hidden="false" customHeight="false" outlineLevel="0" collapsed="false">
      <c r="A181" s="12" t="s">
        <v>46</v>
      </c>
      <c r="B181" s="12" t="s">
        <v>35</v>
      </c>
      <c r="C181" s="12" t="s">
        <v>299</v>
      </c>
      <c r="D181" s="12" t="str">
        <f aca="false">INDEX('Country Tiers'!$C$2:$C$37,MATCH(C181,'Country Tiers'!$A$2:$A$37,0))</f>
        <v>Tier 3</v>
      </c>
      <c r="E181" s="12" t="n">
        <f aca="false">INDEX('Country Tiers'!$D$2:$D$37,MATCH(C181,'Country Tiers'!$A$2:$A$37,0))</f>
        <v>1</v>
      </c>
    </row>
    <row r="182" customFormat="false" ht="15" hidden="false" customHeight="false" outlineLevel="0" collapsed="false">
      <c r="A182" s="12" t="s">
        <v>46</v>
      </c>
      <c r="B182" s="12" t="s">
        <v>35</v>
      </c>
      <c r="C182" s="12" t="s">
        <v>300</v>
      </c>
      <c r="D182" s="12" t="str">
        <f aca="false">INDEX('Country Tiers'!$C$2:$C$37,MATCH(C182,'Country Tiers'!$A$2:$A$37,0))</f>
        <v>Tier 3</v>
      </c>
      <c r="E182" s="12" t="n">
        <f aca="false">INDEX('Country Tiers'!$D$2:$D$37,MATCH(C182,'Country Tiers'!$A$2:$A$37,0))</f>
        <v>1</v>
      </c>
    </row>
    <row r="183" customFormat="false" ht="15" hidden="false" customHeight="false" outlineLevel="0" collapsed="false">
      <c r="A183" s="12" t="s">
        <v>46</v>
      </c>
      <c r="B183" s="12" t="s">
        <v>35</v>
      </c>
      <c r="C183" s="12" t="s">
        <v>301</v>
      </c>
      <c r="D183" s="12" t="str">
        <f aca="false">INDEX('Country Tiers'!$C$2:$C$37,MATCH(C183,'Country Tiers'!$A$2:$A$37,0))</f>
        <v>Tier 3</v>
      </c>
      <c r="E183" s="12" t="n">
        <f aca="false">INDEX('Country Tiers'!$D$2:$D$37,MATCH(C183,'Country Tiers'!$A$2:$A$37,0))</f>
        <v>1</v>
      </c>
    </row>
    <row r="184" customFormat="false" ht="15" hidden="false" customHeight="false" outlineLevel="0" collapsed="false">
      <c r="A184" s="12" t="s">
        <v>46</v>
      </c>
      <c r="B184" s="12" t="s">
        <v>35</v>
      </c>
      <c r="C184" s="12" t="s">
        <v>302</v>
      </c>
      <c r="D184" s="12" t="str">
        <f aca="false">INDEX('Country Tiers'!$C$2:$C$37,MATCH(C184,'Country Tiers'!$A$2:$A$37,0))</f>
        <v>Tier 3</v>
      </c>
      <c r="E184" s="12" t="n">
        <f aca="false">INDEX('Country Tiers'!$D$2:$D$37,MATCH(C184,'Country Tiers'!$A$2:$A$37,0))</f>
        <v>1</v>
      </c>
    </row>
    <row r="185" customFormat="false" ht="15" hidden="false" customHeight="false" outlineLevel="0" collapsed="false">
      <c r="A185" s="12" t="s">
        <v>46</v>
      </c>
      <c r="B185" s="12" t="s">
        <v>35</v>
      </c>
      <c r="C185" s="12" t="s">
        <v>305</v>
      </c>
      <c r="D185" s="12" t="str">
        <f aca="false">INDEX('Country Tiers'!$C$2:$C$37,MATCH(C185,'Country Tiers'!$A$2:$A$37,0))</f>
        <v>Tier 3</v>
      </c>
      <c r="E185" s="12" t="n">
        <f aca="false">INDEX('Country Tiers'!$D$2:$D$37,MATCH(C185,'Country Tiers'!$A$2:$A$37,0))</f>
        <v>1</v>
      </c>
    </row>
    <row r="186" customFormat="false" ht="15" hidden="false" customHeight="false" outlineLevel="0" collapsed="false">
      <c r="A186" s="12" t="s">
        <v>46</v>
      </c>
      <c r="B186" s="12" t="s">
        <v>35</v>
      </c>
      <c r="C186" s="12" t="s">
        <v>307</v>
      </c>
      <c r="D186" s="12" t="str">
        <f aca="false">INDEX('Country Tiers'!$C$2:$C$37,MATCH(C186,'Country Tiers'!$A$2:$A$37,0))</f>
        <v>Tier 2</v>
      </c>
      <c r="E186" s="12" t="n">
        <f aca="false">INDEX('Country Tiers'!$D$2:$D$37,MATCH(C186,'Country Tiers'!$A$2:$A$37,0))</f>
        <v>2</v>
      </c>
    </row>
    <row r="187" customFormat="false" ht="15" hidden="false" customHeight="false" outlineLevel="0" collapsed="false">
      <c r="A187" s="12" t="s">
        <v>46</v>
      </c>
      <c r="B187" s="12" t="s">
        <v>35</v>
      </c>
      <c r="C187" s="12" t="s">
        <v>308</v>
      </c>
      <c r="D187" s="12" t="str">
        <f aca="false">INDEX('Country Tiers'!$C$2:$C$37,MATCH(C187,'Country Tiers'!$A$2:$A$37,0))</f>
        <v>Tier 3</v>
      </c>
      <c r="E187" s="12" t="n">
        <f aca="false">INDEX('Country Tiers'!$D$2:$D$37,MATCH(C187,'Country Tiers'!$A$2:$A$37,0))</f>
        <v>1</v>
      </c>
    </row>
    <row r="188" customFormat="false" ht="15" hidden="false" customHeight="false" outlineLevel="0" collapsed="false">
      <c r="A188" s="12" t="s">
        <v>46</v>
      </c>
      <c r="B188" s="12" t="s">
        <v>35</v>
      </c>
      <c r="C188" s="12" t="s">
        <v>313</v>
      </c>
      <c r="D188" s="12" t="str">
        <f aca="false">INDEX('Country Tiers'!$C$2:$C$37,MATCH(C188,'Country Tiers'!$A$2:$A$37,0))</f>
        <v>Tier 1</v>
      </c>
      <c r="E188" s="12" t="n">
        <f aca="false">INDEX('Country Tiers'!$D$2:$D$37,MATCH(C188,'Country Tiers'!$A$2:$A$37,0))</f>
        <v>3</v>
      </c>
    </row>
    <row r="189" customFormat="false" ht="15" hidden="false" customHeight="false" outlineLevel="0" collapsed="false">
      <c r="A189" s="12" t="s">
        <v>48</v>
      </c>
      <c r="B189" s="12" t="s">
        <v>47</v>
      </c>
      <c r="C189" s="12" t="s">
        <v>311</v>
      </c>
      <c r="D189" s="12" t="str">
        <f aca="false">INDEX('Country Tiers'!$C$2:$C$37,MATCH(C189,'Country Tiers'!$A$2:$A$37,0))</f>
        <v>Tier 1</v>
      </c>
      <c r="E189" s="12" t="n">
        <f aca="false">INDEX('Country Tiers'!$D$2:$D$37,MATCH(C189,'Country Tiers'!$A$2:$A$37,0))</f>
        <v>3</v>
      </c>
    </row>
    <row r="190" customFormat="false" ht="15" hidden="false" customHeight="false" outlineLevel="0" collapsed="false">
      <c r="A190" s="12" t="s">
        <v>48</v>
      </c>
      <c r="B190" s="12" t="s">
        <v>44</v>
      </c>
      <c r="C190" s="12" t="s">
        <v>311</v>
      </c>
      <c r="D190" s="12" t="str">
        <f aca="false">INDEX('Country Tiers'!$C$2:$C$37,MATCH(C190,'Country Tiers'!$A$2:$A$37,0))</f>
        <v>Tier 1</v>
      </c>
      <c r="E190" s="12" t="n">
        <f aca="false">INDEX('Country Tiers'!$D$2:$D$37,MATCH(C190,'Country Tiers'!$A$2:$A$37,0))</f>
        <v>3</v>
      </c>
    </row>
    <row r="191" customFormat="false" ht="15" hidden="false" customHeight="false" outlineLevel="0" collapsed="false">
      <c r="A191" s="12" t="s">
        <v>49</v>
      </c>
      <c r="B191" s="12" t="s">
        <v>50</v>
      </c>
      <c r="C191" s="12" t="s">
        <v>272</v>
      </c>
      <c r="D191" s="12" t="str">
        <f aca="false">INDEX('Country Tiers'!$C$2:$C$37,MATCH(C191,'Country Tiers'!$A$2:$A$37,0))</f>
        <v>Tier 2</v>
      </c>
      <c r="E191" s="12" t="n">
        <f aca="false">INDEX('Country Tiers'!$D$2:$D$37,MATCH(C191,'Country Tiers'!$A$2:$A$37,0))</f>
        <v>2</v>
      </c>
    </row>
    <row r="192" customFormat="false" ht="15" hidden="false" customHeight="false" outlineLevel="0" collapsed="false">
      <c r="A192" s="12" t="s">
        <v>49</v>
      </c>
      <c r="B192" s="12" t="s">
        <v>50</v>
      </c>
      <c r="C192" s="12" t="s">
        <v>309</v>
      </c>
      <c r="D192" s="12" t="str">
        <f aca="false">INDEX('Country Tiers'!$C$2:$C$37,MATCH(C192,'Country Tiers'!$A$2:$A$37,0))</f>
        <v>Tier 1</v>
      </c>
      <c r="E192" s="12" t="n">
        <f aca="false">INDEX('Country Tiers'!$D$2:$D$37,MATCH(C192,'Country Tiers'!$A$2:$A$37,0))</f>
        <v>3</v>
      </c>
    </row>
    <row r="193" customFormat="false" ht="15" hidden="false" customHeight="false" outlineLevel="0" collapsed="false">
      <c r="A193" s="12" t="s">
        <v>51</v>
      </c>
      <c r="B193" s="12" t="s">
        <v>44</v>
      </c>
      <c r="C193" s="12" t="s">
        <v>277</v>
      </c>
      <c r="D193" s="12" t="str">
        <f aca="false">INDEX('Country Tiers'!$C$2:$C$37,MATCH(C193,'Country Tiers'!$A$2:$A$37,0))</f>
        <v>Tier 1</v>
      </c>
      <c r="E193" s="12" t="n">
        <f aca="false">INDEX('Country Tiers'!$D$2:$D$37,MATCH(C193,'Country Tiers'!$A$2:$A$37,0))</f>
        <v>3</v>
      </c>
    </row>
    <row r="194" customFormat="false" ht="15" hidden="false" customHeight="false" outlineLevel="0" collapsed="false">
      <c r="A194" s="12" t="s">
        <v>51</v>
      </c>
      <c r="B194" s="12" t="s">
        <v>44</v>
      </c>
      <c r="C194" s="12" t="s">
        <v>278</v>
      </c>
      <c r="D194" s="12" t="str">
        <f aca="false">INDEX('Country Tiers'!$C$2:$C$37,MATCH(C194,'Country Tiers'!$A$2:$A$37,0))</f>
        <v>Tier 3</v>
      </c>
      <c r="E194" s="12" t="n">
        <f aca="false">INDEX('Country Tiers'!$D$2:$D$37,MATCH(C194,'Country Tiers'!$A$2:$A$37,0))</f>
        <v>1</v>
      </c>
    </row>
    <row r="195" customFormat="false" ht="15" hidden="false" customHeight="false" outlineLevel="0" collapsed="false">
      <c r="A195" s="12" t="s">
        <v>51</v>
      </c>
      <c r="B195" s="12" t="s">
        <v>44</v>
      </c>
      <c r="C195" s="12" t="s">
        <v>282</v>
      </c>
      <c r="D195" s="12" t="str">
        <f aca="false">INDEX('Country Tiers'!$C$2:$C$37,MATCH(C195,'Country Tiers'!$A$2:$A$37,0))</f>
        <v>Tier 3</v>
      </c>
      <c r="E195" s="12" t="n">
        <f aca="false">INDEX('Country Tiers'!$D$2:$D$37,MATCH(C195,'Country Tiers'!$A$2:$A$37,0))</f>
        <v>1</v>
      </c>
    </row>
    <row r="196" customFormat="false" ht="15" hidden="false" customHeight="false" outlineLevel="0" collapsed="false">
      <c r="A196" s="12" t="s">
        <v>51</v>
      </c>
      <c r="B196" s="12" t="s">
        <v>44</v>
      </c>
      <c r="C196" s="12" t="s">
        <v>284</v>
      </c>
      <c r="D196" s="12" t="str">
        <f aca="false">INDEX('Country Tiers'!$C$2:$C$37,MATCH(C196,'Country Tiers'!$A$2:$A$37,0))</f>
        <v>Tier 3</v>
      </c>
      <c r="E196" s="12" t="n">
        <f aca="false">INDEX('Country Tiers'!$D$2:$D$37,MATCH(C196,'Country Tiers'!$A$2:$A$37,0))</f>
        <v>1</v>
      </c>
    </row>
    <row r="197" customFormat="false" ht="15" hidden="false" customHeight="false" outlineLevel="0" collapsed="false">
      <c r="A197" s="12" t="s">
        <v>51</v>
      </c>
      <c r="B197" s="12" t="s">
        <v>44</v>
      </c>
      <c r="C197" s="12" t="s">
        <v>286</v>
      </c>
      <c r="D197" s="12" t="str">
        <f aca="false">INDEX('Country Tiers'!$C$2:$C$37,MATCH(C197,'Country Tiers'!$A$2:$A$37,0))</f>
        <v>Tier 1</v>
      </c>
      <c r="E197" s="12" t="n">
        <f aca="false">INDEX('Country Tiers'!$D$2:$D$37,MATCH(C197,'Country Tiers'!$A$2:$A$37,0))</f>
        <v>3</v>
      </c>
    </row>
    <row r="198" customFormat="false" ht="15" hidden="false" customHeight="false" outlineLevel="0" collapsed="false">
      <c r="A198" s="12" t="s">
        <v>51</v>
      </c>
      <c r="B198" s="12" t="s">
        <v>44</v>
      </c>
      <c r="C198" s="12" t="s">
        <v>287</v>
      </c>
      <c r="D198" s="12" t="str">
        <f aca="false">INDEX('Country Tiers'!$C$2:$C$37,MATCH(C198,'Country Tiers'!$A$2:$A$37,0))</f>
        <v>Tier 1</v>
      </c>
      <c r="E198" s="12" t="n">
        <f aca="false">INDEX('Country Tiers'!$D$2:$D$37,MATCH(C198,'Country Tiers'!$A$2:$A$37,0))</f>
        <v>3</v>
      </c>
    </row>
    <row r="199" customFormat="false" ht="15" hidden="false" customHeight="false" outlineLevel="0" collapsed="false">
      <c r="A199" s="12" t="s">
        <v>51</v>
      </c>
      <c r="B199" s="12" t="s">
        <v>44</v>
      </c>
      <c r="C199" s="12" t="s">
        <v>289</v>
      </c>
      <c r="D199" s="12" t="str">
        <f aca="false">INDEX('Country Tiers'!$C$2:$C$37,MATCH(C199,'Country Tiers'!$A$2:$A$37,0))</f>
        <v>Tier 3</v>
      </c>
      <c r="E199" s="12" t="n">
        <f aca="false">INDEX('Country Tiers'!$D$2:$D$37,MATCH(C199,'Country Tiers'!$A$2:$A$37,0))</f>
        <v>1</v>
      </c>
    </row>
    <row r="200" customFormat="false" ht="15" hidden="false" customHeight="false" outlineLevel="0" collapsed="false">
      <c r="A200" s="12" t="s">
        <v>51</v>
      </c>
      <c r="B200" s="12" t="s">
        <v>44</v>
      </c>
      <c r="C200" s="12" t="s">
        <v>291</v>
      </c>
      <c r="D200" s="12" t="str">
        <f aca="false">INDEX('Country Tiers'!$C$2:$C$37,MATCH(C200,'Country Tiers'!$A$2:$A$37,0))</f>
        <v>Tier 3</v>
      </c>
      <c r="E200" s="12" t="n">
        <f aca="false">INDEX('Country Tiers'!$D$2:$D$37,MATCH(C200,'Country Tiers'!$A$2:$A$37,0))</f>
        <v>1</v>
      </c>
    </row>
    <row r="201" customFormat="false" ht="15" hidden="false" customHeight="false" outlineLevel="0" collapsed="false">
      <c r="A201" s="12" t="s">
        <v>51</v>
      </c>
      <c r="B201" s="12" t="s">
        <v>44</v>
      </c>
      <c r="C201" s="12" t="s">
        <v>292</v>
      </c>
      <c r="D201" s="12" t="str">
        <f aca="false">INDEX('Country Tiers'!$C$2:$C$37,MATCH(C201,'Country Tiers'!$A$2:$A$37,0))</f>
        <v>Tier 2</v>
      </c>
      <c r="E201" s="12" t="n">
        <f aca="false">INDEX('Country Tiers'!$D$2:$D$37,MATCH(C201,'Country Tiers'!$A$2:$A$37,0))</f>
        <v>2</v>
      </c>
    </row>
    <row r="202" customFormat="false" ht="15" hidden="false" customHeight="false" outlineLevel="0" collapsed="false">
      <c r="A202" s="12" t="s">
        <v>51</v>
      </c>
      <c r="B202" s="12" t="s">
        <v>44</v>
      </c>
      <c r="C202" s="12" t="s">
        <v>293</v>
      </c>
      <c r="D202" s="12" t="str">
        <f aca="false">INDEX('Country Tiers'!$C$2:$C$37,MATCH(C202,'Country Tiers'!$A$2:$A$37,0))</f>
        <v>Tier 3</v>
      </c>
      <c r="E202" s="12" t="n">
        <f aca="false">INDEX('Country Tiers'!$D$2:$D$37,MATCH(C202,'Country Tiers'!$A$2:$A$37,0))</f>
        <v>1</v>
      </c>
    </row>
    <row r="203" customFormat="false" ht="15" hidden="false" customHeight="false" outlineLevel="0" collapsed="false">
      <c r="A203" s="12" t="s">
        <v>51</v>
      </c>
      <c r="B203" s="12" t="s">
        <v>44</v>
      </c>
      <c r="C203" s="12" t="s">
        <v>295</v>
      </c>
      <c r="D203" s="12" t="str">
        <f aca="false">INDEX('Country Tiers'!$C$2:$C$37,MATCH(C203,'Country Tiers'!$A$2:$A$37,0))</f>
        <v>Tier 3</v>
      </c>
      <c r="E203" s="12" t="n">
        <f aca="false">INDEX('Country Tiers'!$D$2:$D$37,MATCH(C203,'Country Tiers'!$A$2:$A$37,0))</f>
        <v>1</v>
      </c>
    </row>
    <row r="204" customFormat="false" ht="15" hidden="false" customHeight="false" outlineLevel="0" collapsed="false">
      <c r="A204" s="12" t="s">
        <v>51</v>
      </c>
      <c r="B204" s="12" t="s">
        <v>44</v>
      </c>
      <c r="C204" s="12" t="s">
        <v>296</v>
      </c>
      <c r="D204" s="12" t="str">
        <f aca="false">INDEX('Country Tiers'!$C$2:$C$37,MATCH(C204,'Country Tiers'!$A$2:$A$37,0))</f>
        <v>Tier 3</v>
      </c>
      <c r="E204" s="12" t="n">
        <f aca="false">INDEX('Country Tiers'!$D$2:$D$37,MATCH(C204,'Country Tiers'!$A$2:$A$37,0))</f>
        <v>1</v>
      </c>
    </row>
    <row r="205" customFormat="false" ht="15" hidden="false" customHeight="false" outlineLevel="0" collapsed="false">
      <c r="A205" s="12" t="s">
        <v>51</v>
      </c>
      <c r="B205" s="12" t="s">
        <v>44</v>
      </c>
      <c r="C205" s="12" t="s">
        <v>297</v>
      </c>
      <c r="D205" s="12" t="str">
        <f aca="false">INDEX('Country Tiers'!$C$2:$C$37,MATCH(C205,'Country Tiers'!$A$2:$A$37,0))</f>
        <v>Tier 2</v>
      </c>
      <c r="E205" s="12" t="n">
        <f aca="false">INDEX('Country Tiers'!$D$2:$D$37,MATCH(C205,'Country Tiers'!$A$2:$A$37,0))</f>
        <v>2</v>
      </c>
    </row>
    <row r="206" customFormat="false" ht="15" hidden="false" customHeight="false" outlineLevel="0" collapsed="false">
      <c r="A206" s="12" t="s">
        <v>51</v>
      </c>
      <c r="B206" s="12" t="s">
        <v>44</v>
      </c>
      <c r="C206" s="12" t="s">
        <v>298</v>
      </c>
      <c r="D206" s="12" t="str">
        <f aca="false">INDEX('Country Tiers'!$C$2:$C$37,MATCH(C206,'Country Tiers'!$A$2:$A$37,0))</f>
        <v>Tier 1</v>
      </c>
      <c r="E206" s="12" t="n">
        <f aca="false">INDEX('Country Tiers'!$D$2:$D$37,MATCH(C206,'Country Tiers'!$A$2:$A$37,0))</f>
        <v>3</v>
      </c>
    </row>
    <row r="207" customFormat="false" ht="15" hidden="false" customHeight="false" outlineLevel="0" collapsed="false">
      <c r="A207" s="12" t="s">
        <v>51</v>
      </c>
      <c r="B207" s="12" t="s">
        <v>44</v>
      </c>
      <c r="C207" s="12" t="s">
        <v>300</v>
      </c>
      <c r="D207" s="12" t="str">
        <f aca="false">INDEX('Country Tiers'!$C$2:$C$37,MATCH(C207,'Country Tiers'!$A$2:$A$37,0))</f>
        <v>Tier 3</v>
      </c>
      <c r="E207" s="12" t="n">
        <f aca="false">INDEX('Country Tiers'!$D$2:$D$37,MATCH(C207,'Country Tiers'!$A$2:$A$37,0))</f>
        <v>1</v>
      </c>
    </row>
    <row r="208" customFormat="false" ht="15" hidden="false" customHeight="false" outlineLevel="0" collapsed="false">
      <c r="A208" s="12" t="s">
        <v>51</v>
      </c>
      <c r="B208" s="12" t="s">
        <v>44</v>
      </c>
      <c r="C208" s="12" t="s">
        <v>301</v>
      </c>
      <c r="D208" s="12" t="str">
        <f aca="false">INDEX('Country Tiers'!$C$2:$C$37,MATCH(C208,'Country Tiers'!$A$2:$A$37,0))</f>
        <v>Tier 3</v>
      </c>
      <c r="E208" s="12" t="n">
        <f aca="false">INDEX('Country Tiers'!$D$2:$D$37,MATCH(C208,'Country Tiers'!$A$2:$A$37,0))</f>
        <v>1</v>
      </c>
    </row>
    <row r="209" customFormat="false" ht="15" hidden="false" customHeight="false" outlineLevel="0" collapsed="false">
      <c r="A209" s="12" t="s">
        <v>51</v>
      </c>
      <c r="B209" s="12" t="s">
        <v>44</v>
      </c>
      <c r="C209" s="12" t="s">
        <v>302</v>
      </c>
      <c r="D209" s="12" t="str">
        <f aca="false">INDEX('Country Tiers'!$C$2:$C$37,MATCH(C209,'Country Tiers'!$A$2:$A$37,0))</f>
        <v>Tier 3</v>
      </c>
      <c r="E209" s="12" t="n">
        <f aca="false">INDEX('Country Tiers'!$D$2:$D$37,MATCH(C209,'Country Tiers'!$A$2:$A$37,0))</f>
        <v>1</v>
      </c>
    </row>
    <row r="210" customFormat="false" ht="15" hidden="false" customHeight="false" outlineLevel="0" collapsed="false">
      <c r="A210" s="12" t="s">
        <v>51</v>
      </c>
      <c r="B210" s="12" t="s">
        <v>44</v>
      </c>
      <c r="C210" s="12" t="s">
        <v>305</v>
      </c>
      <c r="D210" s="12" t="str">
        <f aca="false">INDEX('Country Tiers'!$C$2:$C$37,MATCH(C210,'Country Tiers'!$A$2:$A$37,0))</f>
        <v>Tier 3</v>
      </c>
      <c r="E210" s="12" t="n">
        <f aca="false">INDEX('Country Tiers'!$D$2:$D$37,MATCH(C210,'Country Tiers'!$A$2:$A$37,0))</f>
        <v>1</v>
      </c>
    </row>
    <row r="211" customFormat="false" ht="15" hidden="false" customHeight="false" outlineLevel="0" collapsed="false">
      <c r="A211" s="12" t="s">
        <v>51</v>
      </c>
      <c r="B211" s="12" t="s">
        <v>44</v>
      </c>
      <c r="C211" s="12" t="s">
        <v>307</v>
      </c>
      <c r="D211" s="12" t="str">
        <f aca="false">INDEX('Country Tiers'!$C$2:$C$37,MATCH(C211,'Country Tiers'!$A$2:$A$37,0))</f>
        <v>Tier 2</v>
      </c>
      <c r="E211" s="12" t="n">
        <f aca="false">INDEX('Country Tiers'!$D$2:$D$37,MATCH(C211,'Country Tiers'!$A$2:$A$37,0))</f>
        <v>2</v>
      </c>
    </row>
    <row r="212" customFormat="false" ht="15" hidden="false" customHeight="false" outlineLevel="0" collapsed="false">
      <c r="A212" s="12" t="s">
        <v>51</v>
      </c>
      <c r="B212" s="12" t="s">
        <v>44</v>
      </c>
      <c r="C212" s="12" t="s">
        <v>308</v>
      </c>
      <c r="D212" s="12" t="str">
        <f aca="false">INDEX('Country Tiers'!$C$2:$C$37,MATCH(C212,'Country Tiers'!$A$2:$A$37,0))</f>
        <v>Tier 3</v>
      </c>
      <c r="E212" s="12" t="n">
        <f aca="false">INDEX('Country Tiers'!$D$2:$D$37,MATCH(C212,'Country Tiers'!$A$2:$A$37,0))</f>
        <v>1</v>
      </c>
    </row>
    <row r="213" customFormat="false" ht="15" hidden="false" customHeight="false" outlineLevel="0" collapsed="false">
      <c r="A213" s="12" t="s">
        <v>51</v>
      </c>
      <c r="B213" s="12" t="s">
        <v>44</v>
      </c>
      <c r="C213" s="12" t="s">
        <v>313</v>
      </c>
      <c r="D213" s="12" t="str">
        <f aca="false">INDEX('Country Tiers'!$C$2:$C$37,MATCH(C213,'Country Tiers'!$A$2:$A$37,0))</f>
        <v>Tier 1</v>
      </c>
      <c r="E213" s="12" t="n">
        <f aca="false">INDEX('Country Tiers'!$D$2:$D$37,MATCH(C213,'Country Tiers'!$A$2:$A$37,0))</f>
        <v>3</v>
      </c>
    </row>
    <row r="214" customFormat="false" ht="15" hidden="false" customHeight="false" outlineLevel="0" collapsed="false">
      <c r="A214" s="12" t="s">
        <v>52</v>
      </c>
      <c r="B214" s="12" t="s">
        <v>44</v>
      </c>
      <c r="C214" s="12" t="s">
        <v>274</v>
      </c>
      <c r="D214" s="12" t="str">
        <f aca="false">INDEX('Country Tiers'!$C$2:$C$37,MATCH(C214,'Country Tiers'!$A$2:$A$37,0))</f>
        <v>Tier 3</v>
      </c>
      <c r="E214" s="12" t="n">
        <f aca="false">INDEX('Country Tiers'!$D$2:$D$37,MATCH(C214,'Country Tiers'!$A$2:$A$37,0))</f>
        <v>1</v>
      </c>
    </row>
    <row r="215" customFormat="false" ht="15" hidden="false" customHeight="false" outlineLevel="0" collapsed="false">
      <c r="A215" s="12" t="s">
        <v>52</v>
      </c>
      <c r="B215" s="12" t="s">
        <v>44</v>
      </c>
      <c r="C215" s="12" t="s">
        <v>277</v>
      </c>
      <c r="D215" s="12" t="str">
        <f aca="false">INDEX('Country Tiers'!$C$2:$C$37,MATCH(C215,'Country Tiers'!$A$2:$A$37,0))</f>
        <v>Tier 1</v>
      </c>
      <c r="E215" s="12" t="n">
        <f aca="false">INDEX('Country Tiers'!$D$2:$D$37,MATCH(C215,'Country Tiers'!$A$2:$A$37,0))</f>
        <v>3</v>
      </c>
    </row>
    <row r="216" customFormat="false" ht="15" hidden="false" customHeight="false" outlineLevel="0" collapsed="false">
      <c r="A216" s="12" t="s">
        <v>52</v>
      </c>
      <c r="B216" s="12" t="s">
        <v>44</v>
      </c>
      <c r="C216" s="12" t="s">
        <v>282</v>
      </c>
      <c r="D216" s="12" t="str">
        <f aca="false">INDEX('Country Tiers'!$C$2:$C$37,MATCH(C216,'Country Tiers'!$A$2:$A$37,0))</f>
        <v>Tier 3</v>
      </c>
      <c r="E216" s="12" t="n">
        <f aca="false">INDEX('Country Tiers'!$D$2:$D$37,MATCH(C216,'Country Tiers'!$A$2:$A$37,0))</f>
        <v>1</v>
      </c>
    </row>
    <row r="217" customFormat="false" ht="15" hidden="false" customHeight="false" outlineLevel="0" collapsed="false">
      <c r="A217" s="12" t="s">
        <v>52</v>
      </c>
      <c r="B217" s="12" t="s">
        <v>44</v>
      </c>
      <c r="C217" s="12" t="s">
        <v>283</v>
      </c>
      <c r="D217" s="12" t="str">
        <f aca="false">INDEX('Country Tiers'!$C$2:$C$37,MATCH(C217,'Country Tiers'!$A$2:$A$37,0))</f>
        <v>Tier 3</v>
      </c>
      <c r="E217" s="12" t="n">
        <f aca="false">INDEX('Country Tiers'!$D$2:$D$37,MATCH(C217,'Country Tiers'!$A$2:$A$37,0))</f>
        <v>1</v>
      </c>
    </row>
    <row r="218" customFormat="false" ht="15" hidden="false" customHeight="false" outlineLevel="0" collapsed="false">
      <c r="A218" s="12" t="s">
        <v>52</v>
      </c>
      <c r="B218" s="12" t="s">
        <v>44</v>
      </c>
      <c r="C218" s="12" t="s">
        <v>285</v>
      </c>
      <c r="D218" s="12" t="str">
        <f aca="false">INDEX('Country Tiers'!$C$2:$C$37,MATCH(C218,'Country Tiers'!$A$2:$A$37,0))</f>
        <v>Tier 3</v>
      </c>
      <c r="E218" s="12" t="n">
        <f aca="false">INDEX('Country Tiers'!$D$2:$D$37,MATCH(C218,'Country Tiers'!$A$2:$A$37,0))</f>
        <v>1</v>
      </c>
    </row>
    <row r="219" customFormat="false" ht="15" hidden="false" customHeight="false" outlineLevel="0" collapsed="false">
      <c r="A219" s="12" t="s">
        <v>52</v>
      </c>
      <c r="B219" s="12" t="s">
        <v>44</v>
      </c>
      <c r="C219" s="12" t="s">
        <v>286</v>
      </c>
      <c r="D219" s="12" t="str">
        <f aca="false">INDEX('Country Tiers'!$C$2:$C$37,MATCH(C219,'Country Tiers'!$A$2:$A$37,0))</f>
        <v>Tier 1</v>
      </c>
      <c r="E219" s="12" t="n">
        <f aca="false">INDEX('Country Tiers'!$D$2:$D$37,MATCH(C219,'Country Tiers'!$A$2:$A$37,0))</f>
        <v>3</v>
      </c>
    </row>
    <row r="220" customFormat="false" ht="15" hidden="false" customHeight="false" outlineLevel="0" collapsed="false">
      <c r="A220" s="12" t="s">
        <v>52</v>
      </c>
      <c r="B220" s="12" t="s">
        <v>44</v>
      </c>
      <c r="C220" s="12" t="s">
        <v>287</v>
      </c>
      <c r="D220" s="12" t="str">
        <f aca="false">INDEX('Country Tiers'!$C$2:$C$37,MATCH(C220,'Country Tiers'!$A$2:$A$37,0))</f>
        <v>Tier 1</v>
      </c>
      <c r="E220" s="12" t="n">
        <f aca="false">INDEX('Country Tiers'!$D$2:$D$37,MATCH(C220,'Country Tiers'!$A$2:$A$37,0))</f>
        <v>3</v>
      </c>
    </row>
    <row r="221" customFormat="false" ht="15" hidden="false" customHeight="false" outlineLevel="0" collapsed="false">
      <c r="A221" s="12" t="s">
        <v>52</v>
      </c>
      <c r="B221" s="12" t="s">
        <v>44</v>
      </c>
      <c r="C221" s="12" t="s">
        <v>288</v>
      </c>
      <c r="D221" s="12" t="str">
        <f aca="false">INDEX('Country Tiers'!$C$2:$C$37,MATCH(C221,'Country Tiers'!$A$2:$A$37,0))</f>
        <v>Tier 3</v>
      </c>
      <c r="E221" s="12" t="n">
        <f aca="false">INDEX('Country Tiers'!$D$2:$D$37,MATCH(C221,'Country Tiers'!$A$2:$A$37,0))</f>
        <v>1</v>
      </c>
    </row>
    <row r="222" customFormat="false" ht="15" hidden="false" customHeight="false" outlineLevel="0" collapsed="false">
      <c r="A222" s="12" t="s">
        <v>52</v>
      </c>
      <c r="B222" s="12" t="s">
        <v>44</v>
      </c>
      <c r="C222" s="12" t="s">
        <v>291</v>
      </c>
      <c r="D222" s="12" t="str">
        <f aca="false">INDEX('Country Tiers'!$C$2:$C$37,MATCH(C222,'Country Tiers'!$A$2:$A$37,0))</f>
        <v>Tier 3</v>
      </c>
      <c r="E222" s="12" t="n">
        <f aca="false">INDEX('Country Tiers'!$D$2:$D$37,MATCH(C222,'Country Tiers'!$A$2:$A$37,0))</f>
        <v>1</v>
      </c>
    </row>
    <row r="223" customFormat="false" ht="15" hidden="false" customHeight="false" outlineLevel="0" collapsed="false">
      <c r="A223" s="12" t="s">
        <v>52</v>
      </c>
      <c r="B223" s="12" t="s">
        <v>44</v>
      </c>
      <c r="C223" s="12" t="s">
        <v>292</v>
      </c>
      <c r="D223" s="12" t="str">
        <f aca="false">INDEX('Country Tiers'!$C$2:$C$37,MATCH(C223,'Country Tiers'!$A$2:$A$37,0))</f>
        <v>Tier 2</v>
      </c>
      <c r="E223" s="12" t="n">
        <f aca="false">INDEX('Country Tiers'!$D$2:$D$37,MATCH(C223,'Country Tiers'!$A$2:$A$37,0))</f>
        <v>2</v>
      </c>
    </row>
    <row r="224" customFormat="false" ht="15" hidden="false" customHeight="false" outlineLevel="0" collapsed="false">
      <c r="A224" s="12" t="s">
        <v>52</v>
      </c>
      <c r="B224" s="12" t="s">
        <v>44</v>
      </c>
      <c r="C224" s="12" t="s">
        <v>296</v>
      </c>
      <c r="D224" s="12" t="str">
        <f aca="false">INDEX('Country Tiers'!$C$2:$C$37,MATCH(C224,'Country Tiers'!$A$2:$A$37,0))</f>
        <v>Tier 3</v>
      </c>
      <c r="E224" s="12" t="n">
        <f aca="false">INDEX('Country Tiers'!$D$2:$D$37,MATCH(C224,'Country Tiers'!$A$2:$A$37,0))</f>
        <v>1</v>
      </c>
    </row>
    <row r="225" customFormat="false" ht="15" hidden="false" customHeight="false" outlineLevel="0" collapsed="false">
      <c r="A225" s="12" t="s">
        <v>52</v>
      </c>
      <c r="B225" s="12" t="s">
        <v>44</v>
      </c>
      <c r="C225" s="12" t="s">
        <v>298</v>
      </c>
      <c r="D225" s="12" t="str">
        <f aca="false">INDEX('Country Tiers'!$C$2:$C$37,MATCH(C225,'Country Tiers'!$A$2:$A$37,0))</f>
        <v>Tier 1</v>
      </c>
      <c r="E225" s="12" t="n">
        <f aca="false">INDEX('Country Tiers'!$D$2:$D$37,MATCH(C225,'Country Tiers'!$A$2:$A$37,0))</f>
        <v>3</v>
      </c>
    </row>
    <row r="226" customFormat="false" ht="15" hidden="false" customHeight="false" outlineLevel="0" collapsed="false">
      <c r="A226" s="12" t="s">
        <v>52</v>
      </c>
      <c r="B226" s="12" t="s">
        <v>44</v>
      </c>
      <c r="C226" s="12" t="s">
        <v>299</v>
      </c>
      <c r="D226" s="12" t="str">
        <f aca="false">INDEX('Country Tiers'!$C$2:$C$37,MATCH(C226,'Country Tiers'!$A$2:$A$37,0))</f>
        <v>Tier 3</v>
      </c>
      <c r="E226" s="12" t="n">
        <f aca="false">INDEX('Country Tiers'!$D$2:$D$37,MATCH(C226,'Country Tiers'!$A$2:$A$37,0))</f>
        <v>1</v>
      </c>
    </row>
    <row r="227" customFormat="false" ht="15" hidden="false" customHeight="false" outlineLevel="0" collapsed="false">
      <c r="A227" s="12" t="s">
        <v>52</v>
      </c>
      <c r="B227" s="12" t="s">
        <v>44</v>
      </c>
      <c r="C227" s="12" t="s">
        <v>301</v>
      </c>
      <c r="D227" s="12" t="str">
        <f aca="false">INDEX('Country Tiers'!$C$2:$C$37,MATCH(C227,'Country Tiers'!$A$2:$A$37,0))</f>
        <v>Tier 3</v>
      </c>
      <c r="E227" s="12" t="n">
        <f aca="false">INDEX('Country Tiers'!$D$2:$D$37,MATCH(C227,'Country Tiers'!$A$2:$A$37,0))</f>
        <v>1</v>
      </c>
    </row>
    <row r="228" customFormat="false" ht="15" hidden="false" customHeight="false" outlineLevel="0" collapsed="false">
      <c r="A228" s="12" t="s">
        <v>52</v>
      </c>
      <c r="B228" s="12" t="s">
        <v>44</v>
      </c>
      <c r="C228" s="12" t="s">
        <v>302</v>
      </c>
      <c r="D228" s="12" t="str">
        <f aca="false">INDEX('Country Tiers'!$C$2:$C$37,MATCH(C228,'Country Tiers'!$A$2:$A$37,0))</f>
        <v>Tier 3</v>
      </c>
      <c r="E228" s="12" t="n">
        <f aca="false">INDEX('Country Tiers'!$D$2:$D$37,MATCH(C228,'Country Tiers'!$A$2:$A$37,0))</f>
        <v>1</v>
      </c>
    </row>
    <row r="229" customFormat="false" ht="15" hidden="false" customHeight="false" outlineLevel="0" collapsed="false">
      <c r="A229" s="12" t="s">
        <v>52</v>
      </c>
      <c r="B229" s="12" t="s">
        <v>44</v>
      </c>
      <c r="C229" s="12" t="s">
        <v>305</v>
      </c>
      <c r="D229" s="12" t="str">
        <f aca="false">INDEX('Country Tiers'!$C$2:$C$37,MATCH(C229,'Country Tiers'!$A$2:$A$37,0))</f>
        <v>Tier 3</v>
      </c>
      <c r="E229" s="12" t="n">
        <f aca="false">INDEX('Country Tiers'!$D$2:$D$37,MATCH(C229,'Country Tiers'!$A$2:$A$37,0))</f>
        <v>1</v>
      </c>
    </row>
    <row r="230" customFormat="false" ht="15" hidden="false" customHeight="false" outlineLevel="0" collapsed="false">
      <c r="A230" s="12" t="s">
        <v>52</v>
      </c>
      <c r="B230" s="12" t="s">
        <v>44</v>
      </c>
      <c r="C230" s="12" t="s">
        <v>307</v>
      </c>
      <c r="D230" s="12" t="str">
        <f aca="false">INDEX('Country Tiers'!$C$2:$C$37,MATCH(C230,'Country Tiers'!$A$2:$A$37,0))</f>
        <v>Tier 2</v>
      </c>
      <c r="E230" s="12" t="n">
        <f aca="false">INDEX('Country Tiers'!$D$2:$D$37,MATCH(C230,'Country Tiers'!$A$2:$A$37,0))</f>
        <v>2</v>
      </c>
    </row>
    <row r="231" customFormat="false" ht="15" hidden="false" customHeight="false" outlineLevel="0" collapsed="false">
      <c r="A231" s="12" t="s">
        <v>52</v>
      </c>
      <c r="B231" s="12" t="s">
        <v>44</v>
      </c>
      <c r="C231" s="12" t="s">
        <v>308</v>
      </c>
      <c r="D231" s="12" t="str">
        <f aca="false">INDEX('Country Tiers'!$C$2:$C$37,MATCH(C231,'Country Tiers'!$A$2:$A$37,0))</f>
        <v>Tier 3</v>
      </c>
      <c r="E231" s="12" t="n">
        <f aca="false">INDEX('Country Tiers'!$D$2:$D$37,MATCH(C231,'Country Tiers'!$A$2:$A$37,0))</f>
        <v>1</v>
      </c>
    </row>
    <row r="232" customFormat="false" ht="15" hidden="false" customHeight="false" outlineLevel="0" collapsed="false">
      <c r="A232" s="12" t="s">
        <v>52</v>
      </c>
      <c r="B232" s="12" t="s">
        <v>44</v>
      </c>
      <c r="C232" s="12" t="s">
        <v>309</v>
      </c>
      <c r="D232" s="12" t="str">
        <f aca="false">INDEX('Country Tiers'!$C$2:$C$37,MATCH(C232,'Country Tiers'!$A$2:$A$37,0))</f>
        <v>Tier 1</v>
      </c>
      <c r="E232" s="12" t="n">
        <f aca="false">INDEX('Country Tiers'!$D$2:$D$37,MATCH(C232,'Country Tiers'!$A$2:$A$37,0))</f>
        <v>3</v>
      </c>
    </row>
    <row r="233" customFormat="false" ht="15" hidden="false" customHeight="false" outlineLevel="0" collapsed="false">
      <c r="A233" s="12" t="s">
        <v>52</v>
      </c>
      <c r="B233" s="12" t="s">
        <v>44</v>
      </c>
      <c r="C233" s="12" t="s">
        <v>311</v>
      </c>
      <c r="D233" s="12" t="str">
        <f aca="false">INDEX('Country Tiers'!$C$2:$C$37,MATCH(C233,'Country Tiers'!$A$2:$A$37,0))</f>
        <v>Tier 1</v>
      </c>
      <c r="E233" s="12" t="n">
        <f aca="false">INDEX('Country Tiers'!$D$2:$D$37,MATCH(C233,'Country Tiers'!$A$2:$A$37,0))</f>
        <v>3</v>
      </c>
    </row>
    <row r="234" customFormat="false" ht="15" hidden="false" customHeight="false" outlineLevel="0" collapsed="false">
      <c r="A234" s="12" t="s">
        <v>52</v>
      </c>
      <c r="B234" s="12" t="s">
        <v>44</v>
      </c>
      <c r="C234" s="12" t="s">
        <v>313</v>
      </c>
      <c r="D234" s="12" t="str">
        <f aca="false">INDEX('Country Tiers'!$C$2:$C$37,MATCH(C234,'Country Tiers'!$A$2:$A$37,0))</f>
        <v>Tier 1</v>
      </c>
      <c r="E234" s="12" t="n">
        <f aca="false">INDEX('Country Tiers'!$D$2:$D$37,MATCH(C234,'Country Tiers'!$A$2:$A$37,0))</f>
        <v>3</v>
      </c>
    </row>
    <row r="235" customFormat="false" ht="15" hidden="false" customHeight="false" outlineLevel="0" collapsed="false">
      <c r="A235" s="12" t="s">
        <v>53</v>
      </c>
      <c r="B235" s="12" t="s">
        <v>47</v>
      </c>
      <c r="C235" s="12" t="s">
        <v>272</v>
      </c>
      <c r="D235" s="12" t="str">
        <f aca="false">INDEX('Country Tiers'!$C$2:$C$37,MATCH(C235,'Country Tiers'!$A$2:$A$37,0))</f>
        <v>Tier 2</v>
      </c>
      <c r="E235" s="12" t="n">
        <f aca="false">INDEX('Country Tiers'!$D$2:$D$37,MATCH(C235,'Country Tiers'!$A$2:$A$37,0))</f>
        <v>2</v>
      </c>
    </row>
    <row r="236" customFormat="false" ht="15" hidden="false" customHeight="false" outlineLevel="0" collapsed="false">
      <c r="A236" s="12" t="s">
        <v>53</v>
      </c>
      <c r="B236" s="12" t="s">
        <v>47</v>
      </c>
      <c r="C236" s="12" t="s">
        <v>274</v>
      </c>
      <c r="D236" s="12" t="str">
        <f aca="false">INDEX('Country Tiers'!$C$2:$C$37,MATCH(C236,'Country Tiers'!$A$2:$A$37,0))</f>
        <v>Tier 3</v>
      </c>
      <c r="E236" s="12" t="n">
        <f aca="false">INDEX('Country Tiers'!$D$2:$D$37,MATCH(C236,'Country Tiers'!$A$2:$A$37,0))</f>
        <v>1</v>
      </c>
    </row>
    <row r="237" customFormat="false" ht="15" hidden="false" customHeight="false" outlineLevel="0" collapsed="false">
      <c r="A237" s="12" t="s">
        <v>53</v>
      </c>
      <c r="B237" s="12" t="s">
        <v>47</v>
      </c>
      <c r="C237" s="12" t="s">
        <v>277</v>
      </c>
      <c r="D237" s="12" t="str">
        <f aca="false">INDEX('Country Tiers'!$C$2:$C$37,MATCH(C237,'Country Tiers'!$A$2:$A$37,0))</f>
        <v>Tier 1</v>
      </c>
      <c r="E237" s="12" t="n">
        <f aca="false">INDEX('Country Tiers'!$D$2:$D$37,MATCH(C237,'Country Tiers'!$A$2:$A$37,0))</f>
        <v>3</v>
      </c>
    </row>
    <row r="238" customFormat="false" ht="15" hidden="false" customHeight="false" outlineLevel="0" collapsed="false">
      <c r="A238" s="12" t="s">
        <v>53</v>
      </c>
      <c r="B238" s="12" t="s">
        <v>47</v>
      </c>
      <c r="C238" s="12" t="s">
        <v>278</v>
      </c>
      <c r="D238" s="12" t="str">
        <f aca="false">INDEX('Country Tiers'!$C$2:$C$37,MATCH(C238,'Country Tiers'!$A$2:$A$37,0))</f>
        <v>Tier 3</v>
      </c>
      <c r="E238" s="12" t="n">
        <f aca="false">INDEX('Country Tiers'!$D$2:$D$37,MATCH(C238,'Country Tiers'!$A$2:$A$37,0))</f>
        <v>1</v>
      </c>
    </row>
    <row r="239" customFormat="false" ht="15" hidden="false" customHeight="false" outlineLevel="0" collapsed="false">
      <c r="A239" s="12" t="s">
        <v>53</v>
      </c>
      <c r="B239" s="12" t="s">
        <v>47</v>
      </c>
      <c r="C239" s="12" t="s">
        <v>280</v>
      </c>
      <c r="D239" s="12" t="str">
        <f aca="false">INDEX('Country Tiers'!$C$2:$C$37,MATCH(C239,'Country Tiers'!$A$2:$A$37,0))</f>
        <v>Tier 3</v>
      </c>
      <c r="E239" s="12" t="n">
        <f aca="false">INDEX('Country Tiers'!$D$2:$D$37,MATCH(C239,'Country Tiers'!$A$2:$A$37,0))</f>
        <v>1</v>
      </c>
    </row>
    <row r="240" customFormat="false" ht="15" hidden="false" customHeight="false" outlineLevel="0" collapsed="false">
      <c r="A240" s="12" t="s">
        <v>53</v>
      </c>
      <c r="B240" s="12" t="s">
        <v>47</v>
      </c>
      <c r="C240" s="12" t="s">
        <v>281</v>
      </c>
      <c r="D240" s="12" t="str">
        <f aca="false">INDEX('Country Tiers'!$C$2:$C$37,MATCH(C240,'Country Tiers'!$A$2:$A$37,0))</f>
        <v>Tier 3</v>
      </c>
      <c r="E240" s="12" t="n">
        <f aca="false">INDEX('Country Tiers'!$D$2:$D$37,MATCH(C240,'Country Tiers'!$A$2:$A$37,0))</f>
        <v>1</v>
      </c>
    </row>
    <row r="241" customFormat="false" ht="15" hidden="false" customHeight="false" outlineLevel="0" collapsed="false">
      <c r="A241" s="12" t="s">
        <v>53</v>
      </c>
      <c r="B241" s="12" t="s">
        <v>47</v>
      </c>
      <c r="C241" s="12" t="s">
        <v>282</v>
      </c>
      <c r="D241" s="12" t="str">
        <f aca="false">INDEX('Country Tiers'!$C$2:$C$37,MATCH(C241,'Country Tiers'!$A$2:$A$37,0))</f>
        <v>Tier 3</v>
      </c>
      <c r="E241" s="12" t="n">
        <f aca="false">INDEX('Country Tiers'!$D$2:$D$37,MATCH(C241,'Country Tiers'!$A$2:$A$37,0))</f>
        <v>1</v>
      </c>
    </row>
    <row r="242" customFormat="false" ht="15" hidden="false" customHeight="false" outlineLevel="0" collapsed="false">
      <c r="A242" s="12" t="s">
        <v>53</v>
      </c>
      <c r="B242" s="12" t="s">
        <v>47</v>
      </c>
      <c r="C242" s="12" t="s">
        <v>283</v>
      </c>
      <c r="D242" s="12" t="str">
        <f aca="false">INDEX('Country Tiers'!$C$2:$C$37,MATCH(C242,'Country Tiers'!$A$2:$A$37,0))</f>
        <v>Tier 3</v>
      </c>
      <c r="E242" s="12" t="n">
        <f aca="false">INDEX('Country Tiers'!$D$2:$D$37,MATCH(C242,'Country Tiers'!$A$2:$A$37,0))</f>
        <v>1</v>
      </c>
    </row>
    <row r="243" customFormat="false" ht="15" hidden="false" customHeight="false" outlineLevel="0" collapsed="false">
      <c r="A243" s="12" t="s">
        <v>53</v>
      </c>
      <c r="B243" s="12" t="s">
        <v>47</v>
      </c>
      <c r="C243" s="12" t="s">
        <v>284</v>
      </c>
      <c r="D243" s="12" t="str">
        <f aca="false">INDEX('Country Tiers'!$C$2:$C$37,MATCH(C243,'Country Tiers'!$A$2:$A$37,0))</f>
        <v>Tier 3</v>
      </c>
      <c r="E243" s="12" t="n">
        <f aca="false">INDEX('Country Tiers'!$D$2:$D$37,MATCH(C243,'Country Tiers'!$A$2:$A$37,0))</f>
        <v>1</v>
      </c>
    </row>
    <row r="244" customFormat="false" ht="15" hidden="false" customHeight="false" outlineLevel="0" collapsed="false">
      <c r="A244" s="12" t="s">
        <v>53</v>
      </c>
      <c r="B244" s="12" t="s">
        <v>47</v>
      </c>
      <c r="C244" s="12" t="s">
        <v>285</v>
      </c>
      <c r="D244" s="12" t="str">
        <f aca="false">INDEX('Country Tiers'!$C$2:$C$37,MATCH(C244,'Country Tiers'!$A$2:$A$37,0))</f>
        <v>Tier 3</v>
      </c>
      <c r="E244" s="12" t="n">
        <f aca="false">INDEX('Country Tiers'!$D$2:$D$37,MATCH(C244,'Country Tiers'!$A$2:$A$37,0))</f>
        <v>1</v>
      </c>
    </row>
    <row r="245" customFormat="false" ht="15" hidden="false" customHeight="false" outlineLevel="0" collapsed="false">
      <c r="A245" s="12" t="s">
        <v>53</v>
      </c>
      <c r="B245" s="12" t="s">
        <v>47</v>
      </c>
      <c r="C245" s="12" t="s">
        <v>286</v>
      </c>
      <c r="D245" s="12" t="str">
        <f aca="false">INDEX('Country Tiers'!$C$2:$C$37,MATCH(C245,'Country Tiers'!$A$2:$A$37,0))</f>
        <v>Tier 1</v>
      </c>
      <c r="E245" s="12" t="n">
        <f aca="false">INDEX('Country Tiers'!$D$2:$D$37,MATCH(C245,'Country Tiers'!$A$2:$A$37,0))</f>
        <v>3</v>
      </c>
    </row>
    <row r="246" customFormat="false" ht="15" hidden="false" customHeight="false" outlineLevel="0" collapsed="false">
      <c r="A246" s="12" t="s">
        <v>53</v>
      </c>
      <c r="B246" s="12" t="s">
        <v>47</v>
      </c>
      <c r="C246" s="12" t="s">
        <v>287</v>
      </c>
      <c r="D246" s="12" t="str">
        <f aca="false">INDEX('Country Tiers'!$C$2:$C$37,MATCH(C246,'Country Tiers'!$A$2:$A$37,0))</f>
        <v>Tier 1</v>
      </c>
      <c r="E246" s="12" t="n">
        <f aca="false">INDEX('Country Tiers'!$D$2:$D$37,MATCH(C246,'Country Tiers'!$A$2:$A$37,0))</f>
        <v>3</v>
      </c>
    </row>
    <row r="247" customFormat="false" ht="15" hidden="false" customHeight="false" outlineLevel="0" collapsed="false">
      <c r="A247" s="12" t="s">
        <v>53</v>
      </c>
      <c r="B247" s="12" t="s">
        <v>47</v>
      </c>
      <c r="C247" s="12" t="s">
        <v>288</v>
      </c>
      <c r="D247" s="12" t="str">
        <f aca="false">INDEX('Country Tiers'!$C$2:$C$37,MATCH(C247,'Country Tiers'!$A$2:$A$37,0))</f>
        <v>Tier 3</v>
      </c>
      <c r="E247" s="12" t="n">
        <f aca="false">INDEX('Country Tiers'!$D$2:$D$37,MATCH(C247,'Country Tiers'!$A$2:$A$37,0))</f>
        <v>1</v>
      </c>
    </row>
    <row r="248" customFormat="false" ht="15" hidden="false" customHeight="false" outlineLevel="0" collapsed="false">
      <c r="A248" s="12" t="s">
        <v>53</v>
      </c>
      <c r="B248" s="12" t="s">
        <v>47</v>
      </c>
      <c r="C248" s="12" t="s">
        <v>289</v>
      </c>
      <c r="D248" s="12" t="str">
        <f aca="false">INDEX('Country Tiers'!$C$2:$C$37,MATCH(C248,'Country Tiers'!$A$2:$A$37,0))</f>
        <v>Tier 3</v>
      </c>
      <c r="E248" s="12" t="n">
        <f aca="false">INDEX('Country Tiers'!$D$2:$D$37,MATCH(C248,'Country Tiers'!$A$2:$A$37,0))</f>
        <v>1</v>
      </c>
    </row>
    <row r="249" customFormat="false" ht="15" hidden="false" customHeight="false" outlineLevel="0" collapsed="false">
      <c r="A249" s="12" t="s">
        <v>53</v>
      </c>
      <c r="B249" s="12" t="s">
        <v>47</v>
      </c>
      <c r="C249" s="12" t="s">
        <v>290</v>
      </c>
      <c r="D249" s="12" t="str">
        <f aca="false">INDEX('Country Tiers'!$C$2:$C$37,MATCH(C249,'Country Tiers'!$A$2:$A$37,0))</f>
        <v>Tier 3</v>
      </c>
      <c r="E249" s="12" t="n">
        <f aca="false">INDEX('Country Tiers'!$D$2:$D$37,MATCH(C249,'Country Tiers'!$A$2:$A$37,0))</f>
        <v>1</v>
      </c>
    </row>
    <row r="250" customFormat="false" ht="15" hidden="false" customHeight="false" outlineLevel="0" collapsed="false">
      <c r="A250" s="12" t="s">
        <v>53</v>
      </c>
      <c r="B250" s="12" t="s">
        <v>47</v>
      </c>
      <c r="C250" s="12" t="s">
        <v>291</v>
      </c>
      <c r="D250" s="12" t="str">
        <f aca="false">INDEX('Country Tiers'!$C$2:$C$37,MATCH(C250,'Country Tiers'!$A$2:$A$37,0))</f>
        <v>Tier 3</v>
      </c>
      <c r="E250" s="12" t="n">
        <f aca="false">INDEX('Country Tiers'!$D$2:$D$37,MATCH(C250,'Country Tiers'!$A$2:$A$37,0))</f>
        <v>1</v>
      </c>
    </row>
    <row r="251" customFormat="false" ht="15" hidden="false" customHeight="false" outlineLevel="0" collapsed="false">
      <c r="A251" s="12" t="s">
        <v>53</v>
      </c>
      <c r="B251" s="12" t="s">
        <v>47</v>
      </c>
      <c r="C251" s="12" t="s">
        <v>292</v>
      </c>
      <c r="D251" s="12" t="str">
        <f aca="false">INDEX('Country Tiers'!$C$2:$C$37,MATCH(C251,'Country Tiers'!$A$2:$A$37,0))</f>
        <v>Tier 2</v>
      </c>
      <c r="E251" s="12" t="n">
        <f aca="false">INDEX('Country Tiers'!$D$2:$D$37,MATCH(C251,'Country Tiers'!$A$2:$A$37,0))</f>
        <v>2</v>
      </c>
    </row>
    <row r="252" customFormat="false" ht="15" hidden="false" customHeight="false" outlineLevel="0" collapsed="false">
      <c r="A252" s="12" t="s">
        <v>53</v>
      </c>
      <c r="B252" s="12" t="s">
        <v>47</v>
      </c>
      <c r="C252" s="12" t="s">
        <v>294</v>
      </c>
      <c r="D252" s="12" t="str">
        <f aca="false">INDEX('Country Tiers'!$C$2:$C$37,MATCH(C252,'Country Tiers'!$A$2:$A$37,0))</f>
        <v>Tier 3</v>
      </c>
      <c r="E252" s="12" t="n">
        <f aca="false">INDEX('Country Tiers'!$D$2:$D$37,MATCH(C252,'Country Tiers'!$A$2:$A$37,0))</f>
        <v>1</v>
      </c>
    </row>
    <row r="253" customFormat="false" ht="15" hidden="false" customHeight="false" outlineLevel="0" collapsed="false">
      <c r="A253" s="12" t="s">
        <v>53</v>
      </c>
      <c r="B253" s="12" t="s">
        <v>47</v>
      </c>
      <c r="C253" s="12" t="s">
        <v>295</v>
      </c>
      <c r="D253" s="12" t="str">
        <f aca="false">INDEX('Country Tiers'!$C$2:$C$37,MATCH(C253,'Country Tiers'!$A$2:$A$37,0))</f>
        <v>Tier 3</v>
      </c>
      <c r="E253" s="12" t="n">
        <f aca="false">INDEX('Country Tiers'!$D$2:$D$37,MATCH(C253,'Country Tiers'!$A$2:$A$37,0))</f>
        <v>1</v>
      </c>
    </row>
    <row r="254" customFormat="false" ht="15" hidden="false" customHeight="false" outlineLevel="0" collapsed="false">
      <c r="A254" s="12" t="s">
        <v>53</v>
      </c>
      <c r="B254" s="12" t="s">
        <v>47</v>
      </c>
      <c r="C254" s="12" t="s">
        <v>296</v>
      </c>
      <c r="D254" s="12" t="str">
        <f aca="false">INDEX('Country Tiers'!$C$2:$C$37,MATCH(C254,'Country Tiers'!$A$2:$A$37,0))</f>
        <v>Tier 3</v>
      </c>
      <c r="E254" s="12" t="n">
        <f aca="false">INDEX('Country Tiers'!$D$2:$D$37,MATCH(C254,'Country Tiers'!$A$2:$A$37,0))</f>
        <v>1</v>
      </c>
    </row>
    <row r="255" customFormat="false" ht="15" hidden="false" customHeight="false" outlineLevel="0" collapsed="false">
      <c r="A255" s="12" t="s">
        <v>53</v>
      </c>
      <c r="B255" s="12" t="s">
        <v>47</v>
      </c>
      <c r="C255" s="12" t="s">
        <v>297</v>
      </c>
      <c r="D255" s="12" t="str">
        <f aca="false">INDEX('Country Tiers'!$C$2:$C$37,MATCH(C255,'Country Tiers'!$A$2:$A$37,0))</f>
        <v>Tier 2</v>
      </c>
      <c r="E255" s="12" t="n">
        <f aca="false">INDEX('Country Tiers'!$D$2:$D$37,MATCH(C255,'Country Tiers'!$A$2:$A$37,0))</f>
        <v>2</v>
      </c>
    </row>
    <row r="256" customFormat="false" ht="15" hidden="false" customHeight="false" outlineLevel="0" collapsed="false">
      <c r="A256" s="12" t="s">
        <v>53</v>
      </c>
      <c r="B256" s="12" t="s">
        <v>47</v>
      </c>
      <c r="C256" s="12" t="s">
        <v>298</v>
      </c>
      <c r="D256" s="12" t="str">
        <f aca="false">INDEX('Country Tiers'!$C$2:$C$37,MATCH(C256,'Country Tiers'!$A$2:$A$37,0))</f>
        <v>Tier 1</v>
      </c>
      <c r="E256" s="12" t="n">
        <f aca="false">INDEX('Country Tiers'!$D$2:$D$37,MATCH(C256,'Country Tiers'!$A$2:$A$37,0))</f>
        <v>3</v>
      </c>
    </row>
    <row r="257" customFormat="false" ht="15" hidden="false" customHeight="false" outlineLevel="0" collapsed="false">
      <c r="A257" s="12" t="s">
        <v>53</v>
      </c>
      <c r="B257" s="12" t="s">
        <v>47</v>
      </c>
      <c r="C257" s="12" t="s">
        <v>299</v>
      </c>
      <c r="D257" s="12" t="str">
        <f aca="false">INDEX('Country Tiers'!$C$2:$C$37,MATCH(C257,'Country Tiers'!$A$2:$A$37,0))</f>
        <v>Tier 3</v>
      </c>
      <c r="E257" s="12" t="n">
        <f aca="false">INDEX('Country Tiers'!$D$2:$D$37,MATCH(C257,'Country Tiers'!$A$2:$A$37,0))</f>
        <v>1</v>
      </c>
    </row>
    <row r="258" customFormat="false" ht="15" hidden="false" customHeight="false" outlineLevel="0" collapsed="false">
      <c r="A258" s="12" t="s">
        <v>53</v>
      </c>
      <c r="B258" s="12" t="s">
        <v>47</v>
      </c>
      <c r="C258" s="12" t="s">
        <v>300</v>
      </c>
      <c r="D258" s="12" t="str">
        <f aca="false">INDEX('Country Tiers'!$C$2:$C$37,MATCH(C258,'Country Tiers'!$A$2:$A$37,0))</f>
        <v>Tier 3</v>
      </c>
      <c r="E258" s="12" t="n">
        <f aca="false">INDEX('Country Tiers'!$D$2:$D$37,MATCH(C258,'Country Tiers'!$A$2:$A$37,0))</f>
        <v>1</v>
      </c>
    </row>
    <row r="259" customFormat="false" ht="15" hidden="false" customHeight="false" outlineLevel="0" collapsed="false">
      <c r="A259" s="12" t="s">
        <v>53</v>
      </c>
      <c r="B259" s="12" t="s">
        <v>47</v>
      </c>
      <c r="C259" s="12" t="s">
        <v>301</v>
      </c>
      <c r="D259" s="12" t="str">
        <f aca="false">INDEX('Country Tiers'!$C$2:$C$37,MATCH(C259,'Country Tiers'!$A$2:$A$37,0))</f>
        <v>Tier 3</v>
      </c>
      <c r="E259" s="12" t="n">
        <f aca="false">INDEX('Country Tiers'!$D$2:$D$37,MATCH(C259,'Country Tiers'!$A$2:$A$37,0))</f>
        <v>1</v>
      </c>
    </row>
    <row r="260" customFormat="false" ht="15" hidden="false" customHeight="false" outlineLevel="0" collapsed="false">
      <c r="A260" s="12" t="s">
        <v>53</v>
      </c>
      <c r="B260" s="12" t="s">
        <v>47</v>
      </c>
      <c r="C260" s="12" t="s">
        <v>302</v>
      </c>
      <c r="D260" s="12" t="str">
        <f aca="false">INDEX('Country Tiers'!$C$2:$C$37,MATCH(C260,'Country Tiers'!$A$2:$A$37,0))</f>
        <v>Tier 3</v>
      </c>
      <c r="E260" s="12" t="n">
        <f aca="false">INDEX('Country Tiers'!$D$2:$D$37,MATCH(C260,'Country Tiers'!$A$2:$A$37,0))</f>
        <v>1</v>
      </c>
    </row>
    <row r="261" customFormat="false" ht="15" hidden="false" customHeight="false" outlineLevel="0" collapsed="false">
      <c r="A261" s="12" t="s">
        <v>53</v>
      </c>
      <c r="B261" s="12" t="s">
        <v>47</v>
      </c>
      <c r="C261" s="12" t="s">
        <v>305</v>
      </c>
      <c r="D261" s="12" t="str">
        <f aca="false">INDEX('Country Tiers'!$C$2:$C$37,MATCH(C261,'Country Tiers'!$A$2:$A$37,0))</f>
        <v>Tier 3</v>
      </c>
      <c r="E261" s="12" t="n">
        <f aca="false">INDEX('Country Tiers'!$D$2:$D$37,MATCH(C261,'Country Tiers'!$A$2:$A$37,0))</f>
        <v>1</v>
      </c>
    </row>
    <row r="262" customFormat="false" ht="15" hidden="false" customHeight="false" outlineLevel="0" collapsed="false">
      <c r="A262" s="12" t="s">
        <v>53</v>
      </c>
      <c r="B262" s="12" t="s">
        <v>47</v>
      </c>
      <c r="C262" s="12" t="s">
        <v>306</v>
      </c>
      <c r="D262" s="12" t="str">
        <f aca="false">INDEX('Country Tiers'!$C$2:$C$37,MATCH(C262,'Country Tiers'!$A$2:$A$37,0))</f>
        <v>Tier 3</v>
      </c>
      <c r="E262" s="12" t="n">
        <f aca="false">INDEX('Country Tiers'!$D$2:$D$37,MATCH(C262,'Country Tiers'!$A$2:$A$37,0))</f>
        <v>1</v>
      </c>
    </row>
    <row r="263" customFormat="false" ht="15" hidden="false" customHeight="false" outlineLevel="0" collapsed="false">
      <c r="A263" s="12" t="s">
        <v>53</v>
      </c>
      <c r="B263" s="12" t="s">
        <v>47</v>
      </c>
      <c r="C263" s="12" t="s">
        <v>307</v>
      </c>
      <c r="D263" s="12" t="str">
        <f aca="false">INDEX('Country Tiers'!$C$2:$C$37,MATCH(C263,'Country Tiers'!$A$2:$A$37,0))</f>
        <v>Tier 2</v>
      </c>
      <c r="E263" s="12" t="n">
        <f aca="false">INDEX('Country Tiers'!$D$2:$D$37,MATCH(C263,'Country Tiers'!$A$2:$A$37,0))</f>
        <v>2</v>
      </c>
    </row>
    <row r="264" customFormat="false" ht="15" hidden="false" customHeight="false" outlineLevel="0" collapsed="false">
      <c r="A264" s="12" t="s">
        <v>53</v>
      </c>
      <c r="B264" s="12" t="s">
        <v>47</v>
      </c>
      <c r="C264" s="12" t="s">
        <v>308</v>
      </c>
      <c r="D264" s="12" t="str">
        <f aca="false">INDEX('Country Tiers'!$C$2:$C$37,MATCH(C264,'Country Tiers'!$A$2:$A$37,0))</f>
        <v>Tier 3</v>
      </c>
      <c r="E264" s="12" t="n">
        <f aca="false">INDEX('Country Tiers'!$D$2:$D$37,MATCH(C264,'Country Tiers'!$A$2:$A$37,0))</f>
        <v>1</v>
      </c>
    </row>
    <row r="265" customFormat="false" ht="15" hidden="false" customHeight="false" outlineLevel="0" collapsed="false">
      <c r="A265" s="12" t="s">
        <v>53</v>
      </c>
      <c r="B265" s="12" t="s">
        <v>47</v>
      </c>
      <c r="C265" s="12" t="s">
        <v>309</v>
      </c>
      <c r="D265" s="12" t="str">
        <f aca="false">INDEX('Country Tiers'!$C$2:$C$37,MATCH(C265,'Country Tiers'!$A$2:$A$37,0))</f>
        <v>Tier 1</v>
      </c>
      <c r="E265" s="12" t="n">
        <f aca="false">INDEX('Country Tiers'!$D$2:$D$37,MATCH(C265,'Country Tiers'!$A$2:$A$37,0))</f>
        <v>3</v>
      </c>
    </row>
    <row r="266" customFormat="false" ht="15" hidden="false" customHeight="false" outlineLevel="0" collapsed="false">
      <c r="A266" s="12" t="s">
        <v>53</v>
      </c>
      <c r="B266" s="12" t="s">
        <v>47</v>
      </c>
      <c r="C266" s="12" t="s">
        <v>313</v>
      </c>
      <c r="D266" s="12" t="str">
        <f aca="false">INDEX('Country Tiers'!$C$2:$C$37,MATCH(C266,'Country Tiers'!$A$2:$A$37,0))</f>
        <v>Tier 1</v>
      </c>
      <c r="E266" s="12" t="n">
        <f aca="false">INDEX('Country Tiers'!$D$2:$D$37,MATCH(C266,'Country Tiers'!$A$2:$A$37,0))</f>
        <v>3</v>
      </c>
    </row>
    <row r="267" customFormat="false" ht="15" hidden="false" customHeight="false" outlineLevel="0" collapsed="false">
      <c r="A267" s="12" t="s">
        <v>53</v>
      </c>
      <c r="B267" s="12" t="s">
        <v>54</v>
      </c>
      <c r="C267" s="12" t="s">
        <v>272</v>
      </c>
      <c r="D267" s="12" t="str">
        <f aca="false">INDEX('Country Tiers'!$C$2:$C$37,MATCH(C267,'Country Tiers'!$A$2:$A$37,0))</f>
        <v>Tier 2</v>
      </c>
      <c r="E267" s="12" t="n">
        <f aca="false">INDEX('Country Tiers'!$D$2:$D$37,MATCH(C267,'Country Tiers'!$A$2:$A$37,0))</f>
        <v>2</v>
      </c>
    </row>
    <row r="268" customFormat="false" ht="15" hidden="false" customHeight="false" outlineLevel="0" collapsed="false">
      <c r="A268" s="12" t="s">
        <v>53</v>
      </c>
      <c r="B268" s="12" t="s">
        <v>55</v>
      </c>
      <c r="C268" s="12" t="s">
        <v>272</v>
      </c>
      <c r="D268" s="12" t="str">
        <f aca="false">INDEX('Country Tiers'!$C$2:$C$37,MATCH(C268,'Country Tiers'!$A$2:$A$37,0))</f>
        <v>Tier 2</v>
      </c>
      <c r="E268" s="12" t="n">
        <f aca="false">INDEX('Country Tiers'!$D$2:$D$37,MATCH(C268,'Country Tiers'!$A$2:$A$37,0))</f>
        <v>2</v>
      </c>
    </row>
    <row r="269" customFormat="false" ht="15" hidden="false" customHeight="false" outlineLevel="0" collapsed="false">
      <c r="A269" s="12" t="s">
        <v>53</v>
      </c>
      <c r="B269" s="12" t="s">
        <v>55</v>
      </c>
      <c r="C269" s="12" t="s">
        <v>274</v>
      </c>
      <c r="D269" s="12" t="str">
        <f aca="false">INDEX('Country Tiers'!$C$2:$C$37,MATCH(C269,'Country Tiers'!$A$2:$A$37,0))</f>
        <v>Tier 3</v>
      </c>
      <c r="E269" s="12" t="n">
        <f aca="false">INDEX('Country Tiers'!$D$2:$D$37,MATCH(C269,'Country Tiers'!$A$2:$A$37,0))</f>
        <v>1</v>
      </c>
    </row>
    <row r="270" customFormat="false" ht="15" hidden="false" customHeight="false" outlineLevel="0" collapsed="false">
      <c r="A270" s="12" t="s">
        <v>53</v>
      </c>
      <c r="B270" s="12" t="s">
        <v>55</v>
      </c>
      <c r="C270" s="12" t="s">
        <v>277</v>
      </c>
      <c r="D270" s="12" t="str">
        <f aca="false">INDEX('Country Tiers'!$C$2:$C$37,MATCH(C270,'Country Tiers'!$A$2:$A$37,0))</f>
        <v>Tier 1</v>
      </c>
      <c r="E270" s="12" t="n">
        <f aca="false">INDEX('Country Tiers'!$D$2:$D$37,MATCH(C270,'Country Tiers'!$A$2:$A$37,0))</f>
        <v>3</v>
      </c>
    </row>
    <row r="271" customFormat="false" ht="15" hidden="false" customHeight="false" outlineLevel="0" collapsed="false">
      <c r="A271" s="12" t="s">
        <v>53</v>
      </c>
      <c r="B271" s="12" t="s">
        <v>55</v>
      </c>
      <c r="C271" s="12" t="s">
        <v>278</v>
      </c>
      <c r="D271" s="12" t="str">
        <f aca="false">INDEX('Country Tiers'!$C$2:$C$37,MATCH(C271,'Country Tiers'!$A$2:$A$37,0))</f>
        <v>Tier 3</v>
      </c>
      <c r="E271" s="12" t="n">
        <f aca="false">INDEX('Country Tiers'!$D$2:$D$37,MATCH(C271,'Country Tiers'!$A$2:$A$37,0))</f>
        <v>1</v>
      </c>
    </row>
    <row r="272" customFormat="false" ht="15" hidden="false" customHeight="false" outlineLevel="0" collapsed="false">
      <c r="A272" s="12" t="s">
        <v>53</v>
      </c>
      <c r="B272" s="12" t="s">
        <v>55</v>
      </c>
      <c r="C272" s="12" t="s">
        <v>279</v>
      </c>
      <c r="D272" s="12" t="str">
        <f aca="false">INDEX('Country Tiers'!$C$2:$C$37,MATCH(C272,'Country Tiers'!$A$2:$A$37,0))</f>
        <v>Tier 1</v>
      </c>
      <c r="E272" s="12" t="n">
        <f aca="false">INDEX('Country Tiers'!$D$2:$D$37,MATCH(C272,'Country Tiers'!$A$2:$A$37,0))</f>
        <v>3</v>
      </c>
    </row>
    <row r="273" customFormat="false" ht="15" hidden="false" customHeight="false" outlineLevel="0" collapsed="false">
      <c r="A273" s="12" t="s">
        <v>53</v>
      </c>
      <c r="B273" s="12" t="s">
        <v>55</v>
      </c>
      <c r="C273" s="12" t="s">
        <v>280</v>
      </c>
      <c r="D273" s="12" t="str">
        <f aca="false">INDEX('Country Tiers'!$C$2:$C$37,MATCH(C273,'Country Tiers'!$A$2:$A$37,0))</f>
        <v>Tier 3</v>
      </c>
      <c r="E273" s="12" t="n">
        <f aca="false">INDEX('Country Tiers'!$D$2:$D$37,MATCH(C273,'Country Tiers'!$A$2:$A$37,0))</f>
        <v>1</v>
      </c>
    </row>
    <row r="274" customFormat="false" ht="15" hidden="false" customHeight="false" outlineLevel="0" collapsed="false">
      <c r="A274" s="12" t="s">
        <v>53</v>
      </c>
      <c r="B274" s="12" t="s">
        <v>55</v>
      </c>
      <c r="C274" s="12" t="s">
        <v>281</v>
      </c>
      <c r="D274" s="12" t="str">
        <f aca="false">INDEX('Country Tiers'!$C$2:$C$37,MATCH(C274,'Country Tiers'!$A$2:$A$37,0))</f>
        <v>Tier 3</v>
      </c>
      <c r="E274" s="12" t="n">
        <f aca="false">INDEX('Country Tiers'!$D$2:$D$37,MATCH(C274,'Country Tiers'!$A$2:$A$37,0))</f>
        <v>1</v>
      </c>
    </row>
    <row r="275" customFormat="false" ht="15" hidden="false" customHeight="false" outlineLevel="0" collapsed="false">
      <c r="A275" s="12" t="s">
        <v>53</v>
      </c>
      <c r="B275" s="12" t="s">
        <v>55</v>
      </c>
      <c r="C275" s="12" t="s">
        <v>282</v>
      </c>
      <c r="D275" s="12" t="str">
        <f aca="false">INDEX('Country Tiers'!$C$2:$C$37,MATCH(C275,'Country Tiers'!$A$2:$A$37,0))</f>
        <v>Tier 3</v>
      </c>
      <c r="E275" s="12" t="n">
        <f aca="false">INDEX('Country Tiers'!$D$2:$D$37,MATCH(C275,'Country Tiers'!$A$2:$A$37,0))</f>
        <v>1</v>
      </c>
    </row>
    <row r="276" customFormat="false" ht="15" hidden="false" customHeight="false" outlineLevel="0" collapsed="false">
      <c r="A276" s="12" t="s">
        <v>53</v>
      </c>
      <c r="B276" s="12" t="s">
        <v>55</v>
      </c>
      <c r="C276" s="12" t="s">
        <v>283</v>
      </c>
      <c r="D276" s="12" t="str">
        <f aca="false">INDEX('Country Tiers'!$C$2:$C$37,MATCH(C276,'Country Tiers'!$A$2:$A$37,0))</f>
        <v>Tier 3</v>
      </c>
      <c r="E276" s="12" t="n">
        <f aca="false">INDEX('Country Tiers'!$D$2:$D$37,MATCH(C276,'Country Tiers'!$A$2:$A$37,0))</f>
        <v>1</v>
      </c>
    </row>
    <row r="277" customFormat="false" ht="15" hidden="false" customHeight="false" outlineLevel="0" collapsed="false">
      <c r="A277" s="12" t="s">
        <v>53</v>
      </c>
      <c r="B277" s="12" t="s">
        <v>55</v>
      </c>
      <c r="C277" s="12" t="s">
        <v>284</v>
      </c>
      <c r="D277" s="12" t="str">
        <f aca="false">INDEX('Country Tiers'!$C$2:$C$37,MATCH(C277,'Country Tiers'!$A$2:$A$37,0))</f>
        <v>Tier 3</v>
      </c>
      <c r="E277" s="12" t="n">
        <f aca="false">INDEX('Country Tiers'!$D$2:$D$37,MATCH(C277,'Country Tiers'!$A$2:$A$37,0))</f>
        <v>1</v>
      </c>
    </row>
    <row r="278" customFormat="false" ht="15" hidden="false" customHeight="false" outlineLevel="0" collapsed="false">
      <c r="A278" s="12" t="s">
        <v>53</v>
      </c>
      <c r="B278" s="12" t="s">
        <v>55</v>
      </c>
      <c r="C278" s="12" t="s">
        <v>285</v>
      </c>
      <c r="D278" s="12" t="str">
        <f aca="false">INDEX('Country Tiers'!$C$2:$C$37,MATCH(C278,'Country Tiers'!$A$2:$A$37,0))</f>
        <v>Tier 3</v>
      </c>
      <c r="E278" s="12" t="n">
        <f aca="false">INDEX('Country Tiers'!$D$2:$D$37,MATCH(C278,'Country Tiers'!$A$2:$A$37,0))</f>
        <v>1</v>
      </c>
    </row>
    <row r="279" customFormat="false" ht="15" hidden="false" customHeight="false" outlineLevel="0" collapsed="false">
      <c r="A279" s="12" t="s">
        <v>53</v>
      </c>
      <c r="B279" s="12" t="s">
        <v>55</v>
      </c>
      <c r="C279" s="12" t="s">
        <v>286</v>
      </c>
      <c r="D279" s="12" t="str">
        <f aca="false">INDEX('Country Tiers'!$C$2:$C$37,MATCH(C279,'Country Tiers'!$A$2:$A$37,0))</f>
        <v>Tier 1</v>
      </c>
      <c r="E279" s="12" t="n">
        <f aca="false">INDEX('Country Tiers'!$D$2:$D$37,MATCH(C279,'Country Tiers'!$A$2:$A$37,0))</f>
        <v>3</v>
      </c>
    </row>
    <row r="280" customFormat="false" ht="15" hidden="false" customHeight="false" outlineLevel="0" collapsed="false">
      <c r="A280" s="12" t="s">
        <v>53</v>
      </c>
      <c r="B280" s="12" t="s">
        <v>55</v>
      </c>
      <c r="C280" s="12" t="s">
        <v>287</v>
      </c>
      <c r="D280" s="12" t="str">
        <f aca="false">INDEX('Country Tiers'!$C$2:$C$37,MATCH(C280,'Country Tiers'!$A$2:$A$37,0))</f>
        <v>Tier 1</v>
      </c>
      <c r="E280" s="12" t="n">
        <f aca="false">INDEX('Country Tiers'!$D$2:$D$37,MATCH(C280,'Country Tiers'!$A$2:$A$37,0))</f>
        <v>3</v>
      </c>
    </row>
    <row r="281" customFormat="false" ht="15" hidden="false" customHeight="false" outlineLevel="0" collapsed="false">
      <c r="A281" s="12" t="s">
        <v>53</v>
      </c>
      <c r="B281" s="12" t="s">
        <v>55</v>
      </c>
      <c r="C281" s="12" t="s">
        <v>288</v>
      </c>
      <c r="D281" s="12" t="str">
        <f aca="false">INDEX('Country Tiers'!$C$2:$C$37,MATCH(C281,'Country Tiers'!$A$2:$A$37,0))</f>
        <v>Tier 3</v>
      </c>
      <c r="E281" s="12" t="n">
        <f aca="false">INDEX('Country Tiers'!$D$2:$D$37,MATCH(C281,'Country Tiers'!$A$2:$A$37,0))</f>
        <v>1</v>
      </c>
    </row>
    <row r="282" customFormat="false" ht="15" hidden="false" customHeight="false" outlineLevel="0" collapsed="false">
      <c r="A282" s="12" t="s">
        <v>53</v>
      </c>
      <c r="B282" s="12" t="s">
        <v>55</v>
      </c>
      <c r="C282" s="12" t="s">
        <v>289</v>
      </c>
      <c r="D282" s="12" t="str">
        <f aca="false">INDEX('Country Tiers'!$C$2:$C$37,MATCH(C282,'Country Tiers'!$A$2:$A$37,0))</f>
        <v>Tier 3</v>
      </c>
      <c r="E282" s="12" t="n">
        <f aca="false">INDEX('Country Tiers'!$D$2:$D$37,MATCH(C282,'Country Tiers'!$A$2:$A$37,0))</f>
        <v>1</v>
      </c>
    </row>
    <row r="283" customFormat="false" ht="15" hidden="false" customHeight="false" outlineLevel="0" collapsed="false">
      <c r="A283" s="12" t="s">
        <v>53</v>
      </c>
      <c r="B283" s="12" t="s">
        <v>55</v>
      </c>
      <c r="C283" s="12" t="s">
        <v>290</v>
      </c>
      <c r="D283" s="12" t="str">
        <f aca="false">INDEX('Country Tiers'!$C$2:$C$37,MATCH(C283,'Country Tiers'!$A$2:$A$37,0))</f>
        <v>Tier 3</v>
      </c>
      <c r="E283" s="12" t="n">
        <f aca="false">INDEX('Country Tiers'!$D$2:$D$37,MATCH(C283,'Country Tiers'!$A$2:$A$37,0))</f>
        <v>1</v>
      </c>
    </row>
    <row r="284" customFormat="false" ht="15" hidden="false" customHeight="false" outlineLevel="0" collapsed="false">
      <c r="A284" s="12" t="s">
        <v>53</v>
      </c>
      <c r="B284" s="12" t="s">
        <v>55</v>
      </c>
      <c r="C284" s="12" t="s">
        <v>291</v>
      </c>
      <c r="D284" s="12" t="str">
        <f aca="false">INDEX('Country Tiers'!$C$2:$C$37,MATCH(C284,'Country Tiers'!$A$2:$A$37,0))</f>
        <v>Tier 3</v>
      </c>
      <c r="E284" s="12" t="n">
        <f aca="false">INDEX('Country Tiers'!$D$2:$D$37,MATCH(C284,'Country Tiers'!$A$2:$A$37,0))</f>
        <v>1</v>
      </c>
    </row>
    <row r="285" customFormat="false" ht="15" hidden="false" customHeight="false" outlineLevel="0" collapsed="false">
      <c r="A285" s="12" t="s">
        <v>53</v>
      </c>
      <c r="B285" s="12" t="s">
        <v>55</v>
      </c>
      <c r="C285" s="12" t="s">
        <v>292</v>
      </c>
      <c r="D285" s="12" t="str">
        <f aca="false">INDEX('Country Tiers'!$C$2:$C$37,MATCH(C285,'Country Tiers'!$A$2:$A$37,0))</f>
        <v>Tier 2</v>
      </c>
      <c r="E285" s="12" t="n">
        <f aca="false">INDEX('Country Tiers'!$D$2:$D$37,MATCH(C285,'Country Tiers'!$A$2:$A$37,0))</f>
        <v>2</v>
      </c>
    </row>
    <row r="286" customFormat="false" ht="15" hidden="false" customHeight="false" outlineLevel="0" collapsed="false">
      <c r="A286" s="12" t="s">
        <v>53</v>
      </c>
      <c r="B286" s="12" t="s">
        <v>55</v>
      </c>
      <c r="C286" s="12" t="s">
        <v>294</v>
      </c>
      <c r="D286" s="12" t="str">
        <f aca="false">INDEX('Country Tiers'!$C$2:$C$37,MATCH(C286,'Country Tiers'!$A$2:$A$37,0))</f>
        <v>Tier 3</v>
      </c>
      <c r="E286" s="12" t="n">
        <f aca="false">INDEX('Country Tiers'!$D$2:$D$37,MATCH(C286,'Country Tiers'!$A$2:$A$37,0))</f>
        <v>1</v>
      </c>
    </row>
    <row r="287" customFormat="false" ht="15" hidden="false" customHeight="false" outlineLevel="0" collapsed="false">
      <c r="A287" s="12" t="s">
        <v>53</v>
      </c>
      <c r="B287" s="12" t="s">
        <v>55</v>
      </c>
      <c r="C287" s="12" t="s">
        <v>295</v>
      </c>
      <c r="D287" s="12" t="str">
        <f aca="false">INDEX('Country Tiers'!$C$2:$C$37,MATCH(C287,'Country Tiers'!$A$2:$A$37,0))</f>
        <v>Tier 3</v>
      </c>
      <c r="E287" s="12" t="n">
        <f aca="false">INDEX('Country Tiers'!$D$2:$D$37,MATCH(C287,'Country Tiers'!$A$2:$A$37,0))</f>
        <v>1</v>
      </c>
    </row>
    <row r="288" customFormat="false" ht="15" hidden="false" customHeight="false" outlineLevel="0" collapsed="false">
      <c r="A288" s="12" t="s">
        <v>53</v>
      </c>
      <c r="B288" s="12" t="s">
        <v>55</v>
      </c>
      <c r="C288" s="12" t="s">
        <v>296</v>
      </c>
      <c r="D288" s="12" t="str">
        <f aca="false">INDEX('Country Tiers'!$C$2:$C$37,MATCH(C288,'Country Tiers'!$A$2:$A$37,0))</f>
        <v>Tier 3</v>
      </c>
      <c r="E288" s="12" t="n">
        <f aca="false">INDEX('Country Tiers'!$D$2:$D$37,MATCH(C288,'Country Tiers'!$A$2:$A$37,0))</f>
        <v>1</v>
      </c>
    </row>
    <row r="289" customFormat="false" ht="15" hidden="false" customHeight="false" outlineLevel="0" collapsed="false">
      <c r="A289" s="12" t="s">
        <v>53</v>
      </c>
      <c r="B289" s="12" t="s">
        <v>55</v>
      </c>
      <c r="C289" s="12" t="s">
        <v>297</v>
      </c>
      <c r="D289" s="12" t="str">
        <f aca="false">INDEX('Country Tiers'!$C$2:$C$37,MATCH(C289,'Country Tiers'!$A$2:$A$37,0))</f>
        <v>Tier 2</v>
      </c>
      <c r="E289" s="12" t="n">
        <f aca="false">INDEX('Country Tiers'!$D$2:$D$37,MATCH(C289,'Country Tiers'!$A$2:$A$37,0))</f>
        <v>2</v>
      </c>
    </row>
    <row r="290" customFormat="false" ht="15" hidden="false" customHeight="false" outlineLevel="0" collapsed="false">
      <c r="A290" s="12" t="s">
        <v>53</v>
      </c>
      <c r="B290" s="12" t="s">
        <v>55</v>
      </c>
      <c r="C290" s="12" t="s">
        <v>298</v>
      </c>
      <c r="D290" s="12" t="str">
        <f aca="false">INDEX('Country Tiers'!$C$2:$C$37,MATCH(C290,'Country Tiers'!$A$2:$A$37,0))</f>
        <v>Tier 1</v>
      </c>
      <c r="E290" s="12" t="n">
        <f aca="false">INDEX('Country Tiers'!$D$2:$D$37,MATCH(C290,'Country Tiers'!$A$2:$A$37,0))</f>
        <v>3</v>
      </c>
    </row>
    <row r="291" customFormat="false" ht="15" hidden="false" customHeight="false" outlineLevel="0" collapsed="false">
      <c r="A291" s="12" t="s">
        <v>53</v>
      </c>
      <c r="B291" s="12" t="s">
        <v>55</v>
      </c>
      <c r="C291" s="12" t="s">
        <v>299</v>
      </c>
      <c r="D291" s="12" t="str">
        <f aca="false">INDEX('Country Tiers'!$C$2:$C$37,MATCH(C291,'Country Tiers'!$A$2:$A$37,0))</f>
        <v>Tier 3</v>
      </c>
      <c r="E291" s="12" t="n">
        <f aca="false">INDEX('Country Tiers'!$D$2:$D$37,MATCH(C291,'Country Tiers'!$A$2:$A$37,0))</f>
        <v>1</v>
      </c>
    </row>
    <row r="292" customFormat="false" ht="15" hidden="false" customHeight="false" outlineLevel="0" collapsed="false">
      <c r="A292" s="12" t="s">
        <v>53</v>
      </c>
      <c r="B292" s="12" t="s">
        <v>55</v>
      </c>
      <c r="C292" s="12" t="s">
        <v>300</v>
      </c>
      <c r="D292" s="12" t="str">
        <f aca="false">INDEX('Country Tiers'!$C$2:$C$37,MATCH(C292,'Country Tiers'!$A$2:$A$37,0))</f>
        <v>Tier 3</v>
      </c>
      <c r="E292" s="12" t="n">
        <f aca="false">INDEX('Country Tiers'!$D$2:$D$37,MATCH(C292,'Country Tiers'!$A$2:$A$37,0))</f>
        <v>1</v>
      </c>
    </row>
    <row r="293" customFormat="false" ht="15" hidden="false" customHeight="false" outlineLevel="0" collapsed="false">
      <c r="A293" s="12" t="s">
        <v>53</v>
      </c>
      <c r="B293" s="12" t="s">
        <v>55</v>
      </c>
      <c r="C293" s="12" t="s">
        <v>301</v>
      </c>
      <c r="D293" s="12" t="str">
        <f aca="false">INDEX('Country Tiers'!$C$2:$C$37,MATCH(C293,'Country Tiers'!$A$2:$A$37,0))</f>
        <v>Tier 3</v>
      </c>
      <c r="E293" s="12" t="n">
        <f aca="false">INDEX('Country Tiers'!$D$2:$D$37,MATCH(C293,'Country Tiers'!$A$2:$A$37,0))</f>
        <v>1</v>
      </c>
    </row>
    <row r="294" customFormat="false" ht="15" hidden="false" customHeight="false" outlineLevel="0" collapsed="false">
      <c r="A294" s="12" t="s">
        <v>53</v>
      </c>
      <c r="B294" s="12" t="s">
        <v>55</v>
      </c>
      <c r="C294" s="12" t="s">
        <v>302</v>
      </c>
      <c r="D294" s="12" t="str">
        <f aca="false">INDEX('Country Tiers'!$C$2:$C$37,MATCH(C294,'Country Tiers'!$A$2:$A$37,0))</f>
        <v>Tier 3</v>
      </c>
      <c r="E294" s="12" t="n">
        <f aca="false">INDEX('Country Tiers'!$D$2:$D$37,MATCH(C294,'Country Tiers'!$A$2:$A$37,0))</f>
        <v>1</v>
      </c>
    </row>
    <row r="295" customFormat="false" ht="15" hidden="false" customHeight="false" outlineLevel="0" collapsed="false">
      <c r="A295" s="12" t="s">
        <v>53</v>
      </c>
      <c r="B295" s="12" t="s">
        <v>55</v>
      </c>
      <c r="C295" s="12" t="s">
        <v>303</v>
      </c>
      <c r="D295" s="12" t="str">
        <f aca="false">INDEX('Country Tiers'!$C$2:$C$37,MATCH(C295,'Country Tiers'!$A$2:$A$37,0))</f>
        <v>Tier 2</v>
      </c>
      <c r="E295" s="12" t="n">
        <f aca="false">INDEX('Country Tiers'!$D$2:$D$37,MATCH(C295,'Country Tiers'!$A$2:$A$37,0))</f>
        <v>2</v>
      </c>
    </row>
    <row r="296" customFormat="false" ht="15" hidden="false" customHeight="false" outlineLevel="0" collapsed="false">
      <c r="A296" s="12" t="s">
        <v>53</v>
      </c>
      <c r="B296" s="12" t="s">
        <v>55</v>
      </c>
      <c r="C296" s="12" t="s">
        <v>305</v>
      </c>
      <c r="D296" s="12" t="str">
        <f aca="false">INDEX('Country Tiers'!$C$2:$C$37,MATCH(C296,'Country Tiers'!$A$2:$A$37,0))</f>
        <v>Tier 3</v>
      </c>
      <c r="E296" s="12" t="n">
        <f aca="false">INDEX('Country Tiers'!$D$2:$D$37,MATCH(C296,'Country Tiers'!$A$2:$A$37,0))</f>
        <v>1</v>
      </c>
    </row>
    <row r="297" customFormat="false" ht="15" hidden="false" customHeight="false" outlineLevel="0" collapsed="false">
      <c r="A297" s="12" t="s">
        <v>53</v>
      </c>
      <c r="B297" s="12" t="s">
        <v>55</v>
      </c>
      <c r="C297" s="12" t="s">
        <v>306</v>
      </c>
      <c r="D297" s="12" t="str">
        <f aca="false">INDEX('Country Tiers'!$C$2:$C$37,MATCH(C297,'Country Tiers'!$A$2:$A$37,0))</f>
        <v>Tier 3</v>
      </c>
      <c r="E297" s="12" t="n">
        <f aca="false">INDEX('Country Tiers'!$D$2:$D$37,MATCH(C297,'Country Tiers'!$A$2:$A$37,0))</f>
        <v>1</v>
      </c>
    </row>
    <row r="298" customFormat="false" ht="15" hidden="false" customHeight="false" outlineLevel="0" collapsed="false">
      <c r="A298" s="12" t="s">
        <v>53</v>
      </c>
      <c r="B298" s="12" t="s">
        <v>55</v>
      </c>
      <c r="C298" s="12" t="s">
        <v>307</v>
      </c>
      <c r="D298" s="12" t="str">
        <f aca="false">INDEX('Country Tiers'!$C$2:$C$37,MATCH(C298,'Country Tiers'!$A$2:$A$37,0))</f>
        <v>Tier 2</v>
      </c>
      <c r="E298" s="12" t="n">
        <f aca="false">INDEX('Country Tiers'!$D$2:$D$37,MATCH(C298,'Country Tiers'!$A$2:$A$37,0))</f>
        <v>2</v>
      </c>
    </row>
    <row r="299" customFormat="false" ht="15" hidden="false" customHeight="false" outlineLevel="0" collapsed="false">
      <c r="A299" s="12" t="s">
        <v>53</v>
      </c>
      <c r="B299" s="12" t="s">
        <v>55</v>
      </c>
      <c r="C299" s="12" t="s">
        <v>308</v>
      </c>
      <c r="D299" s="12" t="str">
        <f aca="false">INDEX('Country Tiers'!$C$2:$C$37,MATCH(C299,'Country Tiers'!$A$2:$A$37,0))</f>
        <v>Tier 3</v>
      </c>
      <c r="E299" s="12" t="n">
        <f aca="false">INDEX('Country Tiers'!$D$2:$D$37,MATCH(C299,'Country Tiers'!$A$2:$A$37,0))</f>
        <v>1</v>
      </c>
    </row>
    <row r="300" customFormat="false" ht="15" hidden="false" customHeight="false" outlineLevel="0" collapsed="false">
      <c r="A300" s="12" t="s">
        <v>53</v>
      </c>
      <c r="B300" s="12" t="s">
        <v>55</v>
      </c>
      <c r="C300" s="12" t="s">
        <v>309</v>
      </c>
      <c r="D300" s="12" t="str">
        <f aca="false">INDEX('Country Tiers'!$C$2:$C$37,MATCH(C300,'Country Tiers'!$A$2:$A$37,0))</f>
        <v>Tier 1</v>
      </c>
      <c r="E300" s="12" t="n">
        <f aca="false">INDEX('Country Tiers'!$D$2:$D$37,MATCH(C300,'Country Tiers'!$A$2:$A$37,0))</f>
        <v>3</v>
      </c>
    </row>
    <row r="301" customFormat="false" ht="15" hidden="false" customHeight="false" outlineLevel="0" collapsed="false">
      <c r="A301" s="12" t="s">
        <v>53</v>
      </c>
      <c r="B301" s="12" t="s">
        <v>55</v>
      </c>
      <c r="C301" s="12" t="s">
        <v>313</v>
      </c>
      <c r="D301" s="12" t="str">
        <f aca="false">INDEX('Country Tiers'!$C$2:$C$37,MATCH(C301,'Country Tiers'!$A$2:$A$37,0))</f>
        <v>Tier 1</v>
      </c>
      <c r="E301" s="12" t="n">
        <f aca="false">INDEX('Country Tiers'!$D$2:$D$37,MATCH(C301,'Country Tiers'!$A$2:$A$37,0))</f>
        <v>3</v>
      </c>
    </row>
    <row r="302" customFormat="false" ht="15" hidden="false" customHeight="false" outlineLevel="0" collapsed="false">
      <c r="A302" s="12" t="s">
        <v>53</v>
      </c>
      <c r="B302" s="12" t="s">
        <v>35</v>
      </c>
      <c r="C302" s="12" t="s">
        <v>274</v>
      </c>
      <c r="D302" s="12" t="str">
        <f aca="false">INDEX('Country Tiers'!$C$2:$C$37,MATCH(C302,'Country Tiers'!$A$2:$A$37,0))</f>
        <v>Tier 3</v>
      </c>
      <c r="E302" s="12" t="n">
        <f aca="false">INDEX('Country Tiers'!$D$2:$D$37,MATCH(C302,'Country Tiers'!$A$2:$A$37,0))</f>
        <v>1</v>
      </c>
    </row>
    <row r="303" customFormat="false" ht="15" hidden="false" customHeight="false" outlineLevel="0" collapsed="false">
      <c r="A303" s="12" t="s">
        <v>53</v>
      </c>
      <c r="B303" s="12" t="s">
        <v>35</v>
      </c>
      <c r="C303" s="12" t="s">
        <v>277</v>
      </c>
      <c r="D303" s="12" t="str">
        <f aca="false">INDEX('Country Tiers'!$C$2:$C$37,MATCH(C303,'Country Tiers'!$A$2:$A$37,0))</f>
        <v>Tier 1</v>
      </c>
      <c r="E303" s="12" t="n">
        <f aca="false">INDEX('Country Tiers'!$D$2:$D$37,MATCH(C303,'Country Tiers'!$A$2:$A$37,0))</f>
        <v>3</v>
      </c>
    </row>
    <row r="304" customFormat="false" ht="15" hidden="false" customHeight="false" outlineLevel="0" collapsed="false">
      <c r="A304" s="12" t="s">
        <v>53</v>
      </c>
      <c r="B304" s="12" t="s">
        <v>35</v>
      </c>
      <c r="C304" s="12" t="s">
        <v>278</v>
      </c>
      <c r="D304" s="12" t="str">
        <f aca="false">INDEX('Country Tiers'!$C$2:$C$37,MATCH(C304,'Country Tiers'!$A$2:$A$37,0))</f>
        <v>Tier 3</v>
      </c>
      <c r="E304" s="12" t="n">
        <f aca="false">INDEX('Country Tiers'!$D$2:$D$37,MATCH(C304,'Country Tiers'!$A$2:$A$37,0))</f>
        <v>1</v>
      </c>
    </row>
    <row r="305" customFormat="false" ht="15" hidden="false" customHeight="false" outlineLevel="0" collapsed="false">
      <c r="A305" s="12" t="s">
        <v>53</v>
      </c>
      <c r="B305" s="12" t="s">
        <v>35</v>
      </c>
      <c r="C305" s="12" t="s">
        <v>280</v>
      </c>
      <c r="D305" s="12" t="str">
        <f aca="false">INDEX('Country Tiers'!$C$2:$C$37,MATCH(C305,'Country Tiers'!$A$2:$A$37,0))</f>
        <v>Tier 3</v>
      </c>
      <c r="E305" s="12" t="n">
        <f aca="false">INDEX('Country Tiers'!$D$2:$D$37,MATCH(C305,'Country Tiers'!$A$2:$A$37,0))</f>
        <v>1</v>
      </c>
    </row>
    <row r="306" customFormat="false" ht="15" hidden="false" customHeight="false" outlineLevel="0" collapsed="false">
      <c r="A306" s="12" t="s">
        <v>53</v>
      </c>
      <c r="B306" s="12" t="s">
        <v>35</v>
      </c>
      <c r="C306" s="12" t="s">
        <v>281</v>
      </c>
      <c r="D306" s="12" t="str">
        <f aca="false">INDEX('Country Tiers'!$C$2:$C$37,MATCH(C306,'Country Tiers'!$A$2:$A$37,0))</f>
        <v>Tier 3</v>
      </c>
      <c r="E306" s="12" t="n">
        <f aca="false">INDEX('Country Tiers'!$D$2:$D$37,MATCH(C306,'Country Tiers'!$A$2:$A$37,0))</f>
        <v>1</v>
      </c>
    </row>
    <row r="307" customFormat="false" ht="15" hidden="false" customHeight="false" outlineLevel="0" collapsed="false">
      <c r="A307" s="12" t="s">
        <v>53</v>
      </c>
      <c r="B307" s="12" t="s">
        <v>35</v>
      </c>
      <c r="C307" s="12" t="s">
        <v>282</v>
      </c>
      <c r="D307" s="12" t="str">
        <f aca="false">INDEX('Country Tiers'!$C$2:$C$37,MATCH(C307,'Country Tiers'!$A$2:$A$37,0))</f>
        <v>Tier 3</v>
      </c>
      <c r="E307" s="12" t="n">
        <f aca="false">INDEX('Country Tiers'!$D$2:$D$37,MATCH(C307,'Country Tiers'!$A$2:$A$37,0))</f>
        <v>1</v>
      </c>
    </row>
    <row r="308" customFormat="false" ht="15" hidden="false" customHeight="false" outlineLevel="0" collapsed="false">
      <c r="A308" s="12" t="s">
        <v>53</v>
      </c>
      <c r="B308" s="12" t="s">
        <v>35</v>
      </c>
      <c r="C308" s="12" t="s">
        <v>283</v>
      </c>
      <c r="D308" s="12" t="str">
        <f aca="false">INDEX('Country Tiers'!$C$2:$C$37,MATCH(C308,'Country Tiers'!$A$2:$A$37,0))</f>
        <v>Tier 3</v>
      </c>
      <c r="E308" s="12" t="n">
        <f aca="false">INDEX('Country Tiers'!$D$2:$D$37,MATCH(C308,'Country Tiers'!$A$2:$A$37,0))</f>
        <v>1</v>
      </c>
    </row>
    <row r="309" customFormat="false" ht="15" hidden="false" customHeight="false" outlineLevel="0" collapsed="false">
      <c r="A309" s="12" t="s">
        <v>53</v>
      </c>
      <c r="B309" s="12" t="s">
        <v>35</v>
      </c>
      <c r="C309" s="12" t="s">
        <v>284</v>
      </c>
      <c r="D309" s="12" t="str">
        <f aca="false">INDEX('Country Tiers'!$C$2:$C$37,MATCH(C309,'Country Tiers'!$A$2:$A$37,0))</f>
        <v>Tier 3</v>
      </c>
      <c r="E309" s="12" t="n">
        <f aca="false">INDEX('Country Tiers'!$D$2:$D$37,MATCH(C309,'Country Tiers'!$A$2:$A$37,0))</f>
        <v>1</v>
      </c>
    </row>
    <row r="310" customFormat="false" ht="15" hidden="false" customHeight="false" outlineLevel="0" collapsed="false">
      <c r="A310" s="12" t="s">
        <v>53</v>
      </c>
      <c r="B310" s="12" t="s">
        <v>35</v>
      </c>
      <c r="C310" s="12" t="s">
        <v>285</v>
      </c>
      <c r="D310" s="12" t="str">
        <f aca="false">INDEX('Country Tiers'!$C$2:$C$37,MATCH(C310,'Country Tiers'!$A$2:$A$37,0))</f>
        <v>Tier 3</v>
      </c>
      <c r="E310" s="12" t="n">
        <f aca="false">INDEX('Country Tiers'!$D$2:$D$37,MATCH(C310,'Country Tiers'!$A$2:$A$37,0))</f>
        <v>1</v>
      </c>
    </row>
    <row r="311" customFormat="false" ht="15" hidden="false" customHeight="false" outlineLevel="0" collapsed="false">
      <c r="A311" s="12" t="s">
        <v>53</v>
      </c>
      <c r="B311" s="12" t="s">
        <v>35</v>
      </c>
      <c r="C311" s="12" t="s">
        <v>286</v>
      </c>
      <c r="D311" s="12" t="str">
        <f aca="false">INDEX('Country Tiers'!$C$2:$C$37,MATCH(C311,'Country Tiers'!$A$2:$A$37,0))</f>
        <v>Tier 1</v>
      </c>
      <c r="E311" s="12" t="n">
        <f aca="false">INDEX('Country Tiers'!$D$2:$D$37,MATCH(C311,'Country Tiers'!$A$2:$A$37,0))</f>
        <v>3</v>
      </c>
    </row>
    <row r="312" customFormat="false" ht="15" hidden="false" customHeight="false" outlineLevel="0" collapsed="false">
      <c r="A312" s="12" t="s">
        <v>53</v>
      </c>
      <c r="B312" s="12" t="s">
        <v>35</v>
      </c>
      <c r="C312" s="12" t="s">
        <v>287</v>
      </c>
      <c r="D312" s="12" t="str">
        <f aca="false">INDEX('Country Tiers'!$C$2:$C$37,MATCH(C312,'Country Tiers'!$A$2:$A$37,0))</f>
        <v>Tier 1</v>
      </c>
      <c r="E312" s="12" t="n">
        <f aca="false">INDEX('Country Tiers'!$D$2:$D$37,MATCH(C312,'Country Tiers'!$A$2:$A$37,0))</f>
        <v>3</v>
      </c>
    </row>
    <row r="313" customFormat="false" ht="15" hidden="false" customHeight="false" outlineLevel="0" collapsed="false">
      <c r="A313" s="12" t="s">
        <v>53</v>
      </c>
      <c r="B313" s="12" t="s">
        <v>35</v>
      </c>
      <c r="C313" s="12" t="s">
        <v>288</v>
      </c>
      <c r="D313" s="12" t="str">
        <f aca="false">INDEX('Country Tiers'!$C$2:$C$37,MATCH(C313,'Country Tiers'!$A$2:$A$37,0))</f>
        <v>Tier 3</v>
      </c>
      <c r="E313" s="12" t="n">
        <f aca="false">INDEX('Country Tiers'!$D$2:$D$37,MATCH(C313,'Country Tiers'!$A$2:$A$37,0))</f>
        <v>1</v>
      </c>
    </row>
    <row r="314" customFormat="false" ht="15" hidden="false" customHeight="false" outlineLevel="0" collapsed="false">
      <c r="A314" s="12" t="s">
        <v>53</v>
      </c>
      <c r="B314" s="12" t="s">
        <v>35</v>
      </c>
      <c r="C314" s="12" t="s">
        <v>289</v>
      </c>
      <c r="D314" s="12" t="str">
        <f aca="false">INDEX('Country Tiers'!$C$2:$C$37,MATCH(C314,'Country Tiers'!$A$2:$A$37,0))</f>
        <v>Tier 3</v>
      </c>
      <c r="E314" s="12" t="n">
        <f aca="false">INDEX('Country Tiers'!$D$2:$D$37,MATCH(C314,'Country Tiers'!$A$2:$A$37,0))</f>
        <v>1</v>
      </c>
    </row>
    <row r="315" customFormat="false" ht="15" hidden="false" customHeight="false" outlineLevel="0" collapsed="false">
      <c r="A315" s="12" t="s">
        <v>53</v>
      </c>
      <c r="B315" s="12" t="s">
        <v>35</v>
      </c>
      <c r="C315" s="12" t="s">
        <v>290</v>
      </c>
      <c r="D315" s="12" t="str">
        <f aca="false">INDEX('Country Tiers'!$C$2:$C$37,MATCH(C315,'Country Tiers'!$A$2:$A$37,0))</f>
        <v>Tier 3</v>
      </c>
      <c r="E315" s="12" t="n">
        <f aca="false">INDEX('Country Tiers'!$D$2:$D$37,MATCH(C315,'Country Tiers'!$A$2:$A$37,0))</f>
        <v>1</v>
      </c>
    </row>
    <row r="316" customFormat="false" ht="15" hidden="false" customHeight="false" outlineLevel="0" collapsed="false">
      <c r="A316" s="12" t="s">
        <v>53</v>
      </c>
      <c r="B316" s="12" t="s">
        <v>35</v>
      </c>
      <c r="C316" s="12" t="s">
        <v>291</v>
      </c>
      <c r="D316" s="12" t="str">
        <f aca="false">INDEX('Country Tiers'!$C$2:$C$37,MATCH(C316,'Country Tiers'!$A$2:$A$37,0))</f>
        <v>Tier 3</v>
      </c>
      <c r="E316" s="12" t="n">
        <f aca="false">INDEX('Country Tiers'!$D$2:$D$37,MATCH(C316,'Country Tiers'!$A$2:$A$37,0))</f>
        <v>1</v>
      </c>
    </row>
    <row r="317" customFormat="false" ht="15" hidden="false" customHeight="false" outlineLevel="0" collapsed="false">
      <c r="A317" s="12" t="s">
        <v>53</v>
      </c>
      <c r="B317" s="12" t="s">
        <v>35</v>
      </c>
      <c r="C317" s="12" t="s">
        <v>292</v>
      </c>
      <c r="D317" s="12" t="str">
        <f aca="false">INDEX('Country Tiers'!$C$2:$C$37,MATCH(C317,'Country Tiers'!$A$2:$A$37,0))</f>
        <v>Tier 2</v>
      </c>
      <c r="E317" s="12" t="n">
        <f aca="false">INDEX('Country Tiers'!$D$2:$D$37,MATCH(C317,'Country Tiers'!$A$2:$A$37,0))</f>
        <v>2</v>
      </c>
    </row>
    <row r="318" customFormat="false" ht="15" hidden="false" customHeight="false" outlineLevel="0" collapsed="false">
      <c r="A318" s="12" t="s">
        <v>53</v>
      </c>
      <c r="B318" s="12" t="s">
        <v>35</v>
      </c>
      <c r="C318" s="12" t="s">
        <v>294</v>
      </c>
      <c r="D318" s="12" t="str">
        <f aca="false">INDEX('Country Tiers'!$C$2:$C$37,MATCH(C318,'Country Tiers'!$A$2:$A$37,0))</f>
        <v>Tier 3</v>
      </c>
      <c r="E318" s="12" t="n">
        <f aca="false">INDEX('Country Tiers'!$D$2:$D$37,MATCH(C318,'Country Tiers'!$A$2:$A$37,0))</f>
        <v>1</v>
      </c>
    </row>
    <row r="319" customFormat="false" ht="15" hidden="false" customHeight="false" outlineLevel="0" collapsed="false">
      <c r="A319" s="12" t="s">
        <v>53</v>
      </c>
      <c r="B319" s="12" t="s">
        <v>35</v>
      </c>
      <c r="C319" s="12" t="s">
        <v>295</v>
      </c>
      <c r="D319" s="12" t="str">
        <f aca="false">INDEX('Country Tiers'!$C$2:$C$37,MATCH(C319,'Country Tiers'!$A$2:$A$37,0))</f>
        <v>Tier 3</v>
      </c>
      <c r="E319" s="12" t="n">
        <f aca="false">INDEX('Country Tiers'!$D$2:$D$37,MATCH(C319,'Country Tiers'!$A$2:$A$37,0))</f>
        <v>1</v>
      </c>
    </row>
    <row r="320" customFormat="false" ht="15" hidden="false" customHeight="false" outlineLevel="0" collapsed="false">
      <c r="A320" s="12" t="s">
        <v>53</v>
      </c>
      <c r="B320" s="12" t="s">
        <v>35</v>
      </c>
      <c r="C320" s="12" t="s">
        <v>296</v>
      </c>
      <c r="D320" s="12" t="str">
        <f aca="false">INDEX('Country Tiers'!$C$2:$C$37,MATCH(C320,'Country Tiers'!$A$2:$A$37,0))</f>
        <v>Tier 3</v>
      </c>
      <c r="E320" s="12" t="n">
        <f aca="false">INDEX('Country Tiers'!$D$2:$D$37,MATCH(C320,'Country Tiers'!$A$2:$A$37,0))</f>
        <v>1</v>
      </c>
    </row>
    <row r="321" customFormat="false" ht="15" hidden="false" customHeight="false" outlineLevel="0" collapsed="false">
      <c r="A321" s="12" t="s">
        <v>53</v>
      </c>
      <c r="B321" s="12" t="s">
        <v>35</v>
      </c>
      <c r="C321" s="12" t="s">
        <v>297</v>
      </c>
      <c r="D321" s="12" t="str">
        <f aca="false">INDEX('Country Tiers'!$C$2:$C$37,MATCH(C321,'Country Tiers'!$A$2:$A$37,0))</f>
        <v>Tier 2</v>
      </c>
      <c r="E321" s="12" t="n">
        <f aca="false">INDEX('Country Tiers'!$D$2:$D$37,MATCH(C321,'Country Tiers'!$A$2:$A$37,0))</f>
        <v>2</v>
      </c>
    </row>
    <row r="322" customFormat="false" ht="15" hidden="false" customHeight="false" outlineLevel="0" collapsed="false">
      <c r="A322" s="12" t="s">
        <v>53</v>
      </c>
      <c r="B322" s="12" t="s">
        <v>35</v>
      </c>
      <c r="C322" s="12" t="s">
        <v>298</v>
      </c>
      <c r="D322" s="12" t="str">
        <f aca="false">INDEX('Country Tiers'!$C$2:$C$37,MATCH(C322,'Country Tiers'!$A$2:$A$37,0))</f>
        <v>Tier 1</v>
      </c>
      <c r="E322" s="12" t="n">
        <f aca="false">INDEX('Country Tiers'!$D$2:$D$37,MATCH(C322,'Country Tiers'!$A$2:$A$37,0))</f>
        <v>3</v>
      </c>
    </row>
    <row r="323" customFormat="false" ht="15" hidden="false" customHeight="false" outlineLevel="0" collapsed="false">
      <c r="A323" s="12" t="s">
        <v>53</v>
      </c>
      <c r="B323" s="12" t="s">
        <v>35</v>
      </c>
      <c r="C323" s="12" t="s">
        <v>299</v>
      </c>
      <c r="D323" s="12" t="str">
        <f aca="false">INDEX('Country Tiers'!$C$2:$C$37,MATCH(C323,'Country Tiers'!$A$2:$A$37,0))</f>
        <v>Tier 3</v>
      </c>
      <c r="E323" s="12" t="n">
        <f aca="false">INDEX('Country Tiers'!$D$2:$D$37,MATCH(C323,'Country Tiers'!$A$2:$A$37,0))</f>
        <v>1</v>
      </c>
    </row>
    <row r="324" customFormat="false" ht="15" hidden="false" customHeight="false" outlineLevel="0" collapsed="false">
      <c r="A324" s="12" t="s">
        <v>53</v>
      </c>
      <c r="B324" s="12" t="s">
        <v>35</v>
      </c>
      <c r="C324" s="12" t="s">
        <v>300</v>
      </c>
      <c r="D324" s="12" t="str">
        <f aca="false">INDEX('Country Tiers'!$C$2:$C$37,MATCH(C324,'Country Tiers'!$A$2:$A$37,0))</f>
        <v>Tier 3</v>
      </c>
      <c r="E324" s="12" t="n">
        <f aca="false">INDEX('Country Tiers'!$D$2:$D$37,MATCH(C324,'Country Tiers'!$A$2:$A$37,0))</f>
        <v>1</v>
      </c>
    </row>
    <row r="325" customFormat="false" ht="15" hidden="false" customHeight="false" outlineLevel="0" collapsed="false">
      <c r="A325" s="12" t="s">
        <v>53</v>
      </c>
      <c r="B325" s="12" t="s">
        <v>35</v>
      </c>
      <c r="C325" s="12" t="s">
        <v>301</v>
      </c>
      <c r="D325" s="12" t="str">
        <f aca="false">INDEX('Country Tiers'!$C$2:$C$37,MATCH(C325,'Country Tiers'!$A$2:$A$37,0))</f>
        <v>Tier 3</v>
      </c>
      <c r="E325" s="12" t="n">
        <f aca="false">INDEX('Country Tiers'!$D$2:$D$37,MATCH(C325,'Country Tiers'!$A$2:$A$37,0))</f>
        <v>1</v>
      </c>
    </row>
    <row r="326" customFormat="false" ht="15" hidden="false" customHeight="false" outlineLevel="0" collapsed="false">
      <c r="A326" s="12" t="s">
        <v>53</v>
      </c>
      <c r="B326" s="12" t="s">
        <v>35</v>
      </c>
      <c r="C326" s="12" t="s">
        <v>302</v>
      </c>
      <c r="D326" s="12" t="str">
        <f aca="false">INDEX('Country Tiers'!$C$2:$C$37,MATCH(C326,'Country Tiers'!$A$2:$A$37,0))</f>
        <v>Tier 3</v>
      </c>
      <c r="E326" s="12" t="n">
        <f aca="false">INDEX('Country Tiers'!$D$2:$D$37,MATCH(C326,'Country Tiers'!$A$2:$A$37,0))</f>
        <v>1</v>
      </c>
    </row>
    <row r="327" customFormat="false" ht="15" hidden="false" customHeight="false" outlineLevel="0" collapsed="false">
      <c r="A327" s="12" t="s">
        <v>53</v>
      </c>
      <c r="B327" s="12" t="s">
        <v>35</v>
      </c>
      <c r="C327" s="12" t="s">
        <v>305</v>
      </c>
      <c r="D327" s="12" t="str">
        <f aca="false">INDEX('Country Tiers'!$C$2:$C$37,MATCH(C327,'Country Tiers'!$A$2:$A$37,0))</f>
        <v>Tier 3</v>
      </c>
      <c r="E327" s="12" t="n">
        <f aca="false">INDEX('Country Tiers'!$D$2:$D$37,MATCH(C327,'Country Tiers'!$A$2:$A$37,0))</f>
        <v>1</v>
      </c>
    </row>
    <row r="328" customFormat="false" ht="15" hidden="false" customHeight="false" outlineLevel="0" collapsed="false">
      <c r="A328" s="12" t="s">
        <v>53</v>
      </c>
      <c r="B328" s="12" t="s">
        <v>35</v>
      </c>
      <c r="C328" s="12" t="s">
        <v>306</v>
      </c>
      <c r="D328" s="12" t="str">
        <f aca="false">INDEX('Country Tiers'!$C$2:$C$37,MATCH(C328,'Country Tiers'!$A$2:$A$37,0))</f>
        <v>Tier 3</v>
      </c>
      <c r="E328" s="12" t="n">
        <f aca="false">INDEX('Country Tiers'!$D$2:$D$37,MATCH(C328,'Country Tiers'!$A$2:$A$37,0))</f>
        <v>1</v>
      </c>
    </row>
    <row r="329" customFormat="false" ht="15" hidden="false" customHeight="false" outlineLevel="0" collapsed="false">
      <c r="A329" s="12" t="s">
        <v>53</v>
      </c>
      <c r="B329" s="12" t="s">
        <v>35</v>
      </c>
      <c r="C329" s="12" t="s">
        <v>307</v>
      </c>
      <c r="D329" s="12" t="str">
        <f aca="false">INDEX('Country Tiers'!$C$2:$C$37,MATCH(C329,'Country Tiers'!$A$2:$A$37,0))</f>
        <v>Tier 2</v>
      </c>
      <c r="E329" s="12" t="n">
        <f aca="false">INDEX('Country Tiers'!$D$2:$D$37,MATCH(C329,'Country Tiers'!$A$2:$A$37,0))</f>
        <v>2</v>
      </c>
    </row>
    <row r="330" customFormat="false" ht="15" hidden="false" customHeight="false" outlineLevel="0" collapsed="false">
      <c r="A330" s="12" t="s">
        <v>53</v>
      </c>
      <c r="B330" s="12" t="s">
        <v>35</v>
      </c>
      <c r="C330" s="12" t="s">
        <v>308</v>
      </c>
      <c r="D330" s="12" t="str">
        <f aca="false">INDEX('Country Tiers'!$C$2:$C$37,MATCH(C330,'Country Tiers'!$A$2:$A$37,0))</f>
        <v>Tier 3</v>
      </c>
      <c r="E330" s="12" t="n">
        <f aca="false">INDEX('Country Tiers'!$D$2:$D$37,MATCH(C330,'Country Tiers'!$A$2:$A$37,0))</f>
        <v>1</v>
      </c>
    </row>
    <row r="331" customFormat="false" ht="15" hidden="false" customHeight="false" outlineLevel="0" collapsed="false">
      <c r="A331" s="12" t="s">
        <v>53</v>
      </c>
      <c r="B331" s="12" t="s">
        <v>35</v>
      </c>
      <c r="C331" s="12" t="s">
        <v>309</v>
      </c>
      <c r="D331" s="12" t="str">
        <f aca="false">INDEX('Country Tiers'!$C$2:$C$37,MATCH(C331,'Country Tiers'!$A$2:$A$37,0))</f>
        <v>Tier 1</v>
      </c>
      <c r="E331" s="12" t="n">
        <f aca="false">INDEX('Country Tiers'!$D$2:$D$37,MATCH(C331,'Country Tiers'!$A$2:$A$37,0))</f>
        <v>3</v>
      </c>
    </row>
    <row r="332" customFormat="false" ht="15" hidden="false" customHeight="false" outlineLevel="0" collapsed="false">
      <c r="A332" s="12" t="s">
        <v>53</v>
      </c>
      <c r="B332" s="12" t="s">
        <v>35</v>
      </c>
      <c r="C332" s="12" t="s">
        <v>313</v>
      </c>
      <c r="D332" s="12" t="str">
        <f aca="false">INDEX('Country Tiers'!$C$2:$C$37,MATCH(C332,'Country Tiers'!$A$2:$A$37,0))</f>
        <v>Tier 1</v>
      </c>
      <c r="E332" s="12" t="n">
        <f aca="false">INDEX('Country Tiers'!$D$2:$D$37,MATCH(C332,'Country Tiers'!$A$2:$A$37,0))</f>
        <v>3</v>
      </c>
    </row>
    <row r="333" customFormat="false" ht="15" hidden="false" customHeight="false" outlineLevel="0" collapsed="false">
      <c r="A333" s="12" t="s">
        <v>53</v>
      </c>
      <c r="B333" s="12" t="s">
        <v>56</v>
      </c>
      <c r="C333" s="12" t="s">
        <v>274</v>
      </c>
      <c r="D333" s="12" t="str">
        <f aca="false">INDEX('Country Tiers'!$C$2:$C$37,MATCH(C333,'Country Tiers'!$A$2:$A$37,0))</f>
        <v>Tier 3</v>
      </c>
      <c r="E333" s="12" t="n">
        <f aca="false">INDEX('Country Tiers'!$D$2:$D$37,MATCH(C333,'Country Tiers'!$A$2:$A$37,0))</f>
        <v>1</v>
      </c>
    </row>
    <row r="334" customFormat="false" ht="15" hidden="false" customHeight="false" outlineLevel="0" collapsed="false">
      <c r="A334" s="12" t="s">
        <v>53</v>
      </c>
      <c r="B334" s="12" t="s">
        <v>56</v>
      </c>
      <c r="C334" s="12" t="s">
        <v>277</v>
      </c>
      <c r="D334" s="12" t="str">
        <f aca="false">INDEX('Country Tiers'!$C$2:$C$37,MATCH(C334,'Country Tiers'!$A$2:$A$37,0))</f>
        <v>Tier 1</v>
      </c>
      <c r="E334" s="12" t="n">
        <f aca="false">INDEX('Country Tiers'!$D$2:$D$37,MATCH(C334,'Country Tiers'!$A$2:$A$37,0))</f>
        <v>3</v>
      </c>
    </row>
    <row r="335" customFormat="false" ht="15" hidden="false" customHeight="false" outlineLevel="0" collapsed="false">
      <c r="A335" s="12" t="s">
        <v>53</v>
      </c>
      <c r="B335" s="12" t="s">
        <v>56</v>
      </c>
      <c r="C335" s="12" t="s">
        <v>278</v>
      </c>
      <c r="D335" s="12" t="str">
        <f aca="false">INDEX('Country Tiers'!$C$2:$C$37,MATCH(C335,'Country Tiers'!$A$2:$A$37,0))</f>
        <v>Tier 3</v>
      </c>
      <c r="E335" s="12" t="n">
        <f aca="false">INDEX('Country Tiers'!$D$2:$D$37,MATCH(C335,'Country Tiers'!$A$2:$A$37,0))</f>
        <v>1</v>
      </c>
    </row>
    <row r="336" customFormat="false" ht="15" hidden="false" customHeight="false" outlineLevel="0" collapsed="false">
      <c r="A336" s="12" t="s">
        <v>53</v>
      </c>
      <c r="B336" s="12" t="s">
        <v>56</v>
      </c>
      <c r="C336" s="12" t="s">
        <v>280</v>
      </c>
      <c r="D336" s="12" t="str">
        <f aca="false">INDEX('Country Tiers'!$C$2:$C$37,MATCH(C336,'Country Tiers'!$A$2:$A$37,0))</f>
        <v>Tier 3</v>
      </c>
      <c r="E336" s="12" t="n">
        <f aca="false">INDEX('Country Tiers'!$D$2:$D$37,MATCH(C336,'Country Tiers'!$A$2:$A$37,0))</f>
        <v>1</v>
      </c>
    </row>
    <row r="337" customFormat="false" ht="15" hidden="false" customHeight="false" outlineLevel="0" collapsed="false">
      <c r="A337" s="12" t="s">
        <v>53</v>
      </c>
      <c r="B337" s="12" t="s">
        <v>56</v>
      </c>
      <c r="C337" s="12" t="s">
        <v>281</v>
      </c>
      <c r="D337" s="12" t="str">
        <f aca="false">INDEX('Country Tiers'!$C$2:$C$37,MATCH(C337,'Country Tiers'!$A$2:$A$37,0))</f>
        <v>Tier 3</v>
      </c>
      <c r="E337" s="12" t="n">
        <f aca="false">INDEX('Country Tiers'!$D$2:$D$37,MATCH(C337,'Country Tiers'!$A$2:$A$37,0))</f>
        <v>1</v>
      </c>
    </row>
    <row r="338" customFormat="false" ht="15" hidden="false" customHeight="false" outlineLevel="0" collapsed="false">
      <c r="A338" s="12" t="s">
        <v>53</v>
      </c>
      <c r="B338" s="12" t="s">
        <v>56</v>
      </c>
      <c r="C338" s="12" t="s">
        <v>282</v>
      </c>
      <c r="D338" s="12" t="str">
        <f aca="false">INDEX('Country Tiers'!$C$2:$C$37,MATCH(C338,'Country Tiers'!$A$2:$A$37,0))</f>
        <v>Tier 3</v>
      </c>
      <c r="E338" s="12" t="n">
        <f aca="false">INDEX('Country Tiers'!$D$2:$D$37,MATCH(C338,'Country Tiers'!$A$2:$A$37,0))</f>
        <v>1</v>
      </c>
    </row>
    <row r="339" customFormat="false" ht="15" hidden="false" customHeight="false" outlineLevel="0" collapsed="false">
      <c r="A339" s="12" t="s">
        <v>53</v>
      </c>
      <c r="B339" s="12" t="s">
        <v>56</v>
      </c>
      <c r="C339" s="12" t="s">
        <v>283</v>
      </c>
      <c r="D339" s="12" t="str">
        <f aca="false">INDEX('Country Tiers'!$C$2:$C$37,MATCH(C339,'Country Tiers'!$A$2:$A$37,0))</f>
        <v>Tier 3</v>
      </c>
      <c r="E339" s="12" t="n">
        <f aca="false">INDEX('Country Tiers'!$D$2:$D$37,MATCH(C339,'Country Tiers'!$A$2:$A$37,0))</f>
        <v>1</v>
      </c>
    </row>
    <row r="340" customFormat="false" ht="15" hidden="false" customHeight="false" outlineLevel="0" collapsed="false">
      <c r="A340" s="12" t="s">
        <v>53</v>
      </c>
      <c r="B340" s="12" t="s">
        <v>56</v>
      </c>
      <c r="C340" s="12" t="s">
        <v>284</v>
      </c>
      <c r="D340" s="12" t="str">
        <f aca="false">INDEX('Country Tiers'!$C$2:$C$37,MATCH(C340,'Country Tiers'!$A$2:$A$37,0))</f>
        <v>Tier 3</v>
      </c>
      <c r="E340" s="12" t="n">
        <f aca="false">INDEX('Country Tiers'!$D$2:$D$37,MATCH(C340,'Country Tiers'!$A$2:$A$37,0))</f>
        <v>1</v>
      </c>
    </row>
    <row r="341" customFormat="false" ht="15" hidden="false" customHeight="false" outlineLevel="0" collapsed="false">
      <c r="A341" s="12" t="s">
        <v>53</v>
      </c>
      <c r="B341" s="12" t="s">
        <v>56</v>
      </c>
      <c r="C341" s="12" t="s">
        <v>285</v>
      </c>
      <c r="D341" s="12" t="str">
        <f aca="false">INDEX('Country Tiers'!$C$2:$C$37,MATCH(C341,'Country Tiers'!$A$2:$A$37,0))</f>
        <v>Tier 3</v>
      </c>
      <c r="E341" s="12" t="n">
        <f aca="false">INDEX('Country Tiers'!$D$2:$D$37,MATCH(C341,'Country Tiers'!$A$2:$A$37,0))</f>
        <v>1</v>
      </c>
    </row>
    <row r="342" customFormat="false" ht="15" hidden="false" customHeight="false" outlineLevel="0" collapsed="false">
      <c r="A342" s="12" t="s">
        <v>53</v>
      </c>
      <c r="B342" s="12" t="s">
        <v>56</v>
      </c>
      <c r="C342" s="12" t="s">
        <v>286</v>
      </c>
      <c r="D342" s="12" t="str">
        <f aca="false">INDEX('Country Tiers'!$C$2:$C$37,MATCH(C342,'Country Tiers'!$A$2:$A$37,0))</f>
        <v>Tier 1</v>
      </c>
      <c r="E342" s="12" t="n">
        <f aca="false">INDEX('Country Tiers'!$D$2:$D$37,MATCH(C342,'Country Tiers'!$A$2:$A$37,0))</f>
        <v>3</v>
      </c>
    </row>
    <row r="343" customFormat="false" ht="15" hidden="false" customHeight="false" outlineLevel="0" collapsed="false">
      <c r="A343" s="12" t="s">
        <v>53</v>
      </c>
      <c r="B343" s="12" t="s">
        <v>56</v>
      </c>
      <c r="C343" s="12" t="s">
        <v>287</v>
      </c>
      <c r="D343" s="12" t="str">
        <f aca="false">INDEX('Country Tiers'!$C$2:$C$37,MATCH(C343,'Country Tiers'!$A$2:$A$37,0))</f>
        <v>Tier 1</v>
      </c>
      <c r="E343" s="12" t="n">
        <f aca="false">INDEX('Country Tiers'!$D$2:$D$37,MATCH(C343,'Country Tiers'!$A$2:$A$37,0))</f>
        <v>3</v>
      </c>
    </row>
    <row r="344" customFormat="false" ht="15" hidden="false" customHeight="false" outlineLevel="0" collapsed="false">
      <c r="A344" s="12" t="s">
        <v>53</v>
      </c>
      <c r="B344" s="12" t="s">
        <v>56</v>
      </c>
      <c r="C344" s="12" t="s">
        <v>288</v>
      </c>
      <c r="D344" s="12" t="str">
        <f aca="false">INDEX('Country Tiers'!$C$2:$C$37,MATCH(C344,'Country Tiers'!$A$2:$A$37,0))</f>
        <v>Tier 3</v>
      </c>
      <c r="E344" s="12" t="n">
        <f aca="false">INDEX('Country Tiers'!$D$2:$D$37,MATCH(C344,'Country Tiers'!$A$2:$A$37,0))</f>
        <v>1</v>
      </c>
    </row>
    <row r="345" customFormat="false" ht="15" hidden="false" customHeight="false" outlineLevel="0" collapsed="false">
      <c r="A345" s="12" t="s">
        <v>53</v>
      </c>
      <c r="B345" s="12" t="s">
        <v>56</v>
      </c>
      <c r="C345" s="12" t="s">
        <v>289</v>
      </c>
      <c r="D345" s="12" t="str">
        <f aca="false">INDEX('Country Tiers'!$C$2:$C$37,MATCH(C345,'Country Tiers'!$A$2:$A$37,0))</f>
        <v>Tier 3</v>
      </c>
      <c r="E345" s="12" t="n">
        <f aca="false">INDEX('Country Tiers'!$D$2:$D$37,MATCH(C345,'Country Tiers'!$A$2:$A$37,0))</f>
        <v>1</v>
      </c>
    </row>
    <row r="346" customFormat="false" ht="15" hidden="false" customHeight="false" outlineLevel="0" collapsed="false">
      <c r="A346" s="12" t="s">
        <v>53</v>
      </c>
      <c r="B346" s="12" t="s">
        <v>56</v>
      </c>
      <c r="C346" s="12" t="s">
        <v>290</v>
      </c>
      <c r="D346" s="12" t="str">
        <f aca="false">INDEX('Country Tiers'!$C$2:$C$37,MATCH(C346,'Country Tiers'!$A$2:$A$37,0))</f>
        <v>Tier 3</v>
      </c>
      <c r="E346" s="12" t="n">
        <f aca="false">INDEX('Country Tiers'!$D$2:$D$37,MATCH(C346,'Country Tiers'!$A$2:$A$37,0))</f>
        <v>1</v>
      </c>
    </row>
    <row r="347" customFormat="false" ht="15" hidden="false" customHeight="false" outlineLevel="0" collapsed="false">
      <c r="A347" s="12" t="s">
        <v>53</v>
      </c>
      <c r="B347" s="12" t="s">
        <v>56</v>
      </c>
      <c r="C347" s="12" t="s">
        <v>291</v>
      </c>
      <c r="D347" s="12" t="str">
        <f aca="false">INDEX('Country Tiers'!$C$2:$C$37,MATCH(C347,'Country Tiers'!$A$2:$A$37,0))</f>
        <v>Tier 3</v>
      </c>
      <c r="E347" s="12" t="n">
        <f aca="false">INDEX('Country Tiers'!$D$2:$D$37,MATCH(C347,'Country Tiers'!$A$2:$A$37,0))</f>
        <v>1</v>
      </c>
    </row>
    <row r="348" customFormat="false" ht="15" hidden="false" customHeight="false" outlineLevel="0" collapsed="false">
      <c r="A348" s="12" t="s">
        <v>53</v>
      </c>
      <c r="B348" s="12" t="s">
        <v>56</v>
      </c>
      <c r="C348" s="12" t="s">
        <v>292</v>
      </c>
      <c r="D348" s="12" t="str">
        <f aca="false">INDEX('Country Tiers'!$C$2:$C$37,MATCH(C348,'Country Tiers'!$A$2:$A$37,0))</f>
        <v>Tier 2</v>
      </c>
      <c r="E348" s="12" t="n">
        <f aca="false">INDEX('Country Tiers'!$D$2:$D$37,MATCH(C348,'Country Tiers'!$A$2:$A$37,0))</f>
        <v>2</v>
      </c>
    </row>
    <row r="349" customFormat="false" ht="15" hidden="false" customHeight="false" outlineLevel="0" collapsed="false">
      <c r="A349" s="12" t="s">
        <v>53</v>
      </c>
      <c r="B349" s="12" t="s">
        <v>56</v>
      </c>
      <c r="C349" s="12" t="s">
        <v>294</v>
      </c>
      <c r="D349" s="12" t="str">
        <f aca="false">INDEX('Country Tiers'!$C$2:$C$37,MATCH(C349,'Country Tiers'!$A$2:$A$37,0))</f>
        <v>Tier 3</v>
      </c>
      <c r="E349" s="12" t="n">
        <f aca="false">INDEX('Country Tiers'!$D$2:$D$37,MATCH(C349,'Country Tiers'!$A$2:$A$37,0))</f>
        <v>1</v>
      </c>
    </row>
    <row r="350" customFormat="false" ht="15" hidden="false" customHeight="false" outlineLevel="0" collapsed="false">
      <c r="A350" s="12" t="s">
        <v>53</v>
      </c>
      <c r="B350" s="12" t="s">
        <v>56</v>
      </c>
      <c r="C350" s="12" t="s">
        <v>295</v>
      </c>
      <c r="D350" s="12" t="str">
        <f aca="false">INDEX('Country Tiers'!$C$2:$C$37,MATCH(C350,'Country Tiers'!$A$2:$A$37,0))</f>
        <v>Tier 3</v>
      </c>
      <c r="E350" s="12" t="n">
        <f aca="false">INDEX('Country Tiers'!$D$2:$D$37,MATCH(C350,'Country Tiers'!$A$2:$A$37,0))</f>
        <v>1</v>
      </c>
    </row>
    <row r="351" customFormat="false" ht="15" hidden="false" customHeight="false" outlineLevel="0" collapsed="false">
      <c r="A351" s="12" t="s">
        <v>53</v>
      </c>
      <c r="B351" s="12" t="s">
        <v>56</v>
      </c>
      <c r="C351" s="12" t="s">
        <v>296</v>
      </c>
      <c r="D351" s="12" t="str">
        <f aca="false">INDEX('Country Tiers'!$C$2:$C$37,MATCH(C351,'Country Tiers'!$A$2:$A$37,0))</f>
        <v>Tier 3</v>
      </c>
      <c r="E351" s="12" t="n">
        <f aca="false">INDEX('Country Tiers'!$D$2:$D$37,MATCH(C351,'Country Tiers'!$A$2:$A$37,0))</f>
        <v>1</v>
      </c>
    </row>
    <row r="352" customFormat="false" ht="15" hidden="false" customHeight="false" outlineLevel="0" collapsed="false">
      <c r="A352" s="12" t="s">
        <v>53</v>
      </c>
      <c r="B352" s="12" t="s">
        <v>56</v>
      </c>
      <c r="C352" s="12" t="s">
        <v>297</v>
      </c>
      <c r="D352" s="12" t="str">
        <f aca="false">INDEX('Country Tiers'!$C$2:$C$37,MATCH(C352,'Country Tiers'!$A$2:$A$37,0))</f>
        <v>Tier 2</v>
      </c>
      <c r="E352" s="12" t="n">
        <f aca="false">INDEX('Country Tiers'!$D$2:$D$37,MATCH(C352,'Country Tiers'!$A$2:$A$37,0))</f>
        <v>2</v>
      </c>
    </row>
    <row r="353" customFormat="false" ht="15" hidden="false" customHeight="false" outlineLevel="0" collapsed="false">
      <c r="A353" s="12" t="s">
        <v>53</v>
      </c>
      <c r="B353" s="12" t="s">
        <v>56</v>
      </c>
      <c r="C353" s="12" t="s">
        <v>298</v>
      </c>
      <c r="D353" s="12" t="str">
        <f aca="false">INDEX('Country Tiers'!$C$2:$C$37,MATCH(C353,'Country Tiers'!$A$2:$A$37,0))</f>
        <v>Tier 1</v>
      </c>
      <c r="E353" s="12" t="n">
        <f aca="false">INDEX('Country Tiers'!$D$2:$D$37,MATCH(C353,'Country Tiers'!$A$2:$A$37,0))</f>
        <v>3</v>
      </c>
    </row>
    <row r="354" customFormat="false" ht="15" hidden="false" customHeight="false" outlineLevel="0" collapsed="false">
      <c r="A354" s="12" t="s">
        <v>53</v>
      </c>
      <c r="B354" s="12" t="s">
        <v>56</v>
      </c>
      <c r="C354" s="12" t="s">
        <v>299</v>
      </c>
      <c r="D354" s="12" t="str">
        <f aca="false">INDEX('Country Tiers'!$C$2:$C$37,MATCH(C354,'Country Tiers'!$A$2:$A$37,0))</f>
        <v>Tier 3</v>
      </c>
      <c r="E354" s="12" t="n">
        <f aca="false">INDEX('Country Tiers'!$D$2:$D$37,MATCH(C354,'Country Tiers'!$A$2:$A$37,0))</f>
        <v>1</v>
      </c>
    </row>
    <row r="355" customFormat="false" ht="15" hidden="false" customHeight="false" outlineLevel="0" collapsed="false">
      <c r="A355" s="12" t="s">
        <v>53</v>
      </c>
      <c r="B355" s="12" t="s">
        <v>56</v>
      </c>
      <c r="C355" s="12" t="s">
        <v>300</v>
      </c>
      <c r="D355" s="12" t="str">
        <f aca="false">INDEX('Country Tiers'!$C$2:$C$37,MATCH(C355,'Country Tiers'!$A$2:$A$37,0))</f>
        <v>Tier 3</v>
      </c>
      <c r="E355" s="12" t="n">
        <f aca="false">INDEX('Country Tiers'!$D$2:$D$37,MATCH(C355,'Country Tiers'!$A$2:$A$37,0))</f>
        <v>1</v>
      </c>
    </row>
    <row r="356" customFormat="false" ht="15" hidden="false" customHeight="false" outlineLevel="0" collapsed="false">
      <c r="A356" s="12" t="s">
        <v>53</v>
      </c>
      <c r="B356" s="12" t="s">
        <v>56</v>
      </c>
      <c r="C356" s="12" t="s">
        <v>301</v>
      </c>
      <c r="D356" s="12" t="str">
        <f aca="false">INDEX('Country Tiers'!$C$2:$C$37,MATCH(C356,'Country Tiers'!$A$2:$A$37,0))</f>
        <v>Tier 3</v>
      </c>
      <c r="E356" s="12" t="n">
        <f aca="false">INDEX('Country Tiers'!$D$2:$D$37,MATCH(C356,'Country Tiers'!$A$2:$A$37,0))</f>
        <v>1</v>
      </c>
    </row>
    <row r="357" customFormat="false" ht="15" hidden="false" customHeight="false" outlineLevel="0" collapsed="false">
      <c r="A357" s="12" t="s">
        <v>53</v>
      </c>
      <c r="B357" s="12" t="s">
        <v>56</v>
      </c>
      <c r="C357" s="12" t="s">
        <v>302</v>
      </c>
      <c r="D357" s="12" t="str">
        <f aca="false">INDEX('Country Tiers'!$C$2:$C$37,MATCH(C357,'Country Tiers'!$A$2:$A$37,0))</f>
        <v>Tier 3</v>
      </c>
      <c r="E357" s="12" t="n">
        <f aca="false">INDEX('Country Tiers'!$D$2:$D$37,MATCH(C357,'Country Tiers'!$A$2:$A$37,0))</f>
        <v>1</v>
      </c>
    </row>
    <row r="358" customFormat="false" ht="15" hidden="false" customHeight="false" outlineLevel="0" collapsed="false">
      <c r="A358" s="12" t="s">
        <v>53</v>
      </c>
      <c r="B358" s="12" t="s">
        <v>56</v>
      </c>
      <c r="C358" s="12" t="s">
        <v>305</v>
      </c>
      <c r="D358" s="12" t="str">
        <f aca="false">INDEX('Country Tiers'!$C$2:$C$37,MATCH(C358,'Country Tiers'!$A$2:$A$37,0))</f>
        <v>Tier 3</v>
      </c>
      <c r="E358" s="12" t="n">
        <f aca="false">INDEX('Country Tiers'!$D$2:$D$37,MATCH(C358,'Country Tiers'!$A$2:$A$37,0))</f>
        <v>1</v>
      </c>
    </row>
    <row r="359" customFormat="false" ht="15" hidden="false" customHeight="false" outlineLevel="0" collapsed="false">
      <c r="A359" s="12" t="s">
        <v>53</v>
      </c>
      <c r="B359" s="12" t="s">
        <v>56</v>
      </c>
      <c r="C359" s="12" t="s">
        <v>306</v>
      </c>
      <c r="D359" s="12" t="str">
        <f aca="false">INDEX('Country Tiers'!$C$2:$C$37,MATCH(C359,'Country Tiers'!$A$2:$A$37,0))</f>
        <v>Tier 3</v>
      </c>
      <c r="E359" s="12" t="n">
        <f aca="false">INDEX('Country Tiers'!$D$2:$D$37,MATCH(C359,'Country Tiers'!$A$2:$A$37,0))</f>
        <v>1</v>
      </c>
    </row>
    <row r="360" customFormat="false" ht="15" hidden="false" customHeight="false" outlineLevel="0" collapsed="false">
      <c r="A360" s="12" t="s">
        <v>53</v>
      </c>
      <c r="B360" s="12" t="s">
        <v>56</v>
      </c>
      <c r="C360" s="12" t="s">
        <v>307</v>
      </c>
      <c r="D360" s="12" t="str">
        <f aca="false">INDEX('Country Tiers'!$C$2:$C$37,MATCH(C360,'Country Tiers'!$A$2:$A$37,0))</f>
        <v>Tier 2</v>
      </c>
      <c r="E360" s="12" t="n">
        <f aca="false">INDEX('Country Tiers'!$D$2:$D$37,MATCH(C360,'Country Tiers'!$A$2:$A$37,0))</f>
        <v>2</v>
      </c>
    </row>
    <row r="361" customFormat="false" ht="15" hidden="false" customHeight="false" outlineLevel="0" collapsed="false">
      <c r="A361" s="12" t="s">
        <v>53</v>
      </c>
      <c r="B361" s="12" t="s">
        <v>56</v>
      </c>
      <c r="C361" s="12" t="s">
        <v>308</v>
      </c>
      <c r="D361" s="12" t="str">
        <f aca="false">INDEX('Country Tiers'!$C$2:$C$37,MATCH(C361,'Country Tiers'!$A$2:$A$37,0))</f>
        <v>Tier 3</v>
      </c>
      <c r="E361" s="12" t="n">
        <f aca="false">INDEX('Country Tiers'!$D$2:$D$37,MATCH(C361,'Country Tiers'!$A$2:$A$37,0))</f>
        <v>1</v>
      </c>
    </row>
    <row r="362" customFormat="false" ht="15" hidden="false" customHeight="false" outlineLevel="0" collapsed="false">
      <c r="A362" s="12" t="s">
        <v>53</v>
      </c>
      <c r="B362" s="12" t="s">
        <v>56</v>
      </c>
      <c r="C362" s="12" t="s">
        <v>313</v>
      </c>
      <c r="D362" s="12" t="str">
        <f aca="false">INDEX('Country Tiers'!$C$2:$C$37,MATCH(C362,'Country Tiers'!$A$2:$A$37,0))</f>
        <v>Tier 1</v>
      </c>
      <c r="E362" s="12" t="n">
        <f aca="false">INDEX('Country Tiers'!$D$2:$D$37,MATCH(C362,'Country Tiers'!$A$2:$A$37,0))</f>
        <v>3</v>
      </c>
    </row>
    <row r="363" customFormat="false" ht="15" hidden="false" customHeight="false" outlineLevel="0" collapsed="false">
      <c r="A363" s="12" t="s">
        <v>53</v>
      </c>
      <c r="B363" s="12" t="s">
        <v>57</v>
      </c>
      <c r="C363" s="12" t="s">
        <v>274</v>
      </c>
      <c r="D363" s="12" t="str">
        <f aca="false">INDEX('Country Tiers'!$C$2:$C$37,MATCH(C363,'Country Tiers'!$A$2:$A$37,0))</f>
        <v>Tier 3</v>
      </c>
      <c r="E363" s="12" t="n">
        <f aca="false">INDEX('Country Tiers'!$D$2:$D$37,MATCH(C363,'Country Tiers'!$A$2:$A$37,0))</f>
        <v>1</v>
      </c>
    </row>
    <row r="364" customFormat="false" ht="15" hidden="false" customHeight="false" outlineLevel="0" collapsed="false">
      <c r="A364" s="12" t="s">
        <v>53</v>
      </c>
      <c r="B364" s="12" t="s">
        <v>57</v>
      </c>
      <c r="C364" s="12" t="s">
        <v>277</v>
      </c>
      <c r="D364" s="12" t="str">
        <f aca="false">INDEX('Country Tiers'!$C$2:$C$37,MATCH(C364,'Country Tiers'!$A$2:$A$37,0))</f>
        <v>Tier 1</v>
      </c>
      <c r="E364" s="12" t="n">
        <f aca="false">INDEX('Country Tiers'!$D$2:$D$37,MATCH(C364,'Country Tiers'!$A$2:$A$37,0))</f>
        <v>3</v>
      </c>
    </row>
    <row r="365" customFormat="false" ht="15" hidden="false" customHeight="false" outlineLevel="0" collapsed="false">
      <c r="A365" s="12" t="s">
        <v>53</v>
      </c>
      <c r="B365" s="12" t="s">
        <v>57</v>
      </c>
      <c r="C365" s="12" t="s">
        <v>278</v>
      </c>
      <c r="D365" s="12" t="str">
        <f aca="false">INDEX('Country Tiers'!$C$2:$C$37,MATCH(C365,'Country Tiers'!$A$2:$A$37,0))</f>
        <v>Tier 3</v>
      </c>
      <c r="E365" s="12" t="n">
        <f aca="false">INDEX('Country Tiers'!$D$2:$D$37,MATCH(C365,'Country Tiers'!$A$2:$A$37,0))</f>
        <v>1</v>
      </c>
    </row>
    <row r="366" customFormat="false" ht="15" hidden="false" customHeight="false" outlineLevel="0" collapsed="false">
      <c r="A366" s="12" t="s">
        <v>53</v>
      </c>
      <c r="B366" s="12" t="s">
        <v>57</v>
      </c>
      <c r="C366" s="12" t="s">
        <v>280</v>
      </c>
      <c r="D366" s="12" t="str">
        <f aca="false">INDEX('Country Tiers'!$C$2:$C$37,MATCH(C366,'Country Tiers'!$A$2:$A$37,0))</f>
        <v>Tier 3</v>
      </c>
      <c r="E366" s="12" t="n">
        <f aca="false">INDEX('Country Tiers'!$D$2:$D$37,MATCH(C366,'Country Tiers'!$A$2:$A$37,0))</f>
        <v>1</v>
      </c>
    </row>
    <row r="367" customFormat="false" ht="15" hidden="false" customHeight="false" outlineLevel="0" collapsed="false">
      <c r="A367" s="12" t="s">
        <v>53</v>
      </c>
      <c r="B367" s="12" t="s">
        <v>57</v>
      </c>
      <c r="C367" s="12" t="s">
        <v>281</v>
      </c>
      <c r="D367" s="12" t="str">
        <f aca="false">INDEX('Country Tiers'!$C$2:$C$37,MATCH(C367,'Country Tiers'!$A$2:$A$37,0))</f>
        <v>Tier 3</v>
      </c>
      <c r="E367" s="12" t="n">
        <f aca="false">INDEX('Country Tiers'!$D$2:$D$37,MATCH(C367,'Country Tiers'!$A$2:$A$37,0))</f>
        <v>1</v>
      </c>
    </row>
    <row r="368" customFormat="false" ht="15" hidden="false" customHeight="false" outlineLevel="0" collapsed="false">
      <c r="A368" s="12" t="s">
        <v>53</v>
      </c>
      <c r="B368" s="12" t="s">
        <v>57</v>
      </c>
      <c r="C368" s="12" t="s">
        <v>282</v>
      </c>
      <c r="D368" s="12" t="str">
        <f aca="false">INDEX('Country Tiers'!$C$2:$C$37,MATCH(C368,'Country Tiers'!$A$2:$A$37,0))</f>
        <v>Tier 3</v>
      </c>
      <c r="E368" s="12" t="n">
        <f aca="false">INDEX('Country Tiers'!$D$2:$D$37,MATCH(C368,'Country Tiers'!$A$2:$A$37,0))</f>
        <v>1</v>
      </c>
    </row>
    <row r="369" customFormat="false" ht="15" hidden="false" customHeight="false" outlineLevel="0" collapsed="false">
      <c r="A369" s="12" t="s">
        <v>53</v>
      </c>
      <c r="B369" s="12" t="s">
        <v>57</v>
      </c>
      <c r="C369" s="12" t="s">
        <v>283</v>
      </c>
      <c r="D369" s="12" t="str">
        <f aca="false">INDEX('Country Tiers'!$C$2:$C$37,MATCH(C369,'Country Tiers'!$A$2:$A$37,0))</f>
        <v>Tier 3</v>
      </c>
      <c r="E369" s="12" t="n">
        <f aca="false">INDEX('Country Tiers'!$D$2:$D$37,MATCH(C369,'Country Tiers'!$A$2:$A$37,0))</f>
        <v>1</v>
      </c>
    </row>
    <row r="370" customFormat="false" ht="15" hidden="false" customHeight="false" outlineLevel="0" collapsed="false">
      <c r="A370" s="12" t="s">
        <v>53</v>
      </c>
      <c r="B370" s="12" t="s">
        <v>57</v>
      </c>
      <c r="C370" s="12" t="s">
        <v>284</v>
      </c>
      <c r="D370" s="12" t="str">
        <f aca="false">INDEX('Country Tiers'!$C$2:$C$37,MATCH(C370,'Country Tiers'!$A$2:$A$37,0))</f>
        <v>Tier 3</v>
      </c>
      <c r="E370" s="12" t="n">
        <f aca="false">INDEX('Country Tiers'!$D$2:$D$37,MATCH(C370,'Country Tiers'!$A$2:$A$37,0))</f>
        <v>1</v>
      </c>
    </row>
    <row r="371" customFormat="false" ht="15" hidden="false" customHeight="false" outlineLevel="0" collapsed="false">
      <c r="A371" s="12" t="s">
        <v>53</v>
      </c>
      <c r="B371" s="12" t="s">
        <v>57</v>
      </c>
      <c r="C371" s="12" t="s">
        <v>285</v>
      </c>
      <c r="D371" s="12" t="str">
        <f aca="false">INDEX('Country Tiers'!$C$2:$C$37,MATCH(C371,'Country Tiers'!$A$2:$A$37,0))</f>
        <v>Tier 3</v>
      </c>
      <c r="E371" s="12" t="n">
        <f aca="false">INDEX('Country Tiers'!$D$2:$D$37,MATCH(C371,'Country Tiers'!$A$2:$A$37,0))</f>
        <v>1</v>
      </c>
    </row>
    <row r="372" customFormat="false" ht="15" hidden="false" customHeight="false" outlineLevel="0" collapsed="false">
      <c r="A372" s="12" t="s">
        <v>53</v>
      </c>
      <c r="B372" s="12" t="s">
        <v>57</v>
      </c>
      <c r="C372" s="12" t="s">
        <v>286</v>
      </c>
      <c r="D372" s="12" t="str">
        <f aca="false">INDEX('Country Tiers'!$C$2:$C$37,MATCH(C372,'Country Tiers'!$A$2:$A$37,0))</f>
        <v>Tier 1</v>
      </c>
      <c r="E372" s="12" t="n">
        <f aca="false">INDEX('Country Tiers'!$D$2:$D$37,MATCH(C372,'Country Tiers'!$A$2:$A$37,0))</f>
        <v>3</v>
      </c>
    </row>
    <row r="373" customFormat="false" ht="15" hidden="false" customHeight="false" outlineLevel="0" collapsed="false">
      <c r="A373" s="12" t="s">
        <v>53</v>
      </c>
      <c r="B373" s="12" t="s">
        <v>57</v>
      </c>
      <c r="C373" s="12" t="s">
        <v>287</v>
      </c>
      <c r="D373" s="12" t="str">
        <f aca="false">INDEX('Country Tiers'!$C$2:$C$37,MATCH(C373,'Country Tiers'!$A$2:$A$37,0))</f>
        <v>Tier 1</v>
      </c>
      <c r="E373" s="12" t="n">
        <f aca="false">INDEX('Country Tiers'!$D$2:$D$37,MATCH(C373,'Country Tiers'!$A$2:$A$37,0))</f>
        <v>3</v>
      </c>
    </row>
    <row r="374" customFormat="false" ht="15" hidden="false" customHeight="false" outlineLevel="0" collapsed="false">
      <c r="A374" s="12" t="s">
        <v>53</v>
      </c>
      <c r="B374" s="12" t="s">
        <v>57</v>
      </c>
      <c r="C374" s="12" t="s">
        <v>288</v>
      </c>
      <c r="D374" s="12" t="str">
        <f aca="false">INDEX('Country Tiers'!$C$2:$C$37,MATCH(C374,'Country Tiers'!$A$2:$A$37,0))</f>
        <v>Tier 3</v>
      </c>
      <c r="E374" s="12" t="n">
        <f aca="false">INDEX('Country Tiers'!$D$2:$D$37,MATCH(C374,'Country Tiers'!$A$2:$A$37,0))</f>
        <v>1</v>
      </c>
    </row>
    <row r="375" customFormat="false" ht="15" hidden="false" customHeight="false" outlineLevel="0" collapsed="false">
      <c r="A375" s="12" t="s">
        <v>53</v>
      </c>
      <c r="B375" s="12" t="s">
        <v>57</v>
      </c>
      <c r="C375" s="12" t="s">
        <v>289</v>
      </c>
      <c r="D375" s="12" t="str">
        <f aca="false">INDEX('Country Tiers'!$C$2:$C$37,MATCH(C375,'Country Tiers'!$A$2:$A$37,0))</f>
        <v>Tier 3</v>
      </c>
      <c r="E375" s="12" t="n">
        <f aca="false">INDEX('Country Tiers'!$D$2:$D$37,MATCH(C375,'Country Tiers'!$A$2:$A$37,0))</f>
        <v>1</v>
      </c>
    </row>
    <row r="376" customFormat="false" ht="15" hidden="false" customHeight="false" outlineLevel="0" collapsed="false">
      <c r="A376" s="12" t="s">
        <v>53</v>
      </c>
      <c r="B376" s="12" t="s">
        <v>57</v>
      </c>
      <c r="C376" s="12" t="s">
        <v>290</v>
      </c>
      <c r="D376" s="12" t="str">
        <f aca="false">INDEX('Country Tiers'!$C$2:$C$37,MATCH(C376,'Country Tiers'!$A$2:$A$37,0))</f>
        <v>Tier 3</v>
      </c>
      <c r="E376" s="12" t="n">
        <f aca="false">INDEX('Country Tiers'!$D$2:$D$37,MATCH(C376,'Country Tiers'!$A$2:$A$37,0))</f>
        <v>1</v>
      </c>
    </row>
    <row r="377" customFormat="false" ht="15" hidden="false" customHeight="false" outlineLevel="0" collapsed="false">
      <c r="A377" s="12" t="s">
        <v>53</v>
      </c>
      <c r="B377" s="12" t="s">
        <v>57</v>
      </c>
      <c r="C377" s="12" t="s">
        <v>291</v>
      </c>
      <c r="D377" s="12" t="str">
        <f aca="false">INDEX('Country Tiers'!$C$2:$C$37,MATCH(C377,'Country Tiers'!$A$2:$A$37,0))</f>
        <v>Tier 3</v>
      </c>
      <c r="E377" s="12" t="n">
        <f aca="false">INDEX('Country Tiers'!$D$2:$D$37,MATCH(C377,'Country Tiers'!$A$2:$A$37,0))</f>
        <v>1</v>
      </c>
    </row>
    <row r="378" customFormat="false" ht="15" hidden="false" customHeight="false" outlineLevel="0" collapsed="false">
      <c r="A378" s="12" t="s">
        <v>53</v>
      </c>
      <c r="B378" s="12" t="s">
        <v>57</v>
      </c>
      <c r="C378" s="12" t="s">
        <v>292</v>
      </c>
      <c r="D378" s="12" t="str">
        <f aca="false">INDEX('Country Tiers'!$C$2:$C$37,MATCH(C378,'Country Tiers'!$A$2:$A$37,0))</f>
        <v>Tier 2</v>
      </c>
      <c r="E378" s="12" t="n">
        <f aca="false">INDEX('Country Tiers'!$D$2:$D$37,MATCH(C378,'Country Tiers'!$A$2:$A$37,0))</f>
        <v>2</v>
      </c>
    </row>
    <row r="379" customFormat="false" ht="15" hidden="false" customHeight="false" outlineLevel="0" collapsed="false">
      <c r="A379" s="12" t="s">
        <v>53</v>
      </c>
      <c r="B379" s="12" t="s">
        <v>57</v>
      </c>
      <c r="C379" s="12" t="s">
        <v>294</v>
      </c>
      <c r="D379" s="12" t="str">
        <f aca="false">INDEX('Country Tiers'!$C$2:$C$37,MATCH(C379,'Country Tiers'!$A$2:$A$37,0))</f>
        <v>Tier 3</v>
      </c>
      <c r="E379" s="12" t="n">
        <f aca="false">INDEX('Country Tiers'!$D$2:$D$37,MATCH(C379,'Country Tiers'!$A$2:$A$37,0))</f>
        <v>1</v>
      </c>
    </row>
    <row r="380" customFormat="false" ht="15" hidden="false" customHeight="false" outlineLevel="0" collapsed="false">
      <c r="A380" s="12" t="s">
        <v>53</v>
      </c>
      <c r="B380" s="12" t="s">
        <v>57</v>
      </c>
      <c r="C380" s="12" t="s">
        <v>295</v>
      </c>
      <c r="D380" s="12" t="str">
        <f aca="false">INDEX('Country Tiers'!$C$2:$C$37,MATCH(C380,'Country Tiers'!$A$2:$A$37,0))</f>
        <v>Tier 3</v>
      </c>
      <c r="E380" s="12" t="n">
        <f aca="false">INDEX('Country Tiers'!$D$2:$D$37,MATCH(C380,'Country Tiers'!$A$2:$A$37,0))</f>
        <v>1</v>
      </c>
    </row>
    <row r="381" customFormat="false" ht="15" hidden="false" customHeight="false" outlineLevel="0" collapsed="false">
      <c r="A381" s="12" t="s">
        <v>53</v>
      </c>
      <c r="B381" s="12" t="s">
        <v>57</v>
      </c>
      <c r="C381" s="12" t="s">
        <v>296</v>
      </c>
      <c r="D381" s="12" t="str">
        <f aca="false">INDEX('Country Tiers'!$C$2:$C$37,MATCH(C381,'Country Tiers'!$A$2:$A$37,0))</f>
        <v>Tier 3</v>
      </c>
      <c r="E381" s="12" t="n">
        <f aca="false">INDEX('Country Tiers'!$D$2:$D$37,MATCH(C381,'Country Tiers'!$A$2:$A$37,0))</f>
        <v>1</v>
      </c>
    </row>
    <row r="382" customFormat="false" ht="15" hidden="false" customHeight="false" outlineLevel="0" collapsed="false">
      <c r="A382" s="12" t="s">
        <v>53</v>
      </c>
      <c r="B382" s="12" t="s">
        <v>57</v>
      </c>
      <c r="C382" s="12" t="s">
        <v>297</v>
      </c>
      <c r="D382" s="12" t="str">
        <f aca="false">INDEX('Country Tiers'!$C$2:$C$37,MATCH(C382,'Country Tiers'!$A$2:$A$37,0))</f>
        <v>Tier 2</v>
      </c>
      <c r="E382" s="12" t="n">
        <f aca="false">INDEX('Country Tiers'!$D$2:$D$37,MATCH(C382,'Country Tiers'!$A$2:$A$37,0))</f>
        <v>2</v>
      </c>
    </row>
    <row r="383" customFormat="false" ht="15" hidden="false" customHeight="false" outlineLevel="0" collapsed="false">
      <c r="A383" s="12" t="s">
        <v>53</v>
      </c>
      <c r="B383" s="12" t="s">
        <v>57</v>
      </c>
      <c r="C383" s="12" t="s">
        <v>298</v>
      </c>
      <c r="D383" s="12" t="str">
        <f aca="false">INDEX('Country Tiers'!$C$2:$C$37,MATCH(C383,'Country Tiers'!$A$2:$A$37,0))</f>
        <v>Tier 1</v>
      </c>
      <c r="E383" s="12" t="n">
        <f aca="false">INDEX('Country Tiers'!$D$2:$D$37,MATCH(C383,'Country Tiers'!$A$2:$A$37,0))</f>
        <v>3</v>
      </c>
    </row>
    <row r="384" customFormat="false" ht="15" hidden="false" customHeight="false" outlineLevel="0" collapsed="false">
      <c r="A384" s="12" t="s">
        <v>53</v>
      </c>
      <c r="B384" s="12" t="s">
        <v>57</v>
      </c>
      <c r="C384" s="12" t="s">
        <v>299</v>
      </c>
      <c r="D384" s="12" t="str">
        <f aca="false">INDEX('Country Tiers'!$C$2:$C$37,MATCH(C384,'Country Tiers'!$A$2:$A$37,0))</f>
        <v>Tier 3</v>
      </c>
      <c r="E384" s="12" t="n">
        <f aca="false">INDEX('Country Tiers'!$D$2:$D$37,MATCH(C384,'Country Tiers'!$A$2:$A$37,0))</f>
        <v>1</v>
      </c>
    </row>
    <row r="385" customFormat="false" ht="15" hidden="false" customHeight="false" outlineLevel="0" collapsed="false">
      <c r="A385" s="12" t="s">
        <v>53</v>
      </c>
      <c r="B385" s="12" t="s">
        <v>57</v>
      </c>
      <c r="C385" s="12" t="s">
        <v>300</v>
      </c>
      <c r="D385" s="12" t="str">
        <f aca="false">INDEX('Country Tiers'!$C$2:$C$37,MATCH(C385,'Country Tiers'!$A$2:$A$37,0))</f>
        <v>Tier 3</v>
      </c>
      <c r="E385" s="12" t="n">
        <f aca="false">INDEX('Country Tiers'!$D$2:$D$37,MATCH(C385,'Country Tiers'!$A$2:$A$37,0))</f>
        <v>1</v>
      </c>
    </row>
    <row r="386" customFormat="false" ht="15" hidden="false" customHeight="false" outlineLevel="0" collapsed="false">
      <c r="A386" s="12" t="s">
        <v>53</v>
      </c>
      <c r="B386" s="12" t="s">
        <v>57</v>
      </c>
      <c r="C386" s="12" t="s">
        <v>301</v>
      </c>
      <c r="D386" s="12" t="str">
        <f aca="false">INDEX('Country Tiers'!$C$2:$C$37,MATCH(C386,'Country Tiers'!$A$2:$A$37,0))</f>
        <v>Tier 3</v>
      </c>
      <c r="E386" s="12" t="n">
        <f aca="false">INDEX('Country Tiers'!$D$2:$D$37,MATCH(C386,'Country Tiers'!$A$2:$A$37,0))</f>
        <v>1</v>
      </c>
    </row>
    <row r="387" customFormat="false" ht="15" hidden="false" customHeight="false" outlineLevel="0" collapsed="false">
      <c r="A387" s="12" t="s">
        <v>53</v>
      </c>
      <c r="B387" s="12" t="s">
        <v>57</v>
      </c>
      <c r="C387" s="12" t="s">
        <v>302</v>
      </c>
      <c r="D387" s="12" t="str">
        <f aca="false">INDEX('Country Tiers'!$C$2:$C$37,MATCH(C387,'Country Tiers'!$A$2:$A$37,0))</f>
        <v>Tier 3</v>
      </c>
      <c r="E387" s="12" t="n">
        <f aca="false">INDEX('Country Tiers'!$D$2:$D$37,MATCH(C387,'Country Tiers'!$A$2:$A$37,0))</f>
        <v>1</v>
      </c>
    </row>
    <row r="388" customFormat="false" ht="15" hidden="false" customHeight="false" outlineLevel="0" collapsed="false">
      <c r="A388" s="12" t="s">
        <v>53</v>
      </c>
      <c r="B388" s="12" t="s">
        <v>57</v>
      </c>
      <c r="C388" s="12" t="s">
        <v>305</v>
      </c>
      <c r="D388" s="12" t="str">
        <f aca="false">INDEX('Country Tiers'!$C$2:$C$37,MATCH(C388,'Country Tiers'!$A$2:$A$37,0))</f>
        <v>Tier 3</v>
      </c>
      <c r="E388" s="12" t="n">
        <f aca="false">INDEX('Country Tiers'!$D$2:$D$37,MATCH(C388,'Country Tiers'!$A$2:$A$37,0))</f>
        <v>1</v>
      </c>
    </row>
    <row r="389" customFormat="false" ht="15" hidden="false" customHeight="false" outlineLevel="0" collapsed="false">
      <c r="A389" s="12" t="s">
        <v>53</v>
      </c>
      <c r="B389" s="12" t="s">
        <v>57</v>
      </c>
      <c r="C389" s="12" t="s">
        <v>306</v>
      </c>
      <c r="D389" s="12" t="str">
        <f aca="false">INDEX('Country Tiers'!$C$2:$C$37,MATCH(C389,'Country Tiers'!$A$2:$A$37,0))</f>
        <v>Tier 3</v>
      </c>
      <c r="E389" s="12" t="n">
        <f aca="false">INDEX('Country Tiers'!$D$2:$D$37,MATCH(C389,'Country Tiers'!$A$2:$A$37,0))</f>
        <v>1</v>
      </c>
    </row>
    <row r="390" customFormat="false" ht="15" hidden="false" customHeight="false" outlineLevel="0" collapsed="false">
      <c r="A390" s="12" t="s">
        <v>53</v>
      </c>
      <c r="B390" s="12" t="s">
        <v>57</v>
      </c>
      <c r="C390" s="12" t="s">
        <v>307</v>
      </c>
      <c r="D390" s="12" t="str">
        <f aca="false">INDEX('Country Tiers'!$C$2:$C$37,MATCH(C390,'Country Tiers'!$A$2:$A$37,0))</f>
        <v>Tier 2</v>
      </c>
      <c r="E390" s="12" t="n">
        <f aca="false">INDEX('Country Tiers'!$D$2:$D$37,MATCH(C390,'Country Tiers'!$A$2:$A$37,0))</f>
        <v>2</v>
      </c>
    </row>
    <row r="391" customFormat="false" ht="15" hidden="false" customHeight="false" outlineLevel="0" collapsed="false">
      <c r="A391" s="12" t="s">
        <v>53</v>
      </c>
      <c r="B391" s="12" t="s">
        <v>57</v>
      </c>
      <c r="C391" s="12" t="s">
        <v>308</v>
      </c>
      <c r="D391" s="12" t="str">
        <f aca="false">INDEX('Country Tiers'!$C$2:$C$37,MATCH(C391,'Country Tiers'!$A$2:$A$37,0))</f>
        <v>Tier 3</v>
      </c>
      <c r="E391" s="12" t="n">
        <f aca="false">INDEX('Country Tiers'!$D$2:$D$37,MATCH(C391,'Country Tiers'!$A$2:$A$37,0))</f>
        <v>1</v>
      </c>
    </row>
    <row r="392" customFormat="false" ht="15" hidden="false" customHeight="false" outlineLevel="0" collapsed="false">
      <c r="A392" s="12" t="s">
        <v>53</v>
      </c>
      <c r="B392" s="12" t="s">
        <v>57</v>
      </c>
      <c r="C392" s="12" t="s">
        <v>309</v>
      </c>
      <c r="D392" s="12" t="str">
        <f aca="false">INDEX('Country Tiers'!$C$2:$C$37,MATCH(C392,'Country Tiers'!$A$2:$A$37,0))</f>
        <v>Tier 1</v>
      </c>
      <c r="E392" s="12" t="n">
        <f aca="false">INDEX('Country Tiers'!$D$2:$D$37,MATCH(C392,'Country Tiers'!$A$2:$A$37,0))</f>
        <v>3</v>
      </c>
    </row>
    <row r="393" customFormat="false" ht="15" hidden="false" customHeight="false" outlineLevel="0" collapsed="false">
      <c r="A393" s="12" t="s">
        <v>53</v>
      </c>
      <c r="B393" s="12" t="s">
        <v>57</v>
      </c>
      <c r="C393" s="12" t="s">
        <v>313</v>
      </c>
      <c r="D393" s="12" t="str">
        <f aca="false">INDEX('Country Tiers'!$C$2:$C$37,MATCH(C393,'Country Tiers'!$A$2:$A$37,0))</f>
        <v>Tier 1</v>
      </c>
      <c r="E393" s="12" t="n">
        <f aca="false">INDEX('Country Tiers'!$D$2:$D$37,MATCH(C393,'Country Tiers'!$A$2:$A$37,0))</f>
        <v>3</v>
      </c>
    </row>
    <row r="394" customFormat="false" ht="15" hidden="false" customHeight="false" outlineLevel="0" collapsed="false">
      <c r="A394" s="12" t="s">
        <v>53</v>
      </c>
      <c r="B394" s="12" t="s">
        <v>44</v>
      </c>
      <c r="C394" s="12" t="s">
        <v>272</v>
      </c>
      <c r="D394" s="12" t="str">
        <f aca="false">INDEX('Country Tiers'!$C$2:$C$37,MATCH(C394,'Country Tiers'!$A$2:$A$37,0))</f>
        <v>Tier 2</v>
      </c>
      <c r="E394" s="12" t="n">
        <f aca="false">INDEX('Country Tiers'!$D$2:$D$37,MATCH(C394,'Country Tiers'!$A$2:$A$37,0))</f>
        <v>2</v>
      </c>
    </row>
    <row r="395" customFormat="false" ht="15" hidden="false" customHeight="false" outlineLevel="0" collapsed="false">
      <c r="A395" s="12" t="s">
        <v>53</v>
      </c>
      <c r="B395" s="12" t="s">
        <v>44</v>
      </c>
      <c r="C395" s="12" t="s">
        <v>274</v>
      </c>
      <c r="D395" s="12" t="str">
        <f aca="false">INDEX('Country Tiers'!$C$2:$C$37,MATCH(C395,'Country Tiers'!$A$2:$A$37,0))</f>
        <v>Tier 3</v>
      </c>
      <c r="E395" s="12" t="n">
        <f aca="false">INDEX('Country Tiers'!$D$2:$D$37,MATCH(C395,'Country Tiers'!$A$2:$A$37,0))</f>
        <v>1</v>
      </c>
    </row>
    <row r="396" customFormat="false" ht="15" hidden="false" customHeight="false" outlineLevel="0" collapsed="false">
      <c r="A396" s="12" t="s">
        <v>53</v>
      </c>
      <c r="B396" s="12" t="s">
        <v>44</v>
      </c>
      <c r="C396" s="12" t="s">
        <v>277</v>
      </c>
      <c r="D396" s="12" t="str">
        <f aca="false">INDEX('Country Tiers'!$C$2:$C$37,MATCH(C396,'Country Tiers'!$A$2:$A$37,0))</f>
        <v>Tier 1</v>
      </c>
      <c r="E396" s="12" t="n">
        <f aca="false">INDEX('Country Tiers'!$D$2:$D$37,MATCH(C396,'Country Tiers'!$A$2:$A$37,0))</f>
        <v>3</v>
      </c>
    </row>
    <row r="397" customFormat="false" ht="15" hidden="false" customHeight="false" outlineLevel="0" collapsed="false">
      <c r="A397" s="12" t="s">
        <v>53</v>
      </c>
      <c r="B397" s="12" t="s">
        <v>44</v>
      </c>
      <c r="C397" s="12" t="s">
        <v>278</v>
      </c>
      <c r="D397" s="12" t="str">
        <f aca="false">INDEX('Country Tiers'!$C$2:$C$37,MATCH(C397,'Country Tiers'!$A$2:$A$37,0))</f>
        <v>Tier 3</v>
      </c>
      <c r="E397" s="12" t="n">
        <f aca="false">INDEX('Country Tiers'!$D$2:$D$37,MATCH(C397,'Country Tiers'!$A$2:$A$37,0))</f>
        <v>1</v>
      </c>
    </row>
    <row r="398" customFormat="false" ht="15" hidden="false" customHeight="false" outlineLevel="0" collapsed="false">
      <c r="A398" s="12" t="s">
        <v>53</v>
      </c>
      <c r="B398" s="12" t="s">
        <v>44</v>
      </c>
      <c r="C398" s="12" t="s">
        <v>280</v>
      </c>
      <c r="D398" s="12" t="str">
        <f aca="false">INDEX('Country Tiers'!$C$2:$C$37,MATCH(C398,'Country Tiers'!$A$2:$A$37,0))</f>
        <v>Tier 3</v>
      </c>
      <c r="E398" s="12" t="n">
        <f aca="false">INDEX('Country Tiers'!$D$2:$D$37,MATCH(C398,'Country Tiers'!$A$2:$A$37,0))</f>
        <v>1</v>
      </c>
    </row>
    <row r="399" customFormat="false" ht="15" hidden="false" customHeight="false" outlineLevel="0" collapsed="false">
      <c r="A399" s="12" t="s">
        <v>53</v>
      </c>
      <c r="B399" s="12" t="s">
        <v>44</v>
      </c>
      <c r="C399" s="12" t="s">
        <v>281</v>
      </c>
      <c r="D399" s="12" t="str">
        <f aca="false">INDEX('Country Tiers'!$C$2:$C$37,MATCH(C399,'Country Tiers'!$A$2:$A$37,0))</f>
        <v>Tier 3</v>
      </c>
      <c r="E399" s="12" t="n">
        <f aca="false">INDEX('Country Tiers'!$D$2:$D$37,MATCH(C399,'Country Tiers'!$A$2:$A$37,0))</f>
        <v>1</v>
      </c>
    </row>
    <row r="400" customFormat="false" ht="15" hidden="false" customHeight="false" outlineLevel="0" collapsed="false">
      <c r="A400" s="12" t="s">
        <v>53</v>
      </c>
      <c r="B400" s="12" t="s">
        <v>44</v>
      </c>
      <c r="C400" s="12" t="s">
        <v>282</v>
      </c>
      <c r="D400" s="12" t="str">
        <f aca="false">INDEX('Country Tiers'!$C$2:$C$37,MATCH(C400,'Country Tiers'!$A$2:$A$37,0))</f>
        <v>Tier 3</v>
      </c>
      <c r="E400" s="12" t="n">
        <f aca="false">INDEX('Country Tiers'!$D$2:$D$37,MATCH(C400,'Country Tiers'!$A$2:$A$37,0))</f>
        <v>1</v>
      </c>
    </row>
    <row r="401" customFormat="false" ht="15" hidden="false" customHeight="false" outlineLevel="0" collapsed="false">
      <c r="A401" s="12" t="s">
        <v>53</v>
      </c>
      <c r="B401" s="12" t="s">
        <v>44</v>
      </c>
      <c r="C401" s="12" t="s">
        <v>283</v>
      </c>
      <c r="D401" s="12" t="str">
        <f aca="false">INDEX('Country Tiers'!$C$2:$C$37,MATCH(C401,'Country Tiers'!$A$2:$A$37,0))</f>
        <v>Tier 3</v>
      </c>
      <c r="E401" s="12" t="n">
        <f aca="false">INDEX('Country Tiers'!$D$2:$D$37,MATCH(C401,'Country Tiers'!$A$2:$A$37,0))</f>
        <v>1</v>
      </c>
    </row>
    <row r="402" customFormat="false" ht="15" hidden="false" customHeight="false" outlineLevel="0" collapsed="false">
      <c r="A402" s="12" t="s">
        <v>53</v>
      </c>
      <c r="B402" s="12" t="s">
        <v>44</v>
      </c>
      <c r="C402" s="12" t="s">
        <v>284</v>
      </c>
      <c r="D402" s="12" t="str">
        <f aca="false">INDEX('Country Tiers'!$C$2:$C$37,MATCH(C402,'Country Tiers'!$A$2:$A$37,0))</f>
        <v>Tier 3</v>
      </c>
      <c r="E402" s="12" t="n">
        <f aca="false">INDEX('Country Tiers'!$D$2:$D$37,MATCH(C402,'Country Tiers'!$A$2:$A$37,0))</f>
        <v>1</v>
      </c>
    </row>
    <row r="403" customFormat="false" ht="15" hidden="false" customHeight="false" outlineLevel="0" collapsed="false">
      <c r="A403" s="12" t="s">
        <v>53</v>
      </c>
      <c r="B403" s="12" t="s">
        <v>44</v>
      </c>
      <c r="C403" s="12" t="s">
        <v>285</v>
      </c>
      <c r="D403" s="12" t="str">
        <f aca="false">INDEX('Country Tiers'!$C$2:$C$37,MATCH(C403,'Country Tiers'!$A$2:$A$37,0))</f>
        <v>Tier 3</v>
      </c>
      <c r="E403" s="12" t="n">
        <f aca="false">INDEX('Country Tiers'!$D$2:$D$37,MATCH(C403,'Country Tiers'!$A$2:$A$37,0))</f>
        <v>1</v>
      </c>
    </row>
    <row r="404" customFormat="false" ht="15" hidden="false" customHeight="false" outlineLevel="0" collapsed="false">
      <c r="A404" s="12" t="s">
        <v>53</v>
      </c>
      <c r="B404" s="12" t="s">
        <v>44</v>
      </c>
      <c r="C404" s="12" t="s">
        <v>286</v>
      </c>
      <c r="D404" s="12" t="str">
        <f aca="false">INDEX('Country Tiers'!$C$2:$C$37,MATCH(C404,'Country Tiers'!$A$2:$A$37,0))</f>
        <v>Tier 1</v>
      </c>
      <c r="E404" s="12" t="n">
        <f aca="false">INDEX('Country Tiers'!$D$2:$D$37,MATCH(C404,'Country Tiers'!$A$2:$A$37,0))</f>
        <v>3</v>
      </c>
    </row>
    <row r="405" customFormat="false" ht="15" hidden="false" customHeight="false" outlineLevel="0" collapsed="false">
      <c r="A405" s="12" t="s">
        <v>53</v>
      </c>
      <c r="B405" s="12" t="s">
        <v>44</v>
      </c>
      <c r="C405" s="12" t="s">
        <v>287</v>
      </c>
      <c r="D405" s="12" t="str">
        <f aca="false">INDEX('Country Tiers'!$C$2:$C$37,MATCH(C405,'Country Tiers'!$A$2:$A$37,0))</f>
        <v>Tier 1</v>
      </c>
      <c r="E405" s="12" t="n">
        <f aca="false">INDEX('Country Tiers'!$D$2:$D$37,MATCH(C405,'Country Tiers'!$A$2:$A$37,0))</f>
        <v>3</v>
      </c>
    </row>
    <row r="406" customFormat="false" ht="15" hidden="false" customHeight="false" outlineLevel="0" collapsed="false">
      <c r="A406" s="12" t="s">
        <v>53</v>
      </c>
      <c r="B406" s="12" t="s">
        <v>44</v>
      </c>
      <c r="C406" s="12" t="s">
        <v>288</v>
      </c>
      <c r="D406" s="12" t="str">
        <f aca="false">INDEX('Country Tiers'!$C$2:$C$37,MATCH(C406,'Country Tiers'!$A$2:$A$37,0))</f>
        <v>Tier 3</v>
      </c>
      <c r="E406" s="12" t="n">
        <f aca="false">INDEX('Country Tiers'!$D$2:$D$37,MATCH(C406,'Country Tiers'!$A$2:$A$37,0))</f>
        <v>1</v>
      </c>
    </row>
    <row r="407" customFormat="false" ht="15" hidden="false" customHeight="false" outlineLevel="0" collapsed="false">
      <c r="A407" s="12" t="s">
        <v>53</v>
      </c>
      <c r="B407" s="12" t="s">
        <v>44</v>
      </c>
      <c r="C407" s="12" t="s">
        <v>289</v>
      </c>
      <c r="D407" s="12" t="str">
        <f aca="false">INDEX('Country Tiers'!$C$2:$C$37,MATCH(C407,'Country Tiers'!$A$2:$A$37,0))</f>
        <v>Tier 3</v>
      </c>
      <c r="E407" s="12" t="n">
        <f aca="false">INDEX('Country Tiers'!$D$2:$D$37,MATCH(C407,'Country Tiers'!$A$2:$A$37,0))</f>
        <v>1</v>
      </c>
    </row>
    <row r="408" customFormat="false" ht="15" hidden="false" customHeight="false" outlineLevel="0" collapsed="false">
      <c r="A408" s="12" t="s">
        <v>53</v>
      </c>
      <c r="B408" s="12" t="s">
        <v>44</v>
      </c>
      <c r="C408" s="12" t="s">
        <v>290</v>
      </c>
      <c r="D408" s="12" t="str">
        <f aca="false">INDEX('Country Tiers'!$C$2:$C$37,MATCH(C408,'Country Tiers'!$A$2:$A$37,0))</f>
        <v>Tier 3</v>
      </c>
      <c r="E408" s="12" t="n">
        <f aca="false">INDEX('Country Tiers'!$D$2:$D$37,MATCH(C408,'Country Tiers'!$A$2:$A$37,0))</f>
        <v>1</v>
      </c>
    </row>
    <row r="409" customFormat="false" ht="15" hidden="false" customHeight="false" outlineLevel="0" collapsed="false">
      <c r="A409" s="12" t="s">
        <v>53</v>
      </c>
      <c r="B409" s="12" t="s">
        <v>44</v>
      </c>
      <c r="C409" s="12" t="s">
        <v>291</v>
      </c>
      <c r="D409" s="12" t="str">
        <f aca="false">INDEX('Country Tiers'!$C$2:$C$37,MATCH(C409,'Country Tiers'!$A$2:$A$37,0))</f>
        <v>Tier 3</v>
      </c>
      <c r="E409" s="12" t="n">
        <f aca="false">INDEX('Country Tiers'!$D$2:$D$37,MATCH(C409,'Country Tiers'!$A$2:$A$37,0))</f>
        <v>1</v>
      </c>
    </row>
    <row r="410" customFormat="false" ht="15" hidden="false" customHeight="false" outlineLevel="0" collapsed="false">
      <c r="A410" s="12" t="s">
        <v>53</v>
      </c>
      <c r="B410" s="12" t="s">
        <v>44</v>
      </c>
      <c r="C410" s="12" t="s">
        <v>292</v>
      </c>
      <c r="D410" s="12" t="str">
        <f aca="false">INDEX('Country Tiers'!$C$2:$C$37,MATCH(C410,'Country Tiers'!$A$2:$A$37,0))</f>
        <v>Tier 2</v>
      </c>
      <c r="E410" s="12" t="n">
        <f aca="false">INDEX('Country Tiers'!$D$2:$D$37,MATCH(C410,'Country Tiers'!$A$2:$A$37,0))</f>
        <v>2</v>
      </c>
    </row>
    <row r="411" customFormat="false" ht="15" hidden="false" customHeight="false" outlineLevel="0" collapsed="false">
      <c r="A411" s="12" t="s">
        <v>53</v>
      </c>
      <c r="B411" s="12" t="s">
        <v>44</v>
      </c>
      <c r="C411" s="12" t="s">
        <v>294</v>
      </c>
      <c r="D411" s="12" t="str">
        <f aca="false">INDEX('Country Tiers'!$C$2:$C$37,MATCH(C411,'Country Tiers'!$A$2:$A$37,0))</f>
        <v>Tier 3</v>
      </c>
      <c r="E411" s="12" t="n">
        <f aca="false">INDEX('Country Tiers'!$D$2:$D$37,MATCH(C411,'Country Tiers'!$A$2:$A$37,0))</f>
        <v>1</v>
      </c>
    </row>
    <row r="412" customFormat="false" ht="15" hidden="false" customHeight="false" outlineLevel="0" collapsed="false">
      <c r="A412" s="12" t="s">
        <v>53</v>
      </c>
      <c r="B412" s="12" t="s">
        <v>44</v>
      </c>
      <c r="C412" s="12" t="s">
        <v>295</v>
      </c>
      <c r="D412" s="12" t="str">
        <f aca="false">INDEX('Country Tiers'!$C$2:$C$37,MATCH(C412,'Country Tiers'!$A$2:$A$37,0))</f>
        <v>Tier 3</v>
      </c>
      <c r="E412" s="12" t="n">
        <f aca="false">INDEX('Country Tiers'!$D$2:$D$37,MATCH(C412,'Country Tiers'!$A$2:$A$37,0))</f>
        <v>1</v>
      </c>
    </row>
    <row r="413" customFormat="false" ht="15" hidden="false" customHeight="false" outlineLevel="0" collapsed="false">
      <c r="A413" s="12" t="s">
        <v>53</v>
      </c>
      <c r="B413" s="12" t="s">
        <v>44</v>
      </c>
      <c r="C413" s="12" t="s">
        <v>296</v>
      </c>
      <c r="D413" s="12" t="str">
        <f aca="false">INDEX('Country Tiers'!$C$2:$C$37,MATCH(C413,'Country Tiers'!$A$2:$A$37,0))</f>
        <v>Tier 3</v>
      </c>
      <c r="E413" s="12" t="n">
        <f aca="false">INDEX('Country Tiers'!$D$2:$D$37,MATCH(C413,'Country Tiers'!$A$2:$A$37,0))</f>
        <v>1</v>
      </c>
    </row>
    <row r="414" customFormat="false" ht="15" hidden="false" customHeight="false" outlineLevel="0" collapsed="false">
      <c r="A414" s="12" t="s">
        <v>53</v>
      </c>
      <c r="B414" s="12" t="s">
        <v>44</v>
      </c>
      <c r="C414" s="12" t="s">
        <v>297</v>
      </c>
      <c r="D414" s="12" t="str">
        <f aca="false">INDEX('Country Tiers'!$C$2:$C$37,MATCH(C414,'Country Tiers'!$A$2:$A$37,0))</f>
        <v>Tier 2</v>
      </c>
      <c r="E414" s="12" t="n">
        <f aca="false">INDEX('Country Tiers'!$D$2:$D$37,MATCH(C414,'Country Tiers'!$A$2:$A$37,0))</f>
        <v>2</v>
      </c>
    </row>
    <row r="415" customFormat="false" ht="15" hidden="false" customHeight="false" outlineLevel="0" collapsed="false">
      <c r="A415" s="12" t="s">
        <v>53</v>
      </c>
      <c r="B415" s="12" t="s">
        <v>44</v>
      </c>
      <c r="C415" s="12" t="s">
        <v>298</v>
      </c>
      <c r="D415" s="12" t="str">
        <f aca="false">INDEX('Country Tiers'!$C$2:$C$37,MATCH(C415,'Country Tiers'!$A$2:$A$37,0))</f>
        <v>Tier 1</v>
      </c>
      <c r="E415" s="12" t="n">
        <f aca="false">INDEX('Country Tiers'!$D$2:$D$37,MATCH(C415,'Country Tiers'!$A$2:$A$37,0))</f>
        <v>3</v>
      </c>
    </row>
    <row r="416" customFormat="false" ht="15" hidden="false" customHeight="false" outlineLevel="0" collapsed="false">
      <c r="A416" s="12" t="s">
        <v>53</v>
      </c>
      <c r="B416" s="12" t="s">
        <v>44</v>
      </c>
      <c r="C416" s="12" t="s">
        <v>299</v>
      </c>
      <c r="D416" s="12" t="str">
        <f aca="false">INDEX('Country Tiers'!$C$2:$C$37,MATCH(C416,'Country Tiers'!$A$2:$A$37,0))</f>
        <v>Tier 3</v>
      </c>
      <c r="E416" s="12" t="n">
        <f aca="false">INDEX('Country Tiers'!$D$2:$D$37,MATCH(C416,'Country Tiers'!$A$2:$A$37,0))</f>
        <v>1</v>
      </c>
    </row>
    <row r="417" customFormat="false" ht="15" hidden="false" customHeight="false" outlineLevel="0" collapsed="false">
      <c r="A417" s="12" t="s">
        <v>53</v>
      </c>
      <c r="B417" s="12" t="s">
        <v>44</v>
      </c>
      <c r="C417" s="12" t="s">
        <v>300</v>
      </c>
      <c r="D417" s="12" t="str">
        <f aca="false">INDEX('Country Tiers'!$C$2:$C$37,MATCH(C417,'Country Tiers'!$A$2:$A$37,0))</f>
        <v>Tier 3</v>
      </c>
      <c r="E417" s="12" t="n">
        <f aca="false">INDEX('Country Tiers'!$D$2:$D$37,MATCH(C417,'Country Tiers'!$A$2:$A$37,0))</f>
        <v>1</v>
      </c>
    </row>
    <row r="418" customFormat="false" ht="15" hidden="false" customHeight="false" outlineLevel="0" collapsed="false">
      <c r="A418" s="12" t="s">
        <v>53</v>
      </c>
      <c r="B418" s="12" t="s">
        <v>44</v>
      </c>
      <c r="C418" s="12" t="s">
        <v>301</v>
      </c>
      <c r="D418" s="12" t="str">
        <f aca="false">INDEX('Country Tiers'!$C$2:$C$37,MATCH(C418,'Country Tiers'!$A$2:$A$37,0))</f>
        <v>Tier 3</v>
      </c>
      <c r="E418" s="12" t="n">
        <f aca="false">INDEX('Country Tiers'!$D$2:$D$37,MATCH(C418,'Country Tiers'!$A$2:$A$37,0))</f>
        <v>1</v>
      </c>
    </row>
    <row r="419" customFormat="false" ht="15" hidden="false" customHeight="false" outlineLevel="0" collapsed="false">
      <c r="A419" s="12" t="s">
        <v>53</v>
      </c>
      <c r="B419" s="12" t="s">
        <v>44</v>
      </c>
      <c r="C419" s="12" t="s">
        <v>302</v>
      </c>
      <c r="D419" s="12" t="str">
        <f aca="false">INDEX('Country Tiers'!$C$2:$C$37,MATCH(C419,'Country Tiers'!$A$2:$A$37,0))</f>
        <v>Tier 3</v>
      </c>
      <c r="E419" s="12" t="n">
        <f aca="false">INDEX('Country Tiers'!$D$2:$D$37,MATCH(C419,'Country Tiers'!$A$2:$A$37,0))</f>
        <v>1</v>
      </c>
    </row>
    <row r="420" customFormat="false" ht="15" hidden="false" customHeight="false" outlineLevel="0" collapsed="false">
      <c r="A420" s="12" t="s">
        <v>53</v>
      </c>
      <c r="B420" s="12" t="s">
        <v>44</v>
      </c>
      <c r="C420" s="12" t="s">
        <v>305</v>
      </c>
      <c r="D420" s="12" t="str">
        <f aca="false">INDEX('Country Tiers'!$C$2:$C$37,MATCH(C420,'Country Tiers'!$A$2:$A$37,0))</f>
        <v>Tier 3</v>
      </c>
      <c r="E420" s="12" t="n">
        <f aca="false">INDEX('Country Tiers'!$D$2:$D$37,MATCH(C420,'Country Tiers'!$A$2:$A$37,0))</f>
        <v>1</v>
      </c>
    </row>
    <row r="421" customFormat="false" ht="15" hidden="false" customHeight="false" outlineLevel="0" collapsed="false">
      <c r="A421" s="12" t="s">
        <v>53</v>
      </c>
      <c r="B421" s="12" t="s">
        <v>44</v>
      </c>
      <c r="C421" s="12" t="s">
        <v>306</v>
      </c>
      <c r="D421" s="12" t="str">
        <f aca="false">INDEX('Country Tiers'!$C$2:$C$37,MATCH(C421,'Country Tiers'!$A$2:$A$37,0))</f>
        <v>Tier 3</v>
      </c>
      <c r="E421" s="12" t="n">
        <f aca="false">INDEX('Country Tiers'!$D$2:$D$37,MATCH(C421,'Country Tiers'!$A$2:$A$37,0))</f>
        <v>1</v>
      </c>
    </row>
    <row r="422" customFormat="false" ht="15" hidden="false" customHeight="false" outlineLevel="0" collapsed="false">
      <c r="A422" s="12" t="s">
        <v>53</v>
      </c>
      <c r="B422" s="12" t="s">
        <v>44</v>
      </c>
      <c r="C422" s="12" t="s">
        <v>307</v>
      </c>
      <c r="D422" s="12" t="str">
        <f aca="false">INDEX('Country Tiers'!$C$2:$C$37,MATCH(C422,'Country Tiers'!$A$2:$A$37,0))</f>
        <v>Tier 2</v>
      </c>
      <c r="E422" s="12" t="n">
        <f aca="false">INDEX('Country Tiers'!$D$2:$D$37,MATCH(C422,'Country Tiers'!$A$2:$A$37,0))</f>
        <v>2</v>
      </c>
    </row>
    <row r="423" customFormat="false" ht="15" hidden="false" customHeight="false" outlineLevel="0" collapsed="false">
      <c r="A423" s="12" t="s">
        <v>53</v>
      </c>
      <c r="B423" s="12" t="s">
        <v>44</v>
      </c>
      <c r="C423" s="12" t="s">
        <v>308</v>
      </c>
      <c r="D423" s="12" t="str">
        <f aca="false">INDEX('Country Tiers'!$C$2:$C$37,MATCH(C423,'Country Tiers'!$A$2:$A$37,0))</f>
        <v>Tier 3</v>
      </c>
      <c r="E423" s="12" t="n">
        <f aca="false">INDEX('Country Tiers'!$D$2:$D$37,MATCH(C423,'Country Tiers'!$A$2:$A$37,0))</f>
        <v>1</v>
      </c>
    </row>
    <row r="424" customFormat="false" ht="15" hidden="false" customHeight="false" outlineLevel="0" collapsed="false">
      <c r="A424" s="12" t="s">
        <v>53</v>
      </c>
      <c r="B424" s="12" t="s">
        <v>44</v>
      </c>
      <c r="C424" s="12" t="s">
        <v>309</v>
      </c>
      <c r="D424" s="12" t="str">
        <f aca="false">INDEX('Country Tiers'!$C$2:$C$37,MATCH(C424,'Country Tiers'!$A$2:$A$37,0))</f>
        <v>Tier 1</v>
      </c>
      <c r="E424" s="12" t="n">
        <f aca="false">INDEX('Country Tiers'!$D$2:$D$37,MATCH(C424,'Country Tiers'!$A$2:$A$37,0))</f>
        <v>3</v>
      </c>
    </row>
    <row r="425" customFormat="false" ht="15" hidden="false" customHeight="false" outlineLevel="0" collapsed="false">
      <c r="A425" s="12" t="s">
        <v>53</v>
      </c>
      <c r="B425" s="12" t="s">
        <v>44</v>
      </c>
      <c r="C425" s="12" t="s">
        <v>313</v>
      </c>
      <c r="D425" s="12" t="str">
        <f aca="false">INDEX('Country Tiers'!$C$2:$C$37,MATCH(C425,'Country Tiers'!$A$2:$A$37,0))</f>
        <v>Tier 1</v>
      </c>
      <c r="E425" s="12" t="n">
        <f aca="false">INDEX('Country Tiers'!$D$2:$D$37,MATCH(C425,'Country Tiers'!$A$2:$A$37,0))</f>
        <v>3</v>
      </c>
    </row>
    <row r="426" customFormat="false" ht="15" hidden="false" customHeight="false" outlineLevel="0" collapsed="false">
      <c r="A426" s="12" t="s">
        <v>58</v>
      </c>
      <c r="B426" s="12" t="s">
        <v>41</v>
      </c>
      <c r="C426" s="12" t="s">
        <v>309</v>
      </c>
      <c r="D426" s="12" t="str">
        <f aca="false">INDEX('Country Tiers'!$C$2:$C$37,MATCH(C426,'Country Tiers'!$A$2:$A$37,0))</f>
        <v>Tier 1</v>
      </c>
      <c r="E426" s="12" t="n">
        <f aca="false">INDEX('Country Tiers'!$D$2:$D$37,MATCH(C426,'Country Tiers'!$A$2:$A$37,0))</f>
        <v>3</v>
      </c>
    </row>
    <row r="427" customFormat="false" ht="15" hidden="false" customHeight="false" outlineLevel="0" collapsed="false">
      <c r="A427" s="12" t="s">
        <v>58</v>
      </c>
      <c r="B427" s="12" t="s">
        <v>41</v>
      </c>
      <c r="C427" s="12" t="s">
        <v>311</v>
      </c>
      <c r="D427" s="12" t="str">
        <f aca="false">INDEX('Country Tiers'!$C$2:$C$37,MATCH(C427,'Country Tiers'!$A$2:$A$37,0))</f>
        <v>Tier 1</v>
      </c>
      <c r="E427" s="12" t="n">
        <f aca="false">INDEX('Country Tiers'!$D$2:$D$37,MATCH(C427,'Country Tiers'!$A$2:$A$37,0))</f>
        <v>3</v>
      </c>
    </row>
    <row r="428" customFormat="false" ht="15" hidden="false" customHeight="false" outlineLevel="0" collapsed="false">
      <c r="A428" s="12" t="s">
        <v>59</v>
      </c>
      <c r="B428" s="12" t="s">
        <v>55</v>
      </c>
      <c r="C428" s="12" t="s">
        <v>311</v>
      </c>
      <c r="D428" s="12" t="str">
        <f aca="false">INDEX('Country Tiers'!$C$2:$C$37,MATCH(C428,'Country Tiers'!$A$2:$A$37,0))</f>
        <v>Tier 1</v>
      </c>
      <c r="E428" s="12" t="n">
        <f aca="false">INDEX('Country Tiers'!$D$2:$D$37,MATCH(C428,'Country Tiers'!$A$2:$A$37,0))</f>
        <v>3</v>
      </c>
    </row>
    <row r="429" customFormat="false" ht="15" hidden="false" customHeight="false" outlineLevel="0" collapsed="false">
      <c r="A429" s="12" t="s">
        <v>59</v>
      </c>
      <c r="B429" s="12" t="s">
        <v>44</v>
      </c>
      <c r="C429" s="12" t="s">
        <v>274</v>
      </c>
      <c r="D429" s="12" t="str">
        <f aca="false">INDEX('Country Tiers'!$C$2:$C$37,MATCH(C429,'Country Tiers'!$A$2:$A$37,0))</f>
        <v>Tier 3</v>
      </c>
      <c r="E429" s="12" t="n">
        <f aca="false">INDEX('Country Tiers'!$D$2:$D$37,MATCH(C429,'Country Tiers'!$A$2:$A$37,0))</f>
        <v>1</v>
      </c>
    </row>
    <row r="430" customFormat="false" ht="15" hidden="false" customHeight="false" outlineLevel="0" collapsed="false">
      <c r="A430" s="12" t="s">
        <v>59</v>
      </c>
      <c r="B430" s="12" t="s">
        <v>44</v>
      </c>
      <c r="C430" s="12" t="s">
        <v>277</v>
      </c>
      <c r="D430" s="12" t="str">
        <f aca="false">INDEX('Country Tiers'!$C$2:$C$37,MATCH(C430,'Country Tiers'!$A$2:$A$37,0))</f>
        <v>Tier 1</v>
      </c>
      <c r="E430" s="12" t="n">
        <f aca="false">INDEX('Country Tiers'!$D$2:$D$37,MATCH(C430,'Country Tiers'!$A$2:$A$37,0))</f>
        <v>3</v>
      </c>
    </row>
    <row r="431" customFormat="false" ht="15" hidden="false" customHeight="false" outlineLevel="0" collapsed="false">
      <c r="A431" s="12" t="s">
        <v>59</v>
      </c>
      <c r="B431" s="12" t="s">
        <v>44</v>
      </c>
      <c r="C431" s="12" t="s">
        <v>283</v>
      </c>
      <c r="D431" s="12" t="str">
        <f aca="false">INDEX('Country Tiers'!$C$2:$C$37,MATCH(C431,'Country Tiers'!$A$2:$A$37,0))</f>
        <v>Tier 3</v>
      </c>
      <c r="E431" s="12" t="n">
        <f aca="false">INDEX('Country Tiers'!$D$2:$D$37,MATCH(C431,'Country Tiers'!$A$2:$A$37,0))</f>
        <v>1</v>
      </c>
    </row>
    <row r="432" customFormat="false" ht="15" hidden="false" customHeight="false" outlineLevel="0" collapsed="false">
      <c r="A432" s="12" t="s">
        <v>59</v>
      </c>
      <c r="B432" s="12" t="s">
        <v>44</v>
      </c>
      <c r="C432" s="12" t="s">
        <v>285</v>
      </c>
      <c r="D432" s="12" t="str">
        <f aca="false">INDEX('Country Tiers'!$C$2:$C$37,MATCH(C432,'Country Tiers'!$A$2:$A$37,0))</f>
        <v>Tier 3</v>
      </c>
      <c r="E432" s="12" t="n">
        <f aca="false">INDEX('Country Tiers'!$D$2:$D$37,MATCH(C432,'Country Tiers'!$A$2:$A$37,0))</f>
        <v>1</v>
      </c>
    </row>
    <row r="433" customFormat="false" ht="15" hidden="false" customHeight="false" outlineLevel="0" collapsed="false">
      <c r="A433" s="12" t="s">
        <v>59</v>
      </c>
      <c r="B433" s="12" t="s">
        <v>44</v>
      </c>
      <c r="C433" s="12" t="s">
        <v>286</v>
      </c>
      <c r="D433" s="12" t="str">
        <f aca="false">INDEX('Country Tiers'!$C$2:$C$37,MATCH(C433,'Country Tiers'!$A$2:$A$37,0))</f>
        <v>Tier 1</v>
      </c>
      <c r="E433" s="12" t="n">
        <f aca="false">INDEX('Country Tiers'!$D$2:$D$37,MATCH(C433,'Country Tiers'!$A$2:$A$37,0))</f>
        <v>3</v>
      </c>
    </row>
    <row r="434" customFormat="false" ht="15" hidden="false" customHeight="false" outlineLevel="0" collapsed="false">
      <c r="A434" s="12" t="s">
        <v>59</v>
      </c>
      <c r="B434" s="12" t="s">
        <v>44</v>
      </c>
      <c r="C434" s="12" t="s">
        <v>287</v>
      </c>
      <c r="D434" s="12" t="str">
        <f aca="false">INDEX('Country Tiers'!$C$2:$C$37,MATCH(C434,'Country Tiers'!$A$2:$A$37,0))</f>
        <v>Tier 1</v>
      </c>
      <c r="E434" s="12" t="n">
        <f aca="false">INDEX('Country Tiers'!$D$2:$D$37,MATCH(C434,'Country Tiers'!$A$2:$A$37,0))</f>
        <v>3</v>
      </c>
    </row>
    <row r="435" customFormat="false" ht="15" hidden="false" customHeight="false" outlineLevel="0" collapsed="false">
      <c r="A435" s="12" t="s">
        <v>59</v>
      </c>
      <c r="B435" s="12" t="s">
        <v>44</v>
      </c>
      <c r="C435" s="12" t="s">
        <v>292</v>
      </c>
      <c r="D435" s="12" t="str">
        <f aca="false">INDEX('Country Tiers'!$C$2:$C$37,MATCH(C435,'Country Tiers'!$A$2:$A$37,0))</f>
        <v>Tier 2</v>
      </c>
      <c r="E435" s="12" t="n">
        <f aca="false">INDEX('Country Tiers'!$D$2:$D$37,MATCH(C435,'Country Tiers'!$A$2:$A$37,0))</f>
        <v>2</v>
      </c>
    </row>
    <row r="436" customFormat="false" ht="15" hidden="false" customHeight="false" outlineLevel="0" collapsed="false">
      <c r="A436" s="12" t="s">
        <v>59</v>
      </c>
      <c r="B436" s="12" t="s">
        <v>44</v>
      </c>
      <c r="C436" s="12" t="s">
        <v>298</v>
      </c>
      <c r="D436" s="12" t="str">
        <f aca="false">INDEX('Country Tiers'!$C$2:$C$37,MATCH(C436,'Country Tiers'!$A$2:$A$37,0))</f>
        <v>Tier 1</v>
      </c>
      <c r="E436" s="12" t="n">
        <f aca="false">INDEX('Country Tiers'!$D$2:$D$37,MATCH(C436,'Country Tiers'!$A$2:$A$37,0))</f>
        <v>3</v>
      </c>
    </row>
    <row r="437" customFormat="false" ht="15" hidden="false" customHeight="false" outlineLevel="0" collapsed="false">
      <c r="A437" s="12" t="s">
        <v>59</v>
      </c>
      <c r="B437" s="12" t="s">
        <v>44</v>
      </c>
      <c r="C437" s="12" t="s">
        <v>300</v>
      </c>
      <c r="D437" s="12" t="str">
        <f aca="false">INDEX('Country Tiers'!$C$2:$C$37,MATCH(C437,'Country Tiers'!$A$2:$A$37,0))</f>
        <v>Tier 3</v>
      </c>
      <c r="E437" s="12" t="n">
        <f aca="false">INDEX('Country Tiers'!$D$2:$D$37,MATCH(C437,'Country Tiers'!$A$2:$A$37,0))</f>
        <v>1</v>
      </c>
    </row>
    <row r="438" customFormat="false" ht="15" hidden="false" customHeight="false" outlineLevel="0" collapsed="false">
      <c r="A438" s="12" t="s">
        <v>59</v>
      </c>
      <c r="B438" s="12" t="s">
        <v>44</v>
      </c>
      <c r="C438" s="12" t="s">
        <v>301</v>
      </c>
      <c r="D438" s="12" t="str">
        <f aca="false">INDEX('Country Tiers'!$C$2:$C$37,MATCH(C438,'Country Tiers'!$A$2:$A$37,0))</f>
        <v>Tier 3</v>
      </c>
      <c r="E438" s="12" t="n">
        <f aca="false">INDEX('Country Tiers'!$D$2:$D$37,MATCH(C438,'Country Tiers'!$A$2:$A$37,0))</f>
        <v>1</v>
      </c>
    </row>
    <row r="439" customFormat="false" ht="15" hidden="false" customHeight="false" outlineLevel="0" collapsed="false">
      <c r="A439" s="12" t="s">
        <v>59</v>
      </c>
      <c r="B439" s="12" t="s">
        <v>44</v>
      </c>
      <c r="C439" s="12" t="s">
        <v>306</v>
      </c>
      <c r="D439" s="12" t="str">
        <f aca="false">INDEX('Country Tiers'!$C$2:$C$37,MATCH(C439,'Country Tiers'!$A$2:$A$37,0))</f>
        <v>Tier 3</v>
      </c>
      <c r="E439" s="12" t="n">
        <f aca="false">INDEX('Country Tiers'!$D$2:$D$37,MATCH(C439,'Country Tiers'!$A$2:$A$37,0))</f>
        <v>1</v>
      </c>
    </row>
    <row r="440" customFormat="false" ht="15" hidden="false" customHeight="false" outlineLevel="0" collapsed="false">
      <c r="A440" s="12" t="s">
        <v>59</v>
      </c>
      <c r="B440" s="12" t="s">
        <v>44</v>
      </c>
      <c r="C440" s="12" t="s">
        <v>307</v>
      </c>
      <c r="D440" s="12" t="str">
        <f aca="false">INDEX('Country Tiers'!$C$2:$C$37,MATCH(C440,'Country Tiers'!$A$2:$A$37,0))</f>
        <v>Tier 2</v>
      </c>
      <c r="E440" s="12" t="n">
        <f aca="false">INDEX('Country Tiers'!$D$2:$D$37,MATCH(C440,'Country Tiers'!$A$2:$A$37,0))</f>
        <v>2</v>
      </c>
    </row>
    <row r="441" customFormat="false" ht="15" hidden="false" customHeight="false" outlineLevel="0" collapsed="false">
      <c r="A441" s="12" t="s">
        <v>59</v>
      </c>
      <c r="B441" s="12" t="s">
        <v>44</v>
      </c>
      <c r="C441" s="12" t="s">
        <v>308</v>
      </c>
      <c r="D441" s="12" t="str">
        <f aca="false">INDEX('Country Tiers'!$C$2:$C$37,MATCH(C441,'Country Tiers'!$A$2:$A$37,0))</f>
        <v>Tier 3</v>
      </c>
      <c r="E441" s="12" t="n">
        <f aca="false">INDEX('Country Tiers'!$D$2:$D$37,MATCH(C441,'Country Tiers'!$A$2:$A$37,0))</f>
        <v>1</v>
      </c>
    </row>
    <row r="442" customFormat="false" ht="15" hidden="false" customHeight="false" outlineLevel="0" collapsed="false">
      <c r="A442" s="12" t="s">
        <v>59</v>
      </c>
      <c r="B442" s="12" t="s">
        <v>44</v>
      </c>
      <c r="C442" s="12" t="s">
        <v>309</v>
      </c>
      <c r="D442" s="12" t="str">
        <f aca="false">INDEX('Country Tiers'!$C$2:$C$37,MATCH(C442,'Country Tiers'!$A$2:$A$37,0))</f>
        <v>Tier 1</v>
      </c>
      <c r="E442" s="12" t="n">
        <f aca="false">INDEX('Country Tiers'!$D$2:$D$37,MATCH(C442,'Country Tiers'!$A$2:$A$37,0))</f>
        <v>3</v>
      </c>
    </row>
    <row r="443" customFormat="false" ht="15" hidden="false" customHeight="false" outlineLevel="0" collapsed="false">
      <c r="A443" s="12" t="s">
        <v>59</v>
      </c>
      <c r="B443" s="12" t="s">
        <v>44</v>
      </c>
      <c r="C443" s="12" t="s">
        <v>311</v>
      </c>
      <c r="D443" s="12" t="str">
        <f aca="false">INDEX('Country Tiers'!$C$2:$C$37,MATCH(C443,'Country Tiers'!$A$2:$A$37,0))</f>
        <v>Tier 1</v>
      </c>
      <c r="E443" s="12" t="n">
        <f aca="false">INDEX('Country Tiers'!$D$2:$D$37,MATCH(C443,'Country Tiers'!$A$2:$A$37,0))</f>
        <v>3</v>
      </c>
    </row>
    <row r="444" customFormat="false" ht="15" hidden="false" customHeight="false" outlineLevel="0" collapsed="false">
      <c r="A444" s="12" t="s">
        <v>59</v>
      </c>
      <c r="B444" s="12" t="s">
        <v>44</v>
      </c>
      <c r="C444" s="12" t="s">
        <v>313</v>
      </c>
      <c r="D444" s="12" t="str">
        <f aca="false">INDEX('Country Tiers'!$C$2:$C$37,MATCH(C444,'Country Tiers'!$A$2:$A$37,0))</f>
        <v>Tier 1</v>
      </c>
      <c r="E444" s="12" t="n">
        <f aca="false">INDEX('Country Tiers'!$D$2:$D$37,MATCH(C444,'Country Tiers'!$A$2:$A$37,0))</f>
        <v>3</v>
      </c>
    </row>
    <row r="445" customFormat="false" ht="15" hidden="false" customHeight="false" outlineLevel="0" collapsed="false">
      <c r="A445" s="12" t="s">
        <v>60</v>
      </c>
      <c r="B445" s="12" t="s">
        <v>54</v>
      </c>
      <c r="C445" s="12" t="s">
        <v>272</v>
      </c>
      <c r="D445" s="12" t="str">
        <f aca="false">INDEX('Country Tiers'!$C$2:$C$37,MATCH(C445,'Country Tiers'!$A$2:$A$37,0))</f>
        <v>Tier 2</v>
      </c>
      <c r="E445" s="12" t="n">
        <f aca="false">INDEX('Country Tiers'!$D$2:$D$37,MATCH(C445,'Country Tiers'!$A$2:$A$37,0))</f>
        <v>2</v>
      </c>
    </row>
    <row r="446" customFormat="false" ht="15" hidden="false" customHeight="false" outlineLevel="0" collapsed="false">
      <c r="A446" s="12" t="s">
        <v>60</v>
      </c>
      <c r="B446" s="12" t="s">
        <v>54</v>
      </c>
      <c r="C446" s="12" t="s">
        <v>303</v>
      </c>
      <c r="D446" s="12" t="str">
        <f aca="false">INDEX('Country Tiers'!$C$2:$C$37,MATCH(C446,'Country Tiers'!$A$2:$A$37,0))</f>
        <v>Tier 2</v>
      </c>
      <c r="E446" s="12" t="n">
        <f aca="false">INDEX('Country Tiers'!$D$2:$D$37,MATCH(C446,'Country Tiers'!$A$2:$A$37,0))</f>
        <v>2</v>
      </c>
    </row>
    <row r="447" customFormat="false" ht="15" hidden="false" customHeight="false" outlineLevel="0" collapsed="false">
      <c r="A447" s="12" t="s">
        <v>60</v>
      </c>
      <c r="B447" s="12" t="s">
        <v>44</v>
      </c>
      <c r="C447" s="12" t="s">
        <v>272</v>
      </c>
      <c r="D447" s="12" t="str">
        <f aca="false">INDEX('Country Tiers'!$C$2:$C$37,MATCH(C447,'Country Tiers'!$A$2:$A$37,0))</f>
        <v>Tier 2</v>
      </c>
      <c r="E447" s="12" t="n">
        <f aca="false">INDEX('Country Tiers'!$D$2:$D$37,MATCH(C447,'Country Tiers'!$A$2:$A$37,0))</f>
        <v>2</v>
      </c>
    </row>
    <row r="448" customFormat="false" ht="15" hidden="false" customHeight="false" outlineLevel="0" collapsed="false">
      <c r="A448" s="12" t="s">
        <v>60</v>
      </c>
      <c r="B448" s="12" t="s">
        <v>44</v>
      </c>
      <c r="C448" s="12" t="s">
        <v>274</v>
      </c>
      <c r="D448" s="12" t="str">
        <f aca="false">INDEX('Country Tiers'!$C$2:$C$37,MATCH(C448,'Country Tiers'!$A$2:$A$37,0))</f>
        <v>Tier 3</v>
      </c>
      <c r="E448" s="12" t="n">
        <f aca="false">INDEX('Country Tiers'!$D$2:$D$37,MATCH(C448,'Country Tiers'!$A$2:$A$37,0))</f>
        <v>1</v>
      </c>
    </row>
    <row r="449" customFormat="false" ht="15" hidden="false" customHeight="false" outlineLevel="0" collapsed="false">
      <c r="A449" s="12" t="s">
        <v>60</v>
      </c>
      <c r="B449" s="12" t="s">
        <v>44</v>
      </c>
      <c r="C449" s="12" t="s">
        <v>277</v>
      </c>
      <c r="D449" s="12" t="str">
        <f aca="false">INDEX('Country Tiers'!$C$2:$C$37,MATCH(C449,'Country Tiers'!$A$2:$A$37,0))</f>
        <v>Tier 1</v>
      </c>
      <c r="E449" s="12" t="n">
        <f aca="false">INDEX('Country Tiers'!$D$2:$D$37,MATCH(C449,'Country Tiers'!$A$2:$A$37,0))</f>
        <v>3</v>
      </c>
    </row>
    <row r="450" customFormat="false" ht="15" hidden="false" customHeight="false" outlineLevel="0" collapsed="false">
      <c r="A450" s="12" t="s">
        <v>60</v>
      </c>
      <c r="B450" s="12" t="s">
        <v>44</v>
      </c>
      <c r="C450" s="12" t="s">
        <v>282</v>
      </c>
      <c r="D450" s="12" t="str">
        <f aca="false">INDEX('Country Tiers'!$C$2:$C$37,MATCH(C450,'Country Tiers'!$A$2:$A$37,0))</f>
        <v>Tier 3</v>
      </c>
      <c r="E450" s="12" t="n">
        <f aca="false">INDEX('Country Tiers'!$D$2:$D$37,MATCH(C450,'Country Tiers'!$A$2:$A$37,0))</f>
        <v>1</v>
      </c>
    </row>
    <row r="451" customFormat="false" ht="15" hidden="false" customHeight="false" outlineLevel="0" collapsed="false">
      <c r="A451" s="12" t="s">
        <v>60</v>
      </c>
      <c r="B451" s="12" t="s">
        <v>44</v>
      </c>
      <c r="C451" s="12" t="s">
        <v>283</v>
      </c>
      <c r="D451" s="12" t="str">
        <f aca="false">INDEX('Country Tiers'!$C$2:$C$37,MATCH(C451,'Country Tiers'!$A$2:$A$37,0))</f>
        <v>Tier 3</v>
      </c>
      <c r="E451" s="12" t="n">
        <f aca="false">INDEX('Country Tiers'!$D$2:$D$37,MATCH(C451,'Country Tiers'!$A$2:$A$37,0))</f>
        <v>1</v>
      </c>
    </row>
    <row r="452" customFormat="false" ht="15" hidden="false" customHeight="false" outlineLevel="0" collapsed="false">
      <c r="A452" s="12" t="s">
        <v>60</v>
      </c>
      <c r="B452" s="12" t="s">
        <v>44</v>
      </c>
      <c r="C452" s="12" t="s">
        <v>285</v>
      </c>
      <c r="D452" s="12" t="str">
        <f aca="false">INDEX('Country Tiers'!$C$2:$C$37,MATCH(C452,'Country Tiers'!$A$2:$A$37,0))</f>
        <v>Tier 3</v>
      </c>
      <c r="E452" s="12" t="n">
        <f aca="false">INDEX('Country Tiers'!$D$2:$D$37,MATCH(C452,'Country Tiers'!$A$2:$A$37,0))</f>
        <v>1</v>
      </c>
    </row>
    <row r="453" customFormat="false" ht="15" hidden="false" customHeight="false" outlineLevel="0" collapsed="false">
      <c r="A453" s="12" t="s">
        <v>60</v>
      </c>
      <c r="B453" s="12" t="s">
        <v>44</v>
      </c>
      <c r="C453" s="12" t="s">
        <v>286</v>
      </c>
      <c r="D453" s="12" t="str">
        <f aca="false">INDEX('Country Tiers'!$C$2:$C$37,MATCH(C453,'Country Tiers'!$A$2:$A$37,0))</f>
        <v>Tier 1</v>
      </c>
      <c r="E453" s="12" t="n">
        <f aca="false">INDEX('Country Tiers'!$D$2:$D$37,MATCH(C453,'Country Tiers'!$A$2:$A$37,0))</f>
        <v>3</v>
      </c>
    </row>
    <row r="454" customFormat="false" ht="15" hidden="false" customHeight="false" outlineLevel="0" collapsed="false">
      <c r="A454" s="12" t="s">
        <v>60</v>
      </c>
      <c r="B454" s="12" t="s">
        <v>44</v>
      </c>
      <c r="C454" s="12" t="s">
        <v>287</v>
      </c>
      <c r="D454" s="12" t="str">
        <f aca="false">INDEX('Country Tiers'!$C$2:$C$37,MATCH(C454,'Country Tiers'!$A$2:$A$37,0))</f>
        <v>Tier 1</v>
      </c>
      <c r="E454" s="12" t="n">
        <f aca="false">INDEX('Country Tiers'!$D$2:$D$37,MATCH(C454,'Country Tiers'!$A$2:$A$37,0))</f>
        <v>3</v>
      </c>
    </row>
    <row r="455" customFormat="false" ht="15" hidden="false" customHeight="false" outlineLevel="0" collapsed="false">
      <c r="A455" s="12" t="s">
        <v>60</v>
      </c>
      <c r="B455" s="12" t="s">
        <v>44</v>
      </c>
      <c r="C455" s="12" t="s">
        <v>290</v>
      </c>
      <c r="D455" s="12" t="str">
        <f aca="false">INDEX('Country Tiers'!$C$2:$C$37,MATCH(C455,'Country Tiers'!$A$2:$A$37,0))</f>
        <v>Tier 3</v>
      </c>
      <c r="E455" s="12" t="n">
        <f aca="false">INDEX('Country Tiers'!$D$2:$D$37,MATCH(C455,'Country Tiers'!$A$2:$A$37,0))</f>
        <v>1</v>
      </c>
    </row>
    <row r="456" customFormat="false" ht="15" hidden="false" customHeight="false" outlineLevel="0" collapsed="false">
      <c r="A456" s="12" t="s">
        <v>60</v>
      </c>
      <c r="B456" s="12" t="s">
        <v>44</v>
      </c>
      <c r="C456" s="12" t="s">
        <v>298</v>
      </c>
      <c r="D456" s="12" t="str">
        <f aca="false">INDEX('Country Tiers'!$C$2:$C$37,MATCH(C456,'Country Tiers'!$A$2:$A$37,0))</f>
        <v>Tier 1</v>
      </c>
      <c r="E456" s="12" t="n">
        <f aca="false">INDEX('Country Tiers'!$D$2:$D$37,MATCH(C456,'Country Tiers'!$A$2:$A$37,0))</f>
        <v>3</v>
      </c>
    </row>
    <row r="457" customFormat="false" ht="15" hidden="false" customHeight="false" outlineLevel="0" collapsed="false">
      <c r="A457" s="12" t="s">
        <v>60</v>
      </c>
      <c r="B457" s="12" t="s">
        <v>44</v>
      </c>
      <c r="C457" s="12" t="s">
        <v>299</v>
      </c>
      <c r="D457" s="12" t="str">
        <f aca="false">INDEX('Country Tiers'!$C$2:$C$37,MATCH(C457,'Country Tiers'!$A$2:$A$37,0))</f>
        <v>Tier 3</v>
      </c>
      <c r="E457" s="12" t="n">
        <f aca="false">INDEX('Country Tiers'!$D$2:$D$37,MATCH(C457,'Country Tiers'!$A$2:$A$37,0))</f>
        <v>1</v>
      </c>
    </row>
    <row r="458" customFormat="false" ht="15" hidden="false" customHeight="false" outlineLevel="0" collapsed="false">
      <c r="A458" s="12" t="s">
        <v>60</v>
      </c>
      <c r="B458" s="12" t="s">
        <v>44</v>
      </c>
      <c r="C458" s="12" t="s">
        <v>300</v>
      </c>
      <c r="D458" s="12" t="str">
        <f aca="false">INDEX('Country Tiers'!$C$2:$C$37,MATCH(C458,'Country Tiers'!$A$2:$A$37,0))</f>
        <v>Tier 3</v>
      </c>
      <c r="E458" s="12" t="n">
        <f aca="false">INDEX('Country Tiers'!$D$2:$D$37,MATCH(C458,'Country Tiers'!$A$2:$A$37,0))</f>
        <v>1</v>
      </c>
    </row>
    <row r="459" customFormat="false" ht="15" hidden="false" customHeight="false" outlineLevel="0" collapsed="false">
      <c r="A459" s="12" t="s">
        <v>60</v>
      </c>
      <c r="B459" s="12" t="s">
        <v>44</v>
      </c>
      <c r="C459" s="12" t="s">
        <v>301</v>
      </c>
      <c r="D459" s="12" t="str">
        <f aca="false">INDEX('Country Tiers'!$C$2:$C$37,MATCH(C459,'Country Tiers'!$A$2:$A$37,0))</f>
        <v>Tier 3</v>
      </c>
      <c r="E459" s="12" t="n">
        <f aca="false">INDEX('Country Tiers'!$D$2:$D$37,MATCH(C459,'Country Tiers'!$A$2:$A$37,0))</f>
        <v>1</v>
      </c>
    </row>
    <row r="460" customFormat="false" ht="15" hidden="false" customHeight="false" outlineLevel="0" collapsed="false">
      <c r="A460" s="12" t="s">
        <v>60</v>
      </c>
      <c r="B460" s="12" t="s">
        <v>44</v>
      </c>
      <c r="C460" s="12" t="s">
        <v>302</v>
      </c>
      <c r="D460" s="12" t="str">
        <f aca="false">INDEX('Country Tiers'!$C$2:$C$37,MATCH(C460,'Country Tiers'!$A$2:$A$37,0))</f>
        <v>Tier 3</v>
      </c>
      <c r="E460" s="12" t="n">
        <f aca="false">INDEX('Country Tiers'!$D$2:$D$37,MATCH(C460,'Country Tiers'!$A$2:$A$37,0))</f>
        <v>1</v>
      </c>
    </row>
    <row r="461" customFormat="false" ht="15" hidden="false" customHeight="false" outlineLevel="0" collapsed="false">
      <c r="A461" s="12" t="s">
        <v>60</v>
      </c>
      <c r="B461" s="12" t="s">
        <v>44</v>
      </c>
      <c r="C461" s="12" t="s">
        <v>307</v>
      </c>
      <c r="D461" s="12" t="str">
        <f aca="false">INDEX('Country Tiers'!$C$2:$C$37,MATCH(C461,'Country Tiers'!$A$2:$A$37,0))</f>
        <v>Tier 2</v>
      </c>
      <c r="E461" s="12" t="n">
        <f aca="false">INDEX('Country Tiers'!$D$2:$D$37,MATCH(C461,'Country Tiers'!$A$2:$A$37,0))</f>
        <v>2</v>
      </c>
    </row>
    <row r="462" customFormat="false" ht="15" hidden="false" customHeight="false" outlineLevel="0" collapsed="false">
      <c r="A462" s="12" t="s">
        <v>60</v>
      </c>
      <c r="B462" s="12" t="s">
        <v>44</v>
      </c>
      <c r="C462" s="12" t="s">
        <v>308</v>
      </c>
      <c r="D462" s="12" t="str">
        <f aca="false">INDEX('Country Tiers'!$C$2:$C$37,MATCH(C462,'Country Tiers'!$A$2:$A$37,0))</f>
        <v>Tier 3</v>
      </c>
      <c r="E462" s="12" t="n">
        <f aca="false">INDEX('Country Tiers'!$D$2:$D$37,MATCH(C462,'Country Tiers'!$A$2:$A$37,0))</f>
        <v>1</v>
      </c>
    </row>
    <row r="463" customFormat="false" ht="15" hidden="false" customHeight="false" outlineLevel="0" collapsed="false">
      <c r="A463" s="12" t="s">
        <v>60</v>
      </c>
      <c r="B463" s="12" t="s">
        <v>44</v>
      </c>
      <c r="C463" s="12" t="s">
        <v>309</v>
      </c>
      <c r="D463" s="12" t="str">
        <f aca="false">INDEX('Country Tiers'!$C$2:$C$37,MATCH(C463,'Country Tiers'!$A$2:$A$37,0))</f>
        <v>Tier 1</v>
      </c>
      <c r="E463" s="12" t="n">
        <f aca="false">INDEX('Country Tiers'!$D$2:$D$37,MATCH(C463,'Country Tiers'!$A$2:$A$37,0))</f>
        <v>3</v>
      </c>
    </row>
    <row r="464" customFormat="false" ht="15" hidden="false" customHeight="false" outlineLevel="0" collapsed="false">
      <c r="A464" s="12" t="s">
        <v>60</v>
      </c>
      <c r="B464" s="12" t="s">
        <v>44</v>
      </c>
      <c r="C464" s="12" t="s">
        <v>313</v>
      </c>
      <c r="D464" s="12" t="str">
        <f aca="false">INDEX('Country Tiers'!$C$2:$C$37,MATCH(C464,'Country Tiers'!$A$2:$A$37,0))</f>
        <v>Tier 1</v>
      </c>
      <c r="E464" s="12" t="n">
        <f aca="false">INDEX('Country Tiers'!$D$2:$D$37,MATCH(C464,'Country Tiers'!$A$2:$A$37,0))</f>
        <v>3</v>
      </c>
    </row>
    <row r="465" customFormat="false" ht="15" hidden="false" customHeight="false" outlineLevel="0" collapsed="false">
      <c r="A465" s="12" t="s">
        <v>60</v>
      </c>
      <c r="B465" s="12" t="s">
        <v>61</v>
      </c>
      <c r="C465" s="12" t="s">
        <v>309</v>
      </c>
      <c r="D465" s="12" t="str">
        <f aca="false">INDEX('Country Tiers'!$C$2:$C$37,MATCH(C465,'Country Tiers'!$A$2:$A$37,0))</f>
        <v>Tier 1</v>
      </c>
      <c r="E465" s="12" t="n">
        <f aca="false">INDEX('Country Tiers'!$D$2:$D$37,MATCH(C465,'Country Tiers'!$A$2:$A$37,0))</f>
        <v>3</v>
      </c>
    </row>
    <row r="466" customFormat="false" ht="15" hidden="false" customHeight="false" outlineLevel="0" collapsed="false">
      <c r="A466" s="12" t="s">
        <v>62</v>
      </c>
      <c r="B466" s="12" t="s">
        <v>47</v>
      </c>
      <c r="C466" s="12" t="s">
        <v>272</v>
      </c>
      <c r="D466" s="12" t="str">
        <f aca="false">INDEX('Country Tiers'!$C$2:$C$37,MATCH(C466,'Country Tiers'!$A$2:$A$37,0))</f>
        <v>Tier 2</v>
      </c>
      <c r="E466" s="12" t="n">
        <f aca="false">INDEX('Country Tiers'!$D$2:$D$37,MATCH(C466,'Country Tiers'!$A$2:$A$37,0))</f>
        <v>2</v>
      </c>
    </row>
    <row r="467" customFormat="false" ht="15" hidden="false" customHeight="false" outlineLevel="0" collapsed="false">
      <c r="A467" s="12" t="s">
        <v>62</v>
      </c>
      <c r="B467" s="12" t="s">
        <v>47</v>
      </c>
      <c r="C467" s="12" t="s">
        <v>274</v>
      </c>
      <c r="D467" s="12" t="str">
        <f aca="false">INDEX('Country Tiers'!$C$2:$C$37,MATCH(C467,'Country Tiers'!$A$2:$A$37,0))</f>
        <v>Tier 3</v>
      </c>
      <c r="E467" s="12" t="n">
        <f aca="false">INDEX('Country Tiers'!$D$2:$D$37,MATCH(C467,'Country Tiers'!$A$2:$A$37,0))</f>
        <v>1</v>
      </c>
    </row>
    <row r="468" customFormat="false" ht="15" hidden="false" customHeight="false" outlineLevel="0" collapsed="false">
      <c r="A468" s="12" t="s">
        <v>62</v>
      </c>
      <c r="B468" s="12" t="s">
        <v>47</v>
      </c>
      <c r="C468" s="12" t="s">
        <v>277</v>
      </c>
      <c r="D468" s="12" t="str">
        <f aca="false">INDEX('Country Tiers'!$C$2:$C$37,MATCH(C468,'Country Tiers'!$A$2:$A$37,0))</f>
        <v>Tier 1</v>
      </c>
      <c r="E468" s="12" t="n">
        <f aca="false">INDEX('Country Tiers'!$D$2:$D$37,MATCH(C468,'Country Tiers'!$A$2:$A$37,0))</f>
        <v>3</v>
      </c>
    </row>
    <row r="469" customFormat="false" ht="15" hidden="false" customHeight="false" outlineLevel="0" collapsed="false">
      <c r="A469" s="12" t="s">
        <v>62</v>
      </c>
      <c r="B469" s="12" t="s">
        <v>47</v>
      </c>
      <c r="C469" s="12" t="s">
        <v>278</v>
      </c>
      <c r="D469" s="12" t="str">
        <f aca="false">INDEX('Country Tiers'!$C$2:$C$37,MATCH(C469,'Country Tiers'!$A$2:$A$37,0))</f>
        <v>Tier 3</v>
      </c>
      <c r="E469" s="12" t="n">
        <f aca="false">INDEX('Country Tiers'!$D$2:$D$37,MATCH(C469,'Country Tiers'!$A$2:$A$37,0))</f>
        <v>1</v>
      </c>
    </row>
    <row r="470" customFormat="false" ht="15" hidden="false" customHeight="false" outlineLevel="0" collapsed="false">
      <c r="A470" s="12" t="s">
        <v>62</v>
      </c>
      <c r="B470" s="12" t="s">
        <v>47</v>
      </c>
      <c r="C470" s="12" t="s">
        <v>280</v>
      </c>
      <c r="D470" s="12" t="str">
        <f aca="false">INDEX('Country Tiers'!$C$2:$C$37,MATCH(C470,'Country Tiers'!$A$2:$A$37,0))</f>
        <v>Tier 3</v>
      </c>
      <c r="E470" s="12" t="n">
        <f aca="false">INDEX('Country Tiers'!$D$2:$D$37,MATCH(C470,'Country Tiers'!$A$2:$A$37,0))</f>
        <v>1</v>
      </c>
    </row>
    <row r="471" customFormat="false" ht="15" hidden="false" customHeight="false" outlineLevel="0" collapsed="false">
      <c r="A471" s="12" t="s">
        <v>62</v>
      </c>
      <c r="B471" s="12" t="s">
        <v>47</v>
      </c>
      <c r="C471" s="12" t="s">
        <v>281</v>
      </c>
      <c r="D471" s="12" t="str">
        <f aca="false">INDEX('Country Tiers'!$C$2:$C$37,MATCH(C471,'Country Tiers'!$A$2:$A$37,0))</f>
        <v>Tier 3</v>
      </c>
      <c r="E471" s="12" t="n">
        <f aca="false">INDEX('Country Tiers'!$D$2:$D$37,MATCH(C471,'Country Tiers'!$A$2:$A$37,0))</f>
        <v>1</v>
      </c>
    </row>
    <row r="472" customFormat="false" ht="15" hidden="false" customHeight="false" outlineLevel="0" collapsed="false">
      <c r="A472" s="12" t="s">
        <v>62</v>
      </c>
      <c r="B472" s="12" t="s">
        <v>47</v>
      </c>
      <c r="C472" s="12" t="s">
        <v>282</v>
      </c>
      <c r="D472" s="12" t="str">
        <f aca="false">INDEX('Country Tiers'!$C$2:$C$37,MATCH(C472,'Country Tiers'!$A$2:$A$37,0))</f>
        <v>Tier 3</v>
      </c>
      <c r="E472" s="12" t="n">
        <f aca="false">INDEX('Country Tiers'!$D$2:$D$37,MATCH(C472,'Country Tiers'!$A$2:$A$37,0))</f>
        <v>1</v>
      </c>
    </row>
    <row r="473" customFormat="false" ht="15" hidden="false" customHeight="false" outlineLevel="0" collapsed="false">
      <c r="A473" s="12" t="s">
        <v>62</v>
      </c>
      <c r="B473" s="12" t="s">
        <v>47</v>
      </c>
      <c r="C473" s="12" t="s">
        <v>283</v>
      </c>
      <c r="D473" s="12" t="str">
        <f aca="false">INDEX('Country Tiers'!$C$2:$C$37,MATCH(C473,'Country Tiers'!$A$2:$A$37,0))</f>
        <v>Tier 3</v>
      </c>
      <c r="E473" s="12" t="n">
        <f aca="false">INDEX('Country Tiers'!$D$2:$D$37,MATCH(C473,'Country Tiers'!$A$2:$A$37,0))</f>
        <v>1</v>
      </c>
    </row>
    <row r="474" customFormat="false" ht="15" hidden="false" customHeight="false" outlineLevel="0" collapsed="false">
      <c r="A474" s="12" t="s">
        <v>62</v>
      </c>
      <c r="B474" s="12" t="s">
        <v>47</v>
      </c>
      <c r="C474" s="12" t="s">
        <v>285</v>
      </c>
      <c r="D474" s="12" t="str">
        <f aca="false">INDEX('Country Tiers'!$C$2:$C$37,MATCH(C474,'Country Tiers'!$A$2:$A$37,0))</f>
        <v>Tier 3</v>
      </c>
      <c r="E474" s="12" t="n">
        <f aca="false">INDEX('Country Tiers'!$D$2:$D$37,MATCH(C474,'Country Tiers'!$A$2:$A$37,0))</f>
        <v>1</v>
      </c>
    </row>
    <row r="475" customFormat="false" ht="15" hidden="false" customHeight="false" outlineLevel="0" collapsed="false">
      <c r="A475" s="12" t="s">
        <v>62</v>
      </c>
      <c r="B475" s="12" t="s">
        <v>47</v>
      </c>
      <c r="C475" s="12" t="s">
        <v>286</v>
      </c>
      <c r="D475" s="12" t="str">
        <f aca="false">INDEX('Country Tiers'!$C$2:$C$37,MATCH(C475,'Country Tiers'!$A$2:$A$37,0))</f>
        <v>Tier 1</v>
      </c>
      <c r="E475" s="12" t="n">
        <f aca="false">INDEX('Country Tiers'!$D$2:$D$37,MATCH(C475,'Country Tiers'!$A$2:$A$37,0))</f>
        <v>3</v>
      </c>
    </row>
    <row r="476" customFormat="false" ht="15" hidden="false" customHeight="false" outlineLevel="0" collapsed="false">
      <c r="A476" s="12" t="s">
        <v>62</v>
      </c>
      <c r="B476" s="12" t="s">
        <v>47</v>
      </c>
      <c r="C476" s="12" t="s">
        <v>287</v>
      </c>
      <c r="D476" s="12" t="str">
        <f aca="false">INDEX('Country Tiers'!$C$2:$C$37,MATCH(C476,'Country Tiers'!$A$2:$A$37,0))</f>
        <v>Tier 1</v>
      </c>
      <c r="E476" s="12" t="n">
        <f aca="false">INDEX('Country Tiers'!$D$2:$D$37,MATCH(C476,'Country Tiers'!$A$2:$A$37,0))</f>
        <v>3</v>
      </c>
    </row>
    <row r="477" customFormat="false" ht="15" hidden="false" customHeight="false" outlineLevel="0" collapsed="false">
      <c r="A477" s="12" t="s">
        <v>62</v>
      </c>
      <c r="B477" s="12" t="s">
        <v>47</v>
      </c>
      <c r="C477" s="12" t="s">
        <v>288</v>
      </c>
      <c r="D477" s="12" t="str">
        <f aca="false">INDEX('Country Tiers'!$C$2:$C$37,MATCH(C477,'Country Tiers'!$A$2:$A$37,0))</f>
        <v>Tier 3</v>
      </c>
      <c r="E477" s="12" t="n">
        <f aca="false">INDEX('Country Tiers'!$D$2:$D$37,MATCH(C477,'Country Tiers'!$A$2:$A$37,0))</f>
        <v>1</v>
      </c>
    </row>
    <row r="478" customFormat="false" ht="15" hidden="false" customHeight="false" outlineLevel="0" collapsed="false">
      <c r="A478" s="12" t="s">
        <v>62</v>
      </c>
      <c r="B478" s="12" t="s">
        <v>47</v>
      </c>
      <c r="C478" s="12" t="s">
        <v>289</v>
      </c>
      <c r="D478" s="12" t="str">
        <f aca="false">INDEX('Country Tiers'!$C$2:$C$37,MATCH(C478,'Country Tiers'!$A$2:$A$37,0))</f>
        <v>Tier 3</v>
      </c>
      <c r="E478" s="12" t="n">
        <f aca="false">INDEX('Country Tiers'!$D$2:$D$37,MATCH(C478,'Country Tiers'!$A$2:$A$37,0))</f>
        <v>1</v>
      </c>
    </row>
    <row r="479" customFormat="false" ht="15" hidden="false" customHeight="false" outlineLevel="0" collapsed="false">
      <c r="A479" s="12" t="s">
        <v>62</v>
      </c>
      <c r="B479" s="12" t="s">
        <v>47</v>
      </c>
      <c r="C479" s="12" t="s">
        <v>290</v>
      </c>
      <c r="D479" s="12" t="str">
        <f aca="false">INDEX('Country Tiers'!$C$2:$C$37,MATCH(C479,'Country Tiers'!$A$2:$A$37,0))</f>
        <v>Tier 3</v>
      </c>
      <c r="E479" s="12" t="n">
        <f aca="false">INDEX('Country Tiers'!$D$2:$D$37,MATCH(C479,'Country Tiers'!$A$2:$A$37,0))</f>
        <v>1</v>
      </c>
    </row>
    <row r="480" customFormat="false" ht="15" hidden="false" customHeight="false" outlineLevel="0" collapsed="false">
      <c r="A480" s="12" t="s">
        <v>62</v>
      </c>
      <c r="B480" s="12" t="s">
        <v>47</v>
      </c>
      <c r="C480" s="12" t="s">
        <v>291</v>
      </c>
      <c r="D480" s="12" t="str">
        <f aca="false">INDEX('Country Tiers'!$C$2:$C$37,MATCH(C480,'Country Tiers'!$A$2:$A$37,0))</f>
        <v>Tier 3</v>
      </c>
      <c r="E480" s="12" t="n">
        <f aca="false">INDEX('Country Tiers'!$D$2:$D$37,MATCH(C480,'Country Tiers'!$A$2:$A$37,0))</f>
        <v>1</v>
      </c>
    </row>
    <row r="481" customFormat="false" ht="15" hidden="false" customHeight="false" outlineLevel="0" collapsed="false">
      <c r="A481" s="12" t="s">
        <v>62</v>
      </c>
      <c r="B481" s="12" t="s">
        <v>47</v>
      </c>
      <c r="C481" s="12" t="s">
        <v>292</v>
      </c>
      <c r="D481" s="12" t="str">
        <f aca="false">INDEX('Country Tiers'!$C$2:$C$37,MATCH(C481,'Country Tiers'!$A$2:$A$37,0))</f>
        <v>Tier 2</v>
      </c>
      <c r="E481" s="12" t="n">
        <f aca="false">INDEX('Country Tiers'!$D$2:$D$37,MATCH(C481,'Country Tiers'!$A$2:$A$37,0))</f>
        <v>2</v>
      </c>
    </row>
    <row r="482" customFormat="false" ht="15" hidden="false" customHeight="false" outlineLevel="0" collapsed="false">
      <c r="A482" s="12" t="s">
        <v>62</v>
      </c>
      <c r="B482" s="12" t="s">
        <v>47</v>
      </c>
      <c r="C482" s="12" t="s">
        <v>293</v>
      </c>
      <c r="D482" s="12" t="str">
        <f aca="false">INDEX('Country Tiers'!$C$2:$C$37,MATCH(C482,'Country Tiers'!$A$2:$A$37,0))</f>
        <v>Tier 3</v>
      </c>
      <c r="E482" s="12" t="n">
        <f aca="false">INDEX('Country Tiers'!$D$2:$D$37,MATCH(C482,'Country Tiers'!$A$2:$A$37,0))</f>
        <v>1</v>
      </c>
    </row>
    <row r="483" customFormat="false" ht="15" hidden="false" customHeight="false" outlineLevel="0" collapsed="false">
      <c r="A483" s="12" t="s">
        <v>62</v>
      </c>
      <c r="B483" s="12" t="s">
        <v>47</v>
      </c>
      <c r="C483" s="12" t="s">
        <v>294</v>
      </c>
      <c r="D483" s="12" t="str">
        <f aca="false">INDEX('Country Tiers'!$C$2:$C$37,MATCH(C483,'Country Tiers'!$A$2:$A$37,0))</f>
        <v>Tier 3</v>
      </c>
      <c r="E483" s="12" t="n">
        <f aca="false">INDEX('Country Tiers'!$D$2:$D$37,MATCH(C483,'Country Tiers'!$A$2:$A$37,0))</f>
        <v>1</v>
      </c>
    </row>
    <row r="484" customFormat="false" ht="15" hidden="false" customHeight="false" outlineLevel="0" collapsed="false">
      <c r="A484" s="12" t="s">
        <v>62</v>
      </c>
      <c r="B484" s="12" t="s">
        <v>47</v>
      </c>
      <c r="C484" s="12" t="s">
        <v>296</v>
      </c>
      <c r="D484" s="12" t="str">
        <f aca="false">INDEX('Country Tiers'!$C$2:$C$37,MATCH(C484,'Country Tiers'!$A$2:$A$37,0))</f>
        <v>Tier 3</v>
      </c>
      <c r="E484" s="12" t="n">
        <f aca="false">INDEX('Country Tiers'!$D$2:$D$37,MATCH(C484,'Country Tiers'!$A$2:$A$37,0))</f>
        <v>1</v>
      </c>
    </row>
    <row r="485" customFormat="false" ht="15" hidden="false" customHeight="false" outlineLevel="0" collapsed="false">
      <c r="A485" s="12" t="s">
        <v>62</v>
      </c>
      <c r="B485" s="12" t="s">
        <v>47</v>
      </c>
      <c r="C485" s="12" t="s">
        <v>297</v>
      </c>
      <c r="D485" s="12" t="str">
        <f aca="false">INDEX('Country Tiers'!$C$2:$C$37,MATCH(C485,'Country Tiers'!$A$2:$A$37,0))</f>
        <v>Tier 2</v>
      </c>
      <c r="E485" s="12" t="n">
        <f aca="false">INDEX('Country Tiers'!$D$2:$D$37,MATCH(C485,'Country Tiers'!$A$2:$A$37,0))</f>
        <v>2</v>
      </c>
    </row>
    <row r="486" customFormat="false" ht="15" hidden="false" customHeight="false" outlineLevel="0" collapsed="false">
      <c r="A486" s="12" t="s">
        <v>62</v>
      </c>
      <c r="B486" s="12" t="s">
        <v>47</v>
      </c>
      <c r="C486" s="12" t="s">
        <v>298</v>
      </c>
      <c r="D486" s="12" t="str">
        <f aca="false">INDEX('Country Tiers'!$C$2:$C$37,MATCH(C486,'Country Tiers'!$A$2:$A$37,0))</f>
        <v>Tier 1</v>
      </c>
      <c r="E486" s="12" t="n">
        <f aca="false">INDEX('Country Tiers'!$D$2:$D$37,MATCH(C486,'Country Tiers'!$A$2:$A$37,0))</f>
        <v>3</v>
      </c>
    </row>
    <row r="487" customFormat="false" ht="15" hidden="false" customHeight="false" outlineLevel="0" collapsed="false">
      <c r="A487" s="12" t="s">
        <v>62</v>
      </c>
      <c r="B487" s="12" t="s">
        <v>47</v>
      </c>
      <c r="C487" s="12" t="s">
        <v>299</v>
      </c>
      <c r="D487" s="12" t="str">
        <f aca="false">INDEX('Country Tiers'!$C$2:$C$37,MATCH(C487,'Country Tiers'!$A$2:$A$37,0))</f>
        <v>Tier 3</v>
      </c>
      <c r="E487" s="12" t="n">
        <f aca="false">INDEX('Country Tiers'!$D$2:$D$37,MATCH(C487,'Country Tiers'!$A$2:$A$37,0))</f>
        <v>1</v>
      </c>
    </row>
    <row r="488" customFormat="false" ht="15" hidden="false" customHeight="false" outlineLevel="0" collapsed="false">
      <c r="A488" s="12" t="s">
        <v>62</v>
      </c>
      <c r="B488" s="12" t="s">
        <v>47</v>
      </c>
      <c r="C488" s="12" t="s">
        <v>300</v>
      </c>
      <c r="D488" s="12" t="str">
        <f aca="false">INDEX('Country Tiers'!$C$2:$C$37,MATCH(C488,'Country Tiers'!$A$2:$A$37,0))</f>
        <v>Tier 3</v>
      </c>
      <c r="E488" s="12" t="n">
        <f aca="false">INDEX('Country Tiers'!$D$2:$D$37,MATCH(C488,'Country Tiers'!$A$2:$A$37,0))</f>
        <v>1</v>
      </c>
    </row>
    <row r="489" customFormat="false" ht="15" hidden="false" customHeight="false" outlineLevel="0" collapsed="false">
      <c r="A489" s="12" t="s">
        <v>62</v>
      </c>
      <c r="B489" s="12" t="s">
        <v>47</v>
      </c>
      <c r="C489" s="12" t="s">
        <v>301</v>
      </c>
      <c r="D489" s="12" t="str">
        <f aca="false">INDEX('Country Tiers'!$C$2:$C$37,MATCH(C489,'Country Tiers'!$A$2:$A$37,0))</f>
        <v>Tier 3</v>
      </c>
      <c r="E489" s="12" t="n">
        <f aca="false">INDEX('Country Tiers'!$D$2:$D$37,MATCH(C489,'Country Tiers'!$A$2:$A$37,0))</f>
        <v>1</v>
      </c>
    </row>
    <row r="490" customFormat="false" ht="15" hidden="false" customHeight="false" outlineLevel="0" collapsed="false">
      <c r="A490" s="12" t="s">
        <v>62</v>
      </c>
      <c r="B490" s="12" t="s">
        <v>47</v>
      </c>
      <c r="C490" s="12" t="s">
        <v>302</v>
      </c>
      <c r="D490" s="12" t="str">
        <f aca="false">INDEX('Country Tiers'!$C$2:$C$37,MATCH(C490,'Country Tiers'!$A$2:$A$37,0))</f>
        <v>Tier 3</v>
      </c>
      <c r="E490" s="12" t="n">
        <f aca="false">INDEX('Country Tiers'!$D$2:$D$37,MATCH(C490,'Country Tiers'!$A$2:$A$37,0))</f>
        <v>1</v>
      </c>
    </row>
    <row r="491" customFormat="false" ht="15" hidden="false" customHeight="false" outlineLevel="0" collapsed="false">
      <c r="A491" s="12" t="s">
        <v>62</v>
      </c>
      <c r="B491" s="12" t="s">
        <v>47</v>
      </c>
      <c r="C491" s="12" t="s">
        <v>305</v>
      </c>
      <c r="D491" s="12" t="str">
        <f aca="false">INDEX('Country Tiers'!$C$2:$C$37,MATCH(C491,'Country Tiers'!$A$2:$A$37,0))</f>
        <v>Tier 3</v>
      </c>
      <c r="E491" s="12" t="n">
        <f aca="false">INDEX('Country Tiers'!$D$2:$D$37,MATCH(C491,'Country Tiers'!$A$2:$A$37,0))</f>
        <v>1</v>
      </c>
    </row>
    <row r="492" customFormat="false" ht="15" hidden="false" customHeight="false" outlineLevel="0" collapsed="false">
      <c r="A492" s="12" t="s">
        <v>62</v>
      </c>
      <c r="B492" s="12" t="s">
        <v>47</v>
      </c>
      <c r="C492" s="12" t="s">
        <v>306</v>
      </c>
      <c r="D492" s="12" t="str">
        <f aca="false">INDEX('Country Tiers'!$C$2:$C$37,MATCH(C492,'Country Tiers'!$A$2:$A$37,0))</f>
        <v>Tier 3</v>
      </c>
      <c r="E492" s="12" t="n">
        <f aca="false">INDEX('Country Tiers'!$D$2:$D$37,MATCH(C492,'Country Tiers'!$A$2:$A$37,0))</f>
        <v>1</v>
      </c>
    </row>
    <row r="493" customFormat="false" ht="15" hidden="false" customHeight="false" outlineLevel="0" collapsed="false">
      <c r="A493" s="12" t="s">
        <v>62</v>
      </c>
      <c r="B493" s="12" t="s">
        <v>47</v>
      </c>
      <c r="C493" s="12" t="s">
        <v>307</v>
      </c>
      <c r="D493" s="12" t="str">
        <f aca="false">INDEX('Country Tiers'!$C$2:$C$37,MATCH(C493,'Country Tiers'!$A$2:$A$37,0))</f>
        <v>Tier 2</v>
      </c>
      <c r="E493" s="12" t="n">
        <f aca="false">INDEX('Country Tiers'!$D$2:$D$37,MATCH(C493,'Country Tiers'!$A$2:$A$37,0))</f>
        <v>2</v>
      </c>
    </row>
    <row r="494" customFormat="false" ht="15" hidden="false" customHeight="false" outlineLevel="0" collapsed="false">
      <c r="A494" s="12" t="s">
        <v>62</v>
      </c>
      <c r="B494" s="12" t="s">
        <v>47</v>
      </c>
      <c r="C494" s="12" t="s">
        <v>308</v>
      </c>
      <c r="D494" s="12" t="str">
        <f aca="false">INDEX('Country Tiers'!$C$2:$C$37,MATCH(C494,'Country Tiers'!$A$2:$A$37,0))</f>
        <v>Tier 3</v>
      </c>
      <c r="E494" s="12" t="n">
        <f aca="false">INDEX('Country Tiers'!$D$2:$D$37,MATCH(C494,'Country Tiers'!$A$2:$A$37,0))</f>
        <v>1</v>
      </c>
    </row>
    <row r="495" customFormat="false" ht="15" hidden="false" customHeight="false" outlineLevel="0" collapsed="false">
      <c r="A495" s="12" t="s">
        <v>62</v>
      </c>
      <c r="B495" s="12" t="s">
        <v>47</v>
      </c>
      <c r="C495" s="12" t="s">
        <v>309</v>
      </c>
      <c r="D495" s="12" t="str">
        <f aca="false">INDEX('Country Tiers'!$C$2:$C$37,MATCH(C495,'Country Tiers'!$A$2:$A$37,0))</f>
        <v>Tier 1</v>
      </c>
      <c r="E495" s="12" t="n">
        <f aca="false">INDEX('Country Tiers'!$D$2:$D$37,MATCH(C495,'Country Tiers'!$A$2:$A$37,0))</f>
        <v>3</v>
      </c>
    </row>
    <row r="496" customFormat="false" ht="15" hidden="false" customHeight="false" outlineLevel="0" collapsed="false">
      <c r="A496" s="12" t="s">
        <v>62</v>
      </c>
      <c r="B496" s="12" t="s">
        <v>47</v>
      </c>
      <c r="C496" s="12" t="s">
        <v>311</v>
      </c>
      <c r="D496" s="12" t="str">
        <f aca="false">INDEX('Country Tiers'!$C$2:$C$37,MATCH(C496,'Country Tiers'!$A$2:$A$37,0))</f>
        <v>Tier 1</v>
      </c>
      <c r="E496" s="12" t="n">
        <f aca="false">INDEX('Country Tiers'!$D$2:$D$37,MATCH(C496,'Country Tiers'!$A$2:$A$37,0))</f>
        <v>3</v>
      </c>
    </row>
    <row r="497" customFormat="false" ht="15" hidden="false" customHeight="false" outlineLevel="0" collapsed="false">
      <c r="A497" s="12" t="s">
        <v>62</v>
      </c>
      <c r="B497" s="12" t="s">
        <v>47</v>
      </c>
      <c r="C497" s="12" t="s">
        <v>313</v>
      </c>
      <c r="D497" s="12" t="str">
        <f aca="false">INDEX('Country Tiers'!$C$2:$C$37,MATCH(C497,'Country Tiers'!$A$2:$A$37,0))</f>
        <v>Tier 1</v>
      </c>
      <c r="E497" s="12" t="n">
        <f aca="false">INDEX('Country Tiers'!$D$2:$D$37,MATCH(C497,'Country Tiers'!$A$2:$A$37,0))</f>
        <v>3</v>
      </c>
    </row>
    <row r="498" customFormat="false" ht="15" hidden="false" customHeight="false" outlineLevel="0" collapsed="false">
      <c r="A498" s="12" t="s">
        <v>62</v>
      </c>
      <c r="B498" s="12" t="s">
        <v>54</v>
      </c>
      <c r="C498" s="12" t="s">
        <v>303</v>
      </c>
      <c r="D498" s="12" t="str">
        <f aca="false">INDEX('Country Tiers'!$C$2:$C$37,MATCH(C498,'Country Tiers'!$A$2:$A$37,0))</f>
        <v>Tier 2</v>
      </c>
      <c r="E498" s="12" t="n">
        <f aca="false">INDEX('Country Tiers'!$D$2:$D$37,MATCH(C498,'Country Tiers'!$A$2:$A$37,0))</f>
        <v>2</v>
      </c>
    </row>
    <row r="499" customFormat="false" ht="15" hidden="false" customHeight="false" outlineLevel="0" collapsed="false">
      <c r="A499" s="12" t="s">
        <v>62</v>
      </c>
      <c r="B499" s="12" t="s">
        <v>55</v>
      </c>
      <c r="C499" s="12" t="s">
        <v>274</v>
      </c>
      <c r="D499" s="12" t="str">
        <f aca="false">INDEX('Country Tiers'!$C$2:$C$37,MATCH(C499,'Country Tiers'!$A$2:$A$37,0))</f>
        <v>Tier 3</v>
      </c>
      <c r="E499" s="12" t="n">
        <f aca="false">INDEX('Country Tiers'!$D$2:$D$37,MATCH(C499,'Country Tiers'!$A$2:$A$37,0))</f>
        <v>1</v>
      </c>
    </row>
    <row r="500" customFormat="false" ht="15" hidden="false" customHeight="false" outlineLevel="0" collapsed="false">
      <c r="A500" s="12" t="s">
        <v>62</v>
      </c>
      <c r="B500" s="12" t="s">
        <v>55</v>
      </c>
      <c r="C500" s="12" t="s">
        <v>277</v>
      </c>
      <c r="D500" s="12" t="str">
        <f aca="false">INDEX('Country Tiers'!$C$2:$C$37,MATCH(C500,'Country Tiers'!$A$2:$A$37,0))</f>
        <v>Tier 1</v>
      </c>
      <c r="E500" s="12" t="n">
        <f aca="false">INDEX('Country Tiers'!$D$2:$D$37,MATCH(C500,'Country Tiers'!$A$2:$A$37,0))</f>
        <v>3</v>
      </c>
    </row>
    <row r="501" customFormat="false" ht="15" hidden="false" customHeight="false" outlineLevel="0" collapsed="false">
      <c r="A501" s="12" t="s">
        <v>62</v>
      </c>
      <c r="B501" s="12" t="s">
        <v>55</v>
      </c>
      <c r="C501" s="12" t="s">
        <v>278</v>
      </c>
      <c r="D501" s="12" t="str">
        <f aca="false">INDEX('Country Tiers'!$C$2:$C$37,MATCH(C501,'Country Tiers'!$A$2:$A$37,0))</f>
        <v>Tier 3</v>
      </c>
      <c r="E501" s="12" t="n">
        <f aca="false">INDEX('Country Tiers'!$D$2:$D$37,MATCH(C501,'Country Tiers'!$A$2:$A$37,0))</f>
        <v>1</v>
      </c>
    </row>
    <row r="502" customFormat="false" ht="15" hidden="false" customHeight="false" outlineLevel="0" collapsed="false">
      <c r="A502" s="12" t="s">
        <v>62</v>
      </c>
      <c r="B502" s="12" t="s">
        <v>55</v>
      </c>
      <c r="C502" s="12" t="s">
        <v>279</v>
      </c>
      <c r="D502" s="12" t="str">
        <f aca="false">INDEX('Country Tiers'!$C$2:$C$37,MATCH(C502,'Country Tiers'!$A$2:$A$37,0))</f>
        <v>Tier 1</v>
      </c>
      <c r="E502" s="12" t="n">
        <f aca="false">INDEX('Country Tiers'!$D$2:$D$37,MATCH(C502,'Country Tiers'!$A$2:$A$37,0))</f>
        <v>3</v>
      </c>
    </row>
    <row r="503" customFormat="false" ht="15" hidden="false" customHeight="false" outlineLevel="0" collapsed="false">
      <c r="A503" s="12" t="s">
        <v>62</v>
      </c>
      <c r="B503" s="12" t="s">
        <v>55</v>
      </c>
      <c r="C503" s="12" t="s">
        <v>280</v>
      </c>
      <c r="D503" s="12" t="str">
        <f aca="false">INDEX('Country Tiers'!$C$2:$C$37,MATCH(C503,'Country Tiers'!$A$2:$A$37,0))</f>
        <v>Tier 3</v>
      </c>
      <c r="E503" s="12" t="n">
        <f aca="false">INDEX('Country Tiers'!$D$2:$D$37,MATCH(C503,'Country Tiers'!$A$2:$A$37,0))</f>
        <v>1</v>
      </c>
    </row>
    <row r="504" customFormat="false" ht="15" hidden="false" customHeight="false" outlineLevel="0" collapsed="false">
      <c r="A504" s="12" t="s">
        <v>62</v>
      </c>
      <c r="B504" s="12" t="s">
        <v>55</v>
      </c>
      <c r="C504" s="12" t="s">
        <v>281</v>
      </c>
      <c r="D504" s="12" t="str">
        <f aca="false">INDEX('Country Tiers'!$C$2:$C$37,MATCH(C504,'Country Tiers'!$A$2:$A$37,0))</f>
        <v>Tier 3</v>
      </c>
      <c r="E504" s="12" t="n">
        <f aca="false">INDEX('Country Tiers'!$D$2:$D$37,MATCH(C504,'Country Tiers'!$A$2:$A$37,0))</f>
        <v>1</v>
      </c>
    </row>
    <row r="505" customFormat="false" ht="15" hidden="false" customHeight="false" outlineLevel="0" collapsed="false">
      <c r="A505" s="12" t="s">
        <v>62</v>
      </c>
      <c r="B505" s="12" t="s">
        <v>55</v>
      </c>
      <c r="C505" s="12" t="s">
        <v>282</v>
      </c>
      <c r="D505" s="12" t="str">
        <f aca="false">INDEX('Country Tiers'!$C$2:$C$37,MATCH(C505,'Country Tiers'!$A$2:$A$37,0))</f>
        <v>Tier 3</v>
      </c>
      <c r="E505" s="12" t="n">
        <f aca="false">INDEX('Country Tiers'!$D$2:$D$37,MATCH(C505,'Country Tiers'!$A$2:$A$37,0))</f>
        <v>1</v>
      </c>
    </row>
    <row r="506" customFormat="false" ht="15" hidden="false" customHeight="false" outlineLevel="0" collapsed="false">
      <c r="A506" s="12" t="s">
        <v>62</v>
      </c>
      <c r="B506" s="12" t="s">
        <v>55</v>
      </c>
      <c r="C506" s="12" t="s">
        <v>283</v>
      </c>
      <c r="D506" s="12" t="str">
        <f aca="false">INDEX('Country Tiers'!$C$2:$C$37,MATCH(C506,'Country Tiers'!$A$2:$A$37,0))</f>
        <v>Tier 3</v>
      </c>
      <c r="E506" s="12" t="n">
        <f aca="false">INDEX('Country Tiers'!$D$2:$D$37,MATCH(C506,'Country Tiers'!$A$2:$A$37,0))</f>
        <v>1</v>
      </c>
    </row>
    <row r="507" customFormat="false" ht="15" hidden="false" customHeight="false" outlineLevel="0" collapsed="false">
      <c r="A507" s="12" t="s">
        <v>62</v>
      </c>
      <c r="B507" s="12" t="s">
        <v>55</v>
      </c>
      <c r="C507" s="12" t="s">
        <v>285</v>
      </c>
      <c r="D507" s="12" t="str">
        <f aca="false">INDEX('Country Tiers'!$C$2:$C$37,MATCH(C507,'Country Tiers'!$A$2:$A$37,0))</f>
        <v>Tier 3</v>
      </c>
      <c r="E507" s="12" t="n">
        <f aca="false">INDEX('Country Tiers'!$D$2:$D$37,MATCH(C507,'Country Tiers'!$A$2:$A$37,0))</f>
        <v>1</v>
      </c>
    </row>
    <row r="508" customFormat="false" ht="15" hidden="false" customHeight="false" outlineLevel="0" collapsed="false">
      <c r="A508" s="12" t="s">
        <v>62</v>
      </c>
      <c r="B508" s="12" t="s">
        <v>55</v>
      </c>
      <c r="C508" s="12" t="s">
        <v>286</v>
      </c>
      <c r="D508" s="12" t="str">
        <f aca="false">INDEX('Country Tiers'!$C$2:$C$37,MATCH(C508,'Country Tiers'!$A$2:$A$37,0))</f>
        <v>Tier 1</v>
      </c>
      <c r="E508" s="12" t="n">
        <f aca="false">INDEX('Country Tiers'!$D$2:$D$37,MATCH(C508,'Country Tiers'!$A$2:$A$37,0))</f>
        <v>3</v>
      </c>
    </row>
    <row r="509" customFormat="false" ht="15" hidden="false" customHeight="false" outlineLevel="0" collapsed="false">
      <c r="A509" s="12" t="s">
        <v>62</v>
      </c>
      <c r="B509" s="12" t="s">
        <v>55</v>
      </c>
      <c r="C509" s="12" t="s">
        <v>287</v>
      </c>
      <c r="D509" s="12" t="str">
        <f aca="false">INDEX('Country Tiers'!$C$2:$C$37,MATCH(C509,'Country Tiers'!$A$2:$A$37,0))</f>
        <v>Tier 1</v>
      </c>
      <c r="E509" s="12" t="n">
        <f aca="false">INDEX('Country Tiers'!$D$2:$D$37,MATCH(C509,'Country Tiers'!$A$2:$A$37,0))</f>
        <v>3</v>
      </c>
    </row>
    <row r="510" customFormat="false" ht="15" hidden="false" customHeight="false" outlineLevel="0" collapsed="false">
      <c r="A510" s="12" t="s">
        <v>62</v>
      </c>
      <c r="B510" s="12" t="s">
        <v>55</v>
      </c>
      <c r="C510" s="12" t="s">
        <v>288</v>
      </c>
      <c r="D510" s="12" t="str">
        <f aca="false">INDEX('Country Tiers'!$C$2:$C$37,MATCH(C510,'Country Tiers'!$A$2:$A$37,0))</f>
        <v>Tier 3</v>
      </c>
      <c r="E510" s="12" t="n">
        <f aca="false">INDEX('Country Tiers'!$D$2:$D$37,MATCH(C510,'Country Tiers'!$A$2:$A$37,0))</f>
        <v>1</v>
      </c>
    </row>
    <row r="511" customFormat="false" ht="15" hidden="false" customHeight="false" outlineLevel="0" collapsed="false">
      <c r="A511" s="12" t="s">
        <v>62</v>
      </c>
      <c r="B511" s="12" t="s">
        <v>55</v>
      </c>
      <c r="C511" s="12" t="s">
        <v>289</v>
      </c>
      <c r="D511" s="12" t="str">
        <f aca="false">INDEX('Country Tiers'!$C$2:$C$37,MATCH(C511,'Country Tiers'!$A$2:$A$37,0))</f>
        <v>Tier 3</v>
      </c>
      <c r="E511" s="12" t="n">
        <f aca="false">INDEX('Country Tiers'!$D$2:$D$37,MATCH(C511,'Country Tiers'!$A$2:$A$37,0))</f>
        <v>1</v>
      </c>
    </row>
    <row r="512" customFormat="false" ht="15" hidden="false" customHeight="false" outlineLevel="0" collapsed="false">
      <c r="A512" s="12" t="s">
        <v>62</v>
      </c>
      <c r="B512" s="12" t="s">
        <v>55</v>
      </c>
      <c r="C512" s="12" t="s">
        <v>290</v>
      </c>
      <c r="D512" s="12" t="str">
        <f aca="false">INDEX('Country Tiers'!$C$2:$C$37,MATCH(C512,'Country Tiers'!$A$2:$A$37,0))</f>
        <v>Tier 3</v>
      </c>
      <c r="E512" s="12" t="n">
        <f aca="false">INDEX('Country Tiers'!$D$2:$D$37,MATCH(C512,'Country Tiers'!$A$2:$A$37,0))</f>
        <v>1</v>
      </c>
    </row>
    <row r="513" customFormat="false" ht="15" hidden="false" customHeight="false" outlineLevel="0" collapsed="false">
      <c r="A513" s="12" t="s">
        <v>62</v>
      </c>
      <c r="B513" s="12" t="s">
        <v>55</v>
      </c>
      <c r="C513" s="12" t="s">
        <v>291</v>
      </c>
      <c r="D513" s="12" t="str">
        <f aca="false">INDEX('Country Tiers'!$C$2:$C$37,MATCH(C513,'Country Tiers'!$A$2:$A$37,0))</f>
        <v>Tier 3</v>
      </c>
      <c r="E513" s="12" t="n">
        <f aca="false">INDEX('Country Tiers'!$D$2:$D$37,MATCH(C513,'Country Tiers'!$A$2:$A$37,0))</f>
        <v>1</v>
      </c>
    </row>
    <row r="514" customFormat="false" ht="15" hidden="false" customHeight="false" outlineLevel="0" collapsed="false">
      <c r="A514" s="12" t="s">
        <v>62</v>
      </c>
      <c r="B514" s="12" t="s">
        <v>55</v>
      </c>
      <c r="C514" s="12" t="s">
        <v>292</v>
      </c>
      <c r="D514" s="12" t="str">
        <f aca="false">INDEX('Country Tiers'!$C$2:$C$37,MATCH(C514,'Country Tiers'!$A$2:$A$37,0))</f>
        <v>Tier 2</v>
      </c>
      <c r="E514" s="12" t="n">
        <f aca="false">INDEX('Country Tiers'!$D$2:$D$37,MATCH(C514,'Country Tiers'!$A$2:$A$37,0))</f>
        <v>2</v>
      </c>
    </row>
    <row r="515" customFormat="false" ht="15" hidden="false" customHeight="false" outlineLevel="0" collapsed="false">
      <c r="A515" s="12" t="s">
        <v>62</v>
      </c>
      <c r="B515" s="12" t="s">
        <v>55</v>
      </c>
      <c r="C515" s="12" t="s">
        <v>293</v>
      </c>
      <c r="D515" s="12" t="str">
        <f aca="false">INDEX('Country Tiers'!$C$2:$C$37,MATCH(C515,'Country Tiers'!$A$2:$A$37,0))</f>
        <v>Tier 3</v>
      </c>
      <c r="E515" s="12" t="n">
        <f aca="false">INDEX('Country Tiers'!$D$2:$D$37,MATCH(C515,'Country Tiers'!$A$2:$A$37,0))</f>
        <v>1</v>
      </c>
    </row>
    <row r="516" customFormat="false" ht="15" hidden="false" customHeight="false" outlineLevel="0" collapsed="false">
      <c r="A516" s="12" t="s">
        <v>62</v>
      </c>
      <c r="B516" s="12" t="s">
        <v>55</v>
      </c>
      <c r="C516" s="12" t="s">
        <v>294</v>
      </c>
      <c r="D516" s="12" t="str">
        <f aca="false">INDEX('Country Tiers'!$C$2:$C$37,MATCH(C516,'Country Tiers'!$A$2:$A$37,0))</f>
        <v>Tier 3</v>
      </c>
      <c r="E516" s="12" t="n">
        <f aca="false">INDEX('Country Tiers'!$D$2:$D$37,MATCH(C516,'Country Tiers'!$A$2:$A$37,0))</f>
        <v>1</v>
      </c>
    </row>
    <row r="517" customFormat="false" ht="15" hidden="false" customHeight="false" outlineLevel="0" collapsed="false">
      <c r="A517" s="12" t="s">
        <v>62</v>
      </c>
      <c r="B517" s="12" t="s">
        <v>55</v>
      </c>
      <c r="C517" s="12" t="s">
        <v>296</v>
      </c>
      <c r="D517" s="12" t="str">
        <f aca="false">INDEX('Country Tiers'!$C$2:$C$37,MATCH(C517,'Country Tiers'!$A$2:$A$37,0))</f>
        <v>Tier 3</v>
      </c>
      <c r="E517" s="12" t="n">
        <f aca="false">INDEX('Country Tiers'!$D$2:$D$37,MATCH(C517,'Country Tiers'!$A$2:$A$37,0))</f>
        <v>1</v>
      </c>
    </row>
    <row r="518" customFormat="false" ht="15" hidden="false" customHeight="false" outlineLevel="0" collapsed="false">
      <c r="A518" s="12" t="s">
        <v>62</v>
      </c>
      <c r="B518" s="12" t="s">
        <v>55</v>
      </c>
      <c r="C518" s="12" t="s">
        <v>297</v>
      </c>
      <c r="D518" s="12" t="str">
        <f aca="false">INDEX('Country Tiers'!$C$2:$C$37,MATCH(C518,'Country Tiers'!$A$2:$A$37,0))</f>
        <v>Tier 2</v>
      </c>
      <c r="E518" s="12" t="n">
        <f aca="false">INDEX('Country Tiers'!$D$2:$D$37,MATCH(C518,'Country Tiers'!$A$2:$A$37,0))</f>
        <v>2</v>
      </c>
    </row>
    <row r="519" customFormat="false" ht="15" hidden="false" customHeight="false" outlineLevel="0" collapsed="false">
      <c r="A519" s="12" t="s">
        <v>62</v>
      </c>
      <c r="B519" s="12" t="s">
        <v>55</v>
      </c>
      <c r="C519" s="12" t="s">
        <v>298</v>
      </c>
      <c r="D519" s="12" t="str">
        <f aca="false">INDEX('Country Tiers'!$C$2:$C$37,MATCH(C519,'Country Tiers'!$A$2:$A$37,0))</f>
        <v>Tier 1</v>
      </c>
      <c r="E519" s="12" t="n">
        <f aca="false">INDEX('Country Tiers'!$D$2:$D$37,MATCH(C519,'Country Tiers'!$A$2:$A$37,0))</f>
        <v>3</v>
      </c>
    </row>
    <row r="520" customFormat="false" ht="15" hidden="false" customHeight="false" outlineLevel="0" collapsed="false">
      <c r="A520" s="12" t="s">
        <v>62</v>
      </c>
      <c r="B520" s="12" t="s">
        <v>55</v>
      </c>
      <c r="C520" s="12" t="s">
        <v>299</v>
      </c>
      <c r="D520" s="12" t="str">
        <f aca="false">INDEX('Country Tiers'!$C$2:$C$37,MATCH(C520,'Country Tiers'!$A$2:$A$37,0))</f>
        <v>Tier 3</v>
      </c>
      <c r="E520" s="12" t="n">
        <f aca="false">INDEX('Country Tiers'!$D$2:$D$37,MATCH(C520,'Country Tiers'!$A$2:$A$37,0))</f>
        <v>1</v>
      </c>
    </row>
    <row r="521" customFormat="false" ht="15" hidden="false" customHeight="false" outlineLevel="0" collapsed="false">
      <c r="A521" s="12" t="s">
        <v>62</v>
      </c>
      <c r="B521" s="12" t="s">
        <v>55</v>
      </c>
      <c r="C521" s="12" t="s">
        <v>300</v>
      </c>
      <c r="D521" s="12" t="str">
        <f aca="false">INDEX('Country Tiers'!$C$2:$C$37,MATCH(C521,'Country Tiers'!$A$2:$A$37,0))</f>
        <v>Tier 3</v>
      </c>
      <c r="E521" s="12" t="n">
        <f aca="false">INDEX('Country Tiers'!$D$2:$D$37,MATCH(C521,'Country Tiers'!$A$2:$A$37,0))</f>
        <v>1</v>
      </c>
    </row>
    <row r="522" customFormat="false" ht="15" hidden="false" customHeight="false" outlineLevel="0" collapsed="false">
      <c r="A522" s="12" t="s">
        <v>62</v>
      </c>
      <c r="B522" s="12" t="s">
        <v>55</v>
      </c>
      <c r="C522" s="12" t="s">
        <v>301</v>
      </c>
      <c r="D522" s="12" t="str">
        <f aca="false">INDEX('Country Tiers'!$C$2:$C$37,MATCH(C522,'Country Tiers'!$A$2:$A$37,0))</f>
        <v>Tier 3</v>
      </c>
      <c r="E522" s="12" t="n">
        <f aca="false">INDEX('Country Tiers'!$D$2:$D$37,MATCH(C522,'Country Tiers'!$A$2:$A$37,0))</f>
        <v>1</v>
      </c>
    </row>
    <row r="523" customFormat="false" ht="15" hidden="false" customHeight="false" outlineLevel="0" collapsed="false">
      <c r="A523" s="12" t="s">
        <v>62</v>
      </c>
      <c r="B523" s="12" t="s">
        <v>55</v>
      </c>
      <c r="C523" s="12" t="s">
        <v>302</v>
      </c>
      <c r="D523" s="12" t="str">
        <f aca="false">INDEX('Country Tiers'!$C$2:$C$37,MATCH(C523,'Country Tiers'!$A$2:$A$37,0))</f>
        <v>Tier 3</v>
      </c>
      <c r="E523" s="12" t="n">
        <f aca="false">INDEX('Country Tiers'!$D$2:$D$37,MATCH(C523,'Country Tiers'!$A$2:$A$37,0))</f>
        <v>1</v>
      </c>
    </row>
    <row r="524" customFormat="false" ht="15" hidden="false" customHeight="false" outlineLevel="0" collapsed="false">
      <c r="A524" s="12" t="s">
        <v>62</v>
      </c>
      <c r="B524" s="12" t="s">
        <v>55</v>
      </c>
      <c r="C524" s="12" t="s">
        <v>303</v>
      </c>
      <c r="D524" s="12" t="str">
        <f aca="false">INDEX('Country Tiers'!$C$2:$C$37,MATCH(C524,'Country Tiers'!$A$2:$A$37,0))</f>
        <v>Tier 2</v>
      </c>
      <c r="E524" s="12" t="n">
        <f aca="false">INDEX('Country Tiers'!$D$2:$D$37,MATCH(C524,'Country Tiers'!$A$2:$A$37,0))</f>
        <v>2</v>
      </c>
    </row>
    <row r="525" customFormat="false" ht="15" hidden="false" customHeight="false" outlineLevel="0" collapsed="false">
      <c r="A525" s="12" t="s">
        <v>62</v>
      </c>
      <c r="B525" s="12" t="s">
        <v>55</v>
      </c>
      <c r="C525" s="12" t="s">
        <v>305</v>
      </c>
      <c r="D525" s="12" t="str">
        <f aca="false">INDEX('Country Tiers'!$C$2:$C$37,MATCH(C525,'Country Tiers'!$A$2:$A$37,0))</f>
        <v>Tier 3</v>
      </c>
      <c r="E525" s="12" t="n">
        <f aca="false">INDEX('Country Tiers'!$D$2:$D$37,MATCH(C525,'Country Tiers'!$A$2:$A$37,0))</f>
        <v>1</v>
      </c>
    </row>
    <row r="526" customFormat="false" ht="15" hidden="false" customHeight="false" outlineLevel="0" collapsed="false">
      <c r="A526" s="12" t="s">
        <v>62</v>
      </c>
      <c r="B526" s="12" t="s">
        <v>55</v>
      </c>
      <c r="C526" s="12" t="s">
        <v>306</v>
      </c>
      <c r="D526" s="12" t="str">
        <f aca="false">INDEX('Country Tiers'!$C$2:$C$37,MATCH(C526,'Country Tiers'!$A$2:$A$37,0))</f>
        <v>Tier 3</v>
      </c>
      <c r="E526" s="12" t="n">
        <f aca="false">INDEX('Country Tiers'!$D$2:$D$37,MATCH(C526,'Country Tiers'!$A$2:$A$37,0))</f>
        <v>1</v>
      </c>
    </row>
    <row r="527" customFormat="false" ht="15" hidden="false" customHeight="false" outlineLevel="0" collapsed="false">
      <c r="A527" s="12" t="s">
        <v>62</v>
      </c>
      <c r="B527" s="12" t="s">
        <v>55</v>
      </c>
      <c r="C527" s="12" t="s">
        <v>307</v>
      </c>
      <c r="D527" s="12" t="str">
        <f aca="false">INDEX('Country Tiers'!$C$2:$C$37,MATCH(C527,'Country Tiers'!$A$2:$A$37,0))</f>
        <v>Tier 2</v>
      </c>
      <c r="E527" s="12" t="n">
        <f aca="false">INDEX('Country Tiers'!$D$2:$D$37,MATCH(C527,'Country Tiers'!$A$2:$A$37,0))</f>
        <v>2</v>
      </c>
    </row>
    <row r="528" customFormat="false" ht="15" hidden="false" customHeight="false" outlineLevel="0" collapsed="false">
      <c r="A528" s="12" t="s">
        <v>62</v>
      </c>
      <c r="B528" s="12" t="s">
        <v>55</v>
      </c>
      <c r="C528" s="12" t="s">
        <v>308</v>
      </c>
      <c r="D528" s="12" t="str">
        <f aca="false">INDEX('Country Tiers'!$C$2:$C$37,MATCH(C528,'Country Tiers'!$A$2:$A$37,0))</f>
        <v>Tier 3</v>
      </c>
      <c r="E528" s="12" t="n">
        <f aca="false">INDEX('Country Tiers'!$D$2:$D$37,MATCH(C528,'Country Tiers'!$A$2:$A$37,0))</f>
        <v>1</v>
      </c>
    </row>
    <row r="529" customFormat="false" ht="15" hidden="false" customHeight="false" outlineLevel="0" collapsed="false">
      <c r="A529" s="12" t="s">
        <v>62</v>
      </c>
      <c r="B529" s="12" t="s">
        <v>55</v>
      </c>
      <c r="C529" s="12" t="s">
        <v>309</v>
      </c>
      <c r="D529" s="12" t="str">
        <f aca="false">INDEX('Country Tiers'!$C$2:$C$37,MATCH(C529,'Country Tiers'!$A$2:$A$37,0))</f>
        <v>Tier 1</v>
      </c>
      <c r="E529" s="12" t="n">
        <f aca="false">INDEX('Country Tiers'!$D$2:$D$37,MATCH(C529,'Country Tiers'!$A$2:$A$37,0))</f>
        <v>3</v>
      </c>
    </row>
    <row r="530" customFormat="false" ht="15" hidden="false" customHeight="false" outlineLevel="0" collapsed="false">
      <c r="A530" s="12" t="s">
        <v>62</v>
      </c>
      <c r="B530" s="12" t="s">
        <v>55</v>
      </c>
      <c r="C530" s="12" t="s">
        <v>311</v>
      </c>
      <c r="D530" s="12" t="str">
        <f aca="false">INDEX('Country Tiers'!$C$2:$C$37,MATCH(C530,'Country Tiers'!$A$2:$A$37,0))</f>
        <v>Tier 1</v>
      </c>
      <c r="E530" s="12" t="n">
        <f aca="false">INDEX('Country Tiers'!$D$2:$D$37,MATCH(C530,'Country Tiers'!$A$2:$A$37,0))</f>
        <v>3</v>
      </c>
    </row>
    <row r="531" customFormat="false" ht="15" hidden="false" customHeight="false" outlineLevel="0" collapsed="false">
      <c r="A531" s="12" t="s">
        <v>62</v>
      </c>
      <c r="B531" s="12" t="s">
        <v>55</v>
      </c>
      <c r="C531" s="12" t="s">
        <v>313</v>
      </c>
      <c r="D531" s="12" t="str">
        <f aca="false">INDEX('Country Tiers'!$C$2:$C$37,MATCH(C531,'Country Tiers'!$A$2:$A$37,0))</f>
        <v>Tier 1</v>
      </c>
      <c r="E531" s="12" t="n">
        <f aca="false">INDEX('Country Tiers'!$D$2:$D$37,MATCH(C531,'Country Tiers'!$A$2:$A$37,0))</f>
        <v>3</v>
      </c>
    </row>
    <row r="532" customFormat="false" ht="15" hidden="false" customHeight="false" outlineLevel="0" collapsed="false">
      <c r="A532" s="12" t="s">
        <v>62</v>
      </c>
      <c r="B532" s="12" t="s">
        <v>35</v>
      </c>
      <c r="C532" s="12" t="s">
        <v>274</v>
      </c>
      <c r="D532" s="12" t="str">
        <f aca="false">INDEX('Country Tiers'!$C$2:$C$37,MATCH(C532,'Country Tiers'!$A$2:$A$37,0))</f>
        <v>Tier 3</v>
      </c>
      <c r="E532" s="12" t="n">
        <f aca="false">INDEX('Country Tiers'!$D$2:$D$37,MATCH(C532,'Country Tiers'!$A$2:$A$37,0))</f>
        <v>1</v>
      </c>
    </row>
    <row r="533" customFormat="false" ht="15" hidden="false" customHeight="false" outlineLevel="0" collapsed="false">
      <c r="A533" s="12" t="s">
        <v>62</v>
      </c>
      <c r="B533" s="12" t="s">
        <v>35</v>
      </c>
      <c r="C533" s="12" t="s">
        <v>277</v>
      </c>
      <c r="D533" s="12" t="str">
        <f aca="false">INDEX('Country Tiers'!$C$2:$C$37,MATCH(C533,'Country Tiers'!$A$2:$A$37,0))</f>
        <v>Tier 1</v>
      </c>
      <c r="E533" s="12" t="n">
        <f aca="false">INDEX('Country Tiers'!$D$2:$D$37,MATCH(C533,'Country Tiers'!$A$2:$A$37,0))</f>
        <v>3</v>
      </c>
    </row>
    <row r="534" customFormat="false" ht="15" hidden="false" customHeight="false" outlineLevel="0" collapsed="false">
      <c r="A534" s="12" t="s">
        <v>62</v>
      </c>
      <c r="B534" s="12" t="s">
        <v>35</v>
      </c>
      <c r="C534" s="12" t="s">
        <v>278</v>
      </c>
      <c r="D534" s="12" t="str">
        <f aca="false">INDEX('Country Tiers'!$C$2:$C$37,MATCH(C534,'Country Tiers'!$A$2:$A$37,0))</f>
        <v>Tier 3</v>
      </c>
      <c r="E534" s="12" t="n">
        <f aca="false">INDEX('Country Tiers'!$D$2:$D$37,MATCH(C534,'Country Tiers'!$A$2:$A$37,0))</f>
        <v>1</v>
      </c>
    </row>
    <row r="535" customFormat="false" ht="15" hidden="false" customHeight="false" outlineLevel="0" collapsed="false">
      <c r="A535" s="12" t="s">
        <v>62</v>
      </c>
      <c r="B535" s="12" t="s">
        <v>35</v>
      </c>
      <c r="C535" s="12" t="s">
        <v>279</v>
      </c>
      <c r="D535" s="12" t="str">
        <f aca="false">INDEX('Country Tiers'!$C$2:$C$37,MATCH(C535,'Country Tiers'!$A$2:$A$37,0))</f>
        <v>Tier 1</v>
      </c>
      <c r="E535" s="12" t="n">
        <f aca="false">INDEX('Country Tiers'!$D$2:$D$37,MATCH(C535,'Country Tiers'!$A$2:$A$37,0))</f>
        <v>3</v>
      </c>
    </row>
    <row r="536" customFormat="false" ht="15" hidden="false" customHeight="false" outlineLevel="0" collapsed="false">
      <c r="A536" s="12" t="s">
        <v>62</v>
      </c>
      <c r="B536" s="12" t="s">
        <v>35</v>
      </c>
      <c r="C536" s="12" t="s">
        <v>280</v>
      </c>
      <c r="D536" s="12" t="str">
        <f aca="false">INDEX('Country Tiers'!$C$2:$C$37,MATCH(C536,'Country Tiers'!$A$2:$A$37,0))</f>
        <v>Tier 3</v>
      </c>
      <c r="E536" s="12" t="n">
        <f aca="false">INDEX('Country Tiers'!$D$2:$D$37,MATCH(C536,'Country Tiers'!$A$2:$A$37,0))</f>
        <v>1</v>
      </c>
    </row>
    <row r="537" customFormat="false" ht="15" hidden="false" customHeight="false" outlineLevel="0" collapsed="false">
      <c r="A537" s="12" t="s">
        <v>62</v>
      </c>
      <c r="B537" s="12" t="s">
        <v>35</v>
      </c>
      <c r="C537" s="12" t="s">
        <v>281</v>
      </c>
      <c r="D537" s="12" t="str">
        <f aca="false">INDEX('Country Tiers'!$C$2:$C$37,MATCH(C537,'Country Tiers'!$A$2:$A$37,0))</f>
        <v>Tier 3</v>
      </c>
      <c r="E537" s="12" t="n">
        <f aca="false">INDEX('Country Tiers'!$D$2:$D$37,MATCH(C537,'Country Tiers'!$A$2:$A$37,0))</f>
        <v>1</v>
      </c>
    </row>
    <row r="538" customFormat="false" ht="15" hidden="false" customHeight="false" outlineLevel="0" collapsed="false">
      <c r="A538" s="12" t="s">
        <v>62</v>
      </c>
      <c r="B538" s="12" t="s">
        <v>35</v>
      </c>
      <c r="C538" s="12" t="s">
        <v>282</v>
      </c>
      <c r="D538" s="12" t="str">
        <f aca="false">INDEX('Country Tiers'!$C$2:$C$37,MATCH(C538,'Country Tiers'!$A$2:$A$37,0))</f>
        <v>Tier 3</v>
      </c>
      <c r="E538" s="12" t="n">
        <f aca="false">INDEX('Country Tiers'!$D$2:$D$37,MATCH(C538,'Country Tiers'!$A$2:$A$37,0))</f>
        <v>1</v>
      </c>
    </row>
    <row r="539" customFormat="false" ht="15" hidden="false" customHeight="false" outlineLevel="0" collapsed="false">
      <c r="A539" s="12" t="s">
        <v>62</v>
      </c>
      <c r="B539" s="12" t="s">
        <v>35</v>
      </c>
      <c r="C539" s="12" t="s">
        <v>283</v>
      </c>
      <c r="D539" s="12" t="str">
        <f aca="false">INDEX('Country Tiers'!$C$2:$C$37,MATCH(C539,'Country Tiers'!$A$2:$A$37,0))</f>
        <v>Tier 3</v>
      </c>
      <c r="E539" s="12" t="n">
        <f aca="false">INDEX('Country Tiers'!$D$2:$D$37,MATCH(C539,'Country Tiers'!$A$2:$A$37,0))</f>
        <v>1</v>
      </c>
    </row>
    <row r="540" customFormat="false" ht="15" hidden="false" customHeight="false" outlineLevel="0" collapsed="false">
      <c r="A540" s="12" t="s">
        <v>62</v>
      </c>
      <c r="B540" s="12" t="s">
        <v>35</v>
      </c>
      <c r="C540" s="12" t="s">
        <v>285</v>
      </c>
      <c r="D540" s="12" t="str">
        <f aca="false">INDEX('Country Tiers'!$C$2:$C$37,MATCH(C540,'Country Tiers'!$A$2:$A$37,0))</f>
        <v>Tier 3</v>
      </c>
      <c r="E540" s="12" t="n">
        <f aca="false">INDEX('Country Tiers'!$D$2:$D$37,MATCH(C540,'Country Tiers'!$A$2:$A$37,0))</f>
        <v>1</v>
      </c>
    </row>
    <row r="541" customFormat="false" ht="15" hidden="false" customHeight="false" outlineLevel="0" collapsed="false">
      <c r="A541" s="12" t="s">
        <v>62</v>
      </c>
      <c r="B541" s="12" t="s">
        <v>35</v>
      </c>
      <c r="C541" s="12" t="s">
        <v>286</v>
      </c>
      <c r="D541" s="12" t="str">
        <f aca="false">INDEX('Country Tiers'!$C$2:$C$37,MATCH(C541,'Country Tiers'!$A$2:$A$37,0))</f>
        <v>Tier 1</v>
      </c>
      <c r="E541" s="12" t="n">
        <f aca="false">INDEX('Country Tiers'!$D$2:$D$37,MATCH(C541,'Country Tiers'!$A$2:$A$37,0))</f>
        <v>3</v>
      </c>
    </row>
    <row r="542" customFormat="false" ht="15" hidden="false" customHeight="false" outlineLevel="0" collapsed="false">
      <c r="A542" s="12" t="s">
        <v>62</v>
      </c>
      <c r="B542" s="12" t="s">
        <v>35</v>
      </c>
      <c r="C542" s="12" t="s">
        <v>287</v>
      </c>
      <c r="D542" s="12" t="str">
        <f aca="false">INDEX('Country Tiers'!$C$2:$C$37,MATCH(C542,'Country Tiers'!$A$2:$A$37,0))</f>
        <v>Tier 1</v>
      </c>
      <c r="E542" s="12" t="n">
        <f aca="false">INDEX('Country Tiers'!$D$2:$D$37,MATCH(C542,'Country Tiers'!$A$2:$A$37,0))</f>
        <v>3</v>
      </c>
    </row>
    <row r="543" customFormat="false" ht="15" hidden="false" customHeight="false" outlineLevel="0" collapsed="false">
      <c r="A543" s="12" t="s">
        <v>62</v>
      </c>
      <c r="B543" s="12" t="s">
        <v>35</v>
      </c>
      <c r="C543" s="12" t="s">
        <v>288</v>
      </c>
      <c r="D543" s="12" t="str">
        <f aca="false">INDEX('Country Tiers'!$C$2:$C$37,MATCH(C543,'Country Tiers'!$A$2:$A$37,0))</f>
        <v>Tier 3</v>
      </c>
      <c r="E543" s="12" t="n">
        <f aca="false">INDEX('Country Tiers'!$D$2:$D$37,MATCH(C543,'Country Tiers'!$A$2:$A$37,0))</f>
        <v>1</v>
      </c>
    </row>
    <row r="544" customFormat="false" ht="15" hidden="false" customHeight="false" outlineLevel="0" collapsed="false">
      <c r="A544" s="12" t="s">
        <v>62</v>
      </c>
      <c r="B544" s="12" t="s">
        <v>35</v>
      </c>
      <c r="C544" s="12" t="s">
        <v>289</v>
      </c>
      <c r="D544" s="12" t="str">
        <f aca="false">INDEX('Country Tiers'!$C$2:$C$37,MATCH(C544,'Country Tiers'!$A$2:$A$37,0))</f>
        <v>Tier 3</v>
      </c>
      <c r="E544" s="12" t="n">
        <f aca="false">INDEX('Country Tiers'!$D$2:$D$37,MATCH(C544,'Country Tiers'!$A$2:$A$37,0))</f>
        <v>1</v>
      </c>
    </row>
    <row r="545" customFormat="false" ht="15" hidden="false" customHeight="false" outlineLevel="0" collapsed="false">
      <c r="A545" s="12" t="s">
        <v>62</v>
      </c>
      <c r="B545" s="12" t="s">
        <v>35</v>
      </c>
      <c r="C545" s="12" t="s">
        <v>290</v>
      </c>
      <c r="D545" s="12" t="str">
        <f aca="false">INDEX('Country Tiers'!$C$2:$C$37,MATCH(C545,'Country Tiers'!$A$2:$A$37,0))</f>
        <v>Tier 3</v>
      </c>
      <c r="E545" s="12" t="n">
        <f aca="false">INDEX('Country Tiers'!$D$2:$D$37,MATCH(C545,'Country Tiers'!$A$2:$A$37,0))</f>
        <v>1</v>
      </c>
    </row>
    <row r="546" customFormat="false" ht="15" hidden="false" customHeight="false" outlineLevel="0" collapsed="false">
      <c r="A546" s="12" t="s">
        <v>62</v>
      </c>
      <c r="B546" s="12" t="s">
        <v>35</v>
      </c>
      <c r="C546" s="12" t="s">
        <v>291</v>
      </c>
      <c r="D546" s="12" t="str">
        <f aca="false">INDEX('Country Tiers'!$C$2:$C$37,MATCH(C546,'Country Tiers'!$A$2:$A$37,0))</f>
        <v>Tier 3</v>
      </c>
      <c r="E546" s="12" t="n">
        <f aca="false">INDEX('Country Tiers'!$D$2:$D$37,MATCH(C546,'Country Tiers'!$A$2:$A$37,0))</f>
        <v>1</v>
      </c>
    </row>
    <row r="547" customFormat="false" ht="15" hidden="false" customHeight="false" outlineLevel="0" collapsed="false">
      <c r="A547" s="12" t="s">
        <v>62</v>
      </c>
      <c r="B547" s="12" t="s">
        <v>35</v>
      </c>
      <c r="C547" s="12" t="s">
        <v>292</v>
      </c>
      <c r="D547" s="12" t="str">
        <f aca="false">INDEX('Country Tiers'!$C$2:$C$37,MATCH(C547,'Country Tiers'!$A$2:$A$37,0))</f>
        <v>Tier 2</v>
      </c>
      <c r="E547" s="12" t="n">
        <f aca="false">INDEX('Country Tiers'!$D$2:$D$37,MATCH(C547,'Country Tiers'!$A$2:$A$37,0))</f>
        <v>2</v>
      </c>
    </row>
    <row r="548" customFormat="false" ht="15" hidden="false" customHeight="false" outlineLevel="0" collapsed="false">
      <c r="A548" s="12" t="s">
        <v>62</v>
      </c>
      <c r="B548" s="12" t="s">
        <v>35</v>
      </c>
      <c r="C548" s="12" t="s">
        <v>293</v>
      </c>
      <c r="D548" s="12" t="str">
        <f aca="false">INDEX('Country Tiers'!$C$2:$C$37,MATCH(C548,'Country Tiers'!$A$2:$A$37,0))</f>
        <v>Tier 3</v>
      </c>
      <c r="E548" s="12" t="n">
        <f aca="false">INDEX('Country Tiers'!$D$2:$D$37,MATCH(C548,'Country Tiers'!$A$2:$A$37,0))</f>
        <v>1</v>
      </c>
    </row>
    <row r="549" customFormat="false" ht="15" hidden="false" customHeight="false" outlineLevel="0" collapsed="false">
      <c r="A549" s="12" t="s">
        <v>62</v>
      </c>
      <c r="B549" s="12" t="s">
        <v>35</v>
      </c>
      <c r="C549" s="12" t="s">
        <v>294</v>
      </c>
      <c r="D549" s="12" t="str">
        <f aca="false">INDEX('Country Tiers'!$C$2:$C$37,MATCH(C549,'Country Tiers'!$A$2:$A$37,0))</f>
        <v>Tier 3</v>
      </c>
      <c r="E549" s="12" t="n">
        <f aca="false">INDEX('Country Tiers'!$D$2:$D$37,MATCH(C549,'Country Tiers'!$A$2:$A$37,0))</f>
        <v>1</v>
      </c>
    </row>
    <row r="550" customFormat="false" ht="15" hidden="false" customHeight="false" outlineLevel="0" collapsed="false">
      <c r="A550" s="12" t="s">
        <v>62</v>
      </c>
      <c r="B550" s="12" t="s">
        <v>35</v>
      </c>
      <c r="C550" s="12" t="s">
        <v>296</v>
      </c>
      <c r="D550" s="12" t="str">
        <f aca="false">INDEX('Country Tiers'!$C$2:$C$37,MATCH(C550,'Country Tiers'!$A$2:$A$37,0))</f>
        <v>Tier 3</v>
      </c>
      <c r="E550" s="12" t="n">
        <f aca="false">INDEX('Country Tiers'!$D$2:$D$37,MATCH(C550,'Country Tiers'!$A$2:$A$37,0))</f>
        <v>1</v>
      </c>
    </row>
    <row r="551" customFormat="false" ht="15" hidden="false" customHeight="false" outlineLevel="0" collapsed="false">
      <c r="A551" s="12" t="s">
        <v>62</v>
      </c>
      <c r="B551" s="12" t="s">
        <v>35</v>
      </c>
      <c r="C551" s="12" t="s">
        <v>297</v>
      </c>
      <c r="D551" s="12" t="str">
        <f aca="false">INDEX('Country Tiers'!$C$2:$C$37,MATCH(C551,'Country Tiers'!$A$2:$A$37,0))</f>
        <v>Tier 2</v>
      </c>
      <c r="E551" s="12" t="n">
        <f aca="false">INDEX('Country Tiers'!$D$2:$D$37,MATCH(C551,'Country Tiers'!$A$2:$A$37,0))</f>
        <v>2</v>
      </c>
    </row>
    <row r="552" customFormat="false" ht="15" hidden="false" customHeight="false" outlineLevel="0" collapsed="false">
      <c r="A552" s="12" t="s">
        <v>62</v>
      </c>
      <c r="B552" s="12" t="s">
        <v>35</v>
      </c>
      <c r="C552" s="12" t="s">
        <v>298</v>
      </c>
      <c r="D552" s="12" t="str">
        <f aca="false">INDEX('Country Tiers'!$C$2:$C$37,MATCH(C552,'Country Tiers'!$A$2:$A$37,0))</f>
        <v>Tier 1</v>
      </c>
      <c r="E552" s="12" t="n">
        <f aca="false">INDEX('Country Tiers'!$D$2:$D$37,MATCH(C552,'Country Tiers'!$A$2:$A$37,0))</f>
        <v>3</v>
      </c>
    </row>
    <row r="553" customFormat="false" ht="15" hidden="false" customHeight="false" outlineLevel="0" collapsed="false">
      <c r="A553" s="12" t="s">
        <v>62</v>
      </c>
      <c r="B553" s="12" t="s">
        <v>35</v>
      </c>
      <c r="C553" s="12" t="s">
        <v>299</v>
      </c>
      <c r="D553" s="12" t="str">
        <f aca="false">INDEX('Country Tiers'!$C$2:$C$37,MATCH(C553,'Country Tiers'!$A$2:$A$37,0))</f>
        <v>Tier 3</v>
      </c>
      <c r="E553" s="12" t="n">
        <f aca="false">INDEX('Country Tiers'!$D$2:$D$37,MATCH(C553,'Country Tiers'!$A$2:$A$37,0))</f>
        <v>1</v>
      </c>
    </row>
    <row r="554" customFormat="false" ht="15" hidden="false" customHeight="false" outlineLevel="0" collapsed="false">
      <c r="A554" s="12" t="s">
        <v>62</v>
      </c>
      <c r="B554" s="12" t="s">
        <v>35</v>
      </c>
      <c r="C554" s="12" t="s">
        <v>300</v>
      </c>
      <c r="D554" s="12" t="str">
        <f aca="false">INDEX('Country Tiers'!$C$2:$C$37,MATCH(C554,'Country Tiers'!$A$2:$A$37,0))</f>
        <v>Tier 3</v>
      </c>
      <c r="E554" s="12" t="n">
        <f aca="false">INDEX('Country Tiers'!$D$2:$D$37,MATCH(C554,'Country Tiers'!$A$2:$A$37,0))</f>
        <v>1</v>
      </c>
    </row>
    <row r="555" customFormat="false" ht="15" hidden="false" customHeight="false" outlineLevel="0" collapsed="false">
      <c r="A555" s="12" t="s">
        <v>62</v>
      </c>
      <c r="B555" s="12" t="s">
        <v>35</v>
      </c>
      <c r="C555" s="12" t="s">
        <v>301</v>
      </c>
      <c r="D555" s="12" t="str">
        <f aca="false">INDEX('Country Tiers'!$C$2:$C$37,MATCH(C555,'Country Tiers'!$A$2:$A$37,0))</f>
        <v>Tier 3</v>
      </c>
      <c r="E555" s="12" t="n">
        <f aca="false">INDEX('Country Tiers'!$D$2:$D$37,MATCH(C555,'Country Tiers'!$A$2:$A$37,0))</f>
        <v>1</v>
      </c>
    </row>
    <row r="556" customFormat="false" ht="15" hidden="false" customHeight="false" outlineLevel="0" collapsed="false">
      <c r="A556" s="12" t="s">
        <v>62</v>
      </c>
      <c r="B556" s="12" t="s">
        <v>35</v>
      </c>
      <c r="C556" s="12" t="s">
        <v>302</v>
      </c>
      <c r="D556" s="12" t="str">
        <f aca="false">INDEX('Country Tiers'!$C$2:$C$37,MATCH(C556,'Country Tiers'!$A$2:$A$37,0))</f>
        <v>Tier 3</v>
      </c>
      <c r="E556" s="12" t="n">
        <f aca="false">INDEX('Country Tiers'!$D$2:$D$37,MATCH(C556,'Country Tiers'!$A$2:$A$37,0))</f>
        <v>1</v>
      </c>
    </row>
    <row r="557" customFormat="false" ht="15" hidden="false" customHeight="false" outlineLevel="0" collapsed="false">
      <c r="A557" s="12" t="s">
        <v>62</v>
      </c>
      <c r="B557" s="12" t="s">
        <v>35</v>
      </c>
      <c r="C557" s="12" t="s">
        <v>305</v>
      </c>
      <c r="D557" s="12" t="str">
        <f aca="false">INDEX('Country Tiers'!$C$2:$C$37,MATCH(C557,'Country Tiers'!$A$2:$A$37,0))</f>
        <v>Tier 3</v>
      </c>
      <c r="E557" s="12" t="n">
        <f aca="false">INDEX('Country Tiers'!$D$2:$D$37,MATCH(C557,'Country Tiers'!$A$2:$A$37,0))</f>
        <v>1</v>
      </c>
    </row>
    <row r="558" customFormat="false" ht="15" hidden="false" customHeight="false" outlineLevel="0" collapsed="false">
      <c r="A558" s="12" t="s">
        <v>62</v>
      </c>
      <c r="B558" s="12" t="s">
        <v>35</v>
      </c>
      <c r="C558" s="12" t="s">
        <v>306</v>
      </c>
      <c r="D558" s="12" t="str">
        <f aca="false">INDEX('Country Tiers'!$C$2:$C$37,MATCH(C558,'Country Tiers'!$A$2:$A$37,0))</f>
        <v>Tier 3</v>
      </c>
      <c r="E558" s="12" t="n">
        <f aca="false">INDEX('Country Tiers'!$D$2:$D$37,MATCH(C558,'Country Tiers'!$A$2:$A$37,0))</f>
        <v>1</v>
      </c>
    </row>
    <row r="559" customFormat="false" ht="15" hidden="false" customHeight="false" outlineLevel="0" collapsed="false">
      <c r="A559" s="12" t="s">
        <v>62</v>
      </c>
      <c r="B559" s="12" t="s">
        <v>35</v>
      </c>
      <c r="C559" s="12" t="s">
        <v>307</v>
      </c>
      <c r="D559" s="12" t="str">
        <f aca="false">INDEX('Country Tiers'!$C$2:$C$37,MATCH(C559,'Country Tiers'!$A$2:$A$37,0))</f>
        <v>Tier 2</v>
      </c>
      <c r="E559" s="12" t="n">
        <f aca="false">INDEX('Country Tiers'!$D$2:$D$37,MATCH(C559,'Country Tiers'!$A$2:$A$37,0))</f>
        <v>2</v>
      </c>
    </row>
    <row r="560" customFormat="false" ht="15" hidden="false" customHeight="false" outlineLevel="0" collapsed="false">
      <c r="A560" s="12" t="s">
        <v>62</v>
      </c>
      <c r="B560" s="12" t="s">
        <v>35</v>
      </c>
      <c r="C560" s="12" t="s">
        <v>308</v>
      </c>
      <c r="D560" s="12" t="str">
        <f aca="false">INDEX('Country Tiers'!$C$2:$C$37,MATCH(C560,'Country Tiers'!$A$2:$A$37,0))</f>
        <v>Tier 3</v>
      </c>
      <c r="E560" s="12" t="n">
        <f aca="false">INDEX('Country Tiers'!$D$2:$D$37,MATCH(C560,'Country Tiers'!$A$2:$A$37,0))</f>
        <v>1</v>
      </c>
    </row>
    <row r="561" customFormat="false" ht="15" hidden="false" customHeight="false" outlineLevel="0" collapsed="false">
      <c r="A561" s="12" t="s">
        <v>62</v>
      </c>
      <c r="B561" s="12" t="s">
        <v>35</v>
      </c>
      <c r="C561" s="12" t="s">
        <v>313</v>
      </c>
      <c r="D561" s="12" t="str">
        <f aca="false">INDEX('Country Tiers'!$C$2:$C$37,MATCH(C561,'Country Tiers'!$A$2:$A$37,0))</f>
        <v>Tier 1</v>
      </c>
      <c r="E561" s="12" t="n">
        <f aca="false">INDEX('Country Tiers'!$D$2:$D$37,MATCH(C561,'Country Tiers'!$A$2:$A$37,0))</f>
        <v>3</v>
      </c>
    </row>
    <row r="562" customFormat="false" ht="15" hidden="false" customHeight="false" outlineLevel="0" collapsed="false">
      <c r="A562" s="12" t="s">
        <v>62</v>
      </c>
      <c r="B562" s="12" t="s">
        <v>56</v>
      </c>
      <c r="C562" s="12" t="s">
        <v>272</v>
      </c>
      <c r="D562" s="12" t="str">
        <f aca="false">INDEX('Country Tiers'!$C$2:$C$37,MATCH(C562,'Country Tiers'!$A$2:$A$37,0))</f>
        <v>Tier 2</v>
      </c>
      <c r="E562" s="12" t="n">
        <f aca="false">INDEX('Country Tiers'!$D$2:$D$37,MATCH(C562,'Country Tiers'!$A$2:$A$37,0))</f>
        <v>2</v>
      </c>
    </row>
    <row r="563" customFormat="false" ht="15" hidden="false" customHeight="false" outlineLevel="0" collapsed="false">
      <c r="A563" s="12" t="s">
        <v>62</v>
      </c>
      <c r="B563" s="12" t="s">
        <v>56</v>
      </c>
      <c r="C563" s="12" t="s">
        <v>274</v>
      </c>
      <c r="D563" s="12" t="str">
        <f aca="false">INDEX('Country Tiers'!$C$2:$C$37,MATCH(C563,'Country Tiers'!$A$2:$A$37,0))</f>
        <v>Tier 3</v>
      </c>
      <c r="E563" s="12" t="n">
        <f aca="false">INDEX('Country Tiers'!$D$2:$D$37,MATCH(C563,'Country Tiers'!$A$2:$A$37,0))</f>
        <v>1</v>
      </c>
    </row>
    <row r="564" customFormat="false" ht="15" hidden="false" customHeight="false" outlineLevel="0" collapsed="false">
      <c r="A564" s="12" t="s">
        <v>62</v>
      </c>
      <c r="B564" s="12" t="s">
        <v>56</v>
      </c>
      <c r="C564" s="12" t="s">
        <v>277</v>
      </c>
      <c r="D564" s="12" t="str">
        <f aca="false">INDEX('Country Tiers'!$C$2:$C$37,MATCH(C564,'Country Tiers'!$A$2:$A$37,0))</f>
        <v>Tier 1</v>
      </c>
      <c r="E564" s="12" t="n">
        <f aca="false">INDEX('Country Tiers'!$D$2:$D$37,MATCH(C564,'Country Tiers'!$A$2:$A$37,0))</f>
        <v>3</v>
      </c>
    </row>
    <row r="565" customFormat="false" ht="15" hidden="false" customHeight="false" outlineLevel="0" collapsed="false">
      <c r="A565" s="12" t="s">
        <v>62</v>
      </c>
      <c r="B565" s="12" t="s">
        <v>56</v>
      </c>
      <c r="C565" s="12" t="s">
        <v>278</v>
      </c>
      <c r="D565" s="12" t="str">
        <f aca="false">INDEX('Country Tiers'!$C$2:$C$37,MATCH(C565,'Country Tiers'!$A$2:$A$37,0))</f>
        <v>Tier 3</v>
      </c>
      <c r="E565" s="12" t="n">
        <f aca="false">INDEX('Country Tiers'!$D$2:$D$37,MATCH(C565,'Country Tiers'!$A$2:$A$37,0))</f>
        <v>1</v>
      </c>
    </row>
    <row r="566" customFormat="false" ht="15" hidden="false" customHeight="false" outlineLevel="0" collapsed="false">
      <c r="A566" s="12" t="s">
        <v>62</v>
      </c>
      <c r="B566" s="12" t="s">
        <v>56</v>
      </c>
      <c r="C566" s="12" t="s">
        <v>280</v>
      </c>
      <c r="D566" s="12" t="str">
        <f aca="false">INDEX('Country Tiers'!$C$2:$C$37,MATCH(C566,'Country Tiers'!$A$2:$A$37,0))</f>
        <v>Tier 3</v>
      </c>
      <c r="E566" s="12" t="n">
        <f aca="false">INDEX('Country Tiers'!$D$2:$D$37,MATCH(C566,'Country Tiers'!$A$2:$A$37,0))</f>
        <v>1</v>
      </c>
    </row>
    <row r="567" customFormat="false" ht="15" hidden="false" customHeight="false" outlineLevel="0" collapsed="false">
      <c r="A567" s="12" t="s">
        <v>62</v>
      </c>
      <c r="B567" s="12" t="s">
        <v>56</v>
      </c>
      <c r="C567" s="12" t="s">
        <v>281</v>
      </c>
      <c r="D567" s="12" t="str">
        <f aca="false">INDEX('Country Tiers'!$C$2:$C$37,MATCH(C567,'Country Tiers'!$A$2:$A$37,0))</f>
        <v>Tier 3</v>
      </c>
      <c r="E567" s="12" t="n">
        <f aca="false">INDEX('Country Tiers'!$D$2:$D$37,MATCH(C567,'Country Tiers'!$A$2:$A$37,0))</f>
        <v>1</v>
      </c>
    </row>
    <row r="568" customFormat="false" ht="15" hidden="false" customHeight="false" outlineLevel="0" collapsed="false">
      <c r="A568" s="12" t="s">
        <v>62</v>
      </c>
      <c r="B568" s="12" t="s">
        <v>56</v>
      </c>
      <c r="C568" s="12" t="s">
        <v>282</v>
      </c>
      <c r="D568" s="12" t="str">
        <f aca="false">INDEX('Country Tiers'!$C$2:$C$37,MATCH(C568,'Country Tiers'!$A$2:$A$37,0))</f>
        <v>Tier 3</v>
      </c>
      <c r="E568" s="12" t="n">
        <f aca="false">INDEX('Country Tiers'!$D$2:$D$37,MATCH(C568,'Country Tiers'!$A$2:$A$37,0))</f>
        <v>1</v>
      </c>
    </row>
    <row r="569" customFormat="false" ht="15" hidden="false" customHeight="false" outlineLevel="0" collapsed="false">
      <c r="A569" s="12" t="s">
        <v>62</v>
      </c>
      <c r="B569" s="12" t="s">
        <v>56</v>
      </c>
      <c r="C569" s="12" t="s">
        <v>283</v>
      </c>
      <c r="D569" s="12" t="str">
        <f aca="false">INDEX('Country Tiers'!$C$2:$C$37,MATCH(C569,'Country Tiers'!$A$2:$A$37,0))</f>
        <v>Tier 3</v>
      </c>
      <c r="E569" s="12" t="n">
        <f aca="false">INDEX('Country Tiers'!$D$2:$D$37,MATCH(C569,'Country Tiers'!$A$2:$A$37,0))</f>
        <v>1</v>
      </c>
    </row>
    <row r="570" customFormat="false" ht="15" hidden="false" customHeight="false" outlineLevel="0" collapsed="false">
      <c r="A570" s="12" t="s">
        <v>62</v>
      </c>
      <c r="B570" s="12" t="s">
        <v>56</v>
      </c>
      <c r="C570" s="12" t="s">
        <v>285</v>
      </c>
      <c r="D570" s="12" t="str">
        <f aca="false">INDEX('Country Tiers'!$C$2:$C$37,MATCH(C570,'Country Tiers'!$A$2:$A$37,0))</f>
        <v>Tier 3</v>
      </c>
      <c r="E570" s="12" t="n">
        <f aca="false">INDEX('Country Tiers'!$D$2:$D$37,MATCH(C570,'Country Tiers'!$A$2:$A$37,0))</f>
        <v>1</v>
      </c>
    </row>
    <row r="571" customFormat="false" ht="15" hidden="false" customHeight="false" outlineLevel="0" collapsed="false">
      <c r="A571" s="12" t="s">
        <v>62</v>
      </c>
      <c r="B571" s="12" t="s">
        <v>56</v>
      </c>
      <c r="C571" s="12" t="s">
        <v>286</v>
      </c>
      <c r="D571" s="12" t="str">
        <f aca="false">INDEX('Country Tiers'!$C$2:$C$37,MATCH(C571,'Country Tiers'!$A$2:$A$37,0))</f>
        <v>Tier 1</v>
      </c>
      <c r="E571" s="12" t="n">
        <f aca="false">INDEX('Country Tiers'!$D$2:$D$37,MATCH(C571,'Country Tiers'!$A$2:$A$37,0))</f>
        <v>3</v>
      </c>
    </row>
    <row r="572" customFormat="false" ht="15" hidden="false" customHeight="false" outlineLevel="0" collapsed="false">
      <c r="A572" s="12" t="s">
        <v>62</v>
      </c>
      <c r="B572" s="12" t="s">
        <v>56</v>
      </c>
      <c r="C572" s="12" t="s">
        <v>287</v>
      </c>
      <c r="D572" s="12" t="str">
        <f aca="false">INDEX('Country Tiers'!$C$2:$C$37,MATCH(C572,'Country Tiers'!$A$2:$A$37,0))</f>
        <v>Tier 1</v>
      </c>
      <c r="E572" s="12" t="n">
        <f aca="false">INDEX('Country Tiers'!$D$2:$D$37,MATCH(C572,'Country Tiers'!$A$2:$A$37,0))</f>
        <v>3</v>
      </c>
    </row>
    <row r="573" customFormat="false" ht="15" hidden="false" customHeight="false" outlineLevel="0" collapsed="false">
      <c r="A573" s="12" t="s">
        <v>62</v>
      </c>
      <c r="B573" s="12" t="s">
        <v>56</v>
      </c>
      <c r="C573" s="12" t="s">
        <v>288</v>
      </c>
      <c r="D573" s="12" t="str">
        <f aca="false">INDEX('Country Tiers'!$C$2:$C$37,MATCH(C573,'Country Tiers'!$A$2:$A$37,0))</f>
        <v>Tier 3</v>
      </c>
      <c r="E573" s="12" t="n">
        <f aca="false">INDEX('Country Tiers'!$D$2:$D$37,MATCH(C573,'Country Tiers'!$A$2:$A$37,0))</f>
        <v>1</v>
      </c>
    </row>
    <row r="574" customFormat="false" ht="15" hidden="false" customHeight="false" outlineLevel="0" collapsed="false">
      <c r="A574" s="12" t="s">
        <v>62</v>
      </c>
      <c r="B574" s="12" t="s">
        <v>56</v>
      </c>
      <c r="C574" s="12" t="s">
        <v>289</v>
      </c>
      <c r="D574" s="12" t="str">
        <f aca="false">INDEX('Country Tiers'!$C$2:$C$37,MATCH(C574,'Country Tiers'!$A$2:$A$37,0))</f>
        <v>Tier 3</v>
      </c>
      <c r="E574" s="12" t="n">
        <f aca="false">INDEX('Country Tiers'!$D$2:$D$37,MATCH(C574,'Country Tiers'!$A$2:$A$37,0))</f>
        <v>1</v>
      </c>
    </row>
    <row r="575" customFormat="false" ht="15" hidden="false" customHeight="false" outlineLevel="0" collapsed="false">
      <c r="A575" s="12" t="s">
        <v>62</v>
      </c>
      <c r="B575" s="12" t="s">
        <v>56</v>
      </c>
      <c r="C575" s="12" t="s">
        <v>290</v>
      </c>
      <c r="D575" s="12" t="str">
        <f aca="false">INDEX('Country Tiers'!$C$2:$C$37,MATCH(C575,'Country Tiers'!$A$2:$A$37,0))</f>
        <v>Tier 3</v>
      </c>
      <c r="E575" s="12" t="n">
        <f aca="false">INDEX('Country Tiers'!$D$2:$D$37,MATCH(C575,'Country Tiers'!$A$2:$A$37,0))</f>
        <v>1</v>
      </c>
    </row>
    <row r="576" customFormat="false" ht="15" hidden="false" customHeight="false" outlineLevel="0" collapsed="false">
      <c r="A576" s="12" t="s">
        <v>62</v>
      </c>
      <c r="B576" s="12" t="s">
        <v>56</v>
      </c>
      <c r="C576" s="12" t="s">
        <v>291</v>
      </c>
      <c r="D576" s="12" t="str">
        <f aca="false">INDEX('Country Tiers'!$C$2:$C$37,MATCH(C576,'Country Tiers'!$A$2:$A$37,0))</f>
        <v>Tier 3</v>
      </c>
      <c r="E576" s="12" t="n">
        <f aca="false">INDEX('Country Tiers'!$D$2:$D$37,MATCH(C576,'Country Tiers'!$A$2:$A$37,0))</f>
        <v>1</v>
      </c>
    </row>
    <row r="577" customFormat="false" ht="15" hidden="false" customHeight="false" outlineLevel="0" collapsed="false">
      <c r="A577" s="12" t="s">
        <v>62</v>
      </c>
      <c r="B577" s="12" t="s">
        <v>56</v>
      </c>
      <c r="C577" s="12" t="s">
        <v>292</v>
      </c>
      <c r="D577" s="12" t="str">
        <f aca="false">INDEX('Country Tiers'!$C$2:$C$37,MATCH(C577,'Country Tiers'!$A$2:$A$37,0))</f>
        <v>Tier 2</v>
      </c>
      <c r="E577" s="12" t="n">
        <f aca="false">INDEX('Country Tiers'!$D$2:$D$37,MATCH(C577,'Country Tiers'!$A$2:$A$37,0))</f>
        <v>2</v>
      </c>
    </row>
    <row r="578" customFormat="false" ht="15" hidden="false" customHeight="false" outlineLevel="0" collapsed="false">
      <c r="A578" s="12" t="s">
        <v>62</v>
      </c>
      <c r="B578" s="12" t="s">
        <v>56</v>
      </c>
      <c r="C578" s="12" t="s">
        <v>293</v>
      </c>
      <c r="D578" s="12" t="str">
        <f aca="false">INDEX('Country Tiers'!$C$2:$C$37,MATCH(C578,'Country Tiers'!$A$2:$A$37,0))</f>
        <v>Tier 3</v>
      </c>
      <c r="E578" s="12" t="n">
        <f aca="false">INDEX('Country Tiers'!$D$2:$D$37,MATCH(C578,'Country Tiers'!$A$2:$A$37,0))</f>
        <v>1</v>
      </c>
    </row>
    <row r="579" customFormat="false" ht="15" hidden="false" customHeight="false" outlineLevel="0" collapsed="false">
      <c r="A579" s="12" t="s">
        <v>62</v>
      </c>
      <c r="B579" s="12" t="s">
        <v>56</v>
      </c>
      <c r="C579" s="12" t="s">
        <v>294</v>
      </c>
      <c r="D579" s="12" t="str">
        <f aca="false">INDEX('Country Tiers'!$C$2:$C$37,MATCH(C579,'Country Tiers'!$A$2:$A$37,0))</f>
        <v>Tier 3</v>
      </c>
      <c r="E579" s="12" t="n">
        <f aca="false">INDEX('Country Tiers'!$D$2:$D$37,MATCH(C579,'Country Tiers'!$A$2:$A$37,0))</f>
        <v>1</v>
      </c>
    </row>
    <row r="580" customFormat="false" ht="15" hidden="false" customHeight="false" outlineLevel="0" collapsed="false">
      <c r="A580" s="12" t="s">
        <v>62</v>
      </c>
      <c r="B580" s="12" t="s">
        <v>56</v>
      </c>
      <c r="C580" s="12" t="s">
        <v>296</v>
      </c>
      <c r="D580" s="12" t="str">
        <f aca="false">INDEX('Country Tiers'!$C$2:$C$37,MATCH(C580,'Country Tiers'!$A$2:$A$37,0))</f>
        <v>Tier 3</v>
      </c>
      <c r="E580" s="12" t="n">
        <f aca="false">INDEX('Country Tiers'!$D$2:$D$37,MATCH(C580,'Country Tiers'!$A$2:$A$37,0))</f>
        <v>1</v>
      </c>
    </row>
    <row r="581" customFormat="false" ht="15" hidden="false" customHeight="false" outlineLevel="0" collapsed="false">
      <c r="A581" s="12" t="s">
        <v>62</v>
      </c>
      <c r="B581" s="12" t="s">
        <v>56</v>
      </c>
      <c r="C581" s="12" t="s">
        <v>297</v>
      </c>
      <c r="D581" s="12" t="str">
        <f aca="false">INDEX('Country Tiers'!$C$2:$C$37,MATCH(C581,'Country Tiers'!$A$2:$A$37,0))</f>
        <v>Tier 2</v>
      </c>
      <c r="E581" s="12" t="n">
        <f aca="false">INDEX('Country Tiers'!$D$2:$D$37,MATCH(C581,'Country Tiers'!$A$2:$A$37,0))</f>
        <v>2</v>
      </c>
    </row>
    <row r="582" customFormat="false" ht="15" hidden="false" customHeight="false" outlineLevel="0" collapsed="false">
      <c r="A582" s="12" t="s">
        <v>62</v>
      </c>
      <c r="B582" s="12" t="s">
        <v>56</v>
      </c>
      <c r="C582" s="12" t="s">
        <v>298</v>
      </c>
      <c r="D582" s="12" t="str">
        <f aca="false">INDEX('Country Tiers'!$C$2:$C$37,MATCH(C582,'Country Tiers'!$A$2:$A$37,0))</f>
        <v>Tier 1</v>
      </c>
      <c r="E582" s="12" t="n">
        <f aca="false">INDEX('Country Tiers'!$D$2:$D$37,MATCH(C582,'Country Tiers'!$A$2:$A$37,0))</f>
        <v>3</v>
      </c>
    </row>
    <row r="583" customFormat="false" ht="15" hidden="false" customHeight="false" outlineLevel="0" collapsed="false">
      <c r="A583" s="12" t="s">
        <v>62</v>
      </c>
      <c r="B583" s="12" t="s">
        <v>56</v>
      </c>
      <c r="C583" s="12" t="s">
        <v>299</v>
      </c>
      <c r="D583" s="12" t="str">
        <f aca="false">INDEX('Country Tiers'!$C$2:$C$37,MATCH(C583,'Country Tiers'!$A$2:$A$37,0))</f>
        <v>Tier 3</v>
      </c>
      <c r="E583" s="12" t="n">
        <f aca="false">INDEX('Country Tiers'!$D$2:$D$37,MATCH(C583,'Country Tiers'!$A$2:$A$37,0))</f>
        <v>1</v>
      </c>
    </row>
    <row r="584" customFormat="false" ht="15" hidden="false" customHeight="false" outlineLevel="0" collapsed="false">
      <c r="A584" s="12" t="s">
        <v>62</v>
      </c>
      <c r="B584" s="12" t="s">
        <v>56</v>
      </c>
      <c r="C584" s="12" t="s">
        <v>300</v>
      </c>
      <c r="D584" s="12" t="str">
        <f aca="false">INDEX('Country Tiers'!$C$2:$C$37,MATCH(C584,'Country Tiers'!$A$2:$A$37,0))</f>
        <v>Tier 3</v>
      </c>
      <c r="E584" s="12" t="n">
        <f aca="false">INDEX('Country Tiers'!$D$2:$D$37,MATCH(C584,'Country Tiers'!$A$2:$A$37,0))</f>
        <v>1</v>
      </c>
    </row>
    <row r="585" customFormat="false" ht="15" hidden="false" customHeight="false" outlineLevel="0" collapsed="false">
      <c r="A585" s="12" t="s">
        <v>62</v>
      </c>
      <c r="B585" s="12" t="s">
        <v>56</v>
      </c>
      <c r="C585" s="12" t="s">
        <v>301</v>
      </c>
      <c r="D585" s="12" t="str">
        <f aca="false">INDEX('Country Tiers'!$C$2:$C$37,MATCH(C585,'Country Tiers'!$A$2:$A$37,0))</f>
        <v>Tier 3</v>
      </c>
      <c r="E585" s="12" t="n">
        <f aca="false">INDEX('Country Tiers'!$D$2:$D$37,MATCH(C585,'Country Tiers'!$A$2:$A$37,0))</f>
        <v>1</v>
      </c>
    </row>
    <row r="586" customFormat="false" ht="15" hidden="false" customHeight="false" outlineLevel="0" collapsed="false">
      <c r="A586" s="12" t="s">
        <v>62</v>
      </c>
      <c r="B586" s="12" t="s">
        <v>56</v>
      </c>
      <c r="C586" s="12" t="s">
        <v>302</v>
      </c>
      <c r="D586" s="12" t="str">
        <f aca="false">INDEX('Country Tiers'!$C$2:$C$37,MATCH(C586,'Country Tiers'!$A$2:$A$37,0))</f>
        <v>Tier 3</v>
      </c>
      <c r="E586" s="12" t="n">
        <f aca="false">INDEX('Country Tiers'!$D$2:$D$37,MATCH(C586,'Country Tiers'!$A$2:$A$37,0))</f>
        <v>1</v>
      </c>
    </row>
    <row r="587" customFormat="false" ht="15" hidden="false" customHeight="false" outlineLevel="0" collapsed="false">
      <c r="A587" s="12" t="s">
        <v>62</v>
      </c>
      <c r="B587" s="12" t="s">
        <v>56</v>
      </c>
      <c r="C587" s="12" t="s">
        <v>305</v>
      </c>
      <c r="D587" s="12" t="str">
        <f aca="false">INDEX('Country Tiers'!$C$2:$C$37,MATCH(C587,'Country Tiers'!$A$2:$A$37,0))</f>
        <v>Tier 3</v>
      </c>
      <c r="E587" s="12" t="n">
        <f aca="false">INDEX('Country Tiers'!$D$2:$D$37,MATCH(C587,'Country Tiers'!$A$2:$A$37,0))</f>
        <v>1</v>
      </c>
    </row>
    <row r="588" customFormat="false" ht="15" hidden="false" customHeight="false" outlineLevel="0" collapsed="false">
      <c r="A588" s="12" t="s">
        <v>62</v>
      </c>
      <c r="B588" s="12" t="s">
        <v>56</v>
      </c>
      <c r="C588" s="12" t="s">
        <v>306</v>
      </c>
      <c r="D588" s="12" t="str">
        <f aca="false">INDEX('Country Tiers'!$C$2:$C$37,MATCH(C588,'Country Tiers'!$A$2:$A$37,0))</f>
        <v>Tier 3</v>
      </c>
      <c r="E588" s="12" t="n">
        <f aca="false">INDEX('Country Tiers'!$D$2:$D$37,MATCH(C588,'Country Tiers'!$A$2:$A$37,0))</f>
        <v>1</v>
      </c>
    </row>
    <row r="589" customFormat="false" ht="15" hidden="false" customHeight="false" outlineLevel="0" collapsed="false">
      <c r="A589" s="12" t="s">
        <v>62</v>
      </c>
      <c r="B589" s="12" t="s">
        <v>56</v>
      </c>
      <c r="C589" s="12" t="s">
        <v>307</v>
      </c>
      <c r="D589" s="12" t="str">
        <f aca="false">INDEX('Country Tiers'!$C$2:$C$37,MATCH(C589,'Country Tiers'!$A$2:$A$37,0))</f>
        <v>Tier 2</v>
      </c>
      <c r="E589" s="12" t="n">
        <f aca="false">INDEX('Country Tiers'!$D$2:$D$37,MATCH(C589,'Country Tiers'!$A$2:$A$37,0))</f>
        <v>2</v>
      </c>
    </row>
    <row r="590" customFormat="false" ht="15" hidden="false" customHeight="false" outlineLevel="0" collapsed="false">
      <c r="A590" s="12" t="s">
        <v>62</v>
      </c>
      <c r="B590" s="12" t="s">
        <v>56</v>
      </c>
      <c r="C590" s="12" t="s">
        <v>308</v>
      </c>
      <c r="D590" s="12" t="str">
        <f aca="false">INDEX('Country Tiers'!$C$2:$C$37,MATCH(C590,'Country Tiers'!$A$2:$A$37,0))</f>
        <v>Tier 3</v>
      </c>
      <c r="E590" s="12" t="n">
        <f aca="false">INDEX('Country Tiers'!$D$2:$D$37,MATCH(C590,'Country Tiers'!$A$2:$A$37,0))</f>
        <v>1</v>
      </c>
    </row>
    <row r="591" customFormat="false" ht="15" hidden="false" customHeight="false" outlineLevel="0" collapsed="false">
      <c r="A591" s="12" t="s">
        <v>62</v>
      </c>
      <c r="B591" s="12" t="s">
        <v>56</v>
      </c>
      <c r="C591" s="12" t="s">
        <v>313</v>
      </c>
      <c r="D591" s="12" t="str">
        <f aca="false">INDEX('Country Tiers'!$C$2:$C$37,MATCH(C591,'Country Tiers'!$A$2:$A$37,0))</f>
        <v>Tier 1</v>
      </c>
      <c r="E591" s="12" t="n">
        <f aca="false">INDEX('Country Tiers'!$D$2:$D$37,MATCH(C591,'Country Tiers'!$A$2:$A$37,0))</f>
        <v>3</v>
      </c>
    </row>
    <row r="592" customFormat="false" ht="15" hidden="false" customHeight="false" outlineLevel="0" collapsed="false">
      <c r="A592" s="12" t="s">
        <v>62</v>
      </c>
      <c r="B592" s="12" t="s">
        <v>57</v>
      </c>
      <c r="C592" s="12" t="s">
        <v>272</v>
      </c>
      <c r="D592" s="12" t="str">
        <f aca="false">INDEX('Country Tiers'!$C$2:$C$37,MATCH(C592,'Country Tiers'!$A$2:$A$37,0))</f>
        <v>Tier 2</v>
      </c>
      <c r="E592" s="12" t="n">
        <f aca="false">INDEX('Country Tiers'!$D$2:$D$37,MATCH(C592,'Country Tiers'!$A$2:$A$37,0))</f>
        <v>2</v>
      </c>
    </row>
    <row r="593" customFormat="false" ht="15" hidden="false" customHeight="false" outlineLevel="0" collapsed="false">
      <c r="A593" s="12" t="s">
        <v>62</v>
      </c>
      <c r="B593" s="12" t="s">
        <v>57</v>
      </c>
      <c r="C593" s="12" t="s">
        <v>274</v>
      </c>
      <c r="D593" s="12" t="str">
        <f aca="false">INDEX('Country Tiers'!$C$2:$C$37,MATCH(C593,'Country Tiers'!$A$2:$A$37,0))</f>
        <v>Tier 3</v>
      </c>
      <c r="E593" s="12" t="n">
        <f aca="false">INDEX('Country Tiers'!$D$2:$D$37,MATCH(C593,'Country Tiers'!$A$2:$A$37,0))</f>
        <v>1</v>
      </c>
    </row>
    <row r="594" customFormat="false" ht="15" hidden="false" customHeight="false" outlineLevel="0" collapsed="false">
      <c r="A594" s="12" t="s">
        <v>62</v>
      </c>
      <c r="B594" s="12" t="s">
        <v>57</v>
      </c>
      <c r="C594" s="12" t="s">
        <v>277</v>
      </c>
      <c r="D594" s="12" t="str">
        <f aca="false">INDEX('Country Tiers'!$C$2:$C$37,MATCH(C594,'Country Tiers'!$A$2:$A$37,0))</f>
        <v>Tier 1</v>
      </c>
      <c r="E594" s="12" t="n">
        <f aca="false">INDEX('Country Tiers'!$D$2:$D$37,MATCH(C594,'Country Tiers'!$A$2:$A$37,0))</f>
        <v>3</v>
      </c>
    </row>
    <row r="595" customFormat="false" ht="15" hidden="false" customHeight="false" outlineLevel="0" collapsed="false">
      <c r="A595" s="12" t="s">
        <v>62</v>
      </c>
      <c r="B595" s="12" t="s">
        <v>57</v>
      </c>
      <c r="C595" s="12" t="s">
        <v>278</v>
      </c>
      <c r="D595" s="12" t="str">
        <f aca="false">INDEX('Country Tiers'!$C$2:$C$37,MATCH(C595,'Country Tiers'!$A$2:$A$37,0))</f>
        <v>Tier 3</v>
      </c>
      <c r="E595" s="12" t="n">
        <f aca="false">INDEX('Country Tiers'!$D$2:$D$37,MATCH(C595,'Country Tiers'!$A$2:$A$37,0))</f>
        <v>1</v>
      </c>
    </row>
    <row r="596" customFormat="false" ht="15" hidden="false" customHeight="false" outlineLevel="0" collapsed="false">
      <c r="A596" s="12" t="s">
        <v>62</v>
      </c>
      <c r="B596" s="12" t="s">
        <v>57</v>
      </c>
      <c r="C596" s="12" t="s">
        <v>280</v>
      </c>
      <c r="D596" s="12" t="str">
        <f aca="false">INDEX('Country Tiers'!$C$2:$C$37,MATCH(C596,'Country Tiers'!$A$2:$A$37,0))</f>
        <v>Tier 3</v>
      </c>
      <c r="E596" s="12" t="n">
        <f aca="false">INDEX('Country Tiers'!$D$2:$D$37,MATCH(C596,'Country Tiers'!$A$2:$A$37,0))</f>
        <v>1</v>
      </c>
    </row>
    <row r="597" customFormat="false" ht="15" hidden="false" customHeight="false" outlineLevel="0" collapsed="false">
      <c r="A597" s="12" t="s">
        <v>62</v>
      </c>
      <c r="B597" s="12" t="s">
        <v>57</v>
      </c>
      <c r="C597" s="12" t="s">
        <v>281</v>
      </c>
      <c r="D597" s="12" t="str">
        <f aca="false">INDEX('Country Tiers'!$C$2:$C$37,MATCH(C597,'Country Tiers'!$A$2:$A$37,0))</f>
        <v>Tier 3</v>
      </c>
      <c r="E597" s="12" t="n">
        <f aca="false">INDEX('Country Tiers'!$D$2:$D$37,MATCH(C597,'Country Tiers'!$A$2:$A$37,0))</f>
        <v>1</v>
      </c>
    </row>
    <row r="598" customFormat="false" ht="15" hidden="false" customHeight="false" outlineLevel="0" collapsed="false">
      <c r="A598" s="12" t="s">
        <v>62</v>
      </c>
      <c r="B598" s="12" t="s">
        <v>57</v>
      </c>
      <c r="C598" s="12" t="s">
        <v>282</v>
      </c>
      <c r="D598" s="12" t="str">
        <f aca="false">INDEX('Country Tiers'!$C$2:$C$37,MATCH(C598,'Country Tiers'!$A$2:$A$37,0))</f>
        <v>Tier 3</v>
      </c>
      <c r="E598" s="12" t="n">
        <f aca="false">INDEX('Country Tiers'!$D$2:$D$37,MATCH(C598,'Country Tiers'!$A$2:$A$37,0))</f>
        <v>1</v>
      </c>
    </row>
    <row r="599" customFormat="false" ht="15" hidden="false" customHeight="false" outlineLevel="0" collapsed="false">
      <c r="A599" s="12" t="s">
        <v>62</v>
      </c>
      <c r="B599" s="12" t="s">
        <v>57</v>
      </c>
      <c r="C599" s="12" t="s">
        <v>283</v>
      </c>
      <c r="D599" s="12" t="str">
        <f aca="false">INDEX('Country Tiers'!$C$2:$C$37,MATCH(C599,'Country Tiers'!$A$2:$A$37,0))</f>
        <v>Tier 3</v>
      </c>
      <c r="E599" s="12" t="n">
        <f aca="false">INDEX('Country Tiers'!$D$2:$D$37,MATCH(C599,'Country Tiers'!$A$2:$A$37,0))</f>
        <v>1</v>
      </c>
    </row>
    <row r="600" customFormat="false" ht="15" hidden="false" customHeight="false" outlineLevel="0" collapsed="false">
      <c r="A600" s="12" t="s">
        <v>62</v>
      </c>
      <c r="B600" s="12" t="s">
        <v>57</v>
      </c>
      <c r="C600" s="12" t="s">
        <v>285</v>
      </c>
      <c r="D600" s="12" t="str">
        <f aca="false">INDEX('Country Tiers'!$C$2:$C$37,MATCH(C600,'Country Tiers'!$A$2:$A$37,0))</f>
        <v>Tier 3</v>
      </c>
      <c r="E600" s="12" t="n">
        <f aca="false">INDEX('Country Tiers'!$D$2:$D$37,MATCH(C600,'Country Tiers'!$A$2:$A$37,0))</f>
        <v>1</v>
      </c>
    </row>
    <row r="601" customFormat="false" ht="15" hidden="false" customHeight="false" outlineLevel="0" collapsed="false">
      <c r="A601" s="12" t="s">
        <v>62</v>
      </c>
      <c r="B601" s="12" t="s">
        <v>57</v>
      </c>
      <c r="C601" s="12" t="s">
        <v>286</v>
      </c>
      <c r="D601" s="12" t="str">
        <f aca="false">INDEX('Country Tiers'!$C$2:$C$37,MATCH(C601,'Country Tiers'!$A$2:$A$37,0))</f>
        <v>Tier 1</v>
      </c>
      <c r="E601" s="12" t="n">
        <f aca="false">INDEX('Country Tiers'!$D$2:$D$37,MATCH(C601,'Country Tiers'!$A$2:$A$37,0))</f>
        <v>3</v>
      </c>
    </row>
    <row r="602" customFormat="false" ht="15" hidden="false" customHeight="false" outlineLevel="0" collapsed="false">
      <c r="A602" s="12" t="s">
        <v>62</v>
      </c>
      <c r="B602" s="12" t="s">
        <v>57</v>
      </c>
      <c r="C602" s="12" t="s">
        <v>287</v>
      </c>
      <c r="D602" s="12" t="str">
        <f aca="false">INDEX('Country Tiers'!$C$2:$C$37,MATCH(C602,'Country Tiers'!$A$2:$A$37,0))</f>
        <v>Tier 1</v>
      </c>
      <c r="E602" s="12" t="n">
        <f aca="false">INDEX('Country Tiers'!$D$2:$D$37,MATCH(C602,'Country Tiers'!$A$2:$A$37,0))</f>
        <v>3</v>
      </c>
    </row>
    <row r="603" customFormat="false" ht="15" hidden="false" customHeight="false" outlineLevel="0" collapsed="false">
      <c r="A603" s="12" t="s">
        <v>62</v>
      </c>
      <c r="B603" s="12" t="s">
        <v>57</v>
      </c>
      <c r="C603" s="12" t="s">
        <v>288</v>
      </c>
      <c r="D603" s="12" t="str">
        <f aca="false">INDEX('Country Tiers'!$C$2:$C$37,MATCH(C603,'Country Tiers'!$A$2:$A$37,0))</f>
        <v>Tier 3</v>
      </c>
      <c r="E603" s="12" t="n">
        <f aca="false">INDEX('Country Tiers'!$D$2:$D$37,MATCH(C603,'Country Tiers'!$A$2:$A$37,0))</f>
        <v>1</v>
      </c>
    </row>
    <row r="604" customFormat="false" ht="15" hidden="false" customHeight="false" outlineLevel="0" collapsed="false">
      <c r="A604" s="12" t="s">
        <v>62</v>
      </c>
      <c r="B604" s="12" t="s">
        <v>57</v>
      </c>
      <c r="C604" s="12" t="s">
        <v>289</v>
      </c>
      <c r="D604" s="12" t="str">
        <f aca="false">INDEX('Country Tiers'!$C$2:$C$37,MATCH(C604,'Country Tiers'!$A$2:$A$37,0))</f>
        <v>Tier 3</v>
      </c>
      <c r="E604" s="12" t="n">
        <f aca="false">INDEX('Country Tiers'!$D$2:$D$37,MATCH(C604,'Country Tiers'!$A$2:$A$37,0))</f>
        <v>1</v>
      </c>
    </row>
    <row r="605" customFormat="false" ht="15" hidden="false" customHeight="false" outlineLevel="0" collapsed="false">
      <c r="A605" s="12" t="s">
        <v>62</v>
      </c>
      <c r="B605" s="12" t="s">
        <v>57</v>
      </c>
      <c r="C605" s="12" t="s">
        <v>290</v>
      </c>
      <c r="D605" s="12" t="str">
        <f aca="false">INDEX('Country Tiers'!$C$2:$C$37,MATCH(C605,'Country Tiers'!$A$2:$A$37,0))</f>
        <v>Tier 3</v>
      </c>
      <c r="E605" s="12" t="n">
        <f aca="false">INDEX('Country Tiers'!$D$2:$D$37,MATCH(C605,'Country Tiers'!$A$2:$A$37,0))</f>
        <v>1</v>
      </c>
    </row>
    <row r="606" customFormat="false" ht="15" hidden="false" customHeight="false" outlineLevel="0" collapsed="false">
      <c r="A606" s="12" t="s">
        <v>62</v>
      </c>
      <c r="B606" s="12" t="s">
        <v>57</v>
      </c>
      <c r="C606" s="12" t="s">
        <v>291</v>
      </c>
      <c r="D606" s="12" t="str">
        <f aca="false">INDEX('Country Tiers'!$C$2:$C$37,MATCH(C606,'Country Tiers'!$A$2:$A$37,0))</f>
        <v>Tier 3</v>
      </c>
      <c r="E606" s="12" t="n">
        <f aca="false">INDEX('Country Tiers'!$D$2:$D$37,MATCH(C606,'Country Tiers'!$A$2:$A$37,0))</f>
        <v>1</v>
      </c>
    </row>
    <row r="607" customFormat="false" ht="15" hidden="false" customHeight="false" outlineLevel="0" collapsed="false">
      <c r="A607" s="12" t="s">
        <v>62</v>
      </c>
      <c r="B607" s="12" t="s">
        <v>57</v>
      </c>
      <c r="C607" s="12" t="s">
        <v>292</v>
      </c>
      <c r="D607" s="12" t="str">
        <f aca="false">INDEX('Country Tiers'!$C$2:$C$37,MATCH(C607,'Country Tiers'!$A$2:$A$37,0))</f>
        <v>Tier 2</v>
      </c>
      <c r="E607" s="12" t="n">
        <f aca="false">INDEX('Country Tiers'!$D$2:$D$37,MATCH(C607,'Country Tiers'!$A$2:$A$37,0))</f>
        <v>2</v>
      </c>
    </row>
    <row r="608" customFormat="false" ht="15" hidden="false" customHeight="false" outlineLevel="0" collapsed="false">
      <c r="A608" s="12" t="s">
        <v>62</v>
      </c>
      <c r="B608" s="12" t="s">
        <v>57</v>
      </c>
      <c r="C608" s="12" t="s">
        <v>293</v>
      </c>
      <c r="D608" s="12" t="str">
        <f aca="false">INDEX('Country Tiers'!$C$2:$C$37,MATCH(C608,'Country Tiers'!$A$2:$A$37,0))</f>
        <v>Tier 3</v>
      </c>
      <c r="E608" s="12" t="n">
        <f aca="false">INDEX('Country Tiers'!$D$2:$D$37,MATCH(C608,'Country Tiers'!$A$2:$A$37,0))</f>
        <v>1</v>
      </c>
    </row>
    <row r="609" customFormat="false" ht="15" hidden="false" customHeight="false" outlineLevel="0" collapsed="false">
      <c r="A609" s="12" t="s">
        <v>62</v>
      </c>
      <c r="B609" s="12" t="s">
        <v>57</v>
      </c>
      <c r="C609" s="12" t="s">
        <v>294</v>
      </c>
      <c r="D609" s="12" t="str">
        <f aca="false">INDEX('Country Tiers'!$C$2:$C$37,MATCH(C609,'Country Tiers'!$A$2:$A$37,0))</f>
        <v>Tier 3</v>
      </c>
      <c r="E609" s="12" t="n">
        <f aca="false">INDEX('Country Tiers'!$D$2:$D$37,MATCH(C609,'Country Tiers'!$A$2:$A$37,0))</f>
        <v>1</v>
      </c>
    </row>
    <row r="610" customFormat="false" ht="15" hidden="false" customHeight="false" outlineLevel="0" collapsed="false">
      <c r="A610" s="12" t="s">
        <v>62</v>
      </c>
      <c r="B610" s="12" t="s">
        <v>57</v>
      </c>
      <c r="C610" s="12" t="s">
        <v>296</v>
      </c>
      <c r="D610" s="12" t="str">
        <f aca="false">INDEX('Country Tiers'!$C$2:$C$37,MATCH(C610,'Country Tiers'!$A$2:$A$37,0))</f>
        <v>Tier 3</v>
      </c>
      <c r="E610" s="12" t="n">
        <f aca="false">INDEX('Country Tiers'!$D$2:$D$37,MATCH(C610,'Country Tiers'!$A$2:$A$37,0))</f>
        <v>1</v>
      </c>
    </row>
    <row r="611" customFormat="false" ht="15" hidden="false" customHeight="false" outlineLevel="0" collapsed="false">
      <c r="A611" s="12" t="s">
        <v>62</v>
      </c>
      <c r="B611" s="12" t="s">
        <v>57</v>
      </c>
      <c r="C611" s="12" t="s">
        <v>297</v>
      </c>
      <c r="D611" s="12" t="str">
        <f aca="false">INDEX('Country Tiers'!$C$2:$C$37,MATCH(C611,'Country Tiers'!$A$2:$A$37,0))</f>
        <v>Tier 2</v>
      </c>
      <c r="E611" s="12" t="n">
        <f aca="false">INDEX('Country Tiers'!$D$2:$D$37,MATCH(C611,'Country Tiers'!$A$2:$A$37,0))</f>
        <v>2</v>
      </c>
    </row>
    <row r="612" customFormat="false" ht="15" hidden="false" customHeight="false" outlineLevel="0" collapsed="false">
      <c r="A612" s="12" t="s">
        <v>62</v>
      </c>
      <c r="B612" s="12" t="s">
        <v>57</v>
      </c>
      <c r="C612" s="12" t="s">
        <v>298</v>
      </c>
      <c r="D612" s="12" t="str">
        <f aca="false">INDEX('Country Tiers'!$C$2:$C$37,MATCH(C612,'Country Tiers'!$A$2:$A$37,0))</f>
        <v>Tier 1</v>
      </c>
      <c r="E612" s="12" t="n">
        <f aca="false">INDEX('Country Tiers'!$D$2:$D$37,MATCH(C612,'Country Tiers'!$A$2:$A$37,0))</f>
        <v>3</v>
      </c>
    </row>
    <row r="613" customFormat="false" ht="15" hidden="false" customHeight="false" outlineLevel="0" collapsed="false">
      <c r="A613" s="12" t="s">
        <v>62</v>
      </c>
      <c r="B613" s="12" t="s">
        <v>57</v>
      </c>
      <c r="C613" s="12" t="s">
        <v>299</v>
      </c>
      <c r="D613" s="12" t="str">
        <f aca="false">INDEX('Country Tiers'!$C$2:$C$37,MATCH(C613,'Country Tiers'!$A$2:$A$37,0))</f>
        <v>Tier 3</v>
      </c>
      <c r="E613" s="12" t="n">
        <f aca="false">INDEX('Country Tiers'!$D$2:$D$37,MATCH(C613,'Country Tiers'!$A$2:$A$37,0))</f>
        <v>1</v>
      </c>
    </row>
    <row r="614" customFormat="false" ht="15" hidden="false" customHeight="false" outlineLevel="0" collapsed="false">
      <c r="A614" s="12" t="s">
        <v>62</v>
      </c>
      <c r="B614" s="12" t="s">
        <v>57</v>
      </c>
      <c r="C614" s="12" t="s">
        <v>300</v>
      </c>
      <c r="D614" s="12" t="str">
        <f aca="false">INDEX('Country Tiers'!$C$2:$C$37,MATCH(C614,'Country Tiers'!$A$2:$A$37,0))</f>
        <v>Tier 3</v>
      </c>
      <c r="E614" s="12" t="n">
        <f aca="false">INDEX('Country Tiers'!$D$2:$D$37,MATCH(C614,'Country Tiers'!$A$2:$A$37,0))</f>
        <v>1</v>
      </c>
    </row>
    <row r="615" customFormat="false" ht="15" hidden="false" customHeight="false" outlineLevel="0" collapsed="false">
      <c r="A615" s="12" t="s">
        <v>62</v>
      </c>
      <c r="B615" s="12" t="s">
        <v>57</v>
      </c>
      <c r="C615" s="12" t="s">
        <v>301</v>
      </c>
      <c r="D615" s="12" t="str">
        <f aca="false">INDEX('Country Tiers'!$C$2:$C$37,MATCH(C615,'Country Tiers'!$A$2:$A$37,0))</f>
        <v>Tier 3</v>
      </c>
      <c r="E615" s="12" t="n">
        <f aca="false">INDEX('Country Tiers'!$D$2:$D$37,MATCH(C615,'Country Tiers'!$A$2:$A$37,0))</f>
        <v>1</v>
      </c>
    </row>
    <row r="616" customFormat="false" ht="15" hidden="false" customHeight="false" outlineLevel="0" collapsed="false">
      <c r="A616" s="12" t="s">
        <v>62</v>
      </c>
      <c r="B616" s="12" t="s">
        <v>57</v>
      </c>
      <c r="C616" s="12" t="s">
        <v>302</v>
      </c>
      <c r="D616" s="12" t="str">
        <f aca="false">INDEX('Country Tiers'!$C$2:$C$37,MATCH(C616,'Country Tiers'!$A$2:$A$37,0))</f>
        <v>Tier 3</v>
      </c>
      <c r="E616" s="12" t="n">
        <f aca="false">INDEX('Country Tiers'!$D$2:$D$37,MATCH(C616,'Country Tiers'!$A$2:$A$37,0))</f>
        <v>1</v>
      </c>
    </row>
    <row r="617" customFormat="false" ht="15" hidden="false" customHeight="false" outlineLevel="0" collapsed="false">
      <c r="A617" s="12" t="s">
        <v>62</v>
      </c>
      <c r="B617" s="12" t="s">
        <v>57</v>
      </c>
      <c r="C617" s="12" t="s">
        <v>303</v>
      </c>
      <c r="D617" s="12" t="str">
        <f aca="false">INDEX('Country Tiers'!$C$2:$C$37,MATCH(C617,'Country Tiers'!$A$2:$A$37,0))</f>
        <v>Tier 2</v>
      </c>
      <c r="E617" s="12" t="n">
        <f aca="false">INDEX('Country Tiers'!$D$2:$D$37,MATCH(C617,'Country Tiers'!$A$2:$A$37,0))</f>
        <v>2</v>
      </c>
    </row>
    <row r="618" customFormat="false" ht="15" hidden="false" customHeight="false" outlineLevel="0" collapsed="false">
      <c r="A618" s="12" t="s">
        <v>62</v>
      </c>
      <c r="B618" s="12" t="s">
        <v>57</v>
      </c>
      <c r="C618" s="12" t="s">
        <v>305</v>
      </c>
      <c r="D618" s="12" t="str">
        <f aca="false">INDEX('Country Tiers'!$C$2:$C$37,MATCH(C618,'Country Tiers'!$A$2:$A$37,0))</f>
        <v>Tier 3</v>
      </c>
      <c r="E618" s="12" t="n">
        <f aca="false">INDEX('Country Tiers'!$D$2:$D$37,MATCH(C618,'Country Tiers'!$A$2:$A$37,0))</f>
        <v>1</v>
      </c>
    </row>
    <row r="619" customFormat="false" ht="15" hidden="false" customHeight="false" outlineLevel="0" collapsed="false">
      <c r="A619" s="12" t="s">
        <v>62</v>
      </c>
      <c r="B619" s="12" t="s">
        <v>57</v>
      </c>
      <c r="C619" s="12" t="s">
        <v>306</v>
      </c>
      <c r="D619" s="12" t="str">
        <f aca="false">INDEX('Country Tiers'!$C$2:$C$37,MATCH(C619,'Country Tiers'!$A$2:$A$37,0))</f>
        <v>Tier 3</v>
      </c>
      <c r="E619" s="12" t="n">
        <f aca="false">INDEX('Country Tiers'!$D$2:$D$37,MATCH(C619,'Country Tiers'!$A$2:$A$37,0))</f>
        <v>1</v>
      </c>
    </row>
    <row r="620" customFormat="false" ht="15" hidden="false" customHeight="false" outlineLevel="0" collapsed="false">
      <c r="A620" s="12" t="s">
        <v>62</v>
      </c>
      <c r="B620" s="12" t="s">
        <v>57</v>
      </c>
      <c r="C620" s="12" t="s">
        <v>307</v>
      </c>
      <c r="D620" s="12" t="str">
        <f aca="false">INDEX('Country Tiers'!$C$2:$C$37,MATCH(C620,'Country Tiers'!$A$2:$A$37,0))</f>
        <v>Tier 2</v>
      </c>
      <c r="E620" s="12" t="n">
        <f aca="false">INDEX('Country Tiers'!$D$2:$D$37,MATCH(C620,'Country Tiers'!$A$2:$A$37,0))</f>
        <v>2</v>
      </c>
    </row>
    <row r="621" customFormat="false" ht="15" hidden="false" customHeight="false" outlineLevel="0" collapsed="false">
      <c r="A621" s="12" t="s">
        <v>62</v>
      </c>
      <c r="B621" s="12" t="s">
        <v>57</v>
      </c>
      <c r="C621" s="12" t="s">
        <v>308</v>
      </c>
      <c r="D621" s="12" t="str">
        <f aca="false">INDEX('Country Tiers'!$C$2:$C$37,MATCH(C621,'Country Tiers'!$A$2:$A$37,0))</f>
        <v>Tier 3</v>
      </c>
      <c r="E621" s="12" t="n">
        <f aca="false">INDEX('Country Tiers'!$D$2:$D$37,MATCH(C621,'Country Tiers'!$A$2:$A$37,0))</f>
        <v>1</v>
      </c>
    </row>
    <row r="622" customFormat="false" ht="15" hidden="false" customHeight="false" outlineLevel="0" collapsed="false">
      <c r="A622" s="12" t="s">
        <v>62</v>
      </c>
      <c r="B622" s="12" t="s">
        <v>57</v>
      </c>
      <c r="C622" s="12" t="s">
        <v>309</v>
      </c>
      <c r="D622" s="12" t="str">
        <f aca="false">INDEX('Country Tiers'!$C$2:$C$37,MATCH(C622,'Country Tiers'!$A$2:$A$37,0))</f>
        <v>Tier 1</v>
      </c>
      <c r="E622" s="12" t="n">
        <f aca="false">INDEX('Country Tiers'!$D$2:$D$37,MATCH(C622,'Country Tiers'!$A$2:$A$37,0))</f>
        <v>3</v>
      </c>
    </row>
    <row r="623" customFormat="false" ht="15" hidden="false" customHeight="false" outlineLevel="0" collapsed="false">
      <c r="A623" s="12" t="s">
        <v>62</v>
      </c>
      <c r="B623" s="12" t="s">
        <v>57</v>
      </c>
      <c r="C623" s="12" t="s">
        <v>311</v>
      </c>
      <c r="D623" s="12" t="str">
        <f aca="false">INDEX('Country Tiers'!$C$2:$C$37,MATCH(C623,'Country Tiers'!$A$2:$A$37,0))</f>
        <v>Tier 1</v>
      </c>
      <c r="E623" s="12" t="n">
        <f aca="false">INDEX('Country Tiers'!$D$2:$D$37,MATCH(C623,'Country Tiers'!$A$2:$A$37,0))</f>
        <v>3</v>
      </c>
    </row>
    <row r="624" customFormat="false" ht="15" hidden="false" customHeight="false" outlineLevel="0" collapsed="false">
      <c r="A624" s="12" t="s">
        <v>62</v>
      </c>
      <c r="B624" s="12" t="s">
        <v>57</v>
      </c>
      <c r="C624" s="12" t="s">
        <v>313</v>
      </c>
      <c r="D624" s="12" t="str">
        <f aca="false">INDEX('Country Tiers'!$C$2:$C$37,MATCH(C624,'Country Tiers'!$A$2:$A$37,0))</f>
        <v>Tier 1</v>
      </c>
      <c r="E624" s="12" t="n">
        <f aca="false">INDEX('Country Tiers'!$D$2:$D$37,MATCH(C624,'Country Tiers'!$A$2:$A$37,0))</f>
        <v>3</v>
      </c>
    </row>
    <row r="625" customFormat="false" ht="15" hidden="false" customHeight="false" outlineLevel="0" collapsed="false">
      <c r="A625" s="12" t="s">
        <v>62</v>
      </c>
      <c r="B625" s="12" t="s">
        <v>44</v>
      </c>
      <c r="C625" s="12" t="s">
        <v>272</v>
      </c>
      <c r="D625" s="12" t="str">
        <f aca="false">INDEX('Country Tiers'!$C$2:$C$37,MATCH(C625,'Country Tiers'!$A$2:$A$37,0))</f>
        <v>Tier 2</v>
      </c>
      <c r="E625" s="12" t="n">
        <f aca="false">INDEX('Country Tiers'!$D$2:$D$37,MATCH(C625,'Country Tiers'!$A$2:$A$37,0))</f>
        <v>2</v>
      </c>
    </row>
    <row r="626" customFormat="false" ht="15" hidden="false" customHeight="false" outlineLevel="0" collapsed="false">
      <c r="A626" s="12" t="s">
        <v>62</v>
      </c>
      <c r="B626" s="12" t="s">
        <v>44</v>
      </c>
      <c r="C626" s="12" t="s">
        <v>274</v>
      </c>
      <c r="D626" s="12" t="str">
        <f aca="false">INDEX('Country Tiers'!$C$2:$C$37,MATCH(C626,'Country Tiers'!$A$2:$A$37,0))</f>
        <v>Tier 3</v>
      </c>
      <c r="E626" s="12" t="n">
        <f aca="false">INDEX('Country Tiers'!$D$2:$D$37,MATCH(C626,'Country Tiers'!$A$2:$A$37,0))</f>
        <v>1</v>
      </c>
    </row>
    <row r="627" customFormat="false" ht="15" hidden="false" customHeight="false" outlineLevel="0" collapsed="false">
      <c r="A627" s="12" t="s">
        <v>62</v>
      </c>
      <c r="B627" s="12" t="s">
        <v>44</v>
      </c>
      <c r="C627" s="12" t="s">
        <v>277</v>
      </c>
      <c r="D627" s="12" t="str">
        <f aca="false">INDEX('Country Tiers'!$C$2:$C$37,MATCH(C627,'Country Tiers'!$A$2:$A$37,0))</f>
        <v>Tier 1</v>
      </c>
      <c r="E627" s="12" t="n">
        <f aca="false">INDEX('Country Tiers'!$D$2:$D$37,MATCH(C627,'Country Tiers'!$A$2:$A$37,0))</f>
        <v>3</v>
      </c>
    </row>
    <row r="628" customFormat="false" ht="15" hidden="false" customHeight="false" outlineLevel="0" collapsed="false">
      <c r="A628" s="12" t="s">
        <v>62</v>
      </c>
      <c r="B628" s="12" t="s">
        <v>44</v>
      </c>
      <c r="C628" s="12" t="s">
        <v>278</v>
      </c>
      <c r="D628" s="12" t="str">
        <f aca="false">INDEX('Country Tiers'!$C$2:$C$37,MATCH(C628,'Country Tiers'!$A$2:$A$37,0))</f>
        <v>Tier 3</v>
      </c>
      <c r="E628" s="12" t="n">
        <f aca="false">INDEX('Country Tiers'!$D$2:$D$37,MATCH(C628,'Country Tiers'!$A$2:$A$37,0))</f>
        <v>1</v>
      </c>
    </row>
    <row r="629" customFormat="false" ht="15" hidden="false" customHeight="false" outlineLevel="0" collapsed="false">
      <c r="A629" s="12" t="s">
        <v>62</v>
      </c>
      <c r="B629" s="12" t="s">
        <v>44</v>
      </c>
      <c r="C629" s="12" t="s">
        <v>280</v>
      </c>
      <c r="D629" s="12" t="str">
        <f aca="false">INDEX('Country Tiers'!$C$2:$C$37,MATCH(C629,'Country Tiers'!$A$2:$A$37,0))</f>
        <v>Tier 3</v>
      </c>
      <c r="E629" s="12" t="n">
        <f aca="false">INDEX('Country Tiers'!$D$2:$D$37,MATCH(C629,'Country Tiers'!$A$2:$A$37,0))</f>
        <v>1</v>
      </c>
    </row>
    <row r="630" customFormat="false" ht="15" hidden="false" customHeight="false" outlineLevel="0" collapsed="false">
      <c r="A630" s="12" t="s">
        <v>62</v>
      </c>
      <c r="B630" s="12" t="s">
        <v>44</v>
      </c>
      <c r="C630" s="12" t="s">
        <v>281</v>
      </c>
      <c r="D630" s="12" t="str">
        <f aca="false">INDEX('Country Tiers'!$C$2:$C$37,MATCH(C630,'Country Tiers'!$A$2:$A$37,0))</f>
        <v>Tier 3</v>
      </c>
      <c r="E630" s="12" t="n">
        <f aca="false">INDEX('Country Tiers'!$D$2:$D$37,MATCH(C630,'Country Tiers'!$A$2:$A$37,0))</f>
        <v>1</v>
      </c>
    </row>
    <row r="631" customFormat="false" ht="15" hidden="false" customHeight="false" outlineLevel="0" collapsed="false">
      <c r="A631" s="12" t="s">
        <v>62</v>
      </c>
      <c r="B631" s="12" t="s">
        <v>44</v>
      </c>
      <c r="C631" s="12" t="s">
        <v>282</v>
      </c>
      <c r="D631" s="12" t="str">
        <f aca="false">INDEX('Country Tiers'!$C$2:$C$37,MATCH(C631,'Country Tiers'!$A$2:$A$37,0))</f>
        <v>Tier 3</v>
      </c>
      <c r="E631" s="12" t="n">
        <f aca="false">INDEX('Country Tiers'!$D$2:$D$37,MATCH(C631,'Country Tiers'!$A$2:$A$37,0))</f>
        <v>1</v>
      </c>
    </row>
    <row r="632" customFormat="false" ht="15" hidden="false" customHeight="false" outlineLevel="0" collapsed="false">
      <c r="A632" s="12" t="s">
        <v>62</v>
      </c>
      <c r="B632" s="12" t="s">
        <v>44</v>
      </c>
      <c r="C632" s="12" t="s">
        <v>283</v>
      </c>
      <c r="D632" s="12" t="str">
        <f aca="false">INDEX('Country Tiers'!$C$2:$C$37,MATCH(C632,'Country Tiers'!$A$2:$A$37,0))</f>
        <v>Tier 3</v>
      </c>
      <c r="E632" s="12" t="n">
        <f aca="false">INDEX('Country Tiers'!$D$2:$D$37,MATCH(C632,'Country Tiers'!$A$2:$A$37,0))</f>
        <v>1</v>
      </c>
    </row>
    <row r="633" customFormat="false" ht="15" hidden="false" customHeight="false" outlineLevel="0" collapsed="false">
      <c r="A633" s="12" t="s">
        <v>62</v>
      </c>
      <c r="B633" s="12" t="s">
        <v>44</v>
      </c>
      <c r="C633" s="12" t="s">
        <v>285</v>
      </c>
      <c r="D633" s="12" t="str">
        <f aca="false">INDEX('Country Tiers'!$C$2:$C$37,MATCH(C633,'Country Tiers'!$A$2:$A$37,0))</f>
        <v>Tier 3</v>
      </c>
      <c r="E633" s="12" t="n">
        <f aca="false">INDEX('Country Tiers'!$D$2:$D$37,MATCH(C633,'Country Tiers'!$A$2:$A$37,0))</f>
        <v>1</v>
      </c>
    </row>
    <row r="634" customFormat="false" ht="15" hidden="false" customHeight="false" outlineLevel="0" collapsed="false">
      <c r="A634" s="12" t="s">
        <v>62</v>
      </c>
      <c r="B634" s="12" t="s">
        <v>44</v>
      </c>
      <c r="C634" s="12" t="s">
        <v>286</v>
      </c>
      <c r="D634" s="12" t="str">
        <f aca="false">INDEX('Country Tiers'!$C$2:$C$37,MATCH(C634,'Country Tiers'!$A$2:$A$37,0))</f>
        <v>Tier 1</v>
      </c>
      <c r="E634" s="12" t="n">
        <f aca="false">INDEX('Country Tiers'!$D$2:$D$37,MATCH(C634,'Country Tiers'!$A$2:$A$37,0))</f>
        <v>3</v>
      </c>
    </row>
    <row r="635" customFormat="false" ht="15" hidden="false" customHeight="false" outlineLevel="0" collapsed="false">
      <c r="A635" s="12" t="s">
        <v>62</v>
      </c>
      <c r="B635" s="12" t="s">
        <v>44</v>
      </c>
      <c r="C635" s="12" t="s">
        <v>287</v>
      </c>
      <c r="D635" s="12" t="str">
        <f aca="false">INDEX('Country Tiers'!$C$2:$C$37,MATCH(C635,'Country Tiers'!$A$2:$A$37,0))</f>
        <v>Tier 1</v>
      </c>
      <c r="E635" s="12" t="n">
        <f aca="false">INDEX('Country Tiers'!$D$2:$D$37,MATCH(C635,'Country Tiers'!$A$2:$A$37,0))</f>
        <v>3</v>
      </c>
    </row>
    <row r="636" customFormat="false" ht="15" hidden="false" customHeight="false" outlineLevel="0" collapsed="false">
      <c r="A636" s="12" t="s">
        <v>62</v>
      </c>
      <c r="B636" s="12" t="s">
        <v>44</v>
      </c>
      <c r="C636" s="12" t="s">
        <v>288</v>
      </c>
      <c r="D636" s="12" t="str">
        <f aca="false">INDEX('Country Tiers'!$C$2:$C$37,MATCH(C636,'Country Tiers'!$A$2:$A$37,0))</f>
        <v>Tier 3</v>
      </c>
      <c r="E636" s="12" t="n">
        <f aca="false">INDEX('Country Tiers'!$D$2:$D$37,MATCH(C636,'Country Tiers'!$A$2:$A$37,0))</f>
        <v>1</v>
      </c>
    </row>
    <row r="637" customFormat="false" ht="15" hidden="false" customHeight="false" outlineLevel="0" collapsed="false">
      <c r="A637" s="12" t="s">
        <v>62</v>
      </c>
      <c r="B637" s="12" t="s">
        <v>44</v>
      </c>
      <c r="C637" s="12" t="s">
        <v>289</v>
      </c>
      <c r="D637" s="12" t="str">
        <f aca="false">INDEX('Country Tiers'!$C$2:$C$37,MATCH(C637,'Country Tiers'!$A$2:$A$37,0))</f>
        <v>Tier 3</v>
      </c>
      <c r="E637" s="12" t="n">
        <f aca="false">INDEX('Country Tiers'!$D$2:$D$37,MATCH(C637,'Country Tiers'!$A$2:$A$37,0))</f>
        <v>1</v>
      </c>
    </row>
    <row r="638" customFormat="false" ht="15" hidden="false" customHeight="false" outlineLevel="0" collapsed="false">
      <c r="A638" s="12" t="s">
        <v>62</v>
      </c>
      <c r="B638" s="12" t="s">
        <v>44</v>
      </c>
      <c r="C638" s="12" t="s">
        <v>290</v>
      </c>
      <c r="D638" s="12" t="str">
        <f aca="false">INDEX('Country Tiers'!$C$2:$C$37,MATCH(C638,'Country Tiers'!$A$2:$A$37,0))</f>
        <v>Tier 3</v>
      </c>
      <c r="E638" s="12" t="n">
        <f aca="false">INDEX('Country Tiers'!$D$2:$D$37,MATCH(C638,'Country Tiers'!$A$2:$A$37,0))</f>
        <v>1</v>
      </c>
    </row>
    <row r="639" customFormat="false" ht="15" hidden="false" customHeight="false" outlineLevel="0" collapsed="false">
      <c r="A639" s="12" t="s">
        <v>62</v>
      </c>
      <c r="B639" s="12" t="s">
        <v>44</v>
      </c>
      <c r="C639" s="12" t="s">
        <v>291</v>
      </c>
      <c r="D639" s="12" t="str">
        <f aca="false">INDEX('Country Tiers'!$C$2:$C$37,MATCH(C639,'Country Tiers'!$A$2:$A$37,0))</f>
        <v>Tier 3</v>
      </c>
      <c r="E639" s="12" t="n">
        <f aca="false">INDEX('Country Tiers'!$D$2:$D$37,MATCH(C639,'Country Tiers'!$A$2:$A$37,0))</f>
        <v>1</v>
      </c>
    </row>
    <row r="640" customFormat="false" ht="15" hidden="false" customHeight="false" outlineLevel="0" collapsed="false">
      <c r="A640" s="12" t="s">
        <v>62</v>
      </c>
      <c r="B640" s="12" t="s">
        <v>44</v>
      </c>
      <c r="C640" s="12" t="s">
        <v>292</v>
      </c>
      <c r="D640" s="12" t="str">
        <f aca="false">INDEX('Country Tiers'!$C$2:$C$37,MATCH(C640,'Country Tiers'!$A$2:$A$37,0))</f>
        <v>Tier 2</v>
      </c>
      <c r="E640" s="12" t="n">
        <f aca="false">INDEX('Country Tiers'!$D$2:$D$37,MATCH(C640,'Country Tiers'!$A$2:$A$37,0))</f>
        <v>2</v>
      </c>
    </row>
    <row r="641" customFormat="false" ht="15" hidden="false" customHeight="false" outlineLevel="0" collapsed="false">
      <c r="A641" s="12" t="s">
        <v>62</v>
      </c>
      <c r="B641" s="12" t="s">
        <v>44</v>
      </c>
      <c r="C641" s="12" t="s">
        <v>293</v>
      </c>
      <c r="D641" s="12" t="str">
        <f aca="false">INDEX('Country Tiers'!$C$2:$C$37,MATCH(C641,'Country Tiers'!$A$2:$A$37,0))</f>
        <v>Tier 3</v>
      </c>
      <c r="E641" s="12" t="n">
        <f aca="false">INDEX('Country Tiers'!$D$2:$D$37,MATCH(C641,'Country Tiers'!$A$2:$A$37,0))</f>
        <v>1</v>
      </c>
    </row>
    <row r="642" customFormat="false" ht="15" hidden="false" customHeight="false" outlineLevel="0" collapsed="false">
      <c r="A642" s="12" t="s">
        <v>62</v>
      </c>
      <c r="B642" s="12" t="s">
        <v>44</v>
      </c>
      <c r="C642" s="12" t="s">
        <v>294</v>
      </c>
      <c r="D642" s="12" t="str">
        <f aca="false">INDEX('Country Tiers'!$C$2:$C$37,MATCH(C642,'Country Tiers'!$A$2:$A$37,0))</f>
        <v>Tier 3</v>
      </c>
      <c r="E642" s="12" t="n">
        <f aca="false">INDEX('Country Tiers'!$D$2:$D$37,MATCH(C642,'Country Tiers'!$A$2:$A$37,0))</f>
        <v>1</v>
      </c>
    </row>
    <row r="643" customFormat="false" ht="15" hidden="false" customHeight="false" outlineLevel="0" collapsed="false">
      <c r="A643" s="12" t="s">
        <v>62</v>
      </c>
      <c r="B643" s="12" t="s">
        <v>44</v>
      </c>
      <c r="C643" s="12" t="s">
        <v>296</v>
      </c>
      <c r="D643" s="12" t="str">
        <f aca="false">INDEX('Country Tiers'!$C$2:$C$37,MATCH(C643,'Country Tiers'!$A$2:$A$37,0))</f>
        <v>Tier 3</v>
      </c>
      <c r="E643" s="12" t="n">
        <f aca="false">INDEX('Country Tiers'!$D$2:$D$37,MATCH(C643,'Country Tiers'!$A$2:$A$37,0))</f>
        <v>1</v>
      </c>
    </row>
    <row r="644" customFormat="false" ht="15" hidden="false" customHeight="false" outlineLevel="0" collapsed="false">
      <c r="A644" s="12" t="s">
        <v>62</v>
      </c>
      <c r="B644" s="12" t="s">
        <v>44</v>
      </c>
      <c r="C644" s="12" t="s">
        <v>297</v>
      </c>
      <c r="D644" s="12" t="str">
        <f aca="false">INDEX('Country Tiers'!$C$2:$C$37,MATCH(C644,'Country Tiers'!$A$2:$A$37,0))</f>
        <v>Tier 2</v>
      </c>
      <c r="E644" s="12" t="n">
        <f aca="false">INDEX('Country Tiers'!$D$2:$D$37,MATCH(C644,'Country Tiers'!$A$2:$A$37,0))</f>
        <v>2</v>
      </c>
    </row>
    <row r="645" customFormat="false" ht="15" hidden="false" customHeight="false" outlineLevel="0" collapsed="false">
      <c r="A645" s="12" t="s">
        <v>62</v>
      </c>
      <c r="B645" s="12" t="s">
        <v>44</v>
      </c>
      <c r="C645" s="12" t="s">
        <v>298</v>
      </c>
      <c r="D645" s="12" t="str">
        <f aca="false">INDEX('Country Tiers'!$C$2:$C$37,MATCH(C645,'Country Tiers'!$A$2:$A$37,0))</f>
        <v>Tier 1</v>
      </c>
      <c r="E645" s="12" t="n">
        <f aca="false">INDEX('Country Tiers'!$D$2:$D$37,MATCH(C645,'Country Tiers'!$A$2:$A$37,0))</f>
        <v>3</v>
      </c>
    </row>
    <row r="646" customFormat="false" ht="15" hidden="false" customHeight="false" outlineLevel="0" collapsed="false">
      <c r="A646" s="12" t="s">
        <v>62</v>
      </c>
      <c r="B646" s="12" t="s">
        <v>44</v>
      </c>
      <c r="C646" s="12" t="s">
        <v>299</v>
      </c>
      <c r="D646" s="12" t="str">
        <f aca="false">INDEX('Country Tiers'!$C$2:$C$37,MATCH(C646,'Country Tiers'!$A$2:$A$37,0))</f>
        <v>Tier 3</v>
      </c>
      <c r="E646" s="12" t="n">
        <f aca="false">INDEX('Country Tiers'!$D$2:$D$37,MATCH(C646,'Country Tiers'!$A$2:$A$37,0))</f>
        <v>1</v>
      </c>
    </row>
    <row r="647" customFormat="false" ht="15" hidden="false" customHeight="false" outlineLevel="0" collapsed="false">
      <c r="A647" s="12" t="s">
        <v>62</v>
      </c>
      <c r="B647" s="12" t="s">
        <v>44</v>
      </c>
      <c r="C647" s="12" t="s">
        <v>300</v>
      </c>
      <c r="D647" s="12" t="str">
        <f aca="false">INDEX('Country Tiers'!$C$2:$C$37,MATCH(C647,'Country Tiers'!$A$2:$A$37,0))</f>
        <v>Tier 3</v>
      </c>
      <c r="E647" s="12" t="n">
        <f aca="false">INDEX('Country Tiers'!$D$2:$D$37,MATCH(C647,'Country Tiers'!$A$2:$A$37,0))</f>
        <v>1</v>
      </c>
    </row>
    <row r="648" customFormat="false" ht="15" hidden="false" customHeight="false" outlineLevel="0" collapsed="false">
      <c r="A648" s="12" t="s">
        <v>62</v>
      </c>
      <c r="B648" s="12" t="s">
        <v>44</v>
      </c>
      <c r="C648" s="12" t="s">
        <v>301</v>
      </c>
      <c r="D648" s="12" t="str">
        <f aca="false">INDEX('Country Tiers'!$C$2:$C$37,MATCH(C648,'Country Tiers'!$A$2:$A$37,0))</f>
        <v>Tier 3</v>
      </c>
      <c r="E648" s="12" t="n">
        <f aca="false">INDEX('Country Tiers'!$D$2:$D$37,MATCH(C648,'Country Tiers'!$A$2:$A$37,0))</f>
        <v>1</v>
      </c>
    </row>
    <row r="649" customFormat="false" ht="15" hidden="false" customHeight="false" outlineLevel="0" collapsed="false">
      <c r="A649" s="12" t="s">
        <v>62</v>
      </c>
      <c r="B649" s="12" t="s">
        <v>44</v>
      </c>
      <c r="C649" s="12" t="s">
        <v>302</v>
      </c>
      <c r="D649" s="12" t="str">
        <f aca="false">INDEX('Country Tiers'!$C$2:$C$37,MATCH(C649,'Country Tiers'!$A$2:$A$37,0))</f>
        <v>Tier 3</v>
      </c>
      <c r="E649" s="12" t="n">
        <f aca="false">INDEX('Country Tiers'!$D$2:$D$37,MATCH(C649,'Country Tiers'!$A$2:$A$37,0))</f>
        <v>1</v>
      </c>
    </row>
    <row r="650" customFormat="false" ht="15" hidden="false" customHeight="false" outlineLevel="0" collapsed="false">
      <c r="A650" s="12" t="s">
        <v>62</v>
      </c>
      <c r="B650" s="12" t="s">
        <v>44</v>
      </c>
      <c r="C650" s="12" t="s">
        <v>303</v>
      </c>
      <c r="D650" s="12" t="str">
        <f aca="false">INDEX('Country Tiers'!$C$2:$C$37,MATCH(C650,'Country Tiers'!$A$2:$A$37,0))</f>
        <v>Tier 2</v>
      </c>
      <c r="E650" s="12" t="n">
        <f aca="false">INDEX('Country Tiers'!$D$2:$D$37,MATCH(C650,'Country Tiers'!$A$2:$A$37,0))</f>
        <v>2</v>
      </c>
    </row>
    <row r="651" customFormat="false" ht="15" hidden="false" customHeight="false" outlineLevel="0" collapsed="false">
      <c r="A651" s="12" t="s">
        <v>62</v>
      </c>
      <c r="B651" s="12" t="s">
        <v>44</v>
      </c>
      <c r="C651" s="12" t="s">
        <v>305</v>
      </c>
      <c r="D651" s="12" t="str">
        <f aca="false">INDEX('Country Tiers'!$C$2:$C$37,MATCH(C651,'Country Tiers'!$A$2:$A$37,0))</f>
        <v>Tier 3</v>
      </c>
      <c r="E651" s="12" t="n">
        <f aca="false">INDEX('Country Tiers'!$D$2:$D$37,MATCH(C651,'Country Tiers'!$A$2:$A$37,0))</f>
        <v>1</v>
      </c>
    </row>
    <row r="652" customFormat="false" ht="15" hidden="false" customHeight="false" outlineLevel="0" collapsed="false">
      <c r="A652" s="12" t="s">
        <v>62</v>
      </c>
      <c r="B652" s="12" t="s">
        <v>44</v>
      </c>
      <c r="C652" s="12" t="s">
        <v>306</v>
      </c>
      <c r="D652" s="12" t="str">
        <f aca="false">INDEX('Country Tiers'!$C$2:$C$37,MATCH(C652,'Country Tiers'!$A$2:$A$37,0))</f>
        <v>Tier 3</v>
      </c>
      <c r="E652" s="12" t="n">
        <f aca="false">INDEX('Country Tiers'!$D$2:$D$37,MATCH(C652,'Country Tiers'!$A$2:$A$37,0))</f>
        <v>1</v>
      </c>
    </row>
    <row r="653" customFormat="false" ht="15" hidden="false" customHeight="false" outlineLevel="0" collapsed="false">
      <c r="A653" s="12" t="s">
        <v>62</v>
      </c>
      <c r="B653" s="12" t="s">
        <v>44</v>
      </c>
      <c r="C653" s="12" t="s">
        <v>307</v>
      </c>
      <c r="D653" s="12" t="str">
        <f aca="false">INDEX('Country Tiers'!$C$2:$C$37,MATCH(C653,'Country Tiers'!$A$2:$A$37,0))</f>
        <v>Tier 2</v>
      </c>
      <c r="E653" s="12" t="n">
        <f aca="false">INDEX('Country Tiers'!$D$2:$D$37,MATCH(C653,'Country Tiers'!$A$2:$A$37,0))</f>
        <v>2</v>
      </c>
    </row>
    <row r="654" customFormat="false" ht="15" hidden="false" customHeight="false" outlineLevel="0" collapsed="false">
      <c r="A654" s="12" t="s">
        <v>62</v>
      </c>
      <c r="B654" s="12" t="s">
        <v>44</v>
      </c>
      <c r="C654" s="12" t="s">
        <v>308</v>
      </c>
      <c r="D654" s="12" t="str">
        <f aca="false">INDEX('Country Tiers'!$C$2:$C$37,MATCH(C654,'Country Tiers'!$A$2:$A$37,0))</f>
        <v>Tier 3</v>
      </c>
      <c r="E654" s="12" t="n">
        <f aca="false">INDEX('Country Tiers'!$D$2:$D$37,MATCH(C654,'Country Tiers'!$A$2:$A$37,0))</f>
        <v>1</v>
      </c>
    </row>
    <row r="655" customFormat="false" ht="15" hidden="false" customHeight="false" outlineLevel="0" collapsed="false">
      <c r="A655" s="12" t="s">
        <v>62</v>
      </c>
      <c r="B655" s="12" t="s">
        <v>44</v>
      </c>
      <c r="C655" s="12" t="s">
        <v>309</v>
      </c>
      <c r="D655" s="12" t="str">
        <f aca="false">INDEX('Country Tiers'!$C$2:$C$37,MATCH(C655,'Country Tiers'!$A$2:$A$37,0))</f>
        <v>Tier 1</v>
      </c>
      <c r="E655" s="12" t="n">
        <f aca="false">INDEX('Country Tiers'!$D$2:$D$37,MATCH(C655,'Country Tiers'!$A$2:$A$37,0))</f>
        <v>3</v>
      </c>
    </row>
    <row r="656" customFormat="false" ht="15" hidden="false" customHeight="false" outlineLevel="0" collapsed="false">
      <c r="A656" s="12" t="s">
        <v>62</v>
      </c>
      <c r="B656" s="12" t="s">
        <v>44</v>
      </c>
      <c r="C656" s="12" t="s">
        <v>313</v>
      </c>
      <c r="D656" s="12" t="str">
        <f aca="false">INDEX('Country Tiers'!$C$2:$C$37,MATCH(C656,'Country Tiers'!$A$2:$A$37,0))</f>
        <v>Tier 1</v>
      </c>
      <c r="E656" s="12" t="n">
        <f aca="false">INDEX('Country Tiers'!$D$2:$D$37,MATCH(C656,'Country Tiers'!$A$2:$A$37,0))</f>
        <v>3</v>
      </c>
    </row>
    <row r="657" customFormat="false" ht="15" hidden="false" customHeight="false" outlineLevel="0" collapsed="false">
      <c r="A657" s="12" t="s">
        <v>62</v>
      </c>
      <c r="B657" s="12" t="s">
        <v>63</v>
      </c>
      <c r="C657" s="12" t="s">
        <v>272</v>
      </c>
      <c r="D657" s="12" t="str">
        <f aca="false">INDEX('Country Tiers'!$C$2:$C$37,MATCH(C657,'Country Tiers'!$A$2:$A$37,0))</f>
        <v>Tier 2</v>
      </c>
      <c r="E657" s="12" t="n">
        <f aca="false">INDEX('Country Tiers'!$D$2:$D$37,MATCH(C657,'Country Tiers'!$A$2:$A$37,0))</f>
        <v>2</v>
      </c>
    </row>
    <row r="658" customFormat="false" ht="15" hidden="false" customHeight="false" outlineLevel="0" collapsed="false">
      <c r="A658" s="12" t="s">
        <v>62</v>
      </c>
      <c r="B658" s="12" t="s">
        <v>63</v>
      </c>
      <c r="C658" s="12" t="s">
        <v>274</v>
      </c>
      <c r="D658" s="12" t="str">
        <f aca="false">INDEX('Country Tiers'!$C$2:$C$37,MATCH(C658,'Country Tiers'!$A$2:$A$37,0))</f>
        <v>Tier 3</v>
      </c>
      <c r="E658" s="12" t="n">
        <f aca="false">INDEX('Country Tiers'!$D$2:$D$37,MATCH(C658,'Country Tiers'!$A$2:$A$37,0))</f>
        <v>1</v>
      </c>
    </row>
    <row r="659" customFormat="false" ht="15" hidden="false" customHeight="false" outlineLevel="0" collapsed="false">
      <c r="A659" s="12" t="s">
        <v>62</v>
      </c>
      <c r="B659" s="12" t="s">
        <v>63</v>
      </c>
      <c r="C659" s="12" t="s">
        <v>277</v>
      </c>
      <c r="D659" s="12" t="str">
        <f aca="false">INDEX('Country Tiers'!$C$2:$C$37,MATCH(C659,'Country Tiers'!$A$2:$A$37,0))</f>
        <v>Tier 1</v>
      </c>
      <c r="E659" s="12" t="n">
        <f aca="false">INDEX('Country Tiers'!$D$2:$D$37,MATCH(C659,'Country Tiers'!$A$2:$A$37,0))</f>
        <v>3</v>
      </c>
    </row>
    <row r="660" customFormat="false" ht="15" hidden="false" customHeight="false" outlineLevel="0" collapsed="false">
      <c r="A660" s="12" t="s">
        <v>62</v>
      </c>
      <c r="B660" s="12" t="s">
        <v>63</v>
      </c>
      <c r="C660" s="12" t="s">
        <v>278</v>
      </c>
      <c r="D660" s="12" t="str">
        <f aca="false">INDEX('Country Tiers'!$C$2:$C$37,MATCH(C660,'Country Tiers'!$A$2:$A$37,0))</f>
        <v>Tier 3</v>
      </c>
      <c r="E660" s="12" t="n">
        <f aca="false">INDEX('Country Tiers'!$D$2:$D$37,MATCH(C660,'Country Tiers'!$A$2:$A$37,0))</f>
        <v>1</v>
      </c>
    </row>
    <row r="661" customFormat="false" ht="15" hidden="false" customHeight="false" outlineLevel="0" collapsed="false">
      <c r="A661" s="12" t="s">
        <v>62</v>
      </c>
      <c r="B661" s="12" t="s">
        <v>63</v>
      </c>
      <c r="C661" s="12" t="s">
        <v>280</v>
      </c>
      <c r="D661" s="12" t="str">
        <f aca="false">INDEX('Country Tiers'!$C$2:$C$37,MATCH(C661,'Country Tiers'!$A$2:$A$37,0))</f>
        <v>Tier 3</v>
      </c>
      <c r="E661" s="12" t="n">
        <f aca="false">INDEX('Country Tiers'!$D$2:$D$37,MATCH(C661,'Country Tiers'!$A$2:$A$37,0))</f>
        <v>1</v>
      </c>
    </row>
    <row r="662" customFormat="false" ht="15" hidden="false" customHeight="false" outlineLevel="0" collapsed="false">
      <c r="A662" s="12" t="s">
        <v>62</v>
      </c>
      <c r="B662" s="12" t="s">
        <v>63</v>
      </c>
      <c r="C662" s="12" t="s">
        <v>281</v>
      </c>
      <c r="D662" s="12" t="str">
        <f aca="false">INDEX('Country Tiers'!$C$2:$C$37,MATCH(C662,'Country Tiers'!$A$2:$A$37,0))</f>
        <v>Tier 3</v>
      </c>
      <c r="E662" s="12" t="n">
        <f aca="false">INDEX('Country Tiers'!$D$2:$D$37,MATCH(C662,'Country Tiers'!$A$2:$A$37,0))</f>
        <v>1</v>
      </c>
    </row>
    <row r="663" customFormat="false" ht="15" hidden="false" customHeight="false" outlineLevel="0" collapsed="false">
      <c r="A663" s="12" t="s">
        <v>62</v>
      </c>
      <c r="B663" s="12" t="s">
        <v>63</v>
      </c>
      <c r="C663" s="12" t="s">
        <v>282</v>
      </c>
      <c r="D663" s="12" t="str">
        <f aca="false">INDEX('Country Tiers'!$C$2:$C$37,MATCH(C663,'Country Tiers'!$A$2:$A$37,0))</f>
        <v>Tier 3</v>
      </c>
      <c r="E663" s="12" t="n">
        <f aca="false">INDEX('Country Tiers'!$D$2:$D$37,MATCH(C663,'Country Tiers'!$A$2:$A$37,0))</f>
        <v>1</v>
      </c>
    </row>
    <row r="664" customFormat="false" ht="15" hidden="false" customHeight="false" outlineLevel="0" collapsed="false">
      <c r="A664" s="12" t="s">
        <v>62</v>
      </c>
      <c r="B664" s="12" t="s">
        <v>63</v>
      </c>
      <c r="C664" s="12" t="s">
        <v>283</v>
      </c>
      <c r="D664" s="12" t="str">
        <f aca="false">INDEX('Country Tiers'!$C$2:$C$37,MATCH(C664,'Country Tiers'!$A$2:$A$37,0))</f>
        <v>Tier 3</v>
      </c>
      <c r="E664" s="12" t="n">
        <f aca="false">INDEX('Country Tiers'!$D$2:$D$37,MATCH(C664,'Country Tiers'!$A$2:$A$37,0))</f>
        <v>1</v>
      </c>
    </row>
    <row r="665" customFormat="false" ht="15" hidden="false" customHeight="false" outlineLevel="0" collapsed="false">
      <c r="A665" s="12" t="s">
        <v>62</v>
      </c>
      <c r="B665" s="12" t="s">
        <v>63</v>
      </c>
      <c r="C665" s="12" t="s">
        <v>285</v>
      </c>
      <c r="D665" s="12" t="str">
        <f aca="false">INDEX('Country Tiers'!$C$2:$C$37,MATCH(C665,'Country Tiers'!$A$2:$A$37,0))</f>
        <v>Tier 3</v>
      </c>
      <c r="E665" s="12" t="n">
        <f aca="false">INDEX('Country Tiers'!$D$2:$D$37,MATCH(C665,'Country Tiers'!$A$2:$A$37,0))</f>
        <v>1</v>
      </c>
    </row>
    <row r="666" customFormat="false" ht="15" hidden="false" customHeight="false" outlineLevel="0" collapsed="false">
      <c r="A666" s="12" t="s">
        <v>62</v>
      </c>
      <c r="B666" s="12" t="s">
        <v>63</v>
      </c>
      <c r="C666" s="12" t="s">
        <v>286</v>
      </c>
      <c r="D666" s="12" t="str">
        <f aca="false">INDEX('Country Tiers'!$C$2:$C$37,MATCH(C666,'Country Tiers'!$A$2:$A$37,0))</f>
        <v>Tier 1</v>
      </c>
      <c r="E666" s="12" t="n">
        <f aca="false">INDEX('Country Tiers'!$D$2:$D$37,MATCH(C666,'Country Tiers'!$A$2:$A$37,0))</f>
        <v>3</v>
      </c>
    </row>
    <row r="667" customFormat="false" ht="15" hidden="false" customHeight="false" outlineLevel="0" collapsed="false">
      <c r="A667" s="12" t="s">
        <v>62</v>
      </c>
      <c r="B667" s="12" t="s">
        <v>63</v>
      </c>
      <c r="C667" s="12" t="s">
        <v>287</v>
      </c>
      <c r="D667" s="12" t="str">
        <f aca="false">INDEX('Country Tiers'!$C$2:$C$37,MATCH(C667,'Country Tiers'!$A$2:$A$37,0))</f>
        <v>Tier 1</v>
      </c>
      <c r="E667" s="12" t="n">
        <f aca="false">INDEX('Country Tiers'!$D$2:$D$37,MATCH(C667,'Country Tiers'!$A$2:$A$37,0))</f>
        <v>3</v>
      </c>
    </row>
    <row r="668" customFormat="false" ht="15" hidden="false" customHeight="false" outlineLevel="0" collapsed="false">
      <c r="A668" s="12" t="s">
        <v>62</v>
      </c>
      <c r="B668" s="12" t="s">
        <v>63</v>
      </c>
      <c r="C668" s="12" t="s">
        <v>288</v>
      </c>
      <c r="D668" s="12" t="str">
        <f aca="false">INDEX('Country Tiers'!$C$2:$C$37,MATCH(C668,'Country Tiers'!$A$2:$A$37,0))</f>
        <v>Tier 3</v>
      </c>
      <c r="E668" s="12" t="n">
        <f aca="false">INDEX('Country Tiers'!$D$2:$D$37,MATCH(C668,'Country Tiers'!$A$2:$A$37,0))</f>
        <v>1</v>
      </c>
    </row>
    <row r="669" customFormat="false" ht="15" hidden="false" customHeight="false" outlineLevel="0" collapsed="false">
      <c r="A669" s="12" t="s">
        <v>62</v>
      </c>
      <c r="B669" s="12" t="s">
        <v>63</v>
      </c>
      <c r="C669" s="12" t="s">
        <v>289</v>
      </c>
      <c r="D669" s="12" t="str">
        <f aca="false">INDEX('Country Tiers'!$C$2:$C$37,MATCH(C669,'Country Tiers'!$A$2:$A$37,0))</f>
        <v>Tier 3</v>
      </c>
      <c r="E669" s="12" t="n">
        <f aca="false">INDEX('Country Tiers'!$D$2:$D$37,MATCH(C669,'Country Tiers'!$A$2:$A$37,0))</f>
        <v>1</v>
      </c>
    </row>
    <row r="670" customFormat="false" ht="15" hidden="false" customHeight="false" outlineLevel="0" collapsed="false">
      <c r="A670" s="12" t="s">
        <v>62</v>
      </c>
      <c r="B670" s="12" t="s">
        <v>63</v>
      </c>
      <c r="C670" s="12" t="s">
        <v>290</v>
      </c>
      <c r="D670" s="12" t="str">
        <f aca="false">INDEX('Country Tiers'!$C$2:$C$37,MATCH(C670,'Country Tiers'!$A$2:$A$37,0))</f>
        <v>Tier 3</v>
      </c>
      <c r="E670" s="12" t="n">
        <f aca="false">INDEX('Country Tiers'!$D$2:$D$37,MATCH(C670,'Country Tiers'!$A$2:$A$37,0))</f>
        <v>1</v>
      </c>
    </row>
    <row r="671" customFormat="false" ht="15" hidden="false" customHeight="false" outlineLevel="0" collapsed="false">
      <c r="A671" s="12" t="s">
        <v>62</v>
      </c>
      <c r="B671" s="12" t="s">
        <v>63</v>
      </c>
      <c r="C671" s="12" t="s">
        <v>291</v>
      </c>
      <c r="D671" s="12" t="str">
        <f aca="false">INDEX('Country Tiers'!$C$2:$C$37,MATCH(C671,'Country Tiers'!$A$2:$A$37,0))</f>
        <v>Tier 3</v>
      </c>
      <c r="E671" s="12" t="n">
        <f aca="false">INDEX('Country Tiers'!$D$2:$D$37,MATCH(C671,'Country Tiers'!$A$2:$A$37,0))</f>
        <v>1</v>
      </c>
    </row>
    <row r="672" customFormat="false" ht="15" hidden="false" customHeight="false" outlineLevel="0" collapsed="false">
      <c r="A672" s="12" t="s">
        <v>62</v>
      </c>
      <c r="B672" s="12" t="s">
        <v>63</v>
      </c>
      <c r="C672" s="12" t="s">
        <v>292</v>
      </c>
      <c r="D672" s="12" t="str">
        <f aca="false">INDEX('Country Tiers'!$C$2:$C$37,MATCH(C672,'Country Tiers'!$A$2:$A$37,0))</f>
        <v>Tier 2</v>
      </c>
      <c r="E672" s="12" t="n">
        <f aca="false">INDEX('Country Tiers'!$D$2:$D$37,MATCH(C672,'Country Tiers'!$A$2:$A$37,0))</f>
        <v>2</v>
      </c>
    </row>
    <row r="673" customFormat="false" ht="15" hidden="false" customHeight="false" outlineLevel="0" collapsed="false">
      <c r="A673" s="12" t="s">
        <v>62</v>
      </c>
      <c r="B673" s="12" t="s">
        <v>63</v>
      </c>
      <c r="C673" s="12" t="s">
        <v>293</v>
      </c>
      <c r="D673" s="12" t="str">
        <f aca="false">INDEX('Country Tiers'!$C$2:$C$37,MATCH(C673,'Country Tiers'!$A$2:$A$37,0))</f>
        <v>Tier 3</v>
      </c>
      <c r="E673" s="12" t="n">
        <f aca="false">INDEX('Country Tiers'!$D$2:$D$37,MATCH(C673,'Country Tiers'!$A$2:$A$37,0))</f>
        <v>1</v>
      </c>
    </row>
    <row r="674" customFormat="false" ht="15" hidden="false" customHeight="false" outlineLevel="0" collapsed="false">
      <c r="A674" s="12" t="s">
        <v>62</v>
      </c>
      <c r="B674" s="12" t="s">
        <v>63</v>
      </c>
      <c r="C674" s="12" t="s">
        <v>294</v>
      </c>
      <c r="D674" s="12" t="str">
        <f aca="false">INDEX('Country Tiers'!$C$2:$C$37,MATCH(C674,'Country Tiers'!$A$2:$A$37,0))</f>
        <v>Tier 3</v>
      </c>
      <c r="E674" s="12" t="n">
        <f aca="false">INDEX('Country Tiers'!$D$2:$D$37,MATCH(C674,'Country Tiers'!$A$2:$A$37,0))</f>
        <v>1</v>
      </c>
    </row>
    <row r="675" customFormat="false" ht="15" hidden="false" customHeight="false" outlineLevel="0" collapsed="false">
      <c r="A675" s="12" t="s">
        <v>62</v>
      </c>
      <c r="B675" s="12" t="s">
        <v>63</v>
      </c>
      <c r="C675" s="12" t="s">
        <v>296</v>
      </c>
      <c r="D675" s="12" t="str">
        <f aca="false">INDEX('Country Tiers'!$C$2:$C$37,MATCH(C675,'Country Tiers'!$A$2:$A$37,0))</f>
        <v>Tier 3</v>
      </c>
      <c r="E675" s="12" t="n">
        <f aca="false">INDEX('Country Tiers'!$D$2:$D$37,MATCH(C675,'Country Tiers'!$A$2:$A$37,0))</f>
        <v>1</v>
      </c>
    </row>
    <row r="676" customFormat="false" ht="15" hidden="false" customHeight="false" outlineLevel="0" collapsed="false">
      <c r="A676" s="12" t="s">
        <v>62</v>
      </c>
      <c r="B676" s="12" t="s">
        <v>63</v>
      </c>
      <c r="C676" s="12" t="s">
        <v>297</v>
      </c>
      <c r="D676" s="12" t="str">
        <f aca="false">INDEX('Country Tiers'!$C$2:$C$37,MATCH(C676,'Country Tiers'!$A$2:$A$37,0))</f>
        <v>Tier 2</v>
      </c>
      <c r="E676" s="12" t="n">
        <f aca="false">INDEX('Country Tiers'!$D$2:$D$37,MATCH(C676,'Country Tiers'!$A$2:$A$37,0))</f>
        <v>2</v>
      </c>
    </row>
    <row r="677" customFormat="false" ht="15" hidden="false" customHeight="false" outlineLevel="0" collapsed="false">
      <c r="A677" s="12" t="s">
        <v>62</v>
      </c>
      <c r="B677" s="12" t="s">
        <v>63</v>
      </c>
      <c r="C677" s="12" t="s">
        <v>298</v>
      </c>
      <c r="D677" s="12" t="str">
        <f aca="false">INDEX('Country Tiers'!$C$2:$C$37,MATCH(C677,'Country Tiers'!$A$2:$A$37,0))</f>
        <v>Tier 1</v>
      </c>
      <c r="E677" s="12" t="n">
        <f aca="false">INDEX('Country Tiers'!$D$2:$D$37,MATCH(C677,'Country Tiers'!$A$2:$A$37,0))</f>
        <v>3</v>
      </c>
    </row>
    <row r="678" customFormat="false" ht="15" hidden="false" customHeight="false" outlineLevel="0" collapsed="false">
      <c r="A678" s="12" t="s">
        <v>62</v>
      </c>
      <c r="B678" s="12" t="s">
        <v>63</v>
      </c>
      <c r="C678" s="12" t="s">
        <v>299</v>
      </c>
      <c r="D678" s="12" t="str">
        <f aca="false">INDEX('Country Tiers'!$C$2:$C$37,MATCH(C678,'Country Tiers'!$A$2:$A$37,0))</f>
        <v>Tier 3</v>
      </c>
      <c r="E678" s="12" t="n">
        <f aca="false">INDEX('Country Tiers'!$D$2:$D$37,MATCH(C678,'Country Tiers'!$A$2:$A$37,0))</f>
        <v>1</v>
      </c>
    </row>
    <row r="679" customFormat="false" ht="15" hidden="false" customHeight="false" outlineLevel="0" collapsed="false">
      <c r="A679" s="12" t="s">
        <v>62</v>
      </c>
      <c r="B679" s="12" t="s">
        <v>63</v>
      </c>
      <c r="C679" s="12" t="s">
        <v>300</v>
      </c>
      <c r="D679" s="12" t="str">
        <f aca="false">INDEX('Country Tiers'!$C$2:$C$37,MATCH(C679,'Country Tiers'!$A$2:$A$37,0))</f>
        <v>Tier 3</v>
      </c>
      <c r="E679" s="12" t="n">
        <f aca="false">INDEX('Country Tiers'!$D$2:$D$37,MATCH(C679,'Country Tiers'!$A$2:$A$37,0))</f>
        <v>1</v>
      </c>
    </row>
    <row r="680" customFormat="false" ht="15" hidden="false" customHeight="false" outlineLevel="0" collapsed="false">
      <c r="A680" s="12" t="s">
        <v>62</v>
      </c>
      <c r="B680" s="12" t="s">
        <v>63</v>
      </c>
      <c r="C680" s="12" t="s">
        <v>301</v>
      </c>
      <c r="D680" s="12" t="str">
        <f aca="false">INDEX('Country Tiers'!$C$2:$C$37,MATCH(C680,'Country Tiers'!$A$2:$A$37,0))</f>
        <v>Tier 3</v>
      </c>
      <c r="E680" s="12" t="n">
        <f aca="false">INDEX('Country Tiers'!$D$2:$D$37,MATCH(C680,'Country Tiers'!$A$2:$A$37,0))</f>
        <v>1</v>
      </c>
    </row>
    <row r="681" customFormat="false" ht="15" hidden="false" customHeight="false" outlineLevel="0" collapsed="false">
      <c r="A681" s="12" t="s">
        <v>62</v>
      </c>
      <c r="B681" s="12" t="s">
        <v>63</v>
      </c>
      <c r="C681" s="12" t="s">
        <v>302</v>
      </c>
      <c r="D681" s="12" t="str">
        <f aca="false">INDEX('Country Tiers'!$C$2:$C$37,MATCH(C681,'Country Tiers'!$A$2:$A$37,0))</f>
        <v>Tier 3</v>
      </c>
      <c r="E681" s="12" t="n">
        <f aca="false">INDEX('Country Tiers'!$D$2:$D$37,MATCH(C681,'Country Tiers'!$A$2:$A$37,0))</f>
        <v>1</v>
      </c>
    </row>
    <row r="682" customFormat="false" ht="15" hidden="false" customHeight="false" outlineLevel="0" collapsed="false">
      <c r="A682" s="12" t="s">
        <v>62</v>
      </c>
      <c r="B682" s="12" t="s">
        <v>63</v>
      </c>
      <c r="C682" s="12" t="s">
        <v>305</v>
      </c>
      <c r="D682" s="12" t="str">
        <f aca="false">INDEX('Country Tiers'!$C$2:$C$37,MATCH(C682,'Country Tiers'!$A$2:$A$37,0))</f>
        <v>Tier 3</v>
      </c>
      <c r="E682" s="12" t="n">
        <f aca="false">INDEX('Country Tiers'!$D$2:$D$37,MATCH(C682,'Country Tiers'!$A$2:$A$37,0))</f>
        <v>1</v>
      </c>
    </row>
    <row r="683" customFormat="false" ht="15" hidden="false" customHeight="false" outlineLevel="0" collapsed="false">
      <c r="A683" s="12" t="s">
        <v>62</v>
      </c>
      <c r="B683" s="12" t="s">
        <v>63</v>
      </c>
      <c r="C683" s="12" t="s">
        <v>306</v>
      </c>
      <c r="D683" s="12" t="str">
        <f aca="false">INDEX('Country Tiers'!$C$2:$C$37,MATCH(C683,'Country Tiers'!$A$2:$A$37,0))</f>
        <v>Tier 3</v>
      </c>
      <c r="E683" s="12" t="n">
        <f aca="false">INDEX('Country Tiers'!$D$2:$D$37,MATCH(C683,'Country Tiers'!$A$2:$A$37,0))</f>
        <v>1</v>
      </c>
    </row>
    <row r="684" customFormat="false" ht="15" hidden="false" customHeight="false" outlineLevel="0" collapsed="false">
      <c r="A684" s="12" t="s">
        <v>62</v>
      </c>
      <c r="B684" s="12" t="s">
        <v>63</v>
      </c>
      <c r="C684" s="12" t="s">
        <v>307</v>
      </c>
      <c r="D684" s="12" t="str">
        <f aca="false">INDEX('Country Tiers'!$C$2:$C$37,MATCH(C684,'Country Tiers'!$A$2:$A$37,0))</f>
        <v>Tier 2</v>
      </c>
      <c r="E684" s="12" t="n">
        <f aca="false">INDEX('Country Tiers'!$D$2:$D$37,MATCH(C684,'Country Tiers'!$A$2:$A$37,0))</f>
        <v>2</v>
      </c>
    </row>
    <row r="685" customFormat="false" ht="15" hidden="false" customHeight="false" outlineLevel="0" collapsed="false">
      <c r="A685" s="12" t="s">
        <v>62</v>
      </c>
      <c r="B685" s="12" t="s">
        <v>63</v>
      </c>
      <c r="C685" s="12" t="s">
        <v>308</v>
      </c>
      <c r="D685" s="12" t="str">
        <f aca="false">INDEX('Country Tiers'!$C$2:$C$37,MATCH(C685,'Country Tiers'!$A$2:$A$37,0))</f>
        <v>Tier 3</v>
      </c>
      <c r="E685" s="12" t="n">
        <f aca="false">INDEX('Country Tiers'!$D$2:$D$37,MATCH(C685,'Country Tiers'!$A$2:$A$37,0))</f>
        <v>1</v>
      </c>
    </row>
    <row r="686" customFormat="false" ht="15" hidden="false" customHeight="false" outlineLevel="0" collapsed="false">
      <c r="A686" s="12" t="s">
        <v>62</v>
      </c>
      <c r="B686" s="12" t="s">
        <v>63</v>
      </c>
      <c r="C686" s="12" t="s">
        <v>309</v>
      </c>
      <c r="D686" s="12" t="str">
        <f aca="false">INDEX('Country Tiers'!$C$2:$C$37,MATCH(C686,'Country Tiers'!$A$2:$A$37,0))</f>
        <v>Tier 1</v>
      </c>
      <c r="E686" s="12" t="n">
        <f aca="false">INDEX('Country Tiers'!$D$2:$D$37,MATCH(C686,'Country Tiers'!$A$2:$A$37,0))</f>
        <v>3</v>
      </c>
    </row>
    <row r="687" customFormat="false" ht="15" hidden="false" customHeight="false" outlineLevel="0" collapsed="false">
      <c r="A687" s="12" t="s">
        <v>62</v>
      </c>
      <c r="B687" s="12" t="s">
        <v>63</v>
      </c>
      <c r="C687" s="12" t="s">
        <v>311</v>
      </c>
      <c r="D687" s="12" t="str">
        <f aca="false">INDEX('Country Tiers'!$C$2:$C$37,MATCH(C687,'Country Tiers'!$A$2:$A$37,0))</f>
        <v>Tier 1</v>
      </c>
      <c r="E687" s="12" t="n">
        <f aca="false">INDEX('Country Tiers'!$D$2:$D$37,MATCH(C687,'Country Tiers'!$A$2:$A$37,0))</f>
        <v>3</v>
      </c>
    </row>
    <row r="688" customFormat="false" ht="15" hidden="false" customHeight="false" outlineLevel="0" collapsed="false">
      <c r="A688" s="12" t="s">
        <v>62</v>
      </c>
      <c r="B688" s="12" t="s">
        <v>63</v>
      </c>
      <c r="C688" s="12" t="s">
        <v>313</v>
      </c>
      <c r="D688" s="12" t="str">
        <f aca="false">INDEX('Country Tiers'!$C$2:$C$37,MATCH(C688,'Country Tiers'!$A$2:$A$37,0))</f>
        <v>Tier 1</v>
      </c>
      <c r="E688" s="12" t="n">
        <f aca="false">INDEX('Country Tiers'!$D$2:$D$37,MATCH(C688,'Country Tiers'!$A$2:$A$37,0))</f>
        <v>3</v>
      </c>
    </row>
    <row r="689" customFormat="false" ht="15" hidden="false" customHeight="false" outlineLevel="0" collapsed="false">
      <c r="A689" s="12" t="s">
        <v>62</v>
      </c>
      <c r="B689" s="12" t="s">
        <v>50</v>
      </c>
      <c r="C689" s="12" t="s">
        <v>274</v>
      </c>
      <c r="D689" s="12" t="str">
        <f aca="false">INDEX('Country Tiers'!$C$2:$C$37,MATCH(C689,'Country Tiers'!$A$2:$A$37,0))</f>
        <v>Tier 3</v>
      </c>
      <c r="E689" s="12" t="n">
        <f aca="false">INDEX('Country Tiers'!$D$2:$D$37,MATCH(C689,'Country Tiers'!$A$2:$A$37,0))</f>
        <v>1</v>
      </c>
    </row>
    <row r="690" customFormat="false" ht="15" hidden="false" customHeight="false" outlineLevel="0" collapsed="false">
      <c r="A690" s="12" t="s">
        <v>62</v>
      </c>
      <c r="B690" s="12" t="s">
        <v>50</v>
      </c>
      <c r="C690" s="12" t="s">
        <v>277</v>
      </c>
      <c r="D690" s="12" t="str">
        <f aca="false">INDEX('Country Tiers'!$C$2:$C$37,MATCH(C690,'Country Tiers'!$A$2:$A$37,0))</f>
        <v>Tier 1</v>
      </c>
      <c r="E690" s="12" t="n">
        <f aca="false">INDEX('Country Tiers'!$D$2:$D$37,MATCH(C690,'Country Tiers'!$A$2:$A$37,0))</f>
        <v>3</v>
      </c>
    </row>
    <row r="691" customFormat="false" ht="15" hidden="false" customHeight="false" outlineLevel="0" collapsed="false">
      <c r="A691" s="12" t="s">
        <v>62</v>
      </c>
      <c r="B691" s="12" t="s">
        <v>50</v>
      </c>
      <c r="C691" s="12" t="s">
        <v>278</v>
      </c>
      <c r="D691" s="12" t="str">
        <f aca="false">INDEX('Country Tiers'!$C$2:$C$37,MATCH(C691,'Country Tiers'!$A$2:$A$37,0))</f>
        <v>Tier 3</v>
      </c>
      <c r="E691" s="12" t="n">
        <f aca="false">INDEX('Country Tiers'!$D$2:$D$37,MATCH(C691,'Country Tiers'!$A$2:$A$37,0))</f>
        <v>1</v>
      </c>
    </row>
    <row r="692" customFormat="false" ht="15" hidden="false" customHeight="false" outlineLevel="0" collapsed="false">
      <c r="A692" s="12" t="s">
        <v>62</v>
      </c>
      <c r="B692" s="12" t="s">
        <v>50</v>
      </c>
      <c r="C692" s="12" t="s">
        <v>279</v>
      </c>
      <c r="D692" s="12" t="str">
        <f aca="false">INDEX('Country Tiers'!$C$2:$C$37,MATCH(C692,'Country Tiers'!$A$2:$A$37,0))</f>
        <v>Tier 1</v>
      </c>
      <c r="E692" s="12" t="n">
        <f aca="false">INDEX('Country Tiers'!$D$2:$D$37,MATCH(C692,'Country Tiers'!$A$2:$A$37,0))</f>
        <v>3</v>
      </c>
    </row>
    <row r="693" customFormat="false" ht="15" hidden="false" customHeight="false" outlineLevel="0" collapsed="false">
      <c r="A693" s="12" t="s">
        <v>62</v>
      </c>
      <c r="B693" s="12" t="s">
        <v>50</v>
      </c>
      <c r="C693" s="12" t="s">
        <v>280</v>
      </c>
      <c r="D693" s="12" t="str">
        <f aca="false">INDEX('Country Tiers'!$C$2:$C$37,MATCH(C693,'Country Tiers'!$A$2:$A$37,0))</f>
        <v>Tier 3</v>
      </c>
      <c r="E693" s="12" t="n">
        <f aca="false">INDEX('Country Tiers'!$D$2:$D$37,MATCH(C693,'Country Tiers'!$A$2:$A$37,0))</f>
        <v>1</v>
      </c>
    </row>
    <row r="694" customFormat="false" ht="15" hidden="false" customHeight="false" outlineLevel="0" collapsed="false">
      <c r="A694" s="12" t="s">
        <v>62</v>
      </c>
      <c r="B694" s="12" t="s">
        <v>50</v>
      </c>
      <c r="C694" s="12" t="s">
        <v>281</v>
      </c>
      <c r="D694" s="12" t="str">
        <f aca="false">INDEX('Country Tiers'!$C$2:$C$37,MATCH(C694,'Country Tiers'!$A$2:$A$37,0))</f>
        <v>Tier 3</v>
      </c>
      <c r="E694" s="12" t="n">
        <f aca="false">INDEX('Country Tiers'!$D$2:$D$37,MATCH(C694,'Country Tiers'!$A$2:$A$37,0))</f>
        <v>1</v>
      </c>
    </row>
    <row r="695" customFormat="false" ht="15" hidden="false" customHeight="false" outlineLevel="0" collapsed="false">
      <c r="A695" s="12" t="s">
        <v>62</v>
      </c>
      <c r="B695" s="12" t="s">
        <v>50</v>
      </c>
      <c r="C695" s="12" t="s">
        <v>282</v>
      </c>
      <c r="D695" s="12" t="str">
        <f aca="false">INDEX('Country Tiers'!$C$2:$C$37,MATCH(C695,'Country Tiers'!$A$2:$A$37,0))</f>
        <v>Tier 3</v>
      </c>
      <c r="E695" s="12" t="n">
        <f aca="false">INDEX('Country Tiers'!$D$2:$D$37,MATCH(C695,'Country Tiers'!$A$2:$A$37,0))</f>
        <v>1</v>
      </c>
    </row>
    <row r="696" customFormat="false" ht="15" hidden="false" customHeight="false" outlineLevel="0" collapsed="false">
      <c r="A696" s="12" t="s">
        <v>62</v>
      </c>
      <c r="B696" s="12" t="s">
        <v>50</v>
      </c>
      <c r="C696" s="12" t="s">
        <v>283</v>
      </c>
      <c r="D696" s="12" t="str">
        <f aca="false">INDEX('Country Tiers'!$C$2:$C$37,MATCH(C696,'Country Tiers'!$A$2:$A$37,0))</f>
        <v>Tier 3</v>
      </c>
      <c r="E696" s="12" t="n">
        <f aca="false">INDEX('Country Tiers'!$D$2:$D$37,MATCH(C696,'Country Tiers'!$A$2:$A$37,0))</f>
        <v>1</v>
      </c>
    </row>
    <row r="697" customFormat="false" ht="15" hidden="false" customHeight="false" outlineLevel="0" collapsed="false">
      <c r="A697" s="12" t="s">
        <v>62</v>
      </c>
      <c r="B697" s="12" t="s">
        <v>50</v>
      </c>
      <c r="C697" s="12" t="s">
        <v>285</v>
      </c>
      <c r="D697" s="12" t="str">
        <f aca="false">INDEX('Country Tiers'!$C$2:$C$37,MATCH(C697,'Country Tiers'!$A$2:$A$37,0))</f>
        <v>Tier 3</v>
      </c>
      <c r="E697" s="12" t="n">
        <f aca="false">INDEX('Country Tiers'!$D$2:$D$37,MATCH(C697,'Country Tiers'!$A$2:$A$37,0))</f>
        <v>1</v>
      </c>
    </row>
    <row r="698" customFormat="false" ht="15" hidden="false" customHeight="false" outlineLevel="0" collapsed="false">
      <c r="A698" s="12" t="s">
        <v>62</v>
      </c>
      <c r="B698" s="12" t="s">
        <v>50</v>
      </c>
      <c r="C698" s="12" t="s">
        <v>286</v>
      </c>
      <c r="D698" s="12" t="str">
        <f aca="false">INDEX('Country Tiers'!$C$2:$C$37,MATCH(C698,'Country Tiers'!$A$2:$A$37,0))</f>
        <v>Tier 1</v>
      </c>
      <c r="E698" s="12" t="n">
        <f aca="false">INDEX('Country Tiers'!$D$2:$D$37,MATCH(C698,'Country Tiers'!$A$2:$A$37,0))</f>
        <v>3</v>
      </c>
    </row>
    <row r="699" customFormat="false" ht="15" hidden="false" customHeight="false" outlineLevel="0" collapsed="false">
      <c r="A699" s="12" t="s">
        <v>62</v>
      </c>
      <c r="B699" s="12" t="s">
        <v>50</v>
      </c>
      <c r="C699" s="12" t="s">
        <v>287</v>
      </c>
      <c r="D699" s="12" t="str">
        <f aca="false">INDEX('Country Tiers'!$C$2:$C$37,MATCH(C699,'Country Tiers'!$A$2:$A$37,0))</f>
        <v>Tier 1</v>
      </c>
      <c r="E699" s="12" t="n">
        <f aca="false">INDEX('Country Tiers'!$D$2:$D$37,MATCH(C699,'Country Tiers'!$A$2:$A$37,0))</f>
        <v>3</v>
      </c>
    </row>
    <row r="700" customFormat="false" ht="15" hidden="false" customHeight="false" outlineLevel="0" collapsed="false">
      <c r="A700" s="12" t="s">
        <v>62</v>
      </c>
      <c r="B700" s="12" t="s">
        <v>50</v>
      </c>
      <c r="C700" s="12" t="s">
        <v>288</v>
      </c>
      <c r="D700" s="12" t="str">
        <f aca="false">INDEX('Country Tiers'!$C$2:$C$37,MATCH(C700,'Country Tiers'!$A$2:$A$37,0))</f>
        <v>Tier 3</v>
      </c>
      <c r="E700" s="12" t="n">
        <f aca="false">INDEX('Country Tiers'!$D$2:$D$37,MATCH(C700,'Country Tiers'!$A$2:$A$37,0))</f>
        <v>1</v>
      </c>
    </row>
    <row r="701" customFormat="false" ht="15" hidden="false" customHeight="false" outlineLevel="0" collapsed="false">
      <c r="A701" s="12" t="s">
        <v>62</v>
      </c>
      <c r="B701" s="12" t="s">
        <v>50</v>
      </c>
      <c r="C701" s="12" t="s">
        <v>289</v>
      </c>
      <c r="D701" s="12" t="str">
        <f aca="false">INDEX('Country Tiers'!$C$2:$C$37,MATCH(C701,'Country Tiers'!$A$2:$A$37,0))</f>
        <v>Tier 3</v>
      </c>
      <c r="E701" s="12" t="n">
        <f aca="false">INDEX('Country Tiers'!$D$2:$D$37,MATCH(C701,'Country Tiers'!$A$2:$A$37,0))</f>
        <v>1</v>
      </c>
    </row>
    <row r="702" customFormat="false" ht="15" hidden="false" customHeight="false" outlineLevel="0" collapsed="false">
      <c r="A702" s="12" t="s">
        <v>62</v>
      </c>
      <c r="B702" s="12" t="s">
        <v>50</v>
      </c>
      <c r="C702" s="12" t="s">
        <v>290</v>
      </c>
      <c r="D702" s="12" t="str">
        <f aca="false">INDEX('Country Tiers'!$C$2:$C$37,MATCH(C702,'Country Tiers'!$A$2:$A$37,0))</f>
        <v>Tier 3</v>
      </c>
      <c r="E702" s="12" t="n">
        <f aca="false">INDEX('Country Tiers'!$D$2:$D$37,MATCH(C702,'Country Tiers'!$A$2:$A$37,0))</f>
        <v>1</v>
      </c>
    </row>
    <row r="703" customFormat="false" ht="15" hidden="false" customHeight="false" outlineLevel="0" collapsed="false">
      <c r="A703" s="12" t="s">
        <v>62</v>
      </c>
      <c r="B703" s="12" t="s">
        <v>50</v>
      </c>
      <c r="C703" s="12" t="s">
        <v>291</v>
      </c>
      <c r="D703" s="12" t="str">
        <f aca="false">INDEX('Country Tiers'!$C$2:$C$37,MATCH(C703,'Country Tiers'!$A$2:$A$37,0))</f>
        <v>Tier 3</v>
      </c>
      <c r="E703" s="12" t="n">
        <f aca="false">INDEX('Country Tiers'!$D$2:$D$37,MATCH(C703,'Country Tiers'!$A$2:$A$37,0))</f>
        <v>1</v>
      </c>
    </row>
    <row r="704" customFormat="false" ht="15" hidden="false" customHeight="false" outlineLevel="0" collapsed="false">
      <c r="A704" s="12" t="s">
        <v>62</v>
      </c>
      <c r="B704" s="12" t="s">
        <v>50</v>
      </c>
      <c r="C704" s="12" t="s">
        <v>292</v>
      </c>
      <c r="D704" s="12" t="str">
        <f aca="false">INDEX('Country Tiers'!$C$2:$C$37,MATCH(C704,'Country Tiers'!$A$2:$A$37,0))</f>
        <v>Tier 2</v>
      </c>
      <c r="E704" s="12" t="n">
        <f aca="false">INDEX('Country Tiers'!$D$2:$D$37,MATCH(C704,'Country Tiers'!$A$2:$A$37,0))</f>
        <v>2</v>
      </c>
    </row>
    <row r="705" customFormat="false" ht="15" hidden="false" customHeight="false" outlineLevel="0" collapsed="false">
      <c r="A705" s="12" t="s">
        <v>62</v>
      </c>
      <c r="B705" s="12" t="s">
        <v>50</v>
      </c>
      <c r="C705" s="12" t="s">
        <v>293</v>
      </c>
      <c r="D705" s="12" t="str">
        <f aca="false">INDEX('Country Tiers'!$C$2:$C$37,MATCH(C705,'Country Tiers'!$A$2:$A$37,0))</f>
        <v>Tier 3</v>
      </c>
      <c r="E705" s="12" t="n">
        <f aca="false">INDEX('Country Tiers'!$D$2:$D$37,MATCH(C705,'Country Tiers'!$A$2:$A$37,0))</f>
        <v>1</v>
      </c>
    </row>
    <row r="706" customFormat="false" ht="15" hidden="false" customHeight="false" outlineLevel="0" collapsed="false">
      <c r="A706" s="12" t="s">
        <v>62</v>
      </c>
      <c r="B706" s="12" t="s">
        <v>50</v>
      </c>
      <c r="C706" s="12" t="s">
        <v>294</v>
      </c>
      <c r="D706" s="12" t="str">
        <f aca="false">INDEX('Country Tiers'!$C$2:$C$37,MATCH(C706,'Country Tiers'!$A$2:$A$37,0))</f>
        <v>Tier 3</v>
      </c>
      <c r="E706" s="12" t="n">
        <f aca="false">INDEX('Country Tiers'!$D$2:$D$37,MATCH(C706,'Country Tiers'!$A$2:$A$37,0))</f>
        <v>1</v>
      </c>
    </row>
    <row r="707" customFormat="false" ht="15" hidden="false" customHeight="false" outlineLevel="0" collapsed="false">
      <c r="A707" s="12" t="s">
        <v>62</v>
      </c>
      <c r="B707" s="12" t="s">
        <v>50</v>
      </c>
      <c r="C707" s="12" t="s">
        <v>296</v>
      </c>
      <c r="D707" s="12" t="str">
        <f aca="false">INDEX('Country Tiers'!$C$2:$C$37,MATCH(C707,'Country Tiers'!$A$2:$A$37,0))</f>
        <v>Tier 3</v>
      </c>
      <c r="E707" s="12" t="n">
        <f aca="false">INDEX('Country Tiers'!$D$2:$D$37,MATCH(C707,'Country Tiers'!$A$2:$A$37,0))</f>
        <v>1</v>
      </c>
    </row>
    <row r="708" customFormat="false" ht="15" hidden="false" customHeight="false" outlineLevel="0" collapsed="false">
      <c r="A708" s="12" t="s">
        <v>62</v>
      </c>
      <c r="B708" s="12" t="s">
        <v>50</v>
      </c>
      <c r="C708" s="12" t="s">
        <v>297</v>
      </c>
      <c r="D708" s="12" t="str">
        <f aca="false">INDEX('Country Tiers'!$C$2:$C$37,MATCH(C708,'Country Tiers'!$A$2:$A$37,0))</f>
        <v>Tier 2</v>
      </c>
      <c r="E708" s="12" t="n">
        <f aca="false">INDEX('Country Tiers'!$D$2:$D$37,MATCH(C708,'Country Tiers'!$A$2:$A$37,0))</f>
        <v>2</v>
      </c>
    </row>
    <row r="709" customFormat="false" ht="15" hidden="false" customHeight="false" outlineLevel="0" collapsed="false">
      <c r="A709" s="12" t="s">
        <v>62</v>
      </c>
      <c r="B709" s="12" t="s">
        <v>50</v>
      </c>
      <c r="C709" s="12" t="s">
        <v>298</v>
      </c>
      <c r="D709" s="12" t="str">
        <f aca="false">INDEX('Country Tiers'!$C$2:$C$37,MATCH(C709,'Country Tiers'!$A$2:$A$37,0))</f>
        <v>Tier 1</v>
      </c>
      <c r="E709" s="12" t="n">
        <f aca="false">INDEX('Country Tiers'!$D$2:$D$37,MATCH(C709,'Country Tiers'!$A$2:$A$37,0))</f>
        <v>3</v>
      </c>
    </row>
    <row r="710" customFormat="false" ht="15" hidden="false" customHeight="false" outlineLevel="0" collapsed="false">
      <c r="A710" s="12" t="s">
        <v>62</v>
      </c>
      <c r="B710" s="12" t="s">
        <v>50</v>
      </c>
      <c r="C710" s="12" t="s">
        <v>299</v>
      </c>
      <c r="D710" s="12" t="str">
        <f aca="false">INDEX('Country Tiers'!$C$2:$C$37,MATCH(C710,'Country Tiers'!$A$2:$A$37,0))</f>
        <v>Tier 3</v>
      </c>
      <c r="E710" s="12" t="n">
        <f aca="false">INDEX('Country Tiers'!$D$2:$D$37,MATCH(C710,'Country Tiers'!$A$2:$A$37,0))</f>
        <v>1</v>
      </c>
    </row>
    <row r="711" customFormat="false" ht="15" hidden="false" customHeight="false" outlineLevel="0" collapsed="false">
      <c r="A711" s="12" t="s">
        <v>62</v>
      </c>
      <c r="B711" s="12" t="s">
        <v>50</v>
      </c>
      <c r="C711" s="12" t="s">
        <v>300</v>
      </c>
      <c r="D711" s="12" t="str">
        <f aca="false">INDEX('Country Tiers'!$C$2:$C$37,MATCH(C711,'Country Tiers'!$A$2:$A$37,0))</f>
        <v>Tier 3</v>
      </c>
      <c r="E711" s="12" t="n">
        <f aca="false">INDEX('Country Tiers'!$D$2:$D$37,MATCH(C711,'Country Tiers'!$A$2:$A$37,0))</f>
        <v>1</v>
      </c>
    </row>
    <row r="712" customFormat="false" ht="15" hidden="false" customHeight="false" outlineLevel="0" collapsed="false">
      <c r="A712" s="12" t="s">
        <v>62</v>
      </c>
      <c r="B712" s="12" t="s">
        <v>50</v>
      </c>
      <c r="C712" s="12" t="s">
        <v>301</v>
      </c>
      <c r="D712" s="12" t="str">
        <f aca="false">INDEX('Country Tiers'!$C$2:$C$37,MATCH(C712,'Country Tiers'!$A$2:$A$37,0))</f>
        <v>Tier 3</v>
      </c>
      <c r="E712" s="12" t="n">
        <f aca="false">INDEX('Country Tiers'!$D$2:$D$37,MATCH(C712,'Country Tiers'!$A$2:$A$37,0))</f>
        <v>1</v>
      </c>
    </row>
    <row r="713" customFormat="false" ht="15" hidden="false" customHeight="false" outlineLevel="0" collapsed="false">
      <c r="A713" s="12" t="s">
        <v>62</v>
      </c>
      <c r="B713" s="12" t="s">
        <v>50</v>
      </c>
      <c r="C713" s="12" t="s">
        <v>302</v>
      </c>
      <c r="D713" s="12" t="str">
        <f aca="false">INDEX('Country Tiers'!$C$2:$C$37,MATCH(C713,'Country Tiers'!$A$2:$A$37,0))</f>
        <v>Tier 3</v>
      </c>
      <c r="E713" s="12" t="n">
        <f aca="false">INDEX('Country Tiers'!$D$2:$D$37,MATCH(C713,'Country Tiers'!$A$2:$A$37,0))</f>
        <v>1</v>
      </c>
    </row>
    <row r="714" customFormat="false" ht="15" hidden="false" customHeight="false" outlineLevel="0" collapsed="false">
      <c r="A714" s="12" t="s">
        <v>62</v>
      </c>
      <c r="B714" s="12" t="s">
        <v>50</v>
      </c>
      <c r="C714" s="12" t="s">
        <v>303</v>
      </c>
      <c r="D714" s="12" t="str">
        <f aca="false">INDEX('Country Tiers'!$C$2:$C$37,MATCH(C714,'Country Tiers'!$A$2:$A$37,0))</f>
        <v>Tier 2</v>
      </c>
      <c r="E714" s="12" t="n">
        <f aca="false">INDEX('Country Tiers'!$D$2:$D$37,MATCH(C714,'Country Tiers'!$A$2:$A$37,0))</f>
        <v>2</v>
      </c>
    </row>
    <row r="715" customFormat="false" ht="15" hidden="false" customHeight="false" outlineLevel="0" collapsed="false">
      <c r="A715" s="12" t="s">
        <v>62</v>
      </c>
      <c r="B715" s="12" t="s">
        <v>50</v>
      </c>
      <c r="C715" s="12" t="s">
        <v>305</v>
      </c>
      <c r="D715" s="12" t="str">
        <f aca="false">INDEX('Country Tiers'!$C$2:$C$37,MATCH(C715,'Country Tiers'!$A$2:$A$37,0))</f>
        <v>Tier 3</v>
      </c>
      <c r="E715" s="12" t="n">
        <f aca="false">INDEX('Country Tiers'!$D$2:$D$37,MATCH(C715,'Country Tiers'!$A$2:$A$37,0))</f>
        <v>1</v>
      </c>
    </row>
    <row r="716" customFormat="false" ht="15" hidden="false" customHeight="false" outlineLevel="0" collapsed="false">
      <c r="A716" s="12" t="s">
        <v>62</v>
      </c>
      <c r="B716" s="12" t="s">
        <v>50</v>
      </c>
      <c r="C716" s="12" t="s">
        <v>306</v>
      </c>
      <c r="D716" s="12" t="str">
        <f aca="false">INDEX('Country Tiers'!$C$2:$C$37,MATCH(C716,'Country Tiers'!$A$2:$A$37,0))</f>
        <v>Tier 3</v>
      </c>
      <c r="E716" s="12" t="n">
        <f aca="false">INDEX('Country Tiers'!$D$2:$D$37,MATCH(C716,'Country Tiers'!$A$2:$A$37,0))</f>
        <v>1</v>
      </c>
    </row>
    <row r="717" customFormat="false" ht="15" hidden="false" customHeight="false" outlineLevel="0" collapsed="false">
      <c r="A717" s="12" t="s">
        <v>62</v>
      </c>
      <c r="B717" s="12" t="s">
        <v>50</v>
      </c>
      <c r="C717" s="12" t="s">
        <v>307</v>
      </c>
      <c r="D717" s="12" t="str">
        <f aca="false">INDEX('Country Tiers'!$C$2:$C$37,MATCH(C717,'Country Tiers'!$A$2:$A$37,0))</f>
        <v>Tier 2</v>
      </c>
      <c r="E717" s="12" t="n">
        <f aca="false">INDEX('Country Tiers'!$D$2:$D$37,MATCH(C717,'Country Tiers'!$A$2:$A$37,0))</f>
        <v>2</v>
      </c>
    </row>
    <row r="718" customFormat="false" ht="15" hidden="false" customHeight="false" outlineLevel="0" collapsed="false">
      <c r="A718" s="12" t="s">
        <v>62</v>
      </c>
      <c r="B718" s="12" t="s">
        <v>50</v>
      </c>
      <c r="C718" s="12" t="s">
        <v>308</v>
      </c>
      <c r="D718" s="12" t="str">
        <f aca="false">INDEX('Country Tiers'!$C$2:$C$37,MATCH(C718,'Country Tiers'!$A$2:$A$37,0))</f>
        <v>Tier 3</v>
      </c>
      <c r="E718" s="12" t="n">
        <f aca="false">INDEX('Country Tiers'!$D$2:$D$37,MATCH(C718,'Country Tiers'!$A$2:$A$37,0))</f>
        <v>1</v>
      </c>
    </row>
    <row r="719" customFormat="false" ht="15" hidden="false" customHeight="false" outlineLevel="0" collapsed="false">
      <c r="A719" s="12" t="s">
        <v>62</v>
      </c>
      <c r="B719" s="12" t="s">
        <v>50</v>
      </c>
      <c r="C719" s="12" t="s">
        <v>309</v>
      </c>
      <c r="D719" s="12" t="str">
        <f aca="false">INDEX('Country Tiers'!$C$2:$C$37,MATCH(C719,'Country Tiers'!$A$2:$A$37,0))</f>
        <v>Tier 1</v>
      </c>
      <c r="E719" s="12" t="n">
        <f aca="false">INDEX('Country Tiers'!$D$2:$D$37,MATCH(C719,'Country Tiers'!$A$2:$A$37,0))</f>
        <v>3</v>
      </c>
    </row>
    <row r="720" customFormat="false" ht="15" hidden="false" customHeight="false" outlineLevel="0" collapsed="false">
      <c r="A720" s="12" t="s">
        <v>62</v>
      </c>
      <c r="B720" s="12" t="s">
        <v>50</v>
      </c>
      <c r="C720" s="12" t="s">
        <v>313</v>
      </c>
      <c r="D720" s="12" t="str">
        <f aca="false">INDEX('Country Tiers'!$C$2:$C$37,MATCH(C720,'Country Tiers'!$A$2:$A$37,0))</f>
        <v>Tier 1</v>
      </c>
      <c r="E720" s="12" t="n">
        <f aca="false">INDEX('Country Tiers'!$D$2:$D$37,MATCH(C720,'Country Tiers'!$A$2:$A$37,0))</f>
        <v>3</v>
      </c>
    </row>
    <row r="721" customFormat="false" ht="15" hidden="false" customHeight="false" outlineLevel="0" collapsed="false">
      <c r="A721" s="12" t="s">
        <v>62</v>
      </c>
      <c r="B721" s="12" t="s">
        <v>36</v>
      </c>
      <c r="C721" s="12" t="s">
        <v>274</v>
      </c>
      <c r="D721" s="12" t="str">
        <f aca="false">INDEX('Country Tiers'!$C$2:$C$37,MATCH(C721,'Country Tiers'!$A$2:$A$37,0))</f>
        <v>Tier 3</v>
      </c>
      <c r="E721" s="12" t="n">
        <f aca="false">INDEX('Country Tiers'!$D$2:$D$37,MATCH(C721,'Country Tiers'!$A$2:$A$37,0))</f>
        <v>1</v>
      </c>
    </row>
    <row r="722" customFormat="false" ht="15" hidden="false" customHeight="false" outlineLevel="0" collapsed="false">
      <c r="A722" s="12" t="s">
        <v>62</v>
      </c>
      <c r="B722" s="12" t="s">
        <v>36</v>
      </c>
      <c r="C722" s="12" t="s">
        <v>277</v>
      </c>
      <c r="D722" s="12" t="str">
        <f aca="false">INDEX('Country Tiers'!$C$2:$C$37,MATCH(C722,'Country Tiers'!$A$2:$A$37,0))</f>
        <v>Tier 1</v>
      </c>
      <c r="E722" s="12" t="n">
        <f aca="false">INDEX('Country Tiers'!$D$2:$D$37,MATCH(C722,'Country Tiers'!$A$2:$A$37,0))</f>
        <v>3</v>
      </c>
    </row>
    <row r="723" customFormat="false" ht="15" hidden="false" customHeight="false" outlineLevel="0" collapsed="false">
      <c r="A723" s="12" t="s">
        <v>62</v>
      </c>
      <c r="B723" s="12" t="s">
        <v>36</v>
      </c>
      <c r="C723" s="12" t="s">
        <v>278</v>
      </c>
      <c r="D723" s="12" t="str">
        <f aca="false">INDEX('Country Tiers'!$C$2:$C$37,MATCH(C723,'Country Tiers'!$A$2:$A$37,0))</f>
        <v>Tier 3</v>
      </c>
      <c r="E723" s="12" t="n">
        <f aca="false">INDEX('Country Tiers'!$D$2:$D$37,MATCH(C723,'Country Tiers'!$A$2:$A$37,0))</f>
        <v>1</v>
      </c>
    </row>
    <row r="724" customFormat="false" ht="15" hidden="false" customHeight="false" outlineLevel="0" collapsed="false">
      <c r="A724" s="12" t="s">
        <v>62</v>
      </c>
      <c r="B724" s="12" t="s">
        <v>36</v>
      </c>
      <c r="C724" s="12" t="s">
        <v>280</v>
      </c>
      <c r="D724" s="12" t="str">
        <f aca="false">INDEX('Country Tiers'!$C$2:$C$37,MATCH(C724,'Country Tiers'!$A$2:$A$37,0))</f>
        <v>Tier 3</v>
      </c>
      <c r="E724" s="12" t="n">
        <f aca="false">INDEX('Country Tiers'!$D$2:$D$37,MATCH(C724,'Country Tiers'!$A$2:$A$37,0))</f>
        <v>1</v>
      </c>
    </row>
    <row r="725" customFormat="false" ht="15" hidden="false" customHeight="false" outlineLevel="0" collapsed="false">
      <c r="A725" s="12" t="s">
        <v>62</v>
      </c>
      <c r="B725" s="12" t="s">
        <v>36</v>
      </c>
      <c r="C725" s="12" t="s">
        <v>281</v>
      </c>
      <c r="D725" s="12" t="str">
        <f aca="false">INDEX('Country Tiers'!$C$2:$C$37,MATCH(C725,'Country Tiers'!$A$2:$A$37,0))</f>
        <v>Tier 3</v>
      </c>
      <c r="E725" s="12" t="n">
        <f aca="false">INDEX('Country Tiers'!$D$2:$D$37,MATCH(C725,'Country Tiers'!$A$2:$A$37,0))</f>
        <v>1</v>
      </c>
    </row>
    <row r="726" customFormat="false" ht="15" hidden="false" customHeight="false" outlineLevel="0" collapsed="false">
      <c r="A726" s="12" t="s">
        <v>62</v>
      </c>
      <c r="B726" s="12" t="s">
        <v>36</v>
      </c>
      <c r="C726" s="12" t="s">
        <v>282</v>
      </c>
      <c r="D726" s="12" t="str">
        <f aca="false">INDEX('Country Tiers'!$C$2:$C$37,MATCH(C726,'Country Tiers'!$A$2:$A$37,0))</f>
        <v>Tier 3</v>
      </c>
      <c r="E726" s="12" t="n">
        <f aca="false">INDEX('Country Tiers'!$D$2:$D$37,MATCH(C726,'Country Tiers'!$A$2:$A$37,0))</f>
        <v>1</v>
      </c>
    </row>
    <row r="727" customFormat="false" ht="15" hidden="false" customHeight="false" outlineLevel="0" collapsed="false">
      <c r="A727" s="12" t="s">
        <v>62</v>
      </c>
      <c r="B727" s="12" t="s">
        <v>36</v>
      </c>
      <c r="C727" s="12" t="s">
        <v>283</v>
      </c>
      <c r="D727" s="12" t="str">
        <f aca="false">INDEX('Country Tiers'!$C$2:$C$37,MATCH(C727,'Country Tiers'!$A$2:$A$37,0))</f>
        <v>Tier 3</v>
      </c>
      <c r="E727" s="12" t="n">
        <f aca="false">INDEX('Country Tiers'!$D$2:$D$37,MATCH(C727,'Country Tiers'!$A$2:$A$37,0))</f>
        <v>1</v>
      </c>
    </row>
    <row r="728" customFormat="false" ht="15" hidden="false" customHeight="false" outlineLevel="0" collapsed="false">
      <c r="A728" s="12" t="s">
        <v>62</v>
      </c>
      <c r="B728" s="12" t="s">
        <v>36</v>
      </c>
      <c r="C728" s="12" t="s">
        <v>285</v>
      </c>
      <c r="D728" s="12" t="str">
        <f aca="false">INDEX('Country Tiers'!$C$2:$C$37,MATCH(C728,'Country Tiers'!$A$2:$A$37,0))</f>
        <v>Tier 3</v>
      </c>
      <c r="E728" s="12" t="n">
        <f aca="false">INDEX('Country Tiers'!$D$2:$D$37,MATCH(C728,'Country Tiers'!$A$2:$A$37,0))</f>
        <v>1</v>
      </c>
    </row>
    <row r="729" customFormat="false" ht="15" hidden="false" customHeight="false" outlineLevel="0" collapsed="false">
      <c r="A729" s="12" t="s">
        <v>62</v>
      </c>
      <c r="B729" s="12" t="s">
        <v>36</v>
      </c>
      <c r="C729" s="12" t="s">
        <v>286</v>
      </c>
      <c r="D729" s="12" t="str">
        <f aca="false">INDEX('Country Tiers'!$C$2:$C$37,MATCH(C729,'Country Tiers'!$A$2:$A$37,0))</f>
        <v>Tier 1</v>
      </c>
      <c r="E729" s="12" t="n">
        <f aca="false">INDEX('Country Tiers'!$D$2:$D$37,MATCH(C729,'Country Tiers'!$A$2:$A$37,0))</f>
        <v>3</v>
      </c>
    </row>
    <row r="730" customFormat="false" ht="15" hidden="false" customHeight="false" outlineLevel="0" collapsed="false">
      <c r="A730" s="12" t="s">
        <v>62</v>
      </c>
      <c r="B730" s="12" t="s">
        <v>36</v>
      </c>
      <c r="C730" s="12" t="s">
        <v>287</v>
      </c>
      <c r="D730" s="12" t="str">
        <f aca="false">INDEX('Country Tiers'!$C$2:$C$37,MATCH(C730,'Country Tiers'!$A$2:$A$37,0))</f>
        <v>Tier 1</v>
      </c>
      <c r="E730" s="12" t="n">
        <f aca="false">INDEX('Country Tiers'!$D$2:$D$37,MATCH(C730,'Country Tiers'!$A$2:$A$37,0))</f>
        <v>3</v>
      </c>
    </row>
    <row r="731" customFormat="false" ht="15" hidden="false" customHeight="false" outlineLevel="0" collapsed="false">
      <c r="A731" s="12" t="s">
        <v>62</v>
      </c>
      <c r="B731" s="12" t="s">
        <v>36</v>
      </c>
      <c r="C731" s="12" t="s">
        <v>288</v>
      </c>
      <c r="D731" s="12" t="str">
        <f aca="false">INDEX('Country Tiers'!$C$2:$C$37,MATCH(C731,'Country Tiers'!$A$2:$A$37,0))</f>
        <v>Tier 3</v>
      </c>
      <c r="E731" s="12" t="n">
        <f aca="false">INDEX('Country Tiers'!$D$2:$D$37,MATCH(C731,'Country Tiers'!$A$2:$A$37,0))</f>
        <v>1</v>
      </c>
    </row>
    <row r="732" customFormat="false" ht="15" hidden="false" customHeight="false" outlineLevel="0" collapsed="false">
      <c r="A732" s="12" t="s">
        <v>62</v>
      </c>
      <c r="B732" s="12" t="s">
        <v>36</v>
      </c>
      <c r="C732" s="12" t="s">
        <v>289</v>
      </c>
      <c r="D732" s="12" t="str">
        <f aca="false">INDEX('Country Tiers'!$C$2:$C$37,MATCH(C732,'Country Tiers'!$A$2:$A$37,0))</f>
        <v>Tier 3</v>
      </c>
      <c r="E732" s="12" t="n">
        <f aca="false">INDEX('Country Tiers'!$D$2:$D$37,MATCH(C732,'Country Tiers'!$A$2:$A$37,0))</f>
        <v>1</v>
      </c>
    </row>
    <row r="733" customFormat="false" ht="15" hidden="false" customHeight="false" outlineLevel="0" collapsed="false">
      <c r="A733" s="12" t="s">
        <v>62</v>
      </c>
      <c r="B733" s="12" t="s">
        <v>36</v>
      </c>
      <c r="C733" s="12" t="s">
        <v>290</v>
      </c>
      <c r="D733" s="12" t="str">
        <f aca="false">INDEX('Country Tiers'!$C$2:$C$37,MATCH(C733,'Country Tiers'!$A$2:$A$37,0))</f>
        <v>Tier 3</v>
      </c>
      <c r="E733" s="12" t="n">
        <f aca="false">INDEX('Country Tiers'!$D$2:$D$37,MATCH(C733,'Country Tiers'!$A$2:$A$37,0))</f>
        <v>1</v>
      </c>
    </row>
    <row r="734" customFormat="false" ht="15" hidden="false" customHeight="false" outlineLevel="0" collapsed="false">
      <c r="A734" s="12" t="s">
        <v>62</v>
      </c>
      <c r="B734" s="12" t="s">
        <v>36</v>
      </c>
      <c r="C734" s="12" t="s">
        <v>291</v>
      </c>
      <c r="D734" s="12" t="str">
        <f aca="false">INDEX('Country Tiers'!$C$2:$C$37,MATCH(C734,'Country Tiers'!$A$2:$A$37,0))</f>
        <v>Tier 3</v>
      </c>
      <c r="E734" s="12" t="n">
        <f aca="false">INDEX('Country Tiers'!$D$2:$D$37,MATCH(C734,'Country Tiers'!$A$2:$A$37,0))</f>
        <v>1</v>
      </c>
    </row>
    <row r="735" customFormat="false" ht="15" hidden="false" customHeight="false" outlineLevel="0" collapsed="false">
      <c r="A735" s="12" t="s">
        <v>62</v>
      </c>
      <c r="B735" s="12" t="s">
        <v>36</v>
      </c>
      <c r="C735" s="12" t="s">
        <v>292</v>
      </c>
      <c r="D735" s="12" t="str">
        <f aca="false">INDEX('Country Tiers'!$C$2:$C$37,MATCH(C735,'Country Tiers'!$A$2:$A$37,0))</f>
        <v>Tier 2</v>
      </c>
      <c r="E735" s="12" t="n">
        <f aca="false">INDEX('Country Tiers'!$D$2:$D$37,MATCH(C735,'Country Tiers'!$A$2:$A$37,0))</f>
        <v>2</v>
      </c>
    </row>
    <row r="736" customFormat="false" ht="15" hidden="false" customHeight="false" outlineLevel="0" collapsed="false">
      <c r="A736" s="12" t="s">
        <v>62</v>
      </c>
      <c r="B736" s="12" t="s">
        <v>36</v>
      </c>
      <c r="C736" s="12" t="s">
        <v>293</v>
      </c>
      <c r="D736" s="12" t="str">
        <f aca="false">INDEX('Country Tiers'!$C$2:$C$37,MATCH(C736,'Country Tiers'!$A$2:$A$37,0))</f>
        <v>Tier 3</v>
      </c>
      <c r="E736" s="12" t="n">
        <f aca="false">INDEX('Country Tiers'!$D$2:$D$37,MATCH(C736,'Country Tiers'!$A$2:$A$37,0))</f>
        <v>1</v>
      </c>
    </row>
    <row r="737" customFormat="false" ht="15" hidden="false" customHeight="false" outlineLevel="0" collapsed="false">
      <c r="A737" s="12" t="s">
        <v>62</v>
      </c>
      <c r="B737" s="12" t="s">
        <v>36</v>
      </c>
      <c r="C737" s="12" t="s">
        <v>294</v>
      </c>
      <c r="D737" s="12" t="str">
        <f aca="false">INDEX('Country Tiers'!$C$2:$C$37,MATCH(C737,'Country Tiers'!$A$2:$A$37,0))</f>
        <v>Tier 3</v>
      </c>
      <c r="E737" s="12" t="n">
        <f aca="false">INDEX('Country Tiers'!$D$2:$D$37,MATCH(C737,'Country Tiers'!$A$2:$A$37,0))</f>
        <v>1</v>
      </c>
    </row>
    <row r="738" customFormat="false" ht="15" hidden="false" customHeight="false" outlineLevel="0" collapsed="false">
      <c r="A738" s="12" t="s">
        <v>62</v>
      </c>
      <c r="B738" s="12" t="s">
        <v>36</v>
      </c>
      <c r="C738" s="12" t="s">
        <v>296</v>
      </c>
      <c r="D738" s="12" t="str">
        <f aca="false">INDEX('Country Tiers'!$C$2:$C$37,MATCH(C738,'Country Tiers'!$A$2:$A$37,0))</f>
        <v>Tier 3</v>
      </c>
      <c r="E738" s="12" t="n">
        <f aca="false">INDEX('Country Tiers'!$D$2:$D$37,MATCH(C738,'Country Tiers'!$A$2:$A$37,0))</f>
        <v>1</v>
      </c>
    </row>
    <row r="739" customFormat="false" ht="15" hidden="false" customHeight="false" outlineLevel="0" collapsed="false">
      <c r="A739" s="12" t="s">
        <v>62</v>
      </c>
      <c r="B739" s="12" t="s">
        <v>36</v>
      </c>
      <c r="C739" s="12" t="s">
        <v>297</v>
      </c>
      <c r="D739" s="12" t="str">
        <f aca="false">INDEX('Country Tiers'!$C$2:$C$37,MATCH(C739,'Country Tiers'!$A$2:$A$37,0))</f>
        <v>Tier 2</v>
      </c>
      <c r="E739" s="12" t="n">
        <f aca="false">INDEX('Country Tiers'!$D$2:$D$37,MATCH(C739,'Country Tiers'!$A$2:$A$37,0))</f>
        <v>2</v>
      </c>
    </row>
    <row r="740" customFormat="false" ht="15" hidden="false" customHeight="false" outlineLevel="0" collapsed="false">
      <c r="A740" s="12" t="s">
        <v>62</v>
      </c>
      <c r="B740" s="12" t="s">
        <v>36</v>
      </c>
      <c r="C740" s="12" t="s">
        <v>298</v>
      </c>
      <c r="D740" s="12" t="str">
        <f aca="false">INDEX('Country Tiers'!$C$2:$C$37,MATCH(C740,'Country Tiers'!$A$2:$A$37,0))</f>
        <v>Tier 1</v>
      </c>
      <c r="E740" s="12" t="n">
        <f aca="false">INDEX('Country Tiers'!$D$2:$D$37,MATCH(C740,'Country Tiers'!$A$2:$A$37,0))</f>
        <v>3</v>
      </c>
    </row>
    <row r="741" customFormat="false" ht="15" hidden="false" customHeight="false" outlineLevel="0" collapsed="false">
      <c r="A741" s="12" t="s">
        <v>62</v>
      </c>
      <c r="B741" s="12" t="s">
        <v>36</v>
      </c>
      <c r="C741" s="12" t="s">
        <v>299</v>
      </c>
      <c r="D741" s="12" t="str">
        <f aca="false">INDEX('Country Tiers'!$C$2:$C$37,MATCH(C741,'Country Tiers'!$A$2:$A$37,0))</f>
        <v>Tier 3</v>
      </c>
      <c r="E741" s="12" t="n">
        <f aca="false">INDEX('Country Tiers'!$D$2:$D$37,MATCH(C741,'Country Tiers'!$A$2:$A$37,0))</f>
        <v>1</v>
      </c>
    </row>
    <row r="742" customFormat="false" ht="15" hidden="false" customHeight="false" outlineLevel="0" collapsed="false">
      <c r="A742" s="12" t="s">
        <v>62</v>
      </c>
      <c r="B742" s="12" t="s">
        <v>36</v>
      </c>
      <c r="C742" s="12" t="s">
        <v>300</v>
      </c>
      <c r="D742" s="12" t="str">
        <f aca="false">INDEX('Country Tiers'!$C$2:$C$37,MATCH(C742,'Country Tiers'!$A$2:$A$37,0))</f>
        <v>Tier 3</v>
      </c>
      <c r="E742" s="12" t="n">
        <f aca="false">INDEX('Country Tiers'!$D$2:$D$37,MATCH(C742,'Country Tiers'!$A$2:$A$37,0))</f>
        <v>1</v>
      </c>
    </row>
    <row r="743" customFormat="false" ht="15" hidden="false" customHeight="false" outlineLevel="0" collapsed="false">
      <c r="A743" s="12" t="s">
        <v>62</v>
      </c>
      <c r="B743" s="12" t="s">
        <v>36</v>
      </c>
      <c r="C743" s="12" t="s">
        <v>301</v>
      </c>
      <c r="D743" s="12" t="str">
        <f aca="false">INDEX('Country Tiers'!$C$2:$C$37,MATCH(C743,'Country Tiers'!$A$2:$A$37,0))</f>
        <v>Tier 3</v>
      </c>
      <c r="E743" s="12" t="n">
        <f aca="false">INDEX('Country Tiers'!$D$2:$D$37,MATCH(C743,'Country Tiers'!$A$2:$A$37,0))</f>
        <v>1</v>
      </c>
    </row>
    <row r="744" customFormat="false" ht="15" hidden="false" customHeight="false" outlineLevel="0" collapsed="false">
      <c r="A744" s="12" t="s">
        <v>62</v>
      </c>
      <c r="B744" s="12" t="s">
        <v>36</v>
      </c>
      <c r="C744" s="12" t="s">
        <v>302</v>
      </c>
      <c r="D744" s="12" t="str">
        <f aca="false">INDEX('Country Tiers'!$C$2:$C$37,MATCH(C744,'Country Tiers'!$A$2:$A$37,0))</f>
        <v>Tier 3</v>
      </c>
      <c r="E744" s="12" t="n">
        <f aca="false">INDEX('Country Tiers'!$D$2:$D$37,MATCH(C744,'Country Tiers'!$A$2:$A$37,0))</f>
        <v>1</v>
      </c>
    </row>
    <row r="745" customFormat="false" ht="15" hidden="false" customHeight="false" outlineLevel="0" collapsed="false">
      <c r="A745" s="12" t="s">
        <v>62</v>
      </c>
      <c r="B745" s="12" t="s">
        <v>36</v>
      </c>
      <c r="C745" s="12" t="s">
        <v>303</v>
      </c>
      <c r="D745" s="12" t="str">
        <f aca="false">INDEX('Country Tiers'!$C$2:$C$37,MATCH(C745,'Country Tiers'!$A$2:$A$37,0))</f>
        <v>Tier 2</v>
      </c>
      <c r="E745" s="12" t="n">
        <f aca="false">INDEX('Country Tiers'!$D$2:$D$37,MATCH(C745,'Country Tiers'!$A$2:$A$37,0))</f>
        <v>2</v>
      </c>
    </row>
    <row r="746" customFormat="false" ht="15" hidden="false" customHeight="false" outlineLevel="0" collapsed="false">
      <c r="A746" s="12" t="s">
        <v>62</v>
      </c>
      <c r="B746" s="12" t="s">
        <v>36</v>
      </c>
      <c r="C746" s="12" t="s">
        <v>305</v>
      </c>
      <c r="D746" s="12" t="str">
        <f aca="false">INDEX('Country Tiers'!$C$2:$C$37,MATCH(C746,'Country Tiers'!$A$2:$A$37,0))</f>
        <v>Tier 3</v>
      </c>
      <c r="E746" s="12" t="n">
        <f aca="false">INDEX('Country Tiers'!$D$2:$D$37,MATCH(C746,'Country Tiers'!$A$2:$A$37,0))</f>
        <v>1</v>
      </c>
    </row>
    <row r="747" customFormat="false" ht="15" hidden="false" customHeight="false" outlineLevel="0" collapsed="false">
      <c r="A747" s="12" t="s">
        <v>62</v>
      </c>
      <c r="B747" s="12" t="s">
        <v>36</v>
      </c>
      <c r="C747" s="12" t="s">
        <v>306</v>
      </c>
      <c r="D747" s="12" t="str">
        <f aca="false">INDEX('Country Tiers'!$C$2:$C$37,MATCH(C747,'Country Tiers'!$A$2:$A$37,0))</f>
        <v>Tier 3</v>
      </c>
      <c r="E747" s="12" t="n">
        <f aca="false">INDEX('Country Tiers'!$D$2:$D$37,MATCH(C747,'Country Tiers'!$A$2:$A$37,0))</f>
        <v>1</v>
      </c>
    </row>
    <row r="748" customFormat="false" ht="15" hidden="false" customHeight="false" outlineLevel="0" collapsed="false">
      <c r="A748" s="12" t="s">
        <v>62</v>
      </c>
      <c r="B748" s="12" t="s">
        <v>36</v>
      </c>
      <c r="C748" s="12" t="s">
        <v>307</v>
      </c>
      <c r="D748" s="12" t="str">
        <f aca="false">INDEX('Country Tiers'!$C$2:$C$37,MATCH(C748,'Country Tiers'!$A$2:$A$37,0))</f>
        <v>Tier 2</v>
      </c>
      <c r="E748" s="12" t="n">
        <f aca="false">INDEX('Country Tiers'!$D$2:$D$37,MATCH(C748,'Country Tiers'!$A$2:$A$37,0))</f>
        <v>2</v>
      </c>
    </row>
    <row r="749" customFormat="false" ht="15" hidden="false" customHeight="false" outlineLevel="0" collapsed="false">
      <c r="A749" s="12" t="s">
        <v>62</v>
      </c>
      <c r="B749" s="12" t="s">
        <v>36</v>
      </c>
      <c r="C749" s="12" t="s">
        <v>308</v>
      </c>
      <c r="D749" s="12" t="str">
        <f aca="false">INDEX('Country Tiers'!$C$2:$C$37,MATCH(C749,'Country Tiers'!$A$2:$A$37,0))</f>
        <v>Tier 3</v>
      </c>
      <c r="E749" s="12" t="n">
        <f aca="false">INDEX('Country Tiers'!$D$2:$D$37,MATCH(C749,'Country Tiers'!$A$2:$A$37,0))</f>
        <v>1</v>
      </c>
    </row>
    <row r="750" customFormat="false" ht="15" hidden="false" customHeight="false" outlineLevel="0" collapsed="false">
      <c r="A750" s="12" t="s">
        <v>62</v>
      </c>
      <c r="B750" s="12" t="s">
        <v>36</v>
      </c>
      <c r="C750" s="12" t="s">
        <v>309</v>
      </c>
      <c r="D750" s="12" t="str">
        <f aca="false">INDEX('Country Tiers'!$C$2:$C$37,MATCH(C750,'Country Tiers'!$A$2:$A$37,0))</f>
        <v>Tier 1</v>
      </c>
      <c r="E750" s="12" t="n">
        <f aca="false">INDEX('Country Tiers'!$D$2:$D$37,MATCH(C750,'Country Tiers'!$A$2:$A$37,0))</f>
        <v>3</v>
      </c>
    </row>
    <row r="751" customFormat="false" ht="15" hidden="false" customHeight="false" outlineLevel="0" collapsed="false">
      <c r="A751" s="12" t="s">
        <v>62</v>
      </c>
      <c r="B751" s="12" t="s">
        <v>36</v>
      </c>
      <c r="C751" s="12" t="s">
        <v>311</v>
      </c>
      <c r="D751" s="12" t="str">
        <f aca="false">INDEX('Country Tiers'!$C$2:$C$37,MATCH(C751,'Country Tiers'!$A$2:$A$37,0))</f>
        <v>Tier 1</v>
      </c>
      <c r="E751" s="12" t="n">
        <f aca="false">INDEX('Country Tiers'!$D$2:$D$37,MATCH(C751,'Country Tiers'!$A$2:$A$37,0))</f>
        <v>3</v>
      </c>
    </row>
    <row r="752" customFormat="false" ht="15" hidden="false" customHeight="false" outlineLevel="0" collapsed="false">
      <c r="A752" s="12" t="s">
        <v>62</v>
      </c>
      <c r="B752" s="12" t="s">
        <v>36</v>
      </c>
      <c r="C752" s="12" t="s">
        <v>313</v>
      </c>
      <c r="D752" s="12" t="str">
        <f aca="false">INDEX('Country Tiers'!$C$2:$C$37,MATCH(C752,'Country Tiers'!$A$2:$A$37,0))</f>
        <v>Tier 1</v>
      </c>
      <c r="E752" s="12" t="n">
        <f aca="false">INDEX('Country Tiers'!$D$2:$D$37,MATCH(C752,'Country Tiers'!$A$2:$A$37,0))</f>
        <v>3</v>
      </c>
    </row>
    <row r="753" customFormat="false" ht="15" hidden="false" customHeight="false" outlineLevel="0" collapsed="false">
      <c r="A753" s="12" t="s">
        <v>64</v>
      </c>
      <c r="B753" s="12" t="s">
        <v>57</v>
      </c>
      <c r="C753" s="12" t="s">
        <v>274</v>
      </c>
      <c r="D753" s="12" t="str">
        <f aca="false">INDEX('Country Tiers'!$C$2:$C$37,MATCH(C753,'Country Tiers'!$A$2:$A$37,0))</f>
        <v>Tier 3</v>
      </c>
      <c r="E753" s="12" t="n">
        <f aca="false">INDEX('Country Tiers'!$D$2:$D$37,MATCH(C753,'Country Tiers'!$A$2:$A$37,0))</f>
        <v>1</v>
      </c>
    </row>
    <row r="754" customFormat="false" ht="15" hidden="false" customHeight="false" outlineLevel="0" collapsed="false">
      <c r="A754" s="12" t="s">
        <v>64</v>
      </c>
      <c r="B754" s="12" t="s">
        <v>57</v>
      </c>
      <c r="C754" s="12" t="s">
        <v>277</v>
      </c>
      <c r="D754" s="12" t="str">
        <f aca="false">INDEX('Country Tiers'!$C$2:$C$37,MATCH(C754,'Country Tiers'!$A$2:$A$37,0))</f>
        <v>Tier 1</v>
      </c>
      <c r="E754" s="12" t="n">
        <f aca="false">INDEX('Country Tiers'!$D$2:$D$37,MATCH(C754,'Country Tiers'!$A$2:$A$37,0))</f>
        <v>3</v>
      </c>
    </row>
    <row r="755" customFormat="false" ht="15" hidden="false" customHeight="false" outlineLevel="0" collapsed="false">
      <c r="A755" s="12" t="s">
        <v>64</v>
      </c>
      <c r="B755" s="12" t="s">
        <v>57</v>
      </c>
      <c r="C755" s="12" t="s">
        <v>278</v>
      </c>
      <c r="D755" s="12" t="str">
        <f aca="false">INDEX('Country Tiers'!$C$2:$C$37,MATCH(C755,'Country Tiers'!$A$2:$A$37,0))</f>
        <v>Tier 3</v>
      </c>
      <c r="E755" s="12" t="n">
        <f aca="false">INDEX('Country Tiers'!$D$2:$D$37,MATCH(C755,'Country Tiers'!$A$2:$A$37,0))</f>
        <v>1</v>
      </c>
    </row>
    <row r="756" customFormat="false" ht="15" hidden="false" customHeight="false" outlineLevel="0" collapsed="false">
      <c r="A756" s="12" t="s">
        <v>64</v>
      </c>
      <c r="B756" s="12" t="s">
        <v>57</v>
      </c>
      <c r="C756" s="12" t="s">
        <v>280</v>
      </c>
      <c r="D756" s="12" t="str">
        <f aca="false">INDEX('Country Tiers'!$C$2:$C$37,MATCH(C756,'Country Tiers'!$A$2:$A$37,0))</f>
        <v>Tier 3</v>
      </c>
      <c r="E756" s="12" t="n">
        <f aca="false">INDEX('Country Tiers'!$D$2:$D$37,MATCH(C756,'Country Tiers'!$A$2:$A$37,0))</f>
        <v>1</v>
      </c>
    </row>
    <row r="757" customFormat="false" ht="15" hidden="false" customHeight="false" outlineLevel="0" collapsed="false">
      <c r="A757" s="12" t="s">
        <v>64</v>
      </c>
      <c r="B757" s="12" t="s">
        <v>57</v>
      </c>
      <c r="C757" s="12" t="s">
        <v>281</v>
      </c>
      <c r="D757" s="12" t="str">
        <f aca="false">INDEX('Country Tiers'!$C$2:$C$37,MATCH(C757,'Country Tiers'!$A$2:$A$37,0))</f>
        <v>Tier 3</v>
      </c>
      <c r="E757" s="12" t="n">
        <f aca="false">INDEX('Country Tiers'!$D$2:$D$37,MATCH(C757,'Country Tiers'!$A$2:$A$37,0))</f>
        <v>1</v>
      </c>
    </row>
    <row r="758" customFormat="false" ht="15" hidden="false" customHeight="false" outlineLevel="0" collapsed="false">
      <c r="A758" s="12" t="s">
        <v>64</v>
      </c>
      <c r="B758" s="12" t="s">
        <v>57</v>
      </c>
      <c r="C758" s="12" t="s">
        <v>282</v>
      </c>
      <c r="D758" s="12" t="str">
        <f aca="false">INDEX('Country Tiers'!$C$2:$C$37,MATCH(C758,'Country Tiers'!$A$2:$A$37,0))</f>
        <v>Tier 3</v>
      </c>
      <c r="E758" s="12" t="n">
        <f aca="false">INDEX('Country Tiers'!$D$2:$D$37,MATCH(C758,'Country Tiers'!$A$2:$A$37,0))</f>
        <v>1</v>
      </c>
    </row>
    <row r="759" customFormat="false" ht="15" hidden="false" customHeight="false" outlineLevel="0" collapsed="false">
      <c r="A759" s="12" t="s">
        <v>64</v>
      </c>
      <c r="B759" s="12" t="s">
        <v>57</v>
      </c>
      <c r="C759" s="12" t="s">
        <v>283</v>
      </c>
      <c r="D759" s="12" t="str">
        <f aca="false">INDEX('Country Tiers'!$C$2:$C$37,MATCH(C759,'Country Tiers'!$A$2:$A$37,0))</f>
        <v>Tier 3</v>
      </c>
      <c r="E759" s="12" t="n">
        <f aca="false">INDEX('Country Tiers'!$D$2:$D$37,MATCH(C759,'Country Tiers'!$A$2:$A$37,0))</f>
        <v>1</v>
      </c>
    </row>
    <row r="760" customFormat="false" ht="15" hidden="false" customHeight="false" outlineLevel="0" collapsed="false">
      <c r="A760" s="12" t="s">
        <v>64</v>
      </c>
      <c r="B760" s="12" t="s">
        <v>57</v>
      </c>
      <c r="C760" s="12" t="s">
        <v>285</v>
      </c>
      <c r="D760" s="12" t="str">
        <f aca="false">INDEX('Country Tiers'!$C$2:$C$37,MATCH(C760,'Country Tiers'!$A$2:$A$37,0))</f>
        <v>Tier 3</v>
      </c>
      <c r="E760" s="12" t="n">
        <f aca="false">INDEX('Country Tiers'!$D$2:$D$37,MATCH(C760,'Country Tiers'!$A$2:$A$37,0))</f>
        <v>1</v>
      </c>
    </row>
    <row r="761" customFormat="false" ht="15" hidden="false" customHeight="false" outlineLevel="0" collapsed="false">
      <c r="A761" s="12" t="s">
        <v>64</v>
      </c>
      <c r="B761" s="12" t="s">
        <v>57</v>
      </c>
      <c r="C761" s="12" t="s">
        <v>286</v>
      </c>
      <c r="D761" s="12" t="str">
        <f aca="false">INDEX('Country Tiers'!$C$2:$C$37,MATCH(C761,'Country Tiers'!$A$2:$A$37,0))</f>
        <v>Tier 1</v>
      </c>
      <c r="E761" s="12" t="n">
        <f aca="false">INDEX('Country Tiers'!$D$2:$D$37,MATCH(C761,'Country Tiers'!$A$2:$A$37,0))</f>
        <v>3</v>
      </c>
    </row>
    <row r="762" customFormat="false" ht="15" hidden="false" customHeight="false" outlineLevel="0" collapsed="false">
      <c r="A762" s="12" t="s">
        <v>64</v>
      </c>
      <c r="B762" s="12" t="s">
        <v>57</v>
      </c>
      <c r="C762" s="12" t="s">
        <v>287</v>
      </c>
      <c r="D762" s="12" t="str">
        <f aca="false">INDEX('Country Tiers'!$C$2:$C$37,MATCH(C762,'Country Tiers'!$A$2:$A$37,0))</f>
        <v>Tier 1</v>
      </c>
      <c r="E762" s="12" t="n">
        <f aca="false">INDEX('Country Tiers'!$D$2:$D$37,MATCH(C762,'Country Tiers'!$A$2:$A$37,0))</f>
        <v>3</v>
      </c>
    </row>
    <row r="763" customFormat="false" ht="15" hidden="false" customHeight="false" outlineLevel="0" collapsed="false">
      <c r="A763" s="12" t="s">
        <v>64</v>
      </c>
      <c r="B763" s="12" t="s">
        <v>57</v>
      </c>
      <c r="C763" s="12" t="s">
        <v>288</v>
      </c>
      <c r="D763" s="12" t="str">
        <f aca="false">INDEX('Country Tiers'!$C$2:$C$37,MATCH(C763,'Country Tiers'!$A$2:$A$37,0))</f>
        <v>Tier 3</v>
      </c>
      <c r="E763" s="12" t="n">
        <f aca="false">INDEX('Country Tiers'!$D$2:$D$37,MATCH(C763,'Country Tiers'!$A$2:$A$37,0))</f>
        <v>1</v>
      </c>
    </row>
    <row r="764" customFormat="false" ht="15" hidden="false" customHeight="false" outlineLevel="0" collapsed="false">
      <c r="A764" s="12" t="s">
        <v>64</v>
      </c>
      <c r="B764" s="12" t="s">
        <v>57</v>
      </c>
      <c r="C764" s="12" t="s">
        <v>289</v>
      </c>
      <c r="D764" s="12" t="str">
        <f aca="false">INDEX('Country Tiers'!$C$2:$C$37,MATCH(C764,'Country Tiers'!$A$2:$A$37,0))</f>
        <v>Tier 3</v>
      </c>
      <c r="E764" s="12" t="n">
        <f aca="false">INDEX('Country Tiers'!$D$2:$D$37,MATCH(C764,'Country Tiers'!$A$2:$A$37,0))</f>
        <v>1</v>
      </c>
    </row>
    <row r="765" customFormat="false" ht="15" hidden="false" customHeight="false" outlineLevel="0" collapsed="false">
      <c r="A765" s="12" t="s">
        <v>64</v>
      </c>
      <c r="B765" s="12" t="s">
        <v>57</v>
      </c>
      <c r="C765" s="12" t="s">
        <v>290</v>
      </c>
      <c r="D765" s="12" t="str">
        <f aca="false">INDEX('Country Tiers'!$C$2:$C$37,MATCH(C765,'Country Tiers'!$A$2:$A$37,0))</f>
        <v>Tier 3</v>
      </c>
      <c r="E765" s="12" t="n">
        <f aca="false">INDEX('Country Tiers'!$D$2:$D$37,MATCH(C765,'Country Tiers'!$A$2:$A$37,0))</f>
        <v>1</v>
      </c>
    </row>
    <row r="766" customFormat="false" ht="15" hidden="false" customHeight="false" outlineLevel="0" collapsed="false">
      <c r="A766" s="12" t="s">
        <v>64</v>
      </c>
      <c r="B766" s="12" t="s">
        <v>57</v>
      </c>
      <c r="C766" s="12" t="s">
        <v>291</v>
      </c>
      <c r="D766" s="12" t="str">
        <f aca="false">INDEX('Country Tiers'!$C$2:$C$37,MATCH(C766,'Country Tiers'!$A$2:$A$37,0))</f>
        <v>Tier 3</v>
      </c>
      <c r="E766" s="12" t="n">
        <f aca="false">INDEX('Country Tiers'!$D$2:$D$37,MATCH(C766,'Country Tiers'!$A$2:$A$37,0))</f>
        <v>1</v>
      </c>
    </row>
    <row r="767" customFormat="false" ht="15" hidden="false" customHeight="false" outlineLevel="0" collapsed="false">
      <c r="A767" s="12" t="s">
        <v>64</v>
      </c>
      <c r="B767" s="12" t="s">
        <v>57</v>
      </c>
      <c r="C767" s="12" t="s">
        <v>292</v>
      </c>
      <c r="D767" s="12" t="str">
        <f aca="false">INDEX('Country Tiers'!$C$2:$C$37,MATCH(C767,'Country Tiers'!$A$2:$A$37,0))</f>
        <v>Tier 2</v>
      </c>
      <c r="E767" s="12" t="n">
        <f aca="false">INDEX('Country Tiers'!$D$2:$D$37,MATCH(C767,'Country Tiers'!$A$2:$A$37,0))</f>
        <v>2</v>
      </c>
    </row>
    <row r="768" customFormat="false" ht="15" hidden="false" customHeight="false" outlineLevel="0" collapsed="false">
      <c r="A768" s="12" t="s">
        <v>64</v>
      </c>
      <c r="B768" s="12" t="s">
        <v>57</v>
      </c>
      <c r="C768" s="12" t="s">
        <v>294</v>
      </c>
      <c r="D768" s="12" t="str">
        <f aca="false">INDEX('Country Tiers'!$C$2:$C$37,MATCH(C768,'Country Tiers'!$A$2:$A$37,0))</f>
        <v>Tier 3</v>
      </c>
      <c r="E768" s="12" t="n">
        <f aca="false">INDEX('Country Tiers'!$D$2:$D$37,MATCH(C768,'Country Tiers'!$A$2:$A$37,0))</f>
        <v>1</v>
      </c>
    </row>
    <row r="769" customFormat="false" ht="15" hidden="false" customHeight="false" outlineLevel="0" collapsed="false">
      <c r="A769" s="12" t="s">
        <v>64</v>
      </c>
      <c r="B769" s="12" t="s">
        <v>57</v>
      </c>
      <c r="C769" s="12" t="s">
        <v>297</v>
      </c>
      <c r="D769" s="12" t="str">
        <f aca="false">INDEX('Country Tiers'!$C$2:$C$37,MATCH(C769,'Country Tiers'!$A$2:$A$37,0))</f>
        <v>Tier 2</v>
      </c>
      <c r="E769" s="12" t="n">
        <f aca="false">INDEX('Country Tiers'!$D$2:$D$37,MATCH(C769,'Country Tiers'!$A$2:$A$37,0))</f>
        <v>2</v>
      </c>
    </row>
    <row r="770" customFormat="false" ht="15" hidden="false" customHeight="false" outlineLevel="0" collapsed="false">
      <c r="A770" s="12" t="s">
        <v>64</v>
      </c>
      <c r="B770" s="12" t="s">
        <v>57</v>
      </c>
      <c r="C770" s="12" t="s">
        <v>298</v>
      </c>
      <c r="D770" s="12" t="str">
        <f aca="false">INDEX('Country Tiers'!$C$2:$C$37,MATCH(C770,'Country Tiers'!$A$2:$A$37,0))</f>
        <v>Tier 1</v>
      </c>
      <c r="E770" s="12" t="n">
        <f aca="false">INDEX('Country Tiers'!$D$2:$D$37,MATCH(C770,'Country Tiers'!$A$2:$A$37,0))</f>
        <v>3</v>
      </c>
    </row>
    <row r="771" customFormat="false" ht="15" hidden="false" customHeight="false" outlineLevel="0" collapsed="false">
      <c r="A771" s="12" t="s">
        <v>64</v>
      </c>
      <c r="B771" s="12" t="s">
        <v>57</v>
      </c>
      <c r="C771" s="12" t="s">
        <v>299</v>
      </c>
      <c r="D771" s="12" t="str">
        <f aca="false">INDEX('Country Tiers'!$C$2:$C$37,MATCH(C771,'Country Tiers'!$A$2:$A$37,0))</f>
        <v>Tier 3</v>
      </c>
      <c r="E771" s="12" t="n">
        <f aca="false">INDEX('Country Tiers'!$D$2:$D$37,MATCH(C771,'Country Tiers'!$A$2:$A$37,0))</f>
        <v>1</v>
      </c>
    </row>
    <row r="772" customFormat="false" ht="15" hidden="false" customHeight="false" outlineLevel="0" collapsed="false">
      <c r="A772" s="12" t="s">
        <v>64</v>
      </c>
      <c r="B772" s="12" t="s">
        <v>57</v>
      </c>
      <c r="C772" s="12" t="s">
        <v>300</v>
      </c>
      <c r="D772" s="12" t="str">
        <f aca="false">INDEX('Country Tiers'!$C$2:$C$37,MATCH(C772,'Country Tiers'!$A$2:$A$37,0))</f>
        <v>Tier 3</v>
      </c>
      <c r="E772" s="12" t="n">
        <f aca="false">INDEX('Country Tiers'!$D$2:$D$37,MATCH(C772,'Country Tiers'!$A$2:$A$37,0))</f>
        <v>1</v>
      </c>
    </row>
    <row r="773" customFormat="false" ht="15" hidden="false" customHeight="false" outlineLevel="0" collapsed="false">
      <c r="A773" s="12" t="s">
        <v>64</v>
      </c>
      <c r="B773" s="12" t="s">
        <v>57</v>
      </c>
      <c r="C773" s="12" t="s">
        <v>301</v>
      </c>
      <c r="D773" s="12" t="str">
        <f aca="false">INDEX('Country Tiers'!$C$2:$C$37,MATCH(C773,'Country Tiers'!$A$2:$A$37,0))</f>
        <v>Tier 3</v>
      </c>
      <c r="E773" s="12" t="n">
        <f aca="false">INDEX('Country Tiers'!$D$2:$D$37,MATCH(C773,'Country Tiers'!$A$2:$A$37,0))</f>
        <v>1</v>
      </c>
    </row>
    <row r="774" customFormat="false" ht="15" hidden="false" customHeight="false" outlineLevel="0" collapsed="false">
      <c r="A774" s="12" t="s">
        <v>64</v>
      </c>
      <c r="B774" s="12" t="s">
        <v>57</v>
      </c>
      <c r="C774" s="12" t="s">
        <v>302</v>
      </c>
      <c r="D774" s="12" t="str">
        <f aca="false">INDEX('Country Tiers'!$C$2:$C$37,MATCH(C774,'Country Tiers'!$A$2:$A$37,0))</f>
        <v>Tier 3</v>
      </c>
      <c r="E774" s="12" t="n">
        <f aca="false">INDEX('Country Tiers'!$D$2:$D$37,MATCH(C774,'Country Tiers'!$A$2:$A$37,0))</f>
        <v>1</v>
      </c>
    </row>
    <row r="775" customFormat="false" ht="15" hidden="false" customHeight="false" outlineLevel="0" collapsed="false">
      <c r="A775" s="12" t="s">
        <v>64</v>
      </c>
      <c r="B775" s="12" t="s">
        <v>57</v>
      </c>
      <c r="C775" s="12" t="s">
        <v>305</v>
      </c>
      <c r="D775" s="12" t="str">
        <f aca="false">INDEX('Country Tiers'!$C$2:$C$37,MATCH(C775,'Country Tiers'!$A$2:$A$37,0))</f>
        <v>Tier 3</v>
      </c>
      <c r="E775" s="12" t="n">
        <f aca="false">INDEX('Country Tiers'!$D$2:$D$37,MATCH(C775,'Country Tiers'!$A$2:$A$37,0))</f>
        <v>1</v>
      </c>
    </row>
    <row r="776" customFormat="false" ht="15" hidden="false" customHeight="false" outlineLevel="0" collapsed="false">
      <c r="A776" s="12" t="s">
        <v>64</v>
      </c>
      <c r="B776" s="12" t="s">
        <v>57</v>
      </c>
      <c r="C776" s="12" t="s">
        <v>307</v>
      </c>
      <c r="D776" s="12" t="str">
        <f aca="false">INDEX('Country Tiers'!$C$2:$C$37,MATCH(C776,'Country Tiers'!$A$2:$A$37,0))</f>
        <v>Tier 2</v>
      </c>
      <c r="E776" s="12" t="n">
        <f aca="false">INDEX('Country Tiers'!$D$2:$D$37,MATCH(C776,'Country Tiers'!$A$2:$A$37,0))</f>
        <v>2</v>
      </c>
    </row>
    <row r="777" customFormat="false" ht="15" hidden="false" customHeight="false" outlineLevel="0" collapsed="false">
      <c r="A777" s="12" t="s">
        <v>64</v>
      </c>
      <c r="B777" s="12" t="s">
        <v>57</v>
      </c>
      <c r="C777" s="12" t="s">
        <v>308</v>
      </c>
      <c r="D777" s="12" t="str">
        <f aca="false">INDEX('Country Tiers'!$C$2:$C$37,MATCH(C777,'Country Tiers'!$A$2:$A$37,0))</f>
        <v>Tier 3</v>
      </c>
      <c r="E777" s="12" t="n">
        <f aca="false">INDEX('Country Tiers'!$D$2:$D$37,MATCH(C777,'Country Tiers'!$A$2:$A$37,0))</f>
        <v>1</v>
      </c>
    </row>
    <row r="778" customFormat="false" ht="15" hidden="false" customHeight="false" outlineLevel="0" collapsed="false">
      <c r="A778" s="12" t="s">
        <v>64</v>
      </c>
      <c r="B778" s="12" t="s">
        <v>57</v>
      </c>
      <c r="C778" s="12" t="s">
        <v>309</v>
      </c>
      <c r="D778" s="12" t="str">
        <f aca="false">INDEX('Country Tiers'!$C$2:$C$37,MATCH(C778,'Country Tiers'!$A$2:$A$37,0))</f>
        <v>Tier 1</v>
      </c>
      <c r="E778" s="12" t="n">
        <f aca="false">INDEX('Country Tiers'!$D$2:$D$37,MATCH(C778,'Country Tiers'!$A$2:$A$37,0))</f>
        <v>3</v>
      </c>
    </row>
    <row r="779" customFormat="false" ht="15" hidden="false" customHeight="false" outlineLevel="0" collapsed="false">
      <c r="A779" s="12" t="s">
        <v>64</v>
      </c>
      <c r="B779" s="12" t="s">
        <v>57</v>
      </c>
      <c r="C779" s="12" t="s">
        <v>313</v>
      </c>
      <c r="D779" s="12" t="str">
        <f aca="false">INDEX('Country Tiers'!$C$2:$C$37,MATCH(C779,'Country Tiers'!$A$2:$A$37,0))</f>
        <v>Tier 1</v>
      </c>
      <c r="E779" s="12" t="n">
        <f aca="false">INDEX('Country Tiers'!$D$2:$D$37,MATCH(C779,'Country Tiers'!$A$2:$A$37,0))</f>
        <v>3</v>
      </c>
    </row>
    <row r="780" customFormat="false" ht="15" hidden="false" customHeight="false" outlineLevel="0" collapsed="false">
      <c r="A780" s="12" t="s">
        <v>64</v>
      </c>
      <c r="B780" s="12" t="s">
        <v>63</v>
      </c>
      <c r="C780" s="12" t="s">
        <v>311</v>
      </c>
      <c r="D780" s="12" t="str">
        <f aca="false">INDEX('Country Tiers'!$C$2:$C$37,MATCH(C780,'Country Tiers'!$A$2:$A$37,0))</f>
        <v>Tier 1</v>
      </c>
      <c r="E780" s="12" t="n">
        <f aca="false">INDEX('Country Tiers'!$D$2:$D$37,MATCH(C780,'Country Tiers'!$A$2:$A$37,0))</f>
        <v>3</v>
      </c>
    </row>
    <row r="781" customFormat="false" ht="15" hidden="false" customHeight="false" outlineLevel="0" collapsed="false">
      <c r="A781" s="12" t="s">
        <v>64</v>
      </c>
      <c r="B781" s="12" t="s">
        <v>65</v>
      </c>
      <c r="C781" s="12" t="s">
        <v>311</v>
      </c>
      <c r="D781" s="12" t="str">
        <f aca="false">INDEX('Country Tiers'!$C$2:$C$37,MATCH(C781,'Country Tiers'!$A$2:$A$37,0))</f>
        <v>Tier 1</v>
      </c>
      <c r="E781" s="12" t="n">
        <f aca="false">INDEX('Country Tiers'!$D$2:$D$37,MATCH(C781,'Country Tiers'!$A$2:$A$37,0))</f>
        <v>3</v>
      </c>
    </row>
    <row r="782" customFormat="false" ht="15" hidden="false" customHeight="false" outlineLevel="0" collapsed="false">
      <c r="A782" s="12" t="s">
        <v>66</v>
      </c>
      <c r="B782" s="12" t="s">
        <v>47</v>
      </c>
      <c r="C782" s="12" t="s">
        <v>274</v>
      </c>
      <c r="D782" s="12" t="str">
        <f aca="false">INDEX('Country Tiers'!$C$2:$C$37,MATCH(C782,'Country Tiers'!$A$2:$A$37,0))</f>
        <v>Tier 3</v>
      </c>
      <c r="E782" s="12" t="n">
        <f aca="false">INDEX('Country Tiers'!$D$2:$D$37,MATCH(C782,'Country Tiers'!$A$2:$A$37,0))</f>
        <v>1</v>
      </c>
    </row>
    <row r="783" customFormat="false" ht="15" hidden="false" customHeight="false" outlineLevel="0" collapsed="false">
      <c r="A783" s="12" t="s">
        <v>66</v>
      </c>
      <c r="B783" s="12" t="s">
        <v>47</v>
      </c>
      <c r="C783" s="12" t="s">
        <v>278</v>
      </c>
      <c r="D783" s="12" t="str">
        <f aca="false">INDEX('Country Tiers'!$C$2:$C$37,MATCH(C783,'Country Tiers'!$A$2:$A$37,0))</f>
        <v>Tier 3</v>
      </c>
      <c r="E783" s="12" t="n">
        <f aca="false">INDEX('Country Tiers'!$D$2:$D$37,MATCH(C783,'Country Tiers'!$A$2:$A$37,0))</f>
        <v>1</v>
      </c>
    </row>
    <row r="784" customFormat="false" ht="15" hidden="false" customHeight="false" outlineLevel="0" collapsed="false">
      <c r="A784" s="12" t="s">
        <v>66</v>
      </c>
      <c r="B784" s="12" t="s">
        <v>47</v>
      </c>
      <c r="C784" s="12" t="s">
        <v>282</v>
      </c>
      <c r="D784" s="12" t="str">
        <f aca="false">INDEX('Country Tiers'!$C$2:$C$37,MATCH(C784,'Country Tiers'!$A$2:$A$37,0))</f>
        <v>Tier 3</v>
      </c>
      <c r="E784" s="12" t="n">
        <f aca="false">INDEX('Country Tiers'!$D$2:$D$37,MATCH(C784,'Country Tiers'!$A$2:$A$37,0))</f>
        <v>1</v>
      </c>
    </row>
    <row r="785" customFormat="false" ht="15" hidden="false" customHeight="false" outlineLevel="0" collapsed="false">
      <c r="A785" s="12" t="s">
        <v>66</v>
      </c>
      <c r="B785" s="12" t="s">
        <v>47</v>
      </c>
      <c r="C785" s="12" t="s">
        <v>284</v>
      </c>
      <c r="D785" s="12" t="str">
        <f aca="false">INDEX('Country Tiers'!$C$2:$C$37,MATCH(C785,'Country Tiers'!$A$2:$A$37,0))</f>
        <v>Tier 3</v>
      </c>
      <c r="E785" s="12" t="n">
        <f aca="false">INDEX('Country Tiers'!$D$2:$D$37,MATCH(C785,'Country Tiers'!$A$2:$A$37,0))</f>
        <v>1</v>
      </c>
    </row>
    <row r="786" customFormat="false" ht="15" hidden="false" customHeight="false" outlineLevel="0" collapsed="false">
      <c r="A786" s="12" t="s">
        <v>66</v>
      </c>
      <c r="B786" s="12" t="s">
        <v>47</v>
      </c>
      <c r="C786" s="12" t="s">
        <v>286</v>
      </c>
      <c r="D786" s="12" t="str">
        <f aca="false">INDEX('Country Tiers'!$C$2:$C$37,MATCH(C786,'Country Tiers'!$A$2:$A$37,0))</f>
        <v>Tier 1</v>
      </c>
      <c r="E786" s="12" t="n">
        <f aca="false">INDEX('Country Tiers'!$D$2:$D$37,MATCH(C786,'Country Tiers'!$A$2:$A$37,0))</f>
        <v>3</v>
      </c>
    </row>
    <row r="787" customFormat="false" ht="15" hidden="false" customHeight="false" outlineLevel="0" collapsed="false">
      <c r="A787" s="12" t="s">
        <v>66</v>
      </c>
      <c r="B787" s="12" t="s">
        <v>47</v>
      </c>
      <c r="C787" s="12" t="s">
        <v>287</v>
      </c>
      <c r="D787" s="12" t="str">
        <f aca="false">INDEX('Country Tiers'!$C$2:$C$37,MATCH(C787,'Country Tiers'!$A$2:$A$37,0))</f>
        <v>Tier 1</v>
      </c>
      <c r="E787" s="12" t="n">
        <f aca="false">INDEX('Country Tiers'!$D$2:$D$37,MATCH(C787,'Country Tiers'!$A$2:$A$37,0))</f>
        <v>3</v>
      </c>
    </row>
    <row r="788" customFormat="false" ht="15" hidden="false" customHeight="false" outlineLevel="0" collapsed="false">
      <c r="A788" s="12" t="s">
        <v>66</v>
      </c>
      <c r="B788" s="12" t="s">
        <v>47</v>
      </c>
      <c r="C788" s="12" t="s">
        <v>289</v>
      </c>
      <c r="D788" s="12" t="str">
        <f aca="false">INDEX('Country Tiers'!$C$2:$C$37,MATCH(C788,'Country Tiers'!$A$2:$A$37,0))</f>
        <v>Tier 3</v>
      </c>
      <c r="E788" s="12" t="n">
        <f aca="false">INDEX('Country Tiers'!$D$2:$D$37,MATCH(C788,'Country Tiers'!$A$2:$A$37,0))</f>
        <v>1</v>
      </c>
    </row>
    <row r="789" customFormat="false" ht="15" hidden="false" customHeight="false" outlineLevel="0" collapsed="false">
      <c r="A789" s="12" t="s">
        <v>66</v>
      </c>
      <c r="B789" s="12" t="s">
        <v>47</v>
      </c>
      <c r="C789" s="12" t="s">
        <v>291</v>
      </c>
      <c r="D789" s="12" t="str">
        <f aca="false">INDEX('Country Tiers'!$C$2:$C$37,MATCH(C789,'Country Tiers'!$A$2:$A$37,0))</f>
        <v>Tier 3</v>
      </c>
      <c r="E789" s="12" t="n">
        <f aca="false">INDEX('Country Tiers'!$D$2:$D$37,MATCH(C789,'Country Tiers'!$A$2:$A$37,0))</f>
        <v>1</v>
      </c>
    </row>
    <row r="790" customFormat="false" ht="15" hidden="false" customHeight="false" outlineLevel="0" collapsed="false">
      <c r="A790" s="12" t="s">
        <v>66</v>
      </c>
      <c r="B790" s="12" t="s">
        <v>47</v>
      </c>
      <c r="C790" s="12" t="s">
        <v>292</v>
      </c>
      <c r="D790" s="12" t="str">
        <f aca="false">INDEX('Country Tiers'!$C$2:$C$37,MATCH(C790,'Country Tiers'!$A$2:$A$37,0))</f>
        <v>Tier 2</v>
      </c>
      <c r="E790" s="12" t="n">
        <f aca="false">INDEX('Country Tiers'!$D$2:$D$37,MATCH(C790,'Country Tiers'!$A$2:$A$37,0))</f>
        <v>2</v>
      </c>
    </row>
    <row r="791" customFormat="false" ht="15" hidden="false" customHeight="false" outlineLevel="0" collapsed="false">
      <c r="A791" s="12" t="s">
        <v>66</v>
      </c>
      <c r="B791" s="12" t="s">
        <v>47</v>
      </c>
      <c r="C791" s="12" t="s">
        <v>293</v>
      </c>
      <c r="D791" s="12" t="str">
        <f aca="false">INDEX('Country Tiers'!$C$2:$C$37,MATCH(C791,'Country Tiers'!$A$2:$A$37,0))</f>
        <v>Tier 3</v>
      </c>
      <c r="E791" s="12" t="n">
        <f aca="false">INDEX('Country Tiers'!$D$2:$D$37,MATCH(C791,'Country Tiers'!$A$2:$A$37,0))</f>
        <v>1</v>
      </c>
    </row>
    <row r="792" customFormat="false" ht="15" hidden="false" customHeight="false" outlineLevel="0" collapsed="false">
      <c r="A792" s="12" t="s">
        <v>66</v>
      </c>
      <c r="B792" s="12" t="s">
        <v>47</v>
      </c>
      <c r="C792" s="12" t="s">
        <v>295</v>
      </c>
      <c r="D792" s="12" t="str">
        <f aca="false">INDEX('Country Tiers'!$C$2:$C$37,MATCH(C792,'Country Tiers'!$A$2:$A$37,0))</f>
        <v>Tier 3</v>
      </c>
      <c r="E792" s="12" t="n">
        <f aca="false">INDEX('Country Tiers'!$D$2:$D$37,MATCH(C792,'Country Tiers'!$A$2:$A$37,0))</f>
        <v>1</v>
      </c>
    </row>
    <row r="793" customFormat="false" ht="15" hidden="false" customHeight="false" outlineLevel="0" collapsed="false">
      <c r="A793" s="12" t="s">
        <v>66</v>
      </c>
      <c r="B793" s="12" t="s">
        <v>47</v>
      </c>
      <c r="C793" s="12" t="s">
        <v>297</v>
      </c>
      <c r="D793" s="12" t="str">
        <f aca="false">INDEX('Country Tiers'!$C$2:$C$37,MATCH(C793,'Country Tiers'!$A$2:$A$37,0))</f>
        <v>Tier 2</v>
      </c>
      <c r="E793" s="12" t="n">
        <f aca="false">INDEX('Country Tiers'!$D$2:$D$37,MATCH(C793,'Country Tiers'!$A$2:$A$37,0))</f>
        <v>2</v>
      </c>
    </row>
    <row r="794" customFormat="false" ht="15" hidden="false" customHeight="false" outlineLevel="0" collapsed="false">
      <c r="A794" s="12" t="s">
        <v>66</v>
      </c>
      <c r="B794" s="12" t="s">
        <v>47</v>
      </c>
      <c r="C794" s="12" t="s">
        <v>298</v>
      </c>
      <c r="D794" s="12" t="str">
        <f aca="false">INDEX('Country Tiers'!$C$2:$C$37,MATCH(C794,'Country Tiers'!$A$2:$A$37,0))</f>
        <v>Tier 1</v>
      </c>
      <c r="E794" s="12" t="n">
        <f aca="false">INDEX('Country Tiers'!$D$2:$D$37,MATCH(C794,'Country Tiers'!$A$2:$A$37,0))</f>
        <v>3</v>
      </c>
    </row>
    <row r="795" customFormat="false" ht="15" hidden="false" customHeight="false" outlineLevel="0" collapsed="false">
      <c r="A795" s="12" t="s">
        <v>66</v>
      </c>
      <c r="B795" s="12" t="s">
        <v>47</v>
      </c>
      <c r="C795" s="12" t="s">
        <v>300</v>
      </c>
      <c r="D795" s="12" t="str">
        <f aca="false">INDEX('Country Tiers'!$C$2:$C$37,MATCH(C795,'Country Tiers'!$A$2:$A$37,0))</f>
        <v>Tier 3</v>
      </c>
      <c r="E795" s="12" t="n">
        <f aca="false">INDEX('Country Tiers'!$D$2:$D$37,MATCH(C795,'Country Tiers'!$A$2:$A$37,0))</f>
        <v>1</v>
      </c>
    </row>
    <row r="796" customFormat="false" ht="15" hidden="false" customHeight="false" outlineLevel="0" collapsed="false">
      <c r="A796" s="12" t="s">
        <v>66</v>
      </c>
      <c r="B796" s="12" t="s">
        <v>47</v>
      </c>
      <c r="C796" s="12" t="s">
        <v>301</v>
      </c>
      <c r="D796" s="12" t="str">
        <f aca="false">INDEX('Country Tiers'!$C$2:$C$37,MATCH(C796,'Country Tiers'!$A$2:$A$37,0))</f>
        <v>Tier 3</v>
      </c>
      <c r="E796" s="12" t="n">
        <f aca="false">INDEX('Country Tiers'!$D$2:$D$37,MATCH(C796,'Country Tiers'!$A$2:$A$37,0))</f>
        <v>1</v>
      </c>
    </row>
    <row r="797" customFormat="false" ht="15" hidden="false" customHeight="false" outlineLevel="0" collapsed="false">
      <c r="A797" s="12" t="s">
        <v>66</v>
      </c>
      <c r="B797" s="12" t="s">
        <v>47</v>
      </c>
      <c r="C797" s="12" t="s">
        <v>302</v>
      </c>
      <c r="D797" s="12" t="str">
        <f aca="false">INDEX('Country Tiers'!$C$2:$C$37,MATCH(C797,'Country Tiers'!$A$2:$A$37,0))</f>
        <v>Tier 3</v>
      </c>
      <c r="E797" s="12" t="n">
        <f aca="false">INDEX('Country Tiers'!$D$2:$D$37,MATCH(C797,'Country Tiers'!$A$2:$A$37,0))</f>
        <v>1</v>
      </c>
    </row>
    <row r="798" customFormat="false" ht="15" hidden="false" customHeight="false" outlineLevel="0" collapsed="false">
      <c r="A798" s="12" t="s">
        <v>66</v>
      </c>
      <c r="B798" s="12" t="s">
        <v>47</v>
      </c>
      <c r="C798" s="12" t="s">
        <v>305</v>
      </c>
      <c r="D798" s="12" t="str">
        <f aca="false">INDEX('Country Tiers'!$C$2:$C$37,MATCH(C798,'Country Tiers'!$A$2:$A$37,0))</f>
        <v>Tier 3</v>
      </c>
      <c r="E798" s="12" t="n">
        <f aca="false">INDEX('Country Tiers'!$D$2:$D$37,MATCH(C798,'Country Tiers'!$A$2:$A$37,0))</f>
        <v>1</v>
      </c>
    </row>
    <row r="799" customFormat="false" ht="15" hidden="false" customHeight="false" outlineLevel="0" collapsed="false">
      <c r="A799" s="12" t="s">
        <v>66</v>
      </c>
      <c r="B799" s="12" t="s">
        <v>47</v>
      </c>
      <c r="C799" s="12" t="s">
        <v>306</v>
      </c>
      <c r="D799" s="12" t="str">
        <f aca="false">INDEX('Country Tiers'!$C$2:$C$37,MATCH(C799,'Country Tiers'!$A$2:$A$37,0))</f>
        <v>Tier 3</v>
      </c>
      <c r="E799" s="12" t="n">
        <f aca="false">INDEX('Country Tiers'!$D$2:$D$37,MATCH(C799,'Country Tiers'!$A$2:$A$37,0))</f>
        <v>1</v>
      </c>
    </row>
    <row r="800" customFormat="false" ht="15" hidden="false" customHeight="false" outlineLevel="0" collapsed="false">
      <c r="A800" s="12" t="s">
        <v>66</v>
      </c>
      <c r="B800" s="12" t="s">
        <v>47</v>
      </c>
      <c r="C800" s="12" t="s">
        <v>308</v>
      </c>
      <c r="D800" s="12" t="str">
        <f aca="false">INDEX('Country Tiers'!$C$2:$C$37,MATCH(C800,'Country Tiers'!$A$2:$A$37,0))</f>
        <v>Tier 3</v>
      </c>
      <c r="E800" s="12" t="n">
        <f aca="false">INDEX('Country Tiers'!$D$2:$D$37,MATCH(C800,'Country Tiers'!$A$2:$A$37,0))</f>
        <v>1</v>
      </c>
    </row>
    <row r="801" customFormat="false" ht="15" hidden="false" customHeight="false" outlineLevel="0" collapsed="false">
      <c r="A801" s="12" t="s">
        <v>66</v>
      </c>
      <c r="B801" s="12" t="s">
        <v>47</v>
      </c>
      <c r="C801" s="12" t="s">
        <v>313</v>
      </c>
      <c r="D801" s="12" t="str">
        <f aca="false">INDEX('Country Tiers'!$C$2:$C$37,MATCH(C801,'Country Tiers'!$A$2:$A$37,0))</f>
        <v>Tier 1</v>
      </c>
      <c r="E801" s="12" t="n">
        <f aca="false">INDEX('Country Tiers'!$D$2:$D$37,MATCH(C801,'Country Tiers'!$A$2:$A$37,0))</f>
        <v>3</v>
      </c>
    </row>
    <row r="802" customFormat="false" ht="15" hidden="false" customHeight="false" outlineLevel="0" collapsed="false">
      <c r="A802" s="12" t="s">
        <v>66</v>
      </c>
      <c r="B802" s="12" t="s">
        <v>67</v>
      </c>
      <c r="C802" s="12" t="s">
        <v>311</v>
      </c>
      <c r="D802" s="12" t="str">
        <f aca="false">INDEX('Country Tiers'!$C$2:$C$37,MATCH(C802,'Country Tiers'!$A$2:$A$37,0))</f>
        <v>Tier 1</v>
      </c>
      <c r="E802" s="12" t="n">
        <f aca="false">INDEX('Country Tiers'!$D$2:$D$37,MATCH(C802,'Country Tiers'!$A$2:$A$37,0))</f>
        <v>3</v>
      </c>
    </row>
    <row r="803" customFormat="false" ht="15" hidden="false" customHeight="false" outlineLevel="0" collapsed="false">
      <c r="A803" s="12" t="s">
        <v>68</v>
      </c>
      <c r="B803" s="12" t="s">
        <v>65</v>
      </c>
      <c r="C803" s="12" t="s">
        <v>274</v>
      </c>
      <c r="D803" s="12" t="str">
        <f aca="false">INDEX('Country Tiers'!$C$2:$C$37,MATCH(C803,'Country Tiers'!$A$2:$A$37,0))</f>
        <v>Tier 3</v>
      </c>
      <c r="E803" s="12" t="n">
        <f aca="false">INDEX('Country Tiers'!$D$2:$D$37,MATCH(C803,'Country Tiers'!$A$2:$A$37,0))</f>
        <v>1</v>
      </c>
    </row>
    <row r="804" customFormat="false" ht="15" hidden="false" customHeight="false" outlineLevel="0" collapsed="false">
      <c r="A804" s="12" t="s">
        <v>68</v>
      </c>
      <c r="B804" s="12" t="s">
        <v>65</v>
      </c>
      <c r="C804" s="12" t="s">
        <v>277</v>
      </c>
      <c r="D804" s="12" t="str">
        <f aca="false">INDEX('Country Tiers'!$C$2:$C$37,MATCH(C804,'Country Tiers'!$A$2:$A$37,0))</f>
        <v>Tier 1</v>
      </c>
      <c r="E804" s="12" t="n">
        <f aca="false">INDEX('Country Tiers'!$D$2:$D$37,MATCH(C804,'Country Tiers'!$A$2:$A$37,0))</f>
        <v>3</v>
      </c>
    </row>
    <row r="805" customFormat="false" ht="15" hidden="false" customHeight="false" outlineLevel="0" collapsed="false">
      <c r="A805" s="12" t="s">
        <v>68</v>
      </c>
      <c r="B805" s="12" t="s">
        <v>65</v>
      </c>
      <c r="C805" s="12" t="s">
        <v>286</v>
      </c>
      <c r="D805" s="12" t="str">
        <f aca="false">INDEX('Country Tiers'!$C$2:$C$37,MATCH(C805,'Country Tiers'!$A$2:$A$37,0))</f>
        <v>Tier 1</v>
      </c>
      <c r="E805" s="12" t="n">
        <f aca="false">INDEX('Country Tiers'!$D$2:$D$37,MATCH(C805,'Country Tiers'!$A$2:$A$37,0))</f>
        <v>3</v>
      </c>
    </row>
    <row r="806" customFormat="false" ht="15" hidden="false" customHeight="false" outlineLevel="0" collapsed="false">
      <c r="A806" s="12" t="s">
        <v>68</v>
      </c>
      <c r="B806" s="12" t="s">
        <v>65</v>
      </c>
      <c r="C806" s="12" t="s">
        <v>287</v>
      </c>
      <c r="D806" s="12" t="str">
        <f aca="false">INDEX('Country Tiers'!$C$2:$C$37,MATCH(C806,'Country Tiers'!$A$2:$A$37,0))</f>
        <v>Tier 1</v>
      </c>
      <c r="E806" s="12" t="n">
        <f aca="false">INDEX('Country Tiers'!$D$2:$D$37,MATCH(C806,'Country Tiers'!$A$2:$A$37,0))</f>
        <v>3</v>
      </c>
    </row>
    <row r="807" customFormat="false" ht="15" hidden="false" customHeight="false" outlineLevel="0" collapsed="false">
      <c r="A807" s="12" t="s">
        <v>68</v>
      </c>
      <c r="B807" s="12" t="s">
        <v>65</v>
      </c>
      <c r="C807" s="12" t="s">
        <v>289</v>
      </c>
      <c r="D807" s="12" t="str">
        <f aca="false">INDEX('Country Tiers'!$C$2:$C$37,MATCH(C807,'Country Tiers'!$A$2:$A$37,0))</f>
        <v>Tier 3</v>
      </c>
      <c r="E807" s="12" t="n">
        <f aca="false">INDEX('Country Tiers'!$D$2:$D$37,MATCH(C807,'Country Tiers'!$A$2:$A$37,0))</f>
        <v>1</v>
      </c>
    </row>
    <row r="808" customFormat="false" ht="15" hidden="false" customHeight="false" outlineLevel="0" collapsed="false">
      <c r="A808" s="12" t="s">
        <v>68</v>
      </c>
      <c r="B808" s="12" t="s">
        <v>65</v>
      </c>
      <c r="C808" s="12" t="s">
        <v>290</v>
      </c>
      <c r="D808" s="12" t="str">
        <f aca="false">INDEX('Country Tiers'!$C$2:$C$37,MATCH(C808,'Country Tiers'!$A$2:$A$37,0))</f>
        <v>Tier 3</v>
      </c>
      <c r="E808" s="12" t="n">
        <f aca="false">INDEX('Country Tiers'!$D$2:$D$37,MATCH(C808,'Country Tiers'!$A$2:$A$37,0))</f>
        <v>1</v>
      </c>
    </row>
    <row r="809" customFormat="false" ht="15" hidden="false" customHeight="false" outlineLevel="0" collapsed="false">
      <c r="A809" s="12" t="s">
        <v>68</v>
      </c>
      <c r="B809" s="12" t="s">
        <v>65</v>
      </c>
      <c r="C809" s="12" t="s">
        <v>292</v>
      </c>
      <c r="D809" s="12" t="str">
        <f aca="false">INDEX('Country Tiers'!$C$2:$C$37,MATCH(C809,'Country Tiers'!$A$2:$A$37,0))</f>
        <v>Tier 2</v>
      </c>
      <c r="E809" s="12" t="n">
        <f aca="false">INDEX('Country Tiers'!$D$2:$D$37,MATCH(C809,'Country Tiers'!$A$2:$A$37,0))</f>
        <v>2</v>
      </c>
    </row>
    <row r="810" customFormat="false" ht="15" hidden="false" customHeight="false" outlineLevel="0" collapsed="false">
      <c r="A810" s="12" t="s">
        <v>68</v>
      </c>
      <c r="B810" s="12" t="s">
        <v>65</v>
      </c>
      <c r="C810" s="12" t="s">
        <v>294</v>
      </c>
      <c r="D810" s="12" t="str">
        <f aca="false">INDEX('Country Tiers'!$C$2:$C$37,MATCH(C810,'Country Tiers'!$A$2:$A$37,0))</f>
        <v>Tier 3</v>
      </c>
      <c r="E810" s="12" t="n">
        <f aca="false">INDEX('Country Tiers'!$D$2:$D$37,MATCH(C810,'Country Tiers'!$A$2:$A$37,0))</f>
        <v>1</v>
      </c>
    </row>
    <row r="811" customFormat="false" ht="15" hidden="false" customHeight="false" outlineLevel="0" collapsed="false">
      <c r="A811" s="12" t="s">
        <v>68</v>
      </c>
      <c r="B811" s="12" t="s">
        <v>65</v>
      </c>
      <c r="C811" s="12" t="s">
        <v>297</v>
      </c>
      <c r="D811" s="12" t="str">
        <f aca="false">INDEX('Country Tiers'!$C$2:$C$37,MATCH(C811,'Country Tiers'!$A$2:$A$37,0))</f>
        <v>Tier 2</v>
      </c>
      <c r="E811" s="12" t="n">
        <f aca="false">INDEX('Country Tiers'!$D$2:$D$37,MATCH(C811,'Country Tiers'!$A$2:$A$37,0))</f>
        <v>2</v>
      </c>
    </row>
    <row r="812" customFormat="false" ht="15" hidden="false" customHeight="false" outlineLevel="0" collapsed="false">
      <c r="A812" s="12" t="s">
        <v>68</v>
      </c>
      <c r="B812" s="12" t="s">
        <v>65</v>
      </c>
      <c r="C812" s="12" t="s">
        <v>299</v>
      </c>
      <c r="D812" s="12" t="str">
        <f aca="false">INDEX('Country Tiers'!$C$2:$C$37,MATCH(C812,'Country Tiers'!$A$2:$A$37,0))</f>
        <v>Tier 3</v>
      </c>
      <c r="E812" s="12" t="n">
        <f aca="false">INDEX('Country Tiers'!$D$2:$D$37,MATCH(C812,'Country Tiers'!$A$2:$A$37,0))</f>
        <v>1</v>
      </c>
    </row>
    <row r="813" customFormat="false" ht="15" hidden="false" customHeight="false" outlineLevel="0" collapsed="false">
      <c r="A813" s="12" t="s">
        <v>68</v>
      </c>
      <c r="B813" s="12" t="s">
        <v>65</v>
      </c>
      <c r="C813" s="12" t="s">
        <v>307</v>
      </c>
      <c r="D813" s="12" t="str">
        <f aca="false">INDEX('Country Tiers'!$C$2:$C$37,MATCH(C813,'Country Tiers'!$A$2:$A$37,0))</f>
        <v>Tier 2</v>
      </c>
      <c r="E813" s="12" t="n">
        <f aca="false">INDEX('Country Tiers'!$D$2:$D$37,MATCH(C813,'Country Tiers'!$A$2:$A$37,0))</f>
        <v>2</v>
      </c>
    </row>
    <row r="814" customFormat="false" ht="15" hidden="false" customHeight="false" outlineLevel="0" collapsed="false">
      <c r="A814" s="12" t="s">
        <v>68</v>
      </c>
      <c r="B814" s="12" t="s">
        <v>65</v>
      </c>
      <c r="C814" s="12" t="s">
        <v>308</v>
      </c>
      <c r="D814" s="12" t="str">
        <f aca="false">INDEX('Country Tiers'!$C$2:$C$37,MATCH(C814,'Country Tiers'!$A$2:$A$37,0))</f>
        <v>Tier 3</v>
      </c>
      <c r="E814" s="12" t="n">
        <f aca="false">INDEX('Country Tiers'!$D$2:$D$37,MATCH(C814,'Country Tiers'!$A$2:$A$37,0))</f>
        <v>1</v>
      </c>
    </row>
    <row r="815" customFormat="false" ht="15" hidden="false" customHeight="false" outlineLevel="0" collapsed="false">
      <c r="A815" s="12" t="s">
        <v>68</v>
      </c>
      <c r="B815" s="12" t="s">
        <v>65</v>
      </c>
      <c r="C815" s="12" t="s">
        <v>313</v>
      </c>
      <c r="D815" s="12" t="str">
        <f aca="false">INDEX('Country Tiers'!$C$2:$C$37,MATCH(C815,'Country Tiers'!$A$2:$A$37,0))</f>
        <v>Tier 1</v>
      </c>
      <c r="E815" s="12" t="n">
        <f aca="false">INDEX('Country Tiers'!$D$2:$D$37,MATCH(C815,'Country Tiers'!$A$2:$A$37,0))</f>
        <v>3</v>
      </c>
    </row>
    <row r="816" customFormat="false" ht="15" hidden="false" customHeight="false" outlineLevel="0" collapsed="false">
      <c r="A816" s="12" t="s">
        <v>68</v>
      </c>
      <c r="B816" s="12" t="s">
        <v>38</v>
      </c>
      <c r="C816" s="12" t="s">
        <v>287</v>
      </c>
      <c r="D816" s="12" t="str">
        <f aca="false">INDEX('Country Tiers'!$C$2:$C$37,MATCH(C816,'Country Tiers'!$A$2:$A$37,0))</f>
        <v>Tier 1</v>
      </c>
      <c r="E816" s="12" t="n">
        <f aca="false">INDEX('Country Tiers'!$D$2:$D$37,MATCH(C816,'Country Tiers'!$A$2:$A$37,0))</f>
        <v>3</v>
      </c>
    </row>
    <row r="817" customFormat="false" ht="15" hidden="false" customHeight="false" outlineLevel="0" collapsed="false">
      <c r="A817" s="12" t="s">
        <v>68</v>
      </c>
      <c r="B817" s="12" t="s">
        <v>38</v>
      </c>
      <c r="C817" s="12" t="s">
        <v>309</v>
      </c>
      <c r="D817" s="12" t="str">
        <f aca="false">INDEX('Country Tiers'!$C$2:$C$37,MATCH(C817,'Country Tiers'!$A$2:$A$37,0))</f>
        <v>Tier 1</v>
      </c>
      <c r="E817" s="12" t="n">
        <f aca="false">INDEX('Country Tiers'!$D$2:$D$37,MATCH(C817,'Country Tiers'!$A$2:$A$37,0))</f>
        <v>3</v>
      </c>
    </row>
    <row r="818" customFormat="false" ht="15" hidden="false" customHeight="false" outlineLevel="0" collapsed="false">
      <c r="A818" s="12" t="s">
        <v>68</v>
      </c>
      <c r="B818" s="12" t="s">
        <v>38</v>
      </c>
      <c r="C818" s="12" t="s">
        <v>313</v>
      </c>
      <c r="D818" s="12" t="str">
        <f aca="false">INDEX('Country Tiers'!$C$2:$C$37,MATCH(C818,'Country Tiers'!$A$2:$A$37,0))</f>
        <v>Tier 1</v>
      </c>
      <c r="E818" s="12" t="n">
        <f aca="false">INDEX('Country Tiers'!$D$2:$D$37,MATCH(C818,'Country Tiers'!$A$2:$A$37,0))</f>
        <v>3</v>
      </c>
    </row>
    <row r="819" customFormat="false" ht="15" hidden="false" customHeight="false" outlineLevel="0" collapsed="false">
      <c r="A819" s="12" t="s">
        <v>69</v>
      </c>
      <c r="B819" s="12" t="s">
        <v>70</v>
      </c>
      <c r="C819" s="12" t="s">
        <v>277</v>
      </c>
      <c r="D819" s="12" t="str">
        <f aca="false">INDEX('Country Tiers'!$C$2:$C$37,MATCH(C819,'Country Tiers'!$A$2:$A$37,0))</f>
        <v>Tier 1</v>
      </c>
      <c r="E819" s="12" t="n">
        <f aca="false">INDEX('Country Tiers'!$D$2:$D$37,MATCH(C819,'Country Tiers'!$A$2:$A$37,0))</f>
        <v>3</v>
      </c>
    </row>
    <row r="820" customFormat="false" ht="15" hidden="false" customHeight="false" outlineLevel="0" collapsed="false">
      <c r="A820" s="12" t="s">
        <v>69</v>
      </c>
      <c r="B820" s="12" t="s">
        <v>70</v>
      </c>
      <c r="C820" s="12" t="s">
        <v>278</v>
      </c>
      <c r="D820" s="12" t="str">
        <f aca="false">INDEX('Country Tiers'!$C$2:$C$37,MATCH(C820,'Country Tiers'!$A$2:$A$37,0))</f>
        <v>Tier 3</v>
      </c>
      <c r="E820" s="12" t="n">
        <f aca="false">INDEX('Country Tiers'!$D$2:$D$37,MATCH(C820,'Country Tiers'!$A$2:$A$37,0))</f>
        <v>1</v>
      </c>
    </row>
    <row r="821" customFormat="false" ht="15" hidden="false" customHeight="false" outlineLevel="0" collapsed="false">
      <c r="A821" s="12" t="s">
        <v>69</v>
      </c>
      <c r="B821" s="12" t="s">
        <v>70</v>
      </c>
      <c r="C821" s="12" t="s">
        <v>280</v>
      </c>
      <c r="D821" s="12" t="str">
        <f aca="false">INDEX('Country Tiers'!$C$2:$C$37,MATCH(C821,'Country Tiers'!$A$2:$A$37,0))</f>
        <v>Tier 3</v>
      </c>
      <c r="E821" s="12" t="n">
        <f aca="false">INDEX('Country Tiers'!$D$2:$D$37,MATCH(C821,'Country Tiers'!$A$2:$A$37,0))</f>
        <v>1</v>
      </c>
    </row>
    <row r="822" customFormat="false" ht="15" hidden="false" customHeight="false" outlineLevel="0" collapsed="false">
      <c r="A822" s="12" t="s">
        <v>69</v>
      </c>
      <c r="B822" s="12" t="s">
        <v>70</v>
      </c>
      <c r="C822" s="12" t="s">
        <v>283</v>
      </c>
      <c r="D822" s="12" t="str">
        <f aca="false">INDEX('Country Tiers'!$C$2:$C$37,MATCH(C822,'Country Tiers'!$A$2:$A$37,0))</f>
        <v>Tier 3</v>
      </c>
      <c r="E822" s="12" t="n">
        <f aca="false">INDEX('Country Tiers'!$D$2:$D$37,MATCH(C822,'Country Tiers'!$A$2:$A$37,0))</f>
        <v>1</v>
      </c>
    </row>
    <row r="823" customFormat="false" ht="15" hidden="false" customHeight="false" outlineLevel="0" collapsed="false">
      <c r="A823" s="12" t="s">
        <v>69</v>
      </c>
      <c r="B823" s="12" t="s">
        <v>70</v>
      </c>
      <c r="C823" s="12" t="s">
        <v>296</v>
      </c>
      <c r="D823" s="12" t="str">
        <f aca="false">INDEX('Country Tiers'!$C$2:$C$37,MATCH(C823,'Country Tiers'!$A$2:$A$37,0))</f>
        <v>Tier 3</v>
      </c>
      <c r="E823" s="12" t="n">
        <f aca="false">INDEX('Country Tiers'!$D$2:$D$37,MATCH(C823,'Country Tiers'!$A$2:$A$37,0))</f>
        <v>1</v>
      </c>
    </row>
    <row r="824" customFormat="false" ht="15" hidden="false" customHeight="false" outlineLevel="0" collapsed="false">
      <c r="A824" s="12" t="s">
        <v>69</v>
      </c>
      <c r="B824" s="12" t="s">
        <v>70</v>
      </c>
      <c r="C824" s="12" t="s">
        <v>297</v>
      </c>
      <c r="D824" s="12" t="str">
        <f aca="false">INDEX('Country Tiers'!$C$2:$C$37,MATCH(C824,'Country Tiers'!$A$2:$A$37,0))</f>
        <v>Tier 2</v>
      </c>
      <c r="E824" s="12" t="n">
        <f aca="false">INDEX('Country Tiers'!$D$2:$D$37,MATCH(C824,'Country Tiers'!$A$2:$A$37,0))</f>
        <v>2</v>
      </c>
    </row>
    <row r="825" customFormat="false" ht="15" hidden="false" customHeight="false" outlineLevel="0" collapsed="false">
      <c r="A825" s="12" t="s">
        <v>69</v>
      </c>
      <c r="B825" s="12" t="s">
        <v>70</v>
      </c>
      <c r="C825" s="12" t="s">
        <v>308</v>
      </c>
      <c r="D825" s="12" t="str">
        <f aca="false">INDEX('Country Tiers'!$C$2:$C$37,MATCH(C825,'Country Tiers'!$A$2:$A$37,0))</f>
        <v>Tier 3</v>
      </c>
      <c r="E825" s="12" t="n">
        <f aca="false">INDEX('Country Tiers'!$D$2:$D$37,MATCH(C825,'Country Tiers'!$A$2:$A$37,0))</f>
        <v>1</v>
      </c>
    </row>
    <row r="826" customFormat="false" ht="15" hidden="false" customHeight="false" outlineLevel="0" collapsed="false">
      <c r="A826" s="12" t="s">
        <v>69</v>
      </c>
      <c r="B826" s="12" t="s">
        <v>70</v>
      </c>
      <c r="C826" s="12" t="s">
        <v>313</v>
      </c>
      <c r="D826" s="12" t="str">
        <f aca="false">INDEX('Country Tiers'!$C$2:$C$37,MATCH(C826,'Country Tiers'!$A$2:$A$37,0))</f>
        <v>Tier 1</v>
      </c>
      <c r="E826" s="12" t="n">
        <f aca="false">INDEX('Country Tiers'!$D$2:$D$37,MATCH(C826,'Country Tiers'!$A$2:$A$37,0))</f>
        <v>3</v>
      </c>
    </row>
    <row r="827" customFormat="false" ht="15" hidden="false" customHeight="false" outlineLevel="0" collapsed="false">
      <c r="A827" s="12" t="s">
        <v>69</v>
      </c>
      <c r="B827" s="12" t="s">
        <v>47</v>
      </c>
      <c r="C827" s="12" t="s">
        <v>311</v>
      </c>
      <c r="D827" s="12" t="str">
        <f aca="false">INDEX('Country Tiers'!$C$2:$C$37,MATCH(C827,'Country Tiers'!$A$2:$A$37,0))</f>
        <v>Tier 1</v>
      </c>
      <c r="E827" s="12" t="n">
        <f aca="false">INDEX('Country Tiers'!$D$2:$D$37,MATCH(C827,'Country Tiers'!$A$2:$A$37,0))</f>
        <v>3</v>
      </c>
    </row>
    <row r="828" customFormat="false" ht="15" hidden="false" customHeight="false" outlineLevel="0" collapsed="false">
      <c r="A828" s="12" t="s">
        <v>69</v>
      </c>
      <c r="B828" s="12" t="s">
        <v>55</v>
      </c>
      <c r="C828" s="12" t="s">
        <v>272</v>
      </c>
      <c r="D828" s="12" t="str">
        <f aca="false">INDEX('Country Tiers'!$C$2:$C$37,MATCH(C828,'Country Tiers'!$A$2:$A$37,0))</f>
        <v>Tier 2</v>
      </c>
      <c r="E828" s="12" t="n">
        <f aca="false">INDEX('Country Tiers'!$D$2:$D$37,MATCH(C828,'Country Tiers'!$A$2:$A$37,0))</f>
        <v>2</v>
      </c>
    </row>
    <row r="829" customFormat="false" ht="15" hidden="false" customHeight="false" outlineLevel="0" collapsed="false">
      <c r="A829" s="12" t="s">
        <v>69</v>
      </c>
      <c r="B829" s="12" t="s">
        <v>55</v>
      </c>
      <c r="C829" s="12" t="s">
        <v>311</v>
      </c>
      <c r="D829" s="12" t="str">
        <f aca="false">INDEX('Country Tiers'!$C$2:$C$37,MATCH(C829,'Country Tiers'!$A$2:$A$37,0))</f>
        <v>Tier 1</v>
      </c>
      <c r="E829" s="12" t="n">
        <f aca="false">INDEX('Country Tiers'!$D$2:$D$37,MATCH(C829,'Country Tiers'!$A$2:$A$37,0))</f>
        <v>3</v>
      </c>
    </row>
    <row r="830" customFormat="false" ht="15" hidden="false" customHeight="false" outlineLevel="0" collapsed="false">
      <c r="A830" s="12" t="s">
        <v>69</v>
      </c>
      <c r="B830" s="12" t="s">
        <v>65</v>
      </c>
      <c r="C830" s="12" t="s">
        <v>311</v>
      </c>
      <c r="D830" s="12" t="str">
        <f aca="false">INDEX('Country Tiers'!$C$2:$C$37,MATCH(C830,'Country Tiers'!$A$2:$A$37,0))</f>
        <v>Tier 1</v>
      </c>
      <c r="E830" s="12" t="n">
        <f aca="false">INDEX('Country Tiers'!$D$2:$D$37,MATCH(C830,'Country Tiers'!$A$2:$A$37,0))</f>
        <v>3</v>
      </c>
    </row>
    <row r="831" customFormat="false" ht="15" hidden="false" customHeight="false" outlineLevel="0" collapsed="false">
      <c r="A831" s="12" t="s">
        <v>69</v>
      </c>
      <c r="B831" s="12" t="s">
        <v>67</v>
      </c>
      <c r="C831" s="12" t="s">
        <v>311</v>
      </c>
      <c r="D831" s="12" t="str">
        <f aca="false">INDEX('Country Tiers'!$C$2:$C$37,MATCH(C831,'Country Tiers'!$A$2:$A$37,0))</f>
        <v>Tier 1</v>
      </c>
      <c r="E831" s="12" t="n">
        <f aca="false">INDEX('Country Tiers'!$D$2:$D$37,MATCH(C831,'Country Tiers'!$A$2:$A$37,0))</f>
        <v>3</v>
      </c>
    </row>
    <row r="832" customFormat="false" ht="15" hidden="false" customHeight="false" outlineLevel="0" collapsed="false">
      <c r="A832" s="12" t="s">
        <v>71</v>
      </c>
      <c r="B832" s="12" t="s">
        <v>40</v>
      </c>
      <c r="C832" s="12" t="s">
        <v>272</v>
      </c>
      <c r="D832" s="12" t="str">
        <f aca="false">INDEX('Country Tiers'!$C$2:$C$37,MATCH(C832,'Country Tiers'!$A$2:$A$37,0))</f>
        <v>Tier 2</v>
      </c>
      <c r="E832" s="12" t="n">
        <f aca="false">INDEX('Country Tiers'!$D$2:$D$37,MATCH(C832,'Country Tiers'!$A$2:$A$37,0))</f>
        <v>2</v>
      </c>
    </row>
    <row r="833" customFormat="false" ht="15" hidden="false" customHeight="false" outlineLevel="0" collapsed="false">
      <c r="A833" s="12" t="s">
        <v>72</v>
      </c>
      <c r="B833" s="12" t="s">
        <v>47</v>
      </c>
      <c r="C833" s="12" t="s">
        <v>303</v>
      </c>
      <c r="D833" s="12" t="str">
        <f aca="false">INDEX('Country Tiers'!$C$2:$C$37,MATCH(C833,'Country Tiers'!$A$2:$A$37,0))</f>
        <v>Tier 2</v>
      </c>
      <c r="E833" s="12" t="n">
        <f aca="false">INDEX('Country Tiers'!$D$2:$D$37,MATCH(C833,'Country Tiers'!$A$2:$A$37,0))</f>
        <v>2</v>
      </c>
    </row>
    <row r="834" customFormat="false" ht="15" hidden="false" customHeight="false" outlineLevel="0" collapsed="false">
      <c r="A834" s="12" t="s">
        <v>72</v>
      </c>
      <c r="B834" s="12" t="s">
        <v>54</v>
      </c>
      <c r="C834" s="12" t="s">
        <v>303</v>
      </c>
      <c r="D834" s="12" t="str">
        <f aca="false">INDEX('Country Tiers'!$C$2:$C$37,MATCH(C834,'Country Tiers'!$A$2:$A$37,0))</f>
        <v>Tier 2</v>
      </c>
      <c r="E834" s="12" t="n">
        <f aca="false">INDEX('Country Tiers'!$D$2:$D$37,MATCH(C834,'Country Tiers'!$A$2:$A$37,0))</f>
        <v>2</v>
      </c>
    </row>
    <row r="835" customFormat="false" ht="15" hidden="false" customHeight="false" outlineLevel="0" collapsed="false">
      <c r="A835" s="12" t="s">
        <v>72</v>
      </c>
      <c r="B835" s="12" t="s">
        <v>44</v>
      </c>
      <c r="C835" s="12" t="s">
        <v>274</v>
      </c>
      <c r="D835" s="12" t="str">
        <f aca="false">INDEX('Country Tiers'!$C$2:$C$37,MATCH(C835,'Country Tiers'!$A$2:$A$37,0))</f>
        <v>Tier 3</v>
      </c>
      <c r="E835" s="12" t="n">
        <f aca="false">INDEX('Country Tiers'!$D$2:$D$37,MATCH(C835,'Country Tiers'!$A$2:$A$37,0))</f>
        <v>1</v>
      </c>
    </row>
    <row r="836" customFormat="false" ht="15" hidden="false" customHeight="false" outlineLevel="0" collapsed="false">
      <c r="A836" s="12" t="s">
        <v>72</v>
      </c>
      <c r="B836" s="12" t="s">
        <v>44</v>
      </c>
      <c r="C836" s="12" t="s">
        <v>277</v>
      </c>
      <c r="D836" s="12" t="str">
        <f aca="false">INDEX('Country Tiers'!$C$2:$C$37,MATCH(C836,'Country Tiers'!$A$2:$A$37,0))</f>
        <v>Tier 1</v>
      </c>
      <c r="E836" s="12" t="n">
        <f aca="false">INDEX('Country Tiers'!$D$2:$D$37,MATCH(C836,'Country Tiers'!$A$2:$A$37,0))</f>
        <v>3</v>
      </c>
    </row>
    <row r="837" customFormat="false" ht="15" hidden="false" customHeight="false" outlineLevel="0" collapsed="false">
      <c r="A837" s="12" t="s">
        <v>72</v>
      </c>
      <c r="B837" s="12" t="s">
        <v>44</v>
      </c>
      <c r="C837" s="12" t="s">
        <v>278</v>
      </c>
      <c r="D837" s="12" t="str">
        <f aca="false">INDEX('Country Tiers'!$C$2:$C$37,MATCH(C837,'Country Tiers'!$A$2:$A$37,0))</f>
        <v>Tier 3</v>
      </c>
      <c r="E837" s="12" t="n">
        <f aca="false">INDEX('Country Tiers'!$D$2:$D$37,MATCH(C837,'Country Tiers'!$A$2:$A$37,0))</f>
        <v>1</v>
      </c>
    </row>
    <row r="838" customFormat="false" ht="15" hidden="false" customHeight="false" outlineLevel="0" collapsed="false">
      <c r="A838" s="12" t="s">
        <v>72</v>
      </c>
      <c r="B838" s="12" t="s">
        <v>44</v>
      </c>
      <c r="C838" s="12" t="s">
        <v>280</v>
      </c>
      <c r="D838" s="12" t="str">
        <f aca="false">INDEX('Country Tiers'!$C$2:$C$37,MATCH(C838,'Country Tiers'!$A$2:$A$37,0))</f>
        <v>Tier 3</v>
      </c>
      <c r="E838" s="12" t="n">
        <f aca="false">INDEX('Country Tiers'!$D$2:$D$37,MATCH(C838,'Country Tiers'!$A$2:$A$37,0))</f>
        <v>1</v>
      </c>
    </row>
    <row r="839" customFormat="false" ht="15" hidden="false" customHeight="false" outlineLevel="0" collapsed="false">
      <c r="A839" s="12" t="s">
        <v>72</v>
      </c>
      <c r="B839" s="12" t="s">
        <v>44</v>
      </c>
      <c r="C839" s="12" t="s">
        <v>281</v>
      </c>
      <c r="D839" s="12" t="str">
        <f aca="false">INDEX('Country Tiers'!$C$2:$C$37,MATCH(C839,'Country Tiers'!$A$2:$A$37,0))</f>
        <v>Tier 3</v>
      </c>
      <c r="E839" s="12" t="n">
        <f aca="false">INDEX('Country Tiers'!$D$2:$D$37,MATCH(C839,'Country Tiers'!$A$2:$A$37,0))</f>
        <v>1</v>
      </c>
    </row>
    <row r="840" customFormat="false" ht="15" hidden="false" customHeight="false" outlineLevel="0" collapsed="false">
      <c r="A840" s="12" t="s">
        <v>72</v>
      </c>
      <c r="B840" s="12" t="s">
        <v>44</v>
      </c>
      <c r="C840" s="12" t="s">
        <v>282</v>
      </c>
      <c r="D840" s="12" t="str">
        <f aca="false">INDEX('Country Tiers'!$C$2:$C$37,MATCH(C840,'Country Tiers'!$A$2:$A$37,0))</f>
        <v>Tier 3</v>
      </c>
      <c r="E840" s="12" t="n">
        <f aca="false">INDEX('Country Tiers'!$D$2:$D$37,MATCH(C840,'Country Tiers'!$A$2:$A$37,0))</f>
        <v>1</v>
      </c>
    </row>
    <row r="841" customFormat="false" ht="15" hidden="false" customHeight="false" outlineLevel="0" collapsed="false">
      <c r="A841" s="12" t="s">
        <v>72</v>
      </c>
      <c r="B841" s="12" t="s">
        <v>44</v>
      </c>
      <c r="C841" s="12" t="s">
        <v>283</v>
      </c>
      <c r="D841" s="12" t="str">
        <f aca="false">INDEX('Country Tiers'!$C$2:$C$37,MATCH(C841,'Country Tiers'!$A$2:$A$37,0))</f>
        <v>Tier 3</v>
      </c>
      <c r="E841" s="12" t="n">
        <f aca="false">INDEX('Country Tiers'!$D$2:$D$37,MATCH(C841,'Country Tiers'!$A$2:$A$37,0))</f>
        <v>1</v>
      </c>
    </row>
    <row r="842" customFormat="false" ht="15" hidden="false" customHeight="false" outlineLevel="0" collapsed="false">
      <c r="A842" s="12" t="s">
        <v>72</v>
      </c>
      <c r="B842" s="12" t="s">
        <v>44</v>
      </c>
      <c r="C842" s="12" t="s">
        <v>284</v>
      </c>
      <c r="D842" s="12" t="str">
        <f aca="false">INDEX('Country Tiers'!$C$2:$C$37,MATCH(C842,'Country Tiers'!$A$2:$A$37,0))</f>
        <v>Tier 3</v>
      </c>
      <c r="E842" s="12" t="n">
        <f aca="false">INDEX('Country Tiers'!$D$2:$D$37,MATCH(C842,'Country Tiers'!$A$2:$A$37,0))</f>
        <v>1</v>
      </c>
    </row>
    <row r="843" customFormat="false" ht="15" hidden="false" customHeight="false" outlineLevel="0" collapsed="false">
      <c r="A843" s="12" t="s">
        <v>72</v>
      </c>
      <c r="B843" s="12" t="s">
        <v>44</v>
      </c>
      <c r="C843" s="12" t="s">
        <v>285</v>
      </c>
      <c r="D843" s="12" t="str">
        <f aca="false">INDEX('Country Tiers'!$C$2:$C$37,MATCH(C843,'Country Tiers'!$A$2:$A$37,0))</f>
        <v>Tier 3</v>
      </c>
      <c r="E843" s="12" t="n">
        <f aca="false">INDEX('Country Tiers'!$D$2:$D$37,MATCH(C843,'Country Tiers'!$A$2:$A$37,0))</f>
        <v>1</v>
      </c>
    </row>
    <row r="844" customFormat="false" ht="15" hidden="false" customHeight="false" outlineLevel="0" collapsed="false">
      <c r="A844" s="12" t="s">
        <v>72</v>
      </c>
      <c r="B844" s="12" t="s">
        <v>44</v>
      </c>
      <c r="C844" s="12" t="s">
        <v>286</v>
      </c>
      <c r="D844" s="12" t="str">
        <f aca="false">INDEX('Country Tiers'!$C$2:$C$37,MATCH(C844,'Country Tiers'!$A$2:$A$37,0))</f>
        <v>Tier 1</v>
      </c>
      <c r="E844" s="12" t="n">
        <f aca="false">INDEX('Country Tiers'!$D$2:$D$37,MATCH(C844,'Country Tiers'!$A$2:$A$37,0))</f>
        <v>3</v>
      </c>
    </row>
    <row r="845" customFormat="false" ht="15" hidden="false" customHeight="false" outlineLevel="0" collapsed="false">
      <c r="A845" s="12" t="s">
        <v>72</v>
      </c>
      <c r="B845" s="12" t="s">
        <v>44</v>
      </c>
      <c r="C845" s="12" t="s">
        <v>287</v>
      </c>
      <c r="D845" s="12" t="str">
        <f aca="false">INDEX('Country Tiers'!$C$2:$C$37,MATCH(C845,'Country Tiers'!$A$2:$A$37,0))</f>
        <v>Tier 1</v>
      </c>
      <c r="E845" s="12" t="n">
        <f aca="false">INDEX('Country Tiers'!$D$2:$D$37,MATCH(C845,'Country Tiers'!$A$2:$A$37,0))</f>
        <v>3</v>
      </c>
    </row>
    <row r="846" customFormat="false" ht="15" hidden="false" customHeight="false" outlineLevel="0" collapsed="false">
      <c r="A846" s="12" t="s">
        <v>72</v>
      </c>
      <c r="B846" s="12" t="s">
        <v>44</v>
      </c>
      <c r="C846" s="12" t="s">
        <v>288</v>
      </c>
      <c r="D846" s="12" t="str">
        <f aca="false">INDEX('Country Tiers'!$C$2:$C$37,MATCH(C846,'Country Tiers'!$A$2:$A$37,0))</f>
        <v>Tier 3</v>
      </c>
      <c r="E846" s="12" t="n">
        <f aca="false">INDEX('Country Tiers'!$D$2:$D$37,MATCH(C846,'Country Tiers'!$A$2:$A$37,0))</f>
        <v>1</v>
      </c>
    </row>
    <row r="847" customFormat="false" ht="15" hidden="false" customHeight="false" outlineLevel="0" collapsed="false">
      <c r="A847" s="12" t="s">
        <v>72</v>
      </c>
      <c r="B847" s="12" t="s">
        <v>44</v>
      </c>
      <c r="C847" s="12" t="s">
        <v>289</v>
      </c>
      <c r="D847" s="12" t="str">
        <f aca="false">INDEX('Country Tiers'!$C$2:$C$37,MATCH(C847,'Country Tiers'!$A$2:$A$37,0))</f>
        <v>Tier 3</v>
      </c>
      <c r="E847" s="12" t="n">
        <f aca="false">INDEX('Country Tiers'!$D$2:$D$37,MATCH(C847,'Country Tiers'!$A$2:$A$37,0))</f>
        <v>1</v>
      </c>
    </row>
    <row r="848" customFormat="false" ht="15" hidden="false" customHeight="false" outlineLevel="0" collapsed="false">
      <c r="A848" s="12" t="s">
        <v>72</v>
      </c>
      <c r="B848" s="12" t="s">
        <v>44</v>
      </c>
      <c r="C848" s="12" t="s">
        <v>292</v>
      </c>
      <c r="D848" s="12" t="str">
        <f aca="false">INDEX('Country Tiers'!$C$2:$C$37,MATCH(C848,'Country Tiers'!$A$2:$A$37,0))</f>
        <v>Tier 2</v>
      </c>
      <c r="E848" s="12" t="n">
        <f aca="false">INDEX('Country Tiers'!$D$2:$D$37,MATCH(C848,'Country Tiers'!$A$2:$A$37,0))</f>
        <v>2</v>
      </c>
    </row>
    <row r="849" customFormat="false" ht="15" hidden="false" customHeight="false" outlineLevel="0" collapsed="false">
      <c r="A849" s="12" t="s">
        <v>72</v>
      </c>
      <c r="B849" s="12" t="s">
        <v>44</v>
      </c>
      <c r="C849" s="12" t="s">
        <v>293</v>
      </c>
      <c r="D849" s="12" t="str">
        <f aca="false">INDEX('Country Tiers'!$C$2:$C$37,MATCH(C849,'Country Tiers'!$A$2:$A$37,0))</f>
        <v>Tier 3</v>
      </c>
      <c r="E849" s="12" t="n">
        <f aca="false">INDEX('Country Tiers'!$D$2:$D$37,MATCH(C849,'Country Tiers'!$A$2:$A$37,0))</f>
        <v>1</v>
      </c>
    </row>
    <row r="850" customFormat="false" ht="15" hidden="false" customHeight="false" outlineLevel="0" collapsed="false">
      <c r="A850" s="12" t="s">
        <v>72</v>
      </c>
      <c r="B850" s="12" t="s">
        <v>44</v>
      </c>
      <c r="C850" s="12" t="s">
        <v>295</v>
      </c>
      <c r="D850" s="12" t="str">
        <f aca="false">INDEX('Country Tiers'!$C$2:$C$37,MATCH(C850,'Country Tiers'!$A$2:$A$37,0))</f>
        <v>Tier 3</v>
      </c>
      <c r="E850" s="12" t="n">
        <f aca="false">INDEX('Country Tiers'!$D$2:$D$37,MATCH(C850,'Country Tiers'!$A$2:$A$37,0))</f>
        <v>1</v>
      </c>
    </row>
    <row r="851" customFormat="false" ht="15" hidden="false" customHeight="false" outlineLevel="0" collapsed="false">
      <c r="A851" s="12" t="s">
        <v>72</v>
      </c>
      <c r="B851" s="12" t="s">
        <v>44</v>
      </c>
      <c r="C851" s="12" t="s">
        <v>296</v>
      </c>
      <c r="D851" s="12" t="str">
        <f aca="false">INDEX('Country Tiers'!$C$2:$C$37,MATCH(C851,'Country Tiers'!$A$2:$A$37,0))</f>
        <v>Tier 3</v>
      </c>
      <c r="E851" s="12" t="n">
        <f aca="false">INDEX('Country Tiers'!$D$2:$D$37,MATCH(C851,'Country Tiers'!$A$2:$A$37,0))</f>
        <v>1</v>
      </c>
    </row>
    <row r="852" customFormat="false" ht="15" hidden="false" customHeight="false" outlineLevel="0" collapsed="false">
      <c r="A852" s="12" t="s">
        <v>72</v>
      </c>
      <c r="B852" s="12" t="s">
        <v>44</v>
      </c>
      <c r="C852" s="12" t="s">
        <v>297</v>
      </c>
      <c r="D852" s="12" t="str">
        <f aca="false">INDEX('Country Tiers'!$C$2:$C$37,MATCH(C852,'Country Tiers'!$A$2:$A$37,0))</f>
        <v>Tier 2</v>
      </c>
      <c r="E852" s="12" t="n">
        <f aca="false">INDEX('Country Tiers'!$D$2:$D$37,MATCH(C852,'Country Tiers'!$A$2:$A$37,0))</f>
        <v>2</v>
      </c>
    </row>
    <row r="853" customFormat="false" ht="15" hidden="false" customHeight="false" outlineLevel="0" collapsed="false">
      <c r="A853" s="12" t="s">
        <v>72</v>
      </c>
      <c r="B853" s="12" t="s">
        <v>44</v>
      </c>
      <c r="C853" s="12" t="s">
        <v>298</v>
      </c>
      <c r="D853" s="12" t="str">
        <f aca="false">INDEX('Country Tiers'!$C$2:$C$37,MATCH(C853,'Country Tiers'!$A$2:$A$37,0))</f>
        <v>Tier 1</v>
      </c>
      <c r="E853" s="12" t="n">
        <f aca="false">INDEX('Country Tiers'!$D$2:$D$37,MATCH(C853,'Country Tiers'!$A$2:$A$37,0))</f>
        <v>3</v>
      </c>
    </row>
    <row r="854" customFormat="false" ht="15" hidden="false" customHeight="false" outlineLevel="0" collapsed="false">
      <c r="A854" s="12" t="s">
        <v>72</v>
      </c>
      <c r="B854" s="12" t="s">
        <v>44</v>
      </c>
      <c r="C854" s="12" t="s">
        <v>299</v>
      </c>
      <c r="D854" s="12" t="str">
        <f aca="false">INDEX('Country Tiers'!$C$2:$C$37,MATCH(C854,'Country Tiers'!$A$2:$A$37,0))</f>
        <v>Tier 3</v>
      </c>
      <c r="E854" s="12" t="n">
        <f aca="false">INDEX('Country Tiers'!$D$2:$D$37,MATCH(C854,'Country Tiers'!$A$2:$A$37,0))</f>
        <v>1</v>
      </c>
    </row>
    <row r="855" customFormat="false" ht="15" hidden="false" customHeight="false" outlineLevel="0" collapsed="false">
      <c r="A855" s="12" t="s">
        <v>72</v>
      </c>
      <c r="B855" s="12" t="s">
        <v>44</v>
      </c>
      <c r="C855" s="12" t="s">
        <v>300</v>
      </c>
      <c r="D855" s="12" t="str">
        <f aca="false">INDEX('Country Tiers'!$C$2:$C$37,MATCH(C855,'Country Tiers'!$A$2:$A$37,0))</f>
        <v>Tier 3</v>
      </c>
      <c r="E855" s="12" t="n">
        <f aca="false">INDEX('Country Tiers'!$D$2:$D$37,MATCH(C855,'Country Tiers'!$A$2:$A$37,0))</f>
        <v>1</v>
      </c>
    </row>
    <row r="856" customFormat="false" ht="15" hidden="false" customHeight="false" outlineLevel="0" collapsed="false">
      <c r="A856" s="12" t="s">
        <v>72</v>
      </c>
      <c r="B856" s="12" t="s">
        <v>44</v>
      </c>
      <c r="C856" s="12" t="s">
        <v>301</v>
      </c>
      <c r="D856" s="12" t="str">
        <f aca="false">INDEX('Country Tiers'!$C$2:$C$37,MATCH(C856,'Country Tiers'!$A$2:$A$37,0))</f>
        <v>Tier 3</v>
      </c>
      <c r="E856" s="12" t="n">
        <f aca="false">INDEX('Country Tiers'!$D$2:$D$37,MATCH(C856,'Country Tiers'!$A$2:$A$37,0))</f>
        <v>1</v>
      </c>
    </row>
    <row r="857" customFormat="false" ht="15" hidden="false" customHeight="false" outlineLevel="0" collapsed="false">
      <c r="A857" s="12" t="s">
        <v>72</v>
      </c>
      <c r="B857" s="12" t="s">
        <v>44</v>
      </c>
      <c r="C857" s="12" t="s">
        <v>302</v>
      </c>
      <c r="D857" s="12" t="str">
        <f aca="false">INDEX('Country Tiers'!$C$2:$C$37,MATCH(C857,'Country Tiers'!$A$2:$A$37,0))</f>
        <v>Tier 3</v>
      </c>
      <c r="E857" s="12" t="n">
        <f aca="false">INDEX('Country Tiers'!$D$2:$D$37,MATCH(C857,'Country Tiers'!$A$2:$A$37,0))</f>
        <v>1</v>
      </c>
    </row>
    <row r="858" customFormat="false" ht="15" hidden="false" customHeight="false" outlineLevel="0" collapsed="false">
      <c r="A858" s="12" t="s">
        <v>72</v>
      </c>
      <c r="B858" s="12" t="s">
        <v>44</v>
      </c>
      <c r="C858" s="12" t="s">
        <v>305</v>
      </c>
      <c r="D858" s="12" t="str">
        <f aca="false">INDEX('Country Tiers'!$C$2:$C$37,MATCH(C858,'Country Tiers'!$A$2:$A$37,0))</f>
        <v>Tier 3</v>
      </c>
      <c r="E858" s="12" t="n">
        <f aca="false">INDEX('Country Tiers'!$D$2:$D$37,MATCH(C858,'Country Tiers'!$A$2:$A$37,0))</f>
        <v>1</v>
      </c>
    </row>
    <row r="859" customFormat="false" ht="15" hidden="false" customHeight="false" outlineLevel="0" collapsed="false">
      <c r="A859" s="12" t="s">
        <v>72</v>
      </c>
      <c r="B859" s="12" t="s">
        <v>44</v>
      </c>
      <c r="C859" s="12" t="s">
        <v>306</v>
      </c>
      <c r="D859" s="12" t="str">
        <f aca="false">INDEX('Country Tiers'!$C$2:$C$37,MATCH(C859,'Country Tiers'!$A$2:$A$37,0))</f>
        <v>Tier 3</v>
      </c>
      <c r="E859" s="12" t="n">
        <f aca="false">INDEX('Country Tiers'!$D$2:$D$37,MATCH(C859,'Country Tiers'!$A$2:$A$37,0))</f>
        <v>1</v>
      </c>
    </row>
    <row r="860" customFormat="false" ht="15" hidden="false" customHeight="false" outlineLevel="0" collapsed="false">
      <c r="A860" s="12" t="s">
        <v>72</v>
      </c>
      <c r="B860" s="12" t="s">
        <v>44</v>
      </c>
      <c r="C860" s="12" t="s">
        <v>307</v>
      </c>
      <c r="D860" s="12" t="str">
        <f aca="false">INDEX('Country Tiers'!$C$2:$C$37,MATCH(C860,'Country Tiers'!$A$2:$A$37,0))</f>
        <v>Tier 2</v>
      </c>
      <c r="E860" s="12" t="n">
        <f aca="false">INDEX('Country Tiers'!$D$2:$D$37,MATCH(C860,'Country Tiers'!$A$2:$A$37,0))</f>
        <v>2</v>
      </c>
    </row>
    <row r="861" customFormat="false" ht="15" hidden="false" customHeight="false" outlineLevel="0" collapsed="false">
      <c r="A861" s="12" t="s">
        <v>72</v>
      </c>
      <c r="B861" s="12" t="s">
        <v>44</v>
      </c>
      <c r="C861" s="12" t="s">
        <v>308</v>
      </c>
      <c r="D861" s="12" t="str">
        <f aca="false">INDEX('Country Tiers'!$C$2:$C$37,MATCH(C861,'Country Tiers'!$A$2:$A$37,0))</f>
        <v>Tier 3</v>
      </c>
      <c r="E861" s="12" t="n">
        <f aca="false">INDEX('Country Tiers'!$D$2:$D$37,MATCH(C861,'Country Tiers'!$A$2:$A$37,0))</f>
        <v>1</v>
      </c>
    </row>
    <row r="862" customFormat="false" ht="15" hidden="false" customHeight="false" outlineLevel="0" collapsed="false">
      <c r="A862" s="12" t="s">
        <v>72</v>
      </c>
      <c r="B862" s="12" t="s">
        <v>73</v>
      </c>
      <c r="C862" s="12" t="s">
        <v>272</v>
      </c>
      <c r="D862" s="12" t="str">
        <f aca="false">INDEX('Country Tiers'!$C$2:$C$37,MATCH(C862,'Country Tiers'!$A$2:$A$37,0))</f>
        <v>Tier 2</v>
      </c>
      <c r="E862" s="12" t="n">
        <f aca="false">INDEX('Country Tiers'!$D$2:$D$37,MATCH(C862,'Country Tiers'!$A$2:$A$37,0))</f>
        <v>2</v>
      </c>
    </row>
    <row r="863" customFormat="false" ht="15" hidden="false" customHeight="false" outlineLevel="0" collapsed="false">
      <c r="A863" s="12" t="s">
        <v>74</v>
      </c>
      <c r="B863" s="12" t="s">
        <v>47</v>
      </c>
      <c r="C863" s="12" t="s">
        <v>274</v>
      </c>
      <c r="D863" s="12" t="str">
        <f aca="false">INDEX('Country Tiers'!$C$2:$C$37,MATCH(C863,'Country Tiers'!$A$2:$A$37,0))</f>
        <v>Tier 3</v>
      </c>
      <c r="E863" s="12" t="n">
        <f aca="false">INDEX('Country Tiers'!$D$2:$D$37,MATCH(C863,'Country Tiers'!$A$2:$A$37,0))</f>
        <v>1</v>
      </c>
    </row>
    <row r="864" customFormat="false" ht="15" hidden="false" customHeight="false" outlineLevel="0" collapsed="false">
      <c r="A864" s="12" t="s">
        <v>74</v>
      </c>
      <c r="B864" s="12" t="s">
        <v>47</v>
      </c>
      <c r="C864" s="12" t="s">
        <v>277</v>
      </c>
      <c r="D864" s="12" t="str">
        <f aca="false">INDEX('Country Tiers'!$C$2:$C$37,MATCH(C864,'Country Tiers'!$A$2:$A$37,0))</f>
        <v>Tier 1</v>
      </c>
      <c r="E864" s="12" t="n">
        <f aca="false">INDEX('Country Tiers'!$D$2:$D$37,MATCH(C864,'Country Tiers'!$A$2:$A$37,0))</f>
        <v>3</v>
      </c>
    </row>
    <row r="865" customFormat="false" ht="15" hidden="false" customHeight="false" outlineLevel="0" collapsed="false">
      <c r="A865" s="12" t="s">
        <v>74</v>
      </c>
      <c r="B865" s="12" t="s">
        <v>47</v>
      </c>
      <c r="C865" s="12" t="s">
        <v>278</v>
      </c>
      <c r="D865" s="12" t="str">
        <f aca="false">INDEX('Country Tiers'!$C$2:$C$37,MATCH(C865,'Country Tiers'!$A$2:$A$37,0))</f>
        <v>Tier 3</v>
      </c>
      <c r="E865" s="12" t="n">
        <f aca="false">INDEX('Country Tiers'!$D$2:$D$37,MATCH(C865,'Country Tiers'!$A$2:$A$37,0))</f>
        <v>1</v>
      </c>
    </row>
    <row r="866" customFormat="false" ht="15" hidden="false" customHeight="false" outlineLevel="0" collapsed="false">
      <c r="A866" s="12" t="s">
        <v>74</v>
      </c>
      <c r="B866" s="12" t="s">
        <v>47</v>
      </c>
      <c r="C866" s="12" t="s">
        <v>280</v>
      </c>
      <c r="D866" s="12" t="str">
        <f aca="false">INDEX('Country Tiers'!$C$2:$C$37,MATCH(C866,'Country Tiers'!$A$2:$A$37,0))</f>
        <v>Tier 3</v>
      </c>
      <c r="E866" s="12" t="n">
        <f aca="false">INDEX('Country Tiers'!$D$2:$D$37,MATCH(C866,'Country Tiers'!$A$2:$A$37,0))</f>
        <v>1</v>
      </c>
    </row>
    <row r="867" customFormat="false" ht="15" hidden="false" customHeight="false" outlineLevel="0" collapsed="false">
      <c r="A867" s="12" t="s">
        <v>74</v>
      </c>
      <c r="B867" s="12" t="s">
        <v>47</v>
      </c>
      <c r="C867" s="12" t="s">
        <v>281</v>
      </c>
      <c r="D867" s="12" t="str">
        <f aca="false">INDEX('Country Tiers'!$C$2:$C$37,MATCH(C867,'Country Tiers'!$A$2:$A$37,0))</f>
        <v>Tier 3</v>
      </c>
      <c r="E867" s="12" t="n">
        <f aca="false">INDEX('Country Tiers'!$D$2:$D$37,MATCH(C867,'Country Tiers'!$A$2:$A$37,0))</f>
        <v>1</v>
      </c>
    </row>
    <row r="868" customFormat="false" ht="15" hidden="false" customHeight="false" outlineLevel="0" collapsed="false">
      <c r="A868" s="12" t="s">
        <v>74</v>
      </c>
      <c r="B868" s="12" t="s">
        <v>47</v>
      </c>
      <c r="C868" s="12" t="s">
        <v>282</v>
      </c>
      <c r="D868" s="12" t="str">
        <f aca="false">INDEX('Country Tiers'!$C$2:$C$37,MATCH(C868,'Country Tiers'!$A$2:$A$37,0))</f>
        <v>Tier 3</v>
      </c>
      <c r="E868" s="12" t="n">
        <f aca="false">INDEX('Country Tiers'!$D$2:$D$37,MATCH(C868,'Country Tiers'!$A$2:$A$37,0))</f>
        <v>1</v>
      </c>
    </row>
    <row r="869" customFormat="false" ht="15" hidden="false" customHeight="false" outlineLevel="0" collapsed="false">
      <c r="A869" s="12" t="s">
        <v>74</v>
      </c>
      <c r="B869" s="12" t="s">
        <v>47</v>
      </c>
      <c r="C869" s="12" t="s">
        <v>283</v>
      </c>
      <c r="D869" s="12" t="str">
        <f aca="false">INDEX('Country Tiers'!$C$2:$C$37,MATCH(C869,'Country Tiers'!$A$2:$A$37,0))</f>
        <v>Tier 3</v>
      </c>
      <c r="E869" s="12" t="n">
        <f aca="false">INDEX('Country Tiers'!$D$2:$D$37,MATCH(C869,'Country Tiers'!$A$2:$A$37,0))</f>
        <v>1</v>
      </c>
    </row>
    <row r="870" customFormat="false" ht="15" hidden="false" customHeight="false" outlineLevel="0" collapsed="false">
      <c r="A870" s="12" t="s">
        <v>74</v>
      </c>
      <c r="B870" s="12" t="s">
        <v>47</v>
      </c>
      <c r="C870" s="12" t="s">
        <v>284</v>
      </c>
      <c r="D870" s="12" t="str">
        <f aca="false">INDEX('Country Tiers'!$C$2:$C$37,MATCH(C870,'Country Tiers'!$A$2:$A$37,0))</f>
        <v>Tier 3</v>
      </c>
      <c r="E870" s="12" t="n">
        <f aca="false">INDEX('Country Tiers'!$D$2:$D$37,MATCH(C870,'Country Tiers'!$A$2:$A$37,0))</f>
        <v>1</v>
      </c>
    </row>
    <row r="871" customFormat="false" ht="15" hidden="false" customHeight="false" outlineLevel="0" collapsed="false">
      <c r="A871" s="12" t="s">
        <v>74</v>
      </c>
      <c r="B871" s="12" t="s">
        <v>47</v>
      </c>
      <c r="C871" s="12" t="s">
        <v>285</v>
      </c>
      <c r="D871" s="12" t="str">
        <f aca="false">INDEX('Country Tiers'!$C$2:$C$37,MATCH(C871,'Country Tiers'!$A$2:$A$37,0))</f>
        <v>Tier 3</v>
      </c>
      <c r="E871" s="12" t="n">
        <f aca="false">INDEX('Country Tiers'!$D$2:$D$37,MATCH(C871,'Country Tiers'!$A$2:$A$37,0))</f>
        <v>1</v>
      </c>
    </row>
    <row r="872" customFormat="false" ht="15" hidden="false" customHeight="false" outlineLevel="0" collapsed="false">
      <c r="A872" s="12" t="s">
        <v>74</v>
      </c>
      <c r="B872" s="12" t="s">
        <v>47</v>
      </c>
      <c r="C872" s="12" t="s">
        <v>286</v>
      </c>
      <c r="D872" s="12" t="str">
        <f aca="false">INDEX('Country Tiers'!$C$2:$C$37,MATCH(C872,'Country Tiers'!$A$2:$A$37,0))</f>
        <v>Tier 1</v>
      </c>
      <c r="E872" s="12" t="n">
        <f aca="false">INDEX('Country Tiers'!$D$2:$D$37,MATCH(C872,'Country Tiers'!$A$2:$A$37,0))</f>
        <v>3</v>
      </c>
    </row>
    <row r="873" customFormat="false" ht="15" hidden="false" customHeight="false" outlineLevel="0" collapsed="false">
      <c r="A873" s="12" t="s">
        <v>74</v>
      </c>
      <c r="B873" s="12" t="s">
        <v>47</v>
      </c>
      <c r="C873" s="12" t="s">
        <v>287</v>
      </c>
      <c r="D873" s="12" t="str">
        <f aca="false">INDEX('Country Tiers'!$C$2:$C$37,MATCH(C873,'Country Tiers'!$A$2:$A$37,0))</f>
        <v>Tier 1</v>
      </c>
      <c r="E873" s="12" t="n">
        <f aca="false">INDEX('Country Tiers'!$D$2:$D$37,MATCH(C873,'Country Tiers'!$A$2:$A$37,0))</f>
        <v>3</v>
      </c>
    </row>
    <row r="874" customFormat="false" ht="15" hidden="false" customHeight="false" outlineLevel="0" collapsed="false">
      <c r="A874" s="12" t="s">
        <v>74</v>
      </c>
      <c r="B874" s="12" t="s">
        <v>47</v>
      </c>
      <c r="C874" s="12" t="s">
        <v>288</v>
      </c>
      <c r="D874" s="12" t="str">
        <f aca="false">INDEX('Country Tiers'!$C$2:$C$37,MATCH(C874,'Country Tiers'!$A$2:$A$37,0))</f>
        <v>Tier 3</v>
      </c>
      <c r="E874" s="12" t="n">
        <f aca="false">INDEX('Country Tiers'!$D$2:$D$37,MATCH(C874,'Country Tiers'!$A$2:$A$37,0))</f>
        <v>1</v>
      </c>
    </row>
    <row r="875" customFormat="false" ht="15" hidden="false" customHeight="false" outlineLevel="0" collapsed="false">
      <c r="A875" s="12" t="s">
        <v>74</v>
      </c>
      <c r="B875" s="12" t="s">
        <v>47</v>
      </c>
      <c r="C875" s="12" t="s">
        <v>289</v>
      </c>
      <c r="D875" s="12" t="str">
        <f aca="false">INDEX('Country Tiers'!$C$2:$C$37,MATCH(C875,'Country Tiers'!$A$2:$A$37,0))</f>
        <v>Tier 3</v>
      </c>
      <c r="E875" s="12" t="n">
        <f aca="false">INDEX('Country Tiers'!$D$2:$D$37,MATCH(C875,'Country Tiers'!$A$2:$A$37,0))</f>
        <v>1</v>
      </c>
    </row>
    <row r="876" customFormat="false" ht="15" hidden="false" customHeight="false" outlineLevel="0" collapsed="false">
      <c r="A876" s="12" t="s">
        <v>74</v>
      </c>
      <c r="B876" s="12" t="s">
        <v>47</v>
      </c>
      <c r="C876" s="12" t="s">
        <v>290</v>
      </c>
      <c r="D876" s="12" t="str">
        <f aca="false">INDEX('Country Tiers'!$C$2:$C$37,MATCH(C876,'Country Tiers'!$A$2:$A$37,0))</f>
        <v>Tier 3</v>
      </c>
      <c r="E876" s="12" t="n">
        <f aca="false">INDEX('Country Tiers'!$D$2:$D$37,MATCH(C876,'Country Tiers'!$A$2:$A$37,0))</f>
        <v>1</v>
      </c>
    </row>
    <row r="877" customFormat="false" ht="15" hidden="false" customHeight="false" outlineLevel="0" collapsed="false">
      <c r="A877" s="12" t="s">
        <v>74</v>
      </c>
      <c r="B877" s="12" t="s">
        <v>47</v>
      </c>
      <c r="C877" s="12" t="s">
        <v>291</v>
      </c>
      <c r="D877" s="12" t="str">
        <f aca="false">INDEX('Country Tiers'!$C$2:$C$37,MATCH(C877,'Country Tiers'!$A$2:$A$37,0))</f>
        <v>Tier 3</v>
      </c>
      <c r="E877" s="12" t="n">
        <f aca="false">INDEX('Country Tiers'!$D$2:$D$37,MATCH(C877,'Country Tiers'!$A$2:$A$37,0))</f>
        <v>1</v>
      </c>
    </row>
    <row r="878" customFormat="false" ht="15" hidden="false" customHeight="false" outlineLevel="0" collapsed="false">
      <c r="A878" s="12" t="s">
        <v>74</v>
      </c>
      <c r="B878" s="12" t="s">
        <v>47</v>
      </c>
      <c r="C878" s="12" t="s">
        <v>292</v>
      </c>
      <c r="D878" s="12" t="str">
        <f aca="false">INDEX('Country Tiers'!$C$2:$C$37,MATCH(C878,'Country Tiers'!$A$2:$A$37,0))</f>
        <v>Tier 2</v>
      </c>
      <c r="E878" s="12" t="n">
        <f aca="false">INDEX('Country Tiers'!$D$2:$D$37,MATCH(C878,'Country Tiers'!$A$2:$A$37,0))</f>
        <v>2</v>
      </c>
    </row>
    <row r="879" customFormat="false" ht="15" hidden="false" customHeight="false" outlineLevel="0" collapsed="false">
      <c r="A879" s="12" t="s">
        <v>74</v>
      </c>
      <c r="B879" s="12" t="s">
        <v>47</v>
      </c>
      <c r="C879" s="12" t="s">
        <v>293</v>
      </c>
      <c r="D879" s="12" t="str">
        <f aca="false">INDEX('Country Tiers'!$C$2:$C$37,MATCH(C879,'Country Tiers'!$A$2:$A$37,0))</f>
        <v>Tier 3</v>
      </c>
      <c r="E879" s="12" t="n">
        <f aca="false">INDEX('Country Tiers'!$D$2:$D$37,MATCH(C879,'Country Tiers'!$A$2:$A$37,0))</f>
        <v>1</v>
      </c>
    </row>
    <row r="880" customFormat="false" ht="15" hidden="false" customHeight="false" outlineLevel="0" collapsed="false">
      <c r="A880" s="12" t="s">
        <v>74</v>
      </c>
      <c r="B880" s="12" t="s">
        <v>47</v>
      </c>
      <c r="C880" s="12" t="s">
        <v>295</v>
      </c>
      <c r="D880" s="12" t="str">
        <f aca="false">INDEX('Country Tiers'!$C$2:$C$37,MATCH(C880,'Country Tiers'!$A$2:$A$37,0))</f>
        <v>Tier 3</v>
      </c>
      <c r="E880" s="12" t="n">
        <f aca="false">INDEX('Country Tiers'!$D$2:$D$37,MATCH(C880,'Country Tiers'!$A$2:$A$37,0))</f>
        <v>1</v>
      </c>
    </row>
    <row r="881" customFormat="false" ht="15" hidden="false" customHeight="false" outlineLevel="0" collapsed="false">
      <c r="A881" s="12" t="s">
        <v>74</v>
      </c>
      <c r="B881" s="12" t="s">
        <v>47</v>
      </c>
      <c r="C881" s="12" t="s">
        <v>296</v>
      </c>
      <c r="D881" s="12" t="str">
        <f aca="false">INDEX('Country Tiers'!$C$2:$C$37,MATCH(C881,'Country Tiers'!$A$2:$A$37,0))</f>
        <v>Tier 3</v>
      </c>
      <c r="E881" s="12" t="n">
        <f aca="false">INDEX('Country Tiers'!$D$2:$D$37,MATCH(C881,'Country Tiers'!$A$2:$A$37,0))</f>
        <v>1</v>
      </c>
    </row>
    <row r="882" customFormat="false" ht="15" hidden="false" customHeight="false" outlineLevel="0" collapsed="false">
      <c r="A882" s="12" t="s">
        <v>74</v>
      </c>
      <c r="B882" s="12" t="s">
        <v>47</v>
      </c>
      <c r="C882" s="12" t="s">
        <v>297</v>
      </c>
      <c r="D882" s="12" t="str">
        <f aca="false">INDEX('Country Tiers'!$C$2:$C$37,MATCH(C882,'Country Tiers'!$A$2:$A$37,0))</f>
        <v>Tier 2</v>
      </c>
      <c r="E882" s="12" t="n">
        <f aca="false">INDEX('Country Tiers'!$D$2:$D$37,MATCH(C882,'Country Tiers'!$A$2:$A$37,0))</f>
        <v>2</v>
      </c>
    </row>
    <row r="883" customFormat="false" ht="15" hidden="false" customHeight="false" outlineLevel="0" collapsed="false">
      <c r="A883" s="12" t="s">
        <v>74</v>
      </c>
      <c r="B883" s="12" t="s">
        <v>47</v>
      </c>
      <c r="C883" s="12" t="s">
        <v>298</v>
      </c>
      <c r="D883" s="12" t="str">
        <f aca="false">INDEX('Country Tiers'!$C$2:$C$37,MATCH(C883,'Country Tiers'!$A$2:$A$37,0))</f>
        <v>Tier 1</v>
      </c>
      <c r="E883" s="12" t="n">
        <f aca="false">INDEX('Country Tiers'!$D$2:$D$37,MATCH(C883,'Country Tiers'!$A$2:$A$37,0))</f>
        <v>3</v>
      </c>
    </row>
    <row r="884" customFormat="false" ht="15" hidden="false" customHeight="false" outlineLevel="0" collapsed="false">
      <c r="A884" s="12" t="s">
        <v>74</v>
      </c>
      <c r="B884" s="12" t="s">
        <v>47</v>
      </c>
      <c r="C884" s="12" t="s">
        <v>299</v>
      </c>
      <c r="D884" s="12" t="str">
        <f aca="false">INDEX('Country Tiers'!$C$2:$C$37,MATCH(C884,'Country Tiers'!$A$2:$A$37,0))</f>
        <v>Tier 3</v>
      </c>
      <c r="E884" s="12" t="n">
        <f aca="false">INDEX('Country Tiers'!$D$2:$D$37,MATCH(C884,'Country Tiers'!$A$2:$A$37,0))</f>
        <v>1</v>
      </c>
    </row>
    <row r="885" customFormat="false" ht="15" hidden="false" customHeight="false" outlineLevel="0" collapsed="false">
      <c r="A885" s="12" t="s">
        <v>74</v>
      </c>
      <c r="B885" s="12" t="s">
        <v>47</v>
      </c>
      <c r="C885" s="12" t="s">
        <v>300</v>
      </c>
      <c r="D885" s="12" t="str">
        <f aca="false">INDEX('Country Tiers'!$C$2:$C$37,MATCH(C885,'Country Tiers'!$A$2:$A$37,0))</f>
        <v>Tier 3</v>
      </c>
      <c r="E885" s="12" t="n">
        <f aca="false">INDEX('Country Tiers'!$D$2:$D$37,MATCH(C885,'Country Tiers'!$A$2:$A$37,0))</f>
        <v>1</v>
      </c>
    </row>
    <row r="886" customFormat="false" ht="15" hidden="false" customHeight="false" outlineLevel="0" collapsed="false">
      <c r="A886" s="12" t="s">
        <v>74</v>
      </c>
      <c r="B886" s="12" t="s">
        <v>47</v>
      </c>
      <c r="C886" s="12" t="s">
        <v>301</v>
      </c>
      <c r="D886" s="12" t="str">
        <f aca="false">INDEX('Country Tiers'!$C$2:$C$37,MATCH(C886,'Country Tiers'!$A$2:$A$37,0))</f>
        <v>Tier 3</v>
      </c>
      <c r="E886" s="12" t="n">
        <f aca="false">INDEX('Country Tiers'!$D$2:$D$37,MATCH(C886,'Country Tiers'!$A$2:$A$37,0))</f>
        <v>1</v>
      </c>
    </row>
    <row r="887" customFormat="false" ht="15" hidden="false" customHeight="false" outlineLevel="0" collapsed="false">
      <c r="A887" s="12" t="s">
        <v>74</v>
      </c>
      <c r="B887" s="12" t="s">
        <v>47</v>
      </c>
      <c r="C887" s="12" t="s">
        <v>302</v>
      </c>
      <c r="D887" s="12" t="str">
        <f aca="false">INDEX('Country Tiers'!$C$2:$C$37,MATCH(C887,'Country Tiers'!$A$2:$A$37,0))</f>
        <v>Tier 3</v>
      </c>
      <c r="E887" s="12" t="n">
        <f aca="false">INDEX('Country Tiers'!$D$2:$D$37,MATCH(C887,'Country Tiers'!$A$2:$A$37,0))</f>
        <v>1</v>
      </c>
    </row>
    <row r="888" customFormat="false" ht="15" hidden="false" customHeight="false" outlineLevel="0" collapsed="false">
      <c r="A888" s="12" t="s">
        <v>74</v>
      </c>
      <c r="B888" s="12" t="s">
        <v>47</v>
      </c>
      <c r="C888" s="12" t="s">
        <v>305</v>
      </c>
      <c r="D888" s="12" t="str">
        <f aca="false">INDEX('Country Tiers'!$C$2:$C$37,MATCH(C888,'Country Tiers'!$A$2:$A$37,0))</f>
        <v>Tier 3</v>
      </c>
      <c r="E888" s="12" t="n">
        <f aca="false">INDEX('Country Tiers'!$D$2:$D$37,MATCH(C888,'Country Tiers'!$A$2:$A$37,0))</f>
        <v>1</v>
      </c>
    </row>
    <row r="889" customFormat="false" ht="15" hidden="false" customHeight="false" outlineLevel="0" collapsed="false">
      <c r="A889" s="12" t="s">
        <v>74</v>
      </c>
      <c r="B889" s="12" t="s">
        <v>47</v>
      </c>
      <c r="C889" s="12" t="s">
        <v>306</v>
      </c>
      <c r="D889" s="12" t="str">
        <f aca="false">INDEX('Country Tiers'!$C$2:$C$37,MATCH(C889,'Country Tiers'!$A$2:$A$37,0))</f>
        <v>Tier 3</v>
      </c>
      <c r="E889" s="12" t="n">
        <f aca="false">INDEX('Country Tiers'!$D$2:$D$37,MATCH(C889,'Country Tiers'!$A$2:$A$37,0))</f>
        <v>1</v>
      </c>
    </row>
    <row r="890" customFormat="false" ht="15" hidden="false" customHeight="false" outlineLevel="0" collapsed="false">
      <c r="A890" s="12" t="s">
        <v>74</v>
      </c>
      <c r="B890" s="12" t="s">
        <v>47</v>
      </c>
      <c r="C890" s="12" t="s">
        <v>307</v>
      </c>
      <c r="D890" s="12" t="str">
        <f aca="false">INDEX('Country Tiers'!$C$2:$C$37,MATCH(C890,'Country Tiers'!$A$2:$A$37,0))</f>
        <v>Tier 2</v>
      </c>
      <c r="E890" s="12" t="n">
        <f aca="false">INDEX('Country Tiers'!$D$2:$D$37,MATCH(C890,'Country Tiers'!$A$2:$A$37,0))</f>
        <v>2</v>
      </c>
    </row>
    <row r="891" customFormat="false" ht="15" hidden="false" customHeight="false" outlineLevel="0" collapsed="false">
      <c r="A891" s="12" t="s">
        <v>74</v>
      </c>
      <c r="B891" s="12" t="s">
        <v>47</v>
      </c>
      <c r="C891" s="12" t="s">
        <v>308</v>
      </c>
      <c r="D891" s="12" t="str">
        <f aca="false">INDEX('Country Tiers'!$C$2:$C$37,MATCH(C891,'Country Tiers'!$A$2:$A$37,0))</f>
        <v>Tier 3</v>
      </c>
      <c r="E891" s="12" t="n">
        <f aca="false">INDEX('Country Tiers'!$D$2:$D$37,MATCH(C891,'Country Tiers'!$A$2:$A$37,0))</f>
        <v>1</v>
      </c>
    </row>
    <row r="892" customFormat="false" ht="15" hidden="false" customHeight="false" outlineLevel="0" collapsed="false">
      <c r="A892" s="12" t="s">
        <v>74</v>
      </c>
      <c r="B892" s="12" t="s">
        <v>47</v>
      </c>
      <c r="C892" s="12" t="s">
        <v>313</v>
      </c>
      <c r="D892" s="12" t="str">
        <f aca="false">INDEX('Country Tiers'!$C$2:$C$37,MATCH(C892,'Country Tiers'!$A$2:$A$37,0))</f>
        <v>Tier 1</v>
      </c>
      <c r="E892" s="12" t="n">
        <f aca="false">INDEX('Country Tiers'!$D$2:$D$37,MATCH(C892,'Country Tiers'!$A$2:$A$37,0))</f>
        <v>3</v>
      </c>
    </row>
    <row r="893" customFormat="false" ht="15" hidden="false" customHeight="false" outlineLevel="0" collapsed="false">
      <c r="A893" s="12" t="s">
        <v>74</v>
      </c>
      <c r="B893" s="12" t="s">
        <v>73</v>
      </c>
      <c r="C893" s="12" t="s">
        <v>272</v>
      </c>
      <c r="D893" s="12" t="str">
        <f aca="false">INDEX('Country Tiers'!$C$2:$C$37,MATCH(C893,'Country Tiers'!$A$2:$A$37,0))</f>
        <v>Tier 2</v>
      </c>
      <c r="E893" s="12" t="n">
        <f aca="false">INDEX('Country Tiers'!$D$2:$D$37,MATCH(C893,'Country Tiers'!$A$2:$A$37,0))</f>
        <v>2</v>
      </c>
    </row>
    <row r="894" customFormat="false" ht="15" hidden="false" customHeight="false" outlineLevel="0" collapsed="false">
      <c r="A894" s="12" t="s">
        <v>74</v>
      </c>
      <c r="B894" s="12" t="s">
        <v>61</v>
      </c>
      <c r="C894" s="12" t="s">
        <v>309</v>
      </c>
      <c r="D894" s="12" t="str">
        <f aca="false">INDEX('Country Tiers'!$C$2:$C$37,MATCH(C894,'Country Tiers'!$A$2:$A$37,0))</f>
        <v>Tier 1</v>
      </c>
      <c r="E894" s="12" t="n">
        <f aca="false">INDEX('Country Tiers'!$D$2:$D$37,MATCH(C894,'Country Tiers'!$A$2:$A$37,0))</f>
        <v>3</v>
      </c>
    </row>
    <row r="895" customFormat="false" ht="15" hidden="false" customHeight="false" outlineLevel="0" collapsed="false">
      <c r="A895" s="12" t="s">
        <v>74</v>
      </c>
      <c r="B895" s="12" t="s">
        <v>38</v>
      </c>
      <c r="C895" s="12" t="s">
        <v>274</v>
      </c>
      <c r="D895" s="12" t="str">
        <f aca="false">INDEX('Country Tiers'!$C$2:$C$37,MATCH(C895,'Country Tiers'!$A$2:$A$37,0))</f>
        <v>Tier 3</v>
      </c>
      <c r="E895" s="12" t="n">
        <f aca="false">INDEX('Country Tiers'!$D$2:$D$37,MATCH(C895,'Country Tiers'!$A$2:$A$37,0))</f>
        <v>1</v>
      </c>
    </row>
    <row r="896" customFormat="false" ht="15" hidden="false" customHeight="false" outlineLevel="0" collapsed="false">
      <c r="A896" s="12" t="s">
        <v>74</v>
      </c>
      <c r="B896" s="12" t="s">
        <v>38</v>
      </c>
      <c r="C896" s="12" t="s">
        <v>277</v>
      </c>
      <c r="D896" s="12" t="str">
        <f aca="false">INDEX('Country Tiers'!$C$2:$C$37,MATCH(C896,'Country Tiers'!$A$2:$A$37,0))</f>
        <v>Tier 1</v>
      </c>
      <c r="E896" s="12" t="n">
        <f aca="false">INDEX('Country Tiers'!$D$2:$D$37,MATCH(C896,'Country Tiers'!$A$2:$A$37,0))</f>
        <v>3</v>
      </c>
    </row>
    <row r="897" customFormat="false" ht="15" hidden="false" customHeight="false" outlineLevel="0" collapsed="false">
      <c r="A897" s="12" t="s">
        <v>74</v>
      </c>
      <c r="B897" s="12" t="s">
        <v>38</v>
      </c>
      <c r="C897" s="12" t="s">
        <v>278</v>
      </c>
      <c r="D897" s="12" t="str">
        <f aca="false">INDEX('Country Tiers'!$C$2:$C$37,MATCH(C897,'Country Tiers'!$A$2:$A$37,0))</f>
        <v>Tier 3</v>
      </c>
      <c r="E897" s="12" t="n">
        <f aca="false">INDEX('Country Tiers'!$D$2:$D$37,MATCH(C897,'Country Tiers'!$A$2:$A$37,0))</f>
        <v>1</v>
      </c>
    </row>
    <row r="898" customFormat="false" ht="15" hidden="false" customHeight="false" outlineLevel="0" collapsed="false">
      <c r="A898" s="12" t="s">
        <v>74</v>
      </c>
      <c r="B898" s="12" t="s">
        <v>38</v>
      </c>
      <c r="C898" s="12" t="s">
        <v>280</v>
      </c>
      <c r="D898" s="12" t="str">
        <f aca="false">INDEX('Country Tiers'!$C$2:$C$37,MATCH(C898,'Country Tiers'!$A$2:$A$37,0))</f>
        <v>Tier 3</v>
      </c>
      <c r="E898" s="12" t="n">
        <f aca="false">INDEX('Country Tiers'!$D$2:$D$37,MATCH(C898,'Country Tiers'!$A$2:$A$37,0))</f>
        <v>1</v>
      </c>
    </row>
    <row r="899" customFormat="false" ht="15" hidden="false" customHeight="false" outlineLevel="0" collapsed="false">
      <c r="A899" s="12" t="s">
        <v>74</v>
      </c>
      <c r="B899" s="12" t="s">
        <v>38</v>
      </c>
      <c r="C899" s="12" t="s">
        <v>281</v>
      </c>
      <c r="D899" s="12" t="str">
        <f aca="false">INDEX('Country Tiers'!$C$2:$C$37,MATCH(C899,'Country Tiers'!$A$2:$A$37,0))</f>
        <v>Tier 3</v>
      </c>
      <c r="E899" s="12" t="n">
        <f aca="false">INDEX('Country Tiers'!$D$2:$D$37,MATCH(C899,'Country Tiers'!$A$2:$A$37,0))</f>
        <v>1</v>
      </c>
    </row>
    <row r="900" customFormat="false" ht="15" hidden="false" customHeight="false" outlineLevel="0" collapsed="false">
      <c r="A900" s="12" t="s">
        <v>74</v>
      </c>
      <c r="B900" s="12" t="s">
        <v>38</v>
      </c>
      <c r="C900" s="12" t="s">
        <v>282</v>
      </c>
      <c r="D900" s="12" t="str">
        <f aca="false">INDEX('Country Tiers'!$C$2:$C$37,MATCH(C900,'Country Tiers'!$A$2:$A$37,0))</f>
        <v>Tier 3</v>
      </c>
      <c r="E900" s="12" t="n">
        <f aca="false">INDEX('Country Tiers'!$D$2:$D$37,MATCH(C900,'Country Tiers'!$A$2:$A$37,0))</f>
        <v>1</v>
      </c>
    </row>
    <row r="901" customFormat="false" ht="15" hidden="false" customHeight="false" outlineLevel="0" collapsed="false">
      <c r="A901" s="12" t="s">
        <v>74</v>
      </c>
      <c r="B901" s="12" t="s">
        <v>38</v>
      </c>
      <c r="C901" s="12" t="s">
        <v>283</v>
      </c>
      <c r="D901" s="12" t="str">
        <f aca="false">INDEX('Country Tiers'!$C$2:$C$37,MATCH(C901,'Country Tiers'!$A$2:$A$37,0))</f>
        <v>Tier 3</v>
      </c>
      <c r="E901" s="12" t="n">
        <f aca="false">INDEX('Country Tiers'!$D$2:$D$37,MATCH(C901,'Country Tiers'!$A$2:$A$37,0))</f>
        <v>1</v>
      </c>
    </row>
    <row r="902" customFormat="false" ht="15" hidden="false" customHeight="false" outlineLevel="0" collapsed="false">
      <c r="A902" s="12" t="s">
        <v>74</v>
      </c>
      <c r="B902" s="12" t="s">
        <v>38</v>
      </c>
      <c r="C902" s="12" t="s">
        <v>284</v>
      </c>
      <c r="D902" s="12" t="str">
        <f aca="false">INDEX('Country Tiers'!$C$2:$C$37,MATCH(C902,'Country Tiers'!$A$2:$A$37,0))</f>
        <v>Tier 3</v>
      </c>
      <c r="E902" s="12" t="n">
        <f aca="false">INDEX('Country Tiers'!$D$2:$D$37,MATCH(C902,'Country Tiers'!$A$2:$A$37,0))</f>
        <v>1</v>
      </c>
    </row>
    <row r="903" customFormat="false" ht="15" hidden="false" customHeight="false" outlineLevel="0" collapsed="false">
      <c r="A903" s="12" t="s">
        <v>74</v>
      </c>
      <c r="B903" s="12" t="s">
        <v>38</v>
      </c>
      <c r="C903" s="12" t="s">
        <v>285</v>
      </c>
      <c r="D903" s="12" t="str">
        <f aca="false">INDEX('Country Tiers'!$C$2:$C$37,MATCH(C903,'Country Tiers'!$A$2:$A$37,0))</f>
        <v>Tier 3</v>
      </c>
      <c r="E903" s="12" t="n">
        <f aca="false">INDEX('Country Tiers'!$D$2:$D$37,MATCH(C903,'Country Tiers'!$A$2:$A$37,0))</f>
        <v>1</v>
      </c>
    </row>
    <row r="904" customFormat="false" ht="15" hidden="false" customHeight="false" outlineLevel="0" collapsed="false">
      <c r="A904" s="12" t="s">
        <v>74</v>
      </c>
      <c r="B904" s="12" t="s">
        <v>38</v>
      </c>
      <c r="C904" s="12" t="s">
        <v>286</v>
      </c>
      <c r="D904" s="12" t="str">
        <f aca="false">INDEX('Country Tiers'!$C$2:$C$37,MATCH(C904,'Country Tiers'!$A$2:$A$37,0))</f>
        <v>Tier 1</v>
      </c>
      <c r="E904" s="12" t="n">
        <f aca="false">INDEX('Country Tiers'!$D$2:$D$37,MATCH(C904,'Country Tiers'!$A$2:$A$37,0))</f>
        <v>3</v>
      </c>
    </row>
    <row r="905" customFormat="false" ht="15" hidden="false" customHeight="false" outlineLevel="0" collapsed="false">
      <c r="A905" s="12" t="s">
        <v>74</v>
      </c>
      <c r="B905" s="12" t="s">
        <v>38</v>
      </c>
      <c r="C905" s="12" t="s">
        <v>287</v>
      </c>
      <c r="D905" s="12" t="str">
        <f aca="false">INDEX('Country Tiers'!$C$2:$C$37,MATCH(C905,'Country Tiers'!$A$2:$A$37,0))</f>
        <v>Tier 1</v>
      </c>
      <c r="E905" s="12" t="n">
        <f aca="false">INDEX('Country Tiers'!$D$2:$D$37,MATCH(C905,'Country Tiers'!$A$2:$A$37,0))</f>
        <v>3</v>
      </c>
    </row>
    <row r="906" customFormat="false" ht="15" hidden="false" customHeight="false" outlineLevel="0" collapsed="false">
      <c r="A906" s="12" t="s">
        <v>74</v>
      </c>
      <c r="B906" s="12" t="s">
        <v>38</v>
      </c>
      <c r="C906" s="12" t="s">
        <v>288</v>
      </c>
      <c r="D906" s="12" t="str">
        <f aca="false">INDEX('Country Tiers'!$C$2:$C$37,MATCH(C906,'Country Tiers'!$A$2:$A$37,0))</f>
        <v>Tier 3</v>
      </c>
      <c r="E906" s="12" t="n">
        <f aca="false">INDEX('Country Tiers'!$D$2:$D$37,MATCH(C906,'Country Tiers'!$A$2:$A$37,0))</f>
        <v>1</v>
      </c>
    </row>
    <row r="907" customFormat="false" ht="15" hidden="false" customHeight="false" outlineLevel="0" collapsed="false">
      <c r="A907" s="12" t="s">
        <v>74</v>
      </c>
      <c r="B907" s="12" t="s">
        <v>38</v>
      </c>
      <c r="C907" s="12" t="s">
        <v>289</v>
      </c>
      <c r="D907" s="12" t="str">
        <f aca="false">INDEX('Country Tiers'!$C$2:$C$37,MATCH(C907,'Country Tiers'!$A$2:$A$37,0))</f>
        <v>Tier 3</v>
      </c>
      <c r="E907" s="12" t="n">
        <f aca="false">INDEX('Country Tiers'!$D$2:$D$37,MATCH(C907,'Country Tiers'!$A$2:$A$37,0))</f>
        <v>1</v>
      </c>
    </row>
    <row r="908" customFormat="false" ht="15" hidden="false" customHeight="false" outlineLevel="0" collapsed="false">
      <c r="A908" s="12" t="s">
        <v>74</v>
      </c>
      <c r="B908" s="12" t="s">
        <v>38</v>
      </c>
      <c r="C908" s="12" t="s">
        <v>290</v>
      </c>
      <c r="D908" s="12" t="str">
        <f aca="false">INDEX('Country Tiers'!$C$2:$C$37,MATCH(C908,'Country Tiers'!$A$2:$A$37,0))</f>
        <v>Tier 3</v>
      </c>
      <c r="E908" s="12" t="n">
        <f aca="false">INDEX('Country Tiers'!$D$2:$D$37,MATCH(C908,'Country Tiers'!$A$2:$A$37,0))</f>
        <v>1</v>
      </c>
    </row>
    <row r="909" customFormat="false" ht="15" hidden="false" customHeight="false" outlineLevel="0" collapsed="false">
      <c r="A909" s="12" t="s">
        <v>74</v>
      </c>
      <c r="B909" s="12" t="s">
        <v>38</v>
      </c>
      <c r="C909" s="12" t="s">
        <v>291</v>
      </c>
      <c r="D909" s="12" t="str">
        <f aca="false">INDEX('Country Tiers'!$C$2:$C$37,MATCH(C909,'Country Tiers'!$A$2:$A$37,0))</f>
        <v>Tier 3</v>
      </c>
      <c r="E909" s="12" t="n">
        <f aca="false">INDEX('Country Tiers'!$D$2:$D$37,MATCH(C909,'Country Tiers'!$A$2:$A$37,0))</f>
        <v>1</v>
      </c>
    </row>
    <row r="910" customFormat="false" ht="15" hidden="false" customHeight="false" outlineLevel="0" collapsed="false">
      <c r="A910" s="12" t="s">
        <v>74</v>
      </c>
      <c r="B910" s="12" t="s">
        <v>38</v>
      </c>
      <c r="C910" s="12" t="s">
        <v>292</v>
      </c>
      <c r="D910" s="12" t="str">
        <f aca="false">INDEX('Country Tiers'!$C$2:$C$37,MATCH(C910,'Country Tiers'!$A$2:$A$37,0))</f>
        <v>Tier 2</v>
      </c>
      <c r="E910" s="12" t="n">
        <f aca="false">INDEX('Country Tiers'!$D$2:$D$37,MATCH(C910,'Country Tiers'!$A$2:$A$37,0))</f>
        <v>2</v>
      </c>
    </row>
    <row r="911" customFormat="false" ht="15" hidden="false" customHeight="false" outlineLevel="0" collapsed="false">
      <c r="A911" s="12" t="s">
        <v>74</v>
      </c>
      <c r="B911" s="12" t="s">
        <v>38</v>
      </c>
      <c r="C911" s="12" t="s">
        <v>293</v>
      </c>
      <c r="D911" s="12" t="str">
        <f aca="false">INDEX('Country Tiers'!$C$2:$C$37,MATCH(C911,'Country Tiers'!$A$2:$A$37,0))</f>
        <v>Tier 3</v>
      </c>
      <c r="E911" s="12" t="n">
        <f aca="false">INDEX('Country Tiers'!$D$2:$D$37,MATCH(C911,'Country Tiers'!$A$2:$A$37,0))</f>
        <v>1</v>
      </c>
    </row>
    <row r="912" customFormat="false" ht="15" hidden="false" customHeight="false" outlineLevel="0" collapsed="false">
      <c r="A912" s="12" t="s">
        <v>74</v>
      </c>
      <c r="B912" s="12" t="s">
        <v>38</v>
      </c>
      <c r="C912" s="12" t="s">
        <v>295</v>
      </c>
      <c r="D912" s="12" t="str">
        <f aca="false">INDEX('Country Tiers'!$C$2:$C$37,MATCH(C912,'Country Tiers'!$A$2:$A$37,0))</f>
        <v>Tier 3</v>
      </c>
      <c r="E912" s="12" t="n">
        <f aca="false">INDEX('Country Tiers'!$D$2:$D$37,MATCH(C912,'Country Tiers'!$A$2:$A$37,0))</f>
        <v>1</v>
      </c>
    </row>
    <row r="913" customFormat="false" ht="15" hidden="false" customHeight="false" outlineLevel="0" collapsed="false">
      <c r="A913" s="12" t="s">
        <v>74</v>
      </c>
      <c r="B913" s="12" t="s">
        <v>38</v>
      </c>
      <c r="C913" s="12" t="s">
        <v>296</v>
      </c>
      <c r="D913" s="12" t="str">
        <f aca="false">INDEX('Country Tiers'!$C$2:$C$37,MATCH(C913,'Country Tiers'!$A$2:$A$37,0))</f>
        <v>Tier 3</v>
      </c>
      <c r="E913" s="12" t="n">
        <f aca="false">INDEX('Country Tiers'!$D$2:$D$37,MATCH(C913,'Country Tiers'!$A$2:$A$37,0))</f>
        <v>1</v>
      </c>
    </row>
    <row r="914" customFormat="false" ht="15" hidden="false" customHeight="false" outlineLevel="0" collapsed="false">
      <c r="A914" s="12" t="s">
        <v>74</v>
      </c>
      <c r="B914" s="12" t="s">
        <v>38</v>
      </c>
      <c r="C914" s="12" t="s">
        <v>297</v>
      </c>
      <c r="D914" s="12" t="str">
        <f aca="false">INDEX('Country Tiers'!$C$2:$C$37,MATCH(C914,'Country Tiers'!$A$2:$A$37,0))</f>
        <v>Tier 2</v>
      </c>
      <c r="E914" s="12" t="n">
        <f aca="false">INDEX('Country Tiers'!$D$2:$D$37,MATCH(C914,'Country Tiers'!$A$2:$A$37,0))</f>
        <v>2</v>
      </c>
    </row>
    <row r="915" customFormat="false" ht="15" hidden="false" customHeight="false" outlineLevel="0" collapsed="false">
      <c r="A915" s="12" t="s">
        <v>74</v>
      </c>
      <c r="B915" s="12" t="s">
        <v>38</v>
      </c>
      <c r="C915" s="12" t="s">
        <v>298</v>
      </c>
      <c r="D915" s="12" t="str">
        <f aca="false">INDEX('Country Tiers'!$C$2:$C$37,MATCH(C915,'Country Tiers'!$A$2:$A$37,0))</f>
        <v>Tier 1</v>
      </c>
      <c r="E915" s="12" t="n">
        <f aca="false">INDEX('Country Tiers'!$D$2:$D$37,MATCH(C915,'Country Tiers'!$A$2:$A$37,0))</f>
        <v>3</v>
      </c>
    </row>
    <row r="916" customFormat="false" ht="15" hidden="false" customHeight="false" outlineLevel="0" collapsed="false">
      <c r="A916" s="12" t="s">
        <v>74</v>
      </c>
      <c r="B916" s="12" t="s">
        <v>38</v>
      </c>
      <c r="C916" s="12" t="s">
        <v>299</v>
      </c>
      <c r="D916" s="12" t="str">
        <f aca="false">INDEX('Country Tiers'!$C$2:$C$37,MATCH(C916,'Country Tiers'!$A$2:$A$37,0))</f>
        <v>Tier 3</v>
      </c>
      <c r="E916" s="12" t="n">
        <f aca="false">INDEX('Country Tiers'!$D$2:$D$37,MATCH(C916,'Country Tiers'!$A$2:$A$37,0))</f>
        <v>1</v>
      </c>
    </row>
    <row r="917" customFormat="false" ht="15" hidden="false" customHeight="false" outlineLevel="0" collapsed="false">
      <c r="A917" s="12" t="s">
        <v>74</v>
      </c>
      <c r="B917" s="12" t="s">
        <v>38</v>
      </c>
      <c r="C917" s="12" t="s">
        <v>300</v>
      </c>
      <c r="D917" s="12" t="str">
        <f aca="false">INDEX('Country Tiers'!$C$2:$C$37,MATCH(C917,'Country Tiers'!$A$2:$A$37,0))</f>
        <v>Tier 3</v>
      </c>
      <c r="E917" s="12" t="n">
        <f aca="false">INDEX('Country Tiers'!$D$2:$D$37,MATCH(C917,'Country Tiers'!$A$2:$A$37,0))</f>
        <v>1</v>
      </c>
    </row>
    <row r="918" customFormat="false" ht="15" hidden="false" customHeight="false" outlineLevel="0" collapsed="false">
      <c r="A918" s="12" t="s">
        <v>74</v>
      </c>
      <c r="B918" s="12" t="s">
        <v>38</v>
      </c>
      <c r="C918" s="12" t="s">
        <v>301</v>
      </c>
      <c r="D918" s="12" t="str">
        <f aca="false">INDEX('Country Tiers'!$C$2:$C$37,MATCH(C918,'Country Tiers'!$A$2:$A$37,0))</f>
        <v>Tier 3</v>
      </c>
      <c r="E918" s="12" t="n">
        <f aca="false">INDEX('Country Tiers'!$D$2:$D$37,MATCH(C918,'Country Tiers'!$A$2:$A$37,0))</f>
        <v>1</v>
      </c>
    </row>
    <row r="919" customFormat="false" ht="15" hidden="false" customHeight="false" outlineLevel="0" collapsed="false">
      <c r="A919" s="12" t="s">
        <v>74</v>
      </c>
      <c r="B919" s="12" t="s">
        <v>38</v>
      </c>
      <c r="C919" s="12" t="s">
        <v>302</v>
      </c>
      <c r="D919" s="12" t="str">
        <f aca="false">INDEX('Country Tiers'!$C$2:$C$37,MATCH(C919,'Country Tiers'!$A$2:$A$37,0))</f>
        <v>Tier 3</v>
      </c>
      <c r="E919" s="12" t="n">
        <f aca="false">INDEX('Country Tiers'!$D$2:$D$37,MATCH(C919,'Country Tiers'!$A$2:$A$37,0))</f>
        <v>1</v>
      </c>
    </row>
    <row r="920" customFormat="false" ht="15" hidden="false" customHeight="false" outlineLevel="0" collapsed="false">
      <c r="A920" s="12" t="s">
        <v>74</v>
      </c>
      <c r="B920" s="12" t="s">
        <v>38</v>
      </c>
      <c r="C920" s="12" t="s">
        <v>305</v>
      </c>
      <c r="D920" s="12" t="str">
        <f aca="false">INDEX('Country Tiers'!$C$2:$C$37,MATCH(C920,'Country Tiers'!$A$2:$A$37,0))</f>
        <v>Tier 3</v>
      </c>
      <c r="E920" s="12" t="n">
        <f aca="false">INDEX('Country Tiers'!$D$2:$D$37,MATCH(C920,'Country Tiers'!$A$2:$A$37,0))</f>
        <v>1</v>
      </c>
    </row>
    <row r="921" customFormat="false" ht="15" hidden="false" customHeight="false" outlineLevel="0" collapsed="false">
      <c r="A921" s="12" t="s">
        <v>74</v>
      </c>
      <c r="B921" s="12" t="s">
        <v>38</v>
      </c>
      <c r="C921" s="12" t="s">
        <v>306</v>
      </c>
      <c r="D921" s="12" t="str">
        <f aca="false">INDEX('Country Tiers'!$C$2:$C$37,MATCH(C921,'Country Tiers'!$A$2:$A$37,0))</f>
        <v>Tier 3</v>
      </c>
      <c r="E921" s="12" t="n">
        <f aca="false">INDEX('Country Tiers'!$D$2:$D$37,MATCH(C921,'Country Tiers'!$A$2:$A$37,0))</f>
        <v>1</v>
      </c>
    </row>
    <row r="922" customFormat="false" ht="15" hidden="false" customHeight="false" outlineLevel="0" collapsed="false">
      <c r="A922" s="12" t="s">
        <v>74</v>
      </c>
      <c r="B922" s="12" t="s">
        <v>38</v>
      </c>
      <c r="C922" s="12" t="s">
        <v>307</v>
      </c>
      <c r="D922" s="12" t="str">
        <f aca="false">INDEX('Country Tiers'!$C$2:$C$37,MATCH(C922,'Country Tiers'!$A$2:$A$37,0))</f>
        <v>Tier 2</v>
      </c>
      <c r="E922" s="12" t="n">
        <f aca="false">INDEX('Country Tiers'!$D$2:$D$37,MATCH(C922,'Country Tiers'!$A$2:$A$37,0))</f>
        <v>2</v>
      </c>
    </row>
    <row r="923" customFormat="false" ht="15" hidden="false" customHeight="false" outlineLevel="0" collapsed="false">
      <c r="A923" s="12" t="s">
        <v>74</v>
      </c>
      <c r="B923" s="12" t="s">
        <v>38</v>
      </c>
      <c r="C923" s="12" t="s">
        <v>308</v>
      </c>
      <c r="D923" s="12" t="str">
        <f aca="false">INDEX('Country Tiers'!$C$2:$C$37,MATCH(C923,'Country Tiers'!$A$2:$A$37,0))</f>
        <v>Tier 3</v>
      </c>
      <c r="E923" s="12" t="n">
        <f aca="false">INDEX('Country Tiers'!$D$2:$D$37,MATCH(C923,'Country Tiers'!$A$2:$A$37,0))</f>
        <v>1</v>
      </c>
    </row>
    <row r="924" customFormat="false" ht="15" hidden="false" customHeight="false" outlineLevel="0" collapsed="false">
      <c r="A924" s="12" t="s">
        <v>74</v>
      </c>
      <c r="B924" s="12" t="s">
        <v>38</v>
      </c>
      <c r="C924" s="12" t="s">
        <v>309</v>
      </c>
      <c r="D924" s="12" t="str">
        <f aca="false">INDEX('Country Tiers'!$C$2:$C$37,MATCH(C924,'Country Tiers'!$A$2:$A$37,0))</f>
        <v>Tier 1</v>
      </c>
      <c r="E924" s="12" t="n">
        <f aca="false">INDEX('Country Tiers'!$D$2:$D$37,MATCH(C924,'Country Tiers'!$A$2:$A$37,0))</f>
        <v>3</v>
      </c>
    </row>
    <row r="925" customFormat="false" ht="15" hidden="false" customHeight="false" outlineLevel="0" collapsed="false">
      <c r="A925" s="12" t="s">
        <v>74</v>
      </c>
      <c r="B925" s="12" t="s">
        <v>38</v>
      </c>
      <c r="C925" s="12" t="s">
        <v>313</v>
      </c>
      <c r="D925" s="12" t="str">
        <f aca="false">INDEX('Country Tiers'!$C$2:$C$37,MATCH(C925,'Country Tiers'!$A$2:$A$37,0))</f>
        <v>Tier 1</v>
      </c>
      <c r="E925" s="12" t="n">
        <f aca="false">INDEX('Country Tiers'!$D$2:$D$37,MATCH(C925,'Country Tiers'!$A$2:$A$37,0))</f>
        <v>3</v>
      </c>
    </row>
    <row r="926" customFormat="false" ht="15" hidden="false" customHeight="false" outlineLevel="0" collapsed="false">
      <c r="A926" s="12" t="s">
        <v>75</v>
      </c>
      <c r="B926" s="12" t="s">
        <v>47</v>
      </c>
      <c r="C926" s="12" t="s">
        <v>274</v>
      </c>
      <c r="D926" s="12" t="str">
        <f aca="false">INDEX('Country Tiers'!$C$2:$C$37,MATCH(C926,'Country Tiers'!$A$2:$A$37,0))</f>
        <v>Tier 3</v>
      </c>
      <c r="E926" s="12" t="n">
        <f aca="false">INDEX('Country Tiers'!$D$2:$D$37,MATCH(C926,'Country Tiers'!$A$2:$A$37,0))</f>
        <v>1</v>
      </c>
    </row>
    <row r="927" customFormat="false" ht="15" hidden="false" customHeight="false" outlineLevel="0" collapsed="false">
      <c r="A927" s="12" t="s">
        <v>75</v>
      </c>
      <c r="B927" s="12" t="s">
        <v>47</v>
      </c>
      <c r="C927" s="12" t="s">
        <v>277</v>
      </c>
      <c r="D927" s="12" t="str">
        <f aca="false">INDEX('Country Tiers'!$C$2:$C$37,MATCH(C927,'Country Tiers'!$A$2:$A$37,0))</f>
        <v>Tier 1</v>
      </c>
      <c r="E927" s="12" t="n">
        <f aca="false">INDEX('Country Tiers'!$D$2:$D$37,MATCH(C927,'Country Tiers'!$A$2:$A$37,0))</f>
        <v>3</v>
      </c>
    </row>
    <row r="928" customFormat="false" ht="15" hidden="false" customHeight="false" outlineLevel="0" collapsed="false">
      <c r="A928" s="12" t="s">
        <v>75</v>
      </c>
      <c r="B928" s="12" t="s">
        <v>47</v>
      </c>
      <c r="C928" s="12" t="s">
        <v>278</v>
      </c>
      <c r="D928" s="12" t="str">
        <f aca="false">INDEX('Country Tiers'!$C$2:$C$37,MATCH(C928,'Country Tiers'!$A$2:$A$37,0))</f>
        <v>Tier 3</v>
      </c>
      <c r="E928" s="12" t="n">
        <f aca="false">INDEX('Country Tiers'!$D$2:$D$37,MATCH(C928,'Country Tiers'!$A$2:$A$37,0))</f>
        <v>1</v>
      </c>
    </row>
    <row r="929" customFormat="false" ht="15" hidden="false" customHeight="false" outlineLevel="0" collapsed="false">
      <c r="A929" s="12" t="s">
        <v>75</v>
      </c>
      <c r="B929" s="12" t="s">
        <v>47</v>
      </c>
      <c r="C929" s="12" t="s">
        <v>280</v>
      </c>
      <c r="D929" s="12" t="str">
        <f aca="false">INDEX('Country Tiers'!$C$2:$C$37,MATCH(C929,'Country Tiers'!$A$2:$A$37,0))</f>
        <v>Tier 3</v>
      </c>
      <c r="E929" s="12" t="n">
        <f aca="false">INDEX('Country Tiers'!$D$2:$D$37,MATCH(C929,'Country Tiers'!$A$2:$A$37,0))</f>
        <v>1</v>
      </c>
    </row>
    <row r="930" customFormat="false" ht="15" hidden="false" customHeight="false" outlineLevel="0" collapsed="false">
      <c r="A930" s="12" t="s">
        <v>75</v>
      </c>
      <c r="B930" s="12" t="s">
        <v>47</v>
      </c>
      <c r="C930" s="12" t="s">
        <v>281</v>
      </c>
      <c r="D930" s="12" t="str">
        <f aca="false">INDEX('Country Tiers'!$C$2:$C$37,MATCH(C930,'Country Tiers'!$A$2:$A$37,0))</f>
        <v>Tier 3</v>
      </c>
      <c r="E930" s="12" t="n">
        <f aca="false">INDEX('Country Tiers'!$D$2:$D$37,MATCH(C930,'Country Tiers'!$A$2:$A$37,0))</f>
        <v>1</v>
      </c>
    </row>
    <row r="931" customFormat="false" ht="15" hidden="false" customHeight="false" outlineLevel="0" collapsed="false">
      <c r="A931" s="12" t="s">
        <v>75</v>
      </c>
      <c r="B931" s="12" t="s">
        <v>47</v>
      </c>
      <c r="C931" s="12" t="s">
        <v>282</v>
      </c>
      <c r="D931" s="12" t="str">
        <f aca="false">INDEX('Country Tiers'!$C$2:$C$37,MATCH(C931,'Country Tiers'!$A$2:$A$37,0))</f>
        <v>Tier 3</v>
      </c>
      <c r="E931" s="12" t="n">
        <f aca="false">INDEX('Country Tiers'!$D$2:$D$37,MATCH(C931,'Country Tiers'!$A$2:$A$37,0))</f>
        <v>1</v>
      </c>
    </row>
    <row r="932" customFormat="false" ht="15" hidden="false" customHeight="false" outlineLevel="0" collapsed="false">
      <c r="A932" s="12" t="s">
        <v>75</v>
      </c>
      <c r="B932" s="12" t="s">
        <v>47</v>
      </c>
      <c r="C932" s="12" t="s">
        <v>283</v>
      </c>
      <c r="D932" s="12" t="str">
        <f aca="false">INDEX('Country Tiers'!$C$2:$C$37,MATCH(C932,'Country Tiers'!$A$2:$A$37,0))</f>
        <v>Tier 3</v>
      </c>
      <c r="E932" s="12" t="n">
        <f aca="false">INDEX('Country Tiers'!$D$2:$D$37,MATCH(C932,'Country Tiers'!$A$2:$A$37,0))</f>
        <v>1</v>
      </c>
    </row>
    <row r="933" customFormat="false" ht="15" hidden="false" customHeight="false" outlineLevel="0" collapsed="false">
      <c r="A933" s="12" t="s">
        <v>75</v>
      </c>
      <c r="B933" s="12" t="s">
        <v>47</v>
      </c>
      <c r="C933" s="12" t="s">
        <v>284</v>
      </c>
      <c r="D933" s="12" t="str">
        <f aca="false">INDEX('Country Tiers'!$C$2:$C$37,MATCH(C933,'Country Tiers'!$A$2:$A$37,0))</f>
        <v>Tier 3</v>
      </c>
      <c r="E933" s="12" t="n">
        <f aca="false">INDEX('Country Tiers'!$D$2:$D$37,MATCH(C933,'Country Tiers'!$A$2:$A$37,0))</f>
        <v>1</v>
      </c>
    </row>
    <row r="934" customFormat="false" ht="15" hidden="false" customHeight="false" outlineLevel="0" collapsed="false">
      <c r="A934" s="12" t="s">
        <v>75</v>
      </c>
      <c r="B934" s="12" t="s">
        <v>47</v>
      </c>
      <c r="C934" s="12" t="s">
        <v>285</v>
      </c>
      <c r="D934" s="12" t="str">
        <f aca="false">INDEX('Country Tiers'!$C$2:$C$37,MATCH(C934,'Country Tiers'!$A$2:$A$37,0))</f>
        <v>Tier 3</v>
      </c>
      <c r="E934" s="12" t="n">
        <f aca="false">INDEX('Country Tiers'!$D$2:$D$37,MATCH(C934,'Country Tiers'!$A$2:$A$37,0))</f>
        <v>1</v>
      </c>
    </row>
    <row r="935" customFormat="false" ht="15" hidden="false" customHeight="false" outlineLevel="0" collapsed="false">
      <c r="A935" s="12" t="s">
        <v>75</v>
      </c>
      <c r="B935" s="12" t="s">
        <v>47</v>
      </c>
      <c r="C935" s="12" t="s">
        <v>286</v>
      </c>
      <c r="D935" s="12" t="str">
        <f aca="false">INDEX('Country Tiers'!$C$2:$C$37,MATCH(C935,'Country Tiers'!$A$2:$A$37,0))</f>
        <v>Tier 1</v>
      </c>
      <c r="E935" s="12" t="n">
        <f aca="false">INDEX('Country Tiers'!$D$2:$D$37,MATCH(C935,'Country Tiers'!$A$2:$A$37,0))</f>
        <v>3</v>
      </c>
    </row>
    <row r="936" customFormat="false" ht="15" hidden="false" customHeight="false" outlineLevel="0" collapsed="false">
      <c r="A936" s="12" t="s">
        <v>75</v>
      </c>
      <c r="B936" s="12" t="s">
        <v>47</v>
      </c>
      <c r="C936" s="12" t="s">
        <v>287</v>
      </c>
      <c r="D936" s="12" t="str">
        <f aca="false">INDEX('Country Tiers'!$C$2:$C$37,MATCH(C936,'Country Tiers'!$A$2:$A$37,0))</f>
        <v>Tier 1</v>
      </c>
      <c r="E936" s="12" t="n">
        <f aca="false">INDEX('Country Tiers'!$D$2:$D$37,MATCH(C936,'Country Tiers'!$A$2:$A$37,0))</f>
        <v>3</v>
      </c>
    </row>
    <row r="937" customFormat="false" ht="15" hidden="false" customHeight="false" outlineLevel="0" collapsed="false">
      <c r="A937" s="12" t="s">
        <v>75</v>
      </c>
      <c r="B937" s="12" t="s">
        <v>47</v>
      </c>
      <c r="C937" s="12" t="s">
        <v>288</v>
      </c>
      <c r="D937" s="12" t="str">
        <f aca="false">INDEX('Country Tiers'!$C$2:$C$37,MATCH(C937,'Country Tiers'!$A$2:$A$37,0))</f>
        <v>Tier 3</v>
      </c>
      <c r="E937" s="12" t="n">
        <f aca="false">INDEX('Country Tiers'!$D$2:$D$37,MATCH(C937,'Country Tiers'!$A$2:$A$37,0))</f>
        <v>1</v>
      </c>
    </row>
    <row r="938" customFormat="false" ht="15" hidden="false" customHeight="false" outlineLevel="0" collapsed="false">
      <c r="A938" s="12" t="s">
        <v>75</v>
      </c>
      <c r="B938" s="12" t="s">
        <v>47</v>
      </c>
      <c r="C938" s="12" t="s">
        <v>289</v>
      </c>
      <c r="D938" s="12" t="str">
        <f aca="false">INDEX('Country Tiers'!$C$2:$C$37,MATCH(C938,'Country Tiers'!$A$2:$A$37,0))</f>
        <v>Tier 3</v>
      </c>
      <c r="E938" s="12" t="n">
        <f aca="false">INDEX('Country Tiers'!$D$2:$D$37,MATCH(C938,'Country Tiers'!$A$2:$A$37,0))</f>
        <v>1</v>
      </c>
    </row>
    <row r="939" customFormat="false" ht="15" hidden="false" customHeight="false" outlineLevel="0" collapsed="false">
      <c r="A939" s="12" t="s">
        <v>75</v>
      </c>
      <c r="B939" s="12" t="s">
        <v>47</v>
      </c>
      <c r="C939" s="12" t="s">
        <v>290</v>
      </c>
      <c r="D939" s="12" t="str">
        <f aca="false">INDEX('Country Tiers'!$C$2:$C$37,MATCH(C939,'Country Tiers'!$A$2:$A$37,0))</f>
        <v>Tier 3</v>
      </c>
      <c r="E939" s="12" t="n">
        <f aca="false">INDEX('Country Tiers'!$D$2:$D$37,MATCH(C939,'Country Tiers'!$A$2:$A$37,0))</f>
        <v>1</v>
      </c>
    </row>
    <row r="940" customFormat="false" ht="15" hidden="false" customHeight="false" outlineLevel="0" collapsed="false">
      <c r="A940" s="12" t="s">
        <v>75</v>
      </c>
      <c r="B940" s="12" t="s">
        <v>47</v>
      </c>
      <c r="C940" s="12" t="s">
        <v>291</v>
      </c>
      <c r="D940" s="12" t="str">
        <f aca="false">INDEX('Country Tiers'!$C$2:$C$37,MATCH(C940,'Country Tiers'!$A$2:$A$37,0))</f>
        <v>Tier 3</v>
      </c>
      <c r="E940" s="12" t="n">
        <f aca="false">INDEX('Country Tiers'!$D$2:$D$37,MATCH(C940,'Country Tiers'!$A$2:$A$37,0))</f>
        <v>1</v>
      </c>
    </row>
    <row r="941" customFormat="false" ht="15" hidden="false" customHeight="false" outlineLevel="0" collapsed="false">
      <c r="A941" s="12" t="s">
        <v>75</v>
      </c>
      <c r="B941" s="12" t="s">
        <v>47</v>
      </c>
      <c r="C941" s="12" t="s">
        <v>292</v>
      </c>
      <c r="D941" s="12" t="str">
        <f aca="false">INDEX('Country Tiers'!$C$2:$C$37,MATCH(C941,'Country Tiers'!$A$2:$A$37,0))</f>
        <v>Tier 2</v>
      </c>
      <c r="E941" s="12" t="n">
        <f aca="false">INDEX('Country Tiers'!$D$2:$D$37,MATCH(C941,'Country Tiers'!$A$2:$A$37,0))</f>
        <v>2</v>
      </c>
    </row>
    <row r="942" customFormat="false" ht="15" hidden="false" customHeight="false" outlineLevel="0" collapsed="false">
      <c r="A942" s="12" t="s">
        <v>75</v>
      </c>
      <c r="B942" s="12" t="s">
        <v>47</v>
      </c>
      <c r="C942" s="12" t="s">
        <v>293</v>
      </c>
      <c r="D942" s="12" t="str">
        <f aca="false">INDEX('Country Tiers'!$C$2:$C$37,MATCH(C942,'Country Tiers'!$A$2:$A$37,0))</f>
        <v>Tier 3</v>
      </c>
      <c r="E942" s="12" t="n">
        <f aca="false">INDEX('Country Tiers'!$D$2:$D$37,MATCH(C942,'Country Tiers'!$A$2:$A$37,0))</f>
        <v>1</v>
      </c>
    </row>
    <row r="943" customFormat="false" ht="15" hidden="false" customHeight="false" outlineLevel="0" collapsed="false">
      <c r="A943" s="12" t="s">
        <v>75</v>
      </c>
      <c r="B943" s="12" t="s">
        <v>47</v>
      </c>
      <c r="C943" s="12" t="s">
        <v>295</v>
      </c>
      <c r="D943" s="12" t="str">
        <f aca="false">INDEX('Country Tiers'!$C$2:$C$37,MATCH(C943,'Country Tiers'!$A$2:$A$37,0))</f>
        <v>Tier 3</v>
      </c>
      <c r="E943" s="12" t="n">
        <f aca="false">INDEX('Country Tiers'!$D$2:$D$37,MATCH(C943,'Country Tiers'!$A$2:$A$37,0))</f>
        <v>1</v>
      </c>
    </row>
    <row r="944" customFormat="false" ht="15" hidden="false" customHeight="false" outlineLevel="0" collapsed="false">
      <c r="A944" s="12" t="s">
        <v>75</v>
      </c>
      <c r="B944" s="12" t="s">
        <v>47</v>
      </c>
      <c r="C944" s="12" t="s">
        <v>296</v>
      </c>
      <c r="D944" s="12" t="str">
        <f aca="false">INDEX('Country Tiers'!$C$2:$C$37,MATCH(C944,'Country Tiers'!$A$2:$A$37,0))</f>
        <v>Tier 3</v>
      </c>
      <c r="E944" s="12" t="n">
        <f aca="false">INDEX('Country Tiers'!$D$2:$D$37,MATCH(C944,'Country Tiers'!$A$2:$A$37,0))</f>
        <v>1</v>
      </c>
    </row>
    <row r="945" customFormat="false" ht="15" hidden="false" customHeight="false" outlineLevel="0" collapsed="false">
      <c r="A945" s="12" t="s">
        <v>75</v>
      </c>
      <c r="B945" s="12" t="s">
        <v>47</v>
      </c>
      <c r="C945" s="12" t="s">
        <v>297</v>
      </c>
      <c r="D945" s="12" t="str">
        <f aca="false">INDEX('Country Tiers'!$C$2:$C$37,MATCH(C945,'Country Tiers'!$A$2:$A$37,0))</f>
        <v>Tier 2</v>
      </c>
      <c r="E945" s="12" t="n">
        <f aca="false">INDEX('Country Tiers'!$D$2:$D$37,MATCH(C945,'Country Tiers'!$A$2:$A$37,0))</f>
        <v>2</v>
      </c>
    </row>
    <row r="946" customFormat="false" ht="15" hidden="false" customHeight="false" outlineLevel="0" collapsed="false">
      <c r="A946" s="12" t="s">
        <v>75</v>
      </c>
      <c r="B946" s="12" t="s">
        <v>47</v>
      </c>
      <c r="C946" s="12" t="s">
        <v>298</v>
      </c>
      <c r="D946" s="12" t="str">
        <f aca="false">INDEX('Country Tiers'!$C$2:$C$37,MATCH(C946,'Country Tiers'!$A$2:$A$37,0))</f>
        <v>Tier 1</v>
      </c>
      <c r="E946" s="12" t="n">
        <f aca="false">INDEX('Country Tiers'!$D$2:$D$37,MATCH(C946,'Country Tiers'!$A$2:$A$37,0))</f>
        <v>3</v>
      </c>
    </row>
    <row r="947" customFormat="false" ht="15" hidden="false" customHeight="false" outlineLevel="0" collapsed="false">
      <c r="A947" s="12" t="s">
        <v>75</v>
      </c>
      <c r="B947" s="12" t="s">
        <v>47</v>
      </c>
      <c r="C947" s="12" t="s">
        <v>299</v>
      </c>
      <c r="D947" s="12" t="str">
        <f aca="false">INDEX('Country Tiers'!$C$2:$C$37,MATCH(C947,'Country Tiers'!$A$2:$A$37,0))</f>
        <v>Tier 3</v>
      </c>
      <c r="E947" s="12" t="n">
        <f aca="false">INDEX('Country Tiers'!$D$2:$D$37,MATCH(C947,'Country Tiers'!$A$2:$A$37,0))</f>
        <v>1</v>
      </c>
    </row>
    <row r="948" customFormat="false" ht="15" hidden="false" customHeight="false" outlineLevel="0" collapsed="false">
      <c r="A948" s="12" t="s">
        <v>75</v>
      </c>
      <c r="B948" s="12" t="s">
        <v>47</v>
      </c>
      <c r="C948" s="12" t="s">
        <v>300</v>
      </c>
      <c r="D948" s="12" t="str">
        <f aca="false">INDEX('Country Tiers'!$C$2:$C$37,MATCH(C948,'Country Tiers'!$A$2:$A$37,0))</f>
        <v>Tier 3</v>
      </c>
      <c r="E948" s="12" t="n">
        <f aca="false">INDEX('Country Tiers'!$D$2:$D$37,MATCH(C948,'Country Tiers'!$A$2:$A$37,0))</f>
        <v>1</v>
      </c>
    </row>
    <row r="949" customFormat="false" ht="15" hidden="false" customHeight="false" outlineLevel="0" collapsed="false">
      <c r="A949" s="12" t="s">
        <v>75</v>
      </c>
      <c r="B949" s="12" t="s">
        <v>47</v>
      </c>
      <c r="C949" s="12" t="s">
        <v>301</v>
      </c>
      <c r="D949" s="12" t="str">
        <f aca="false">INDEX('Country Tiers'!$C$2:$C$37,MATCH(C949,'Country Tiers'!$A$2:$A$37,0))</f>
        <v>Tier 3</v>
      </c>
      <c r="E949" s="12" t="n">
        <f aca="false">INDEX('Country Tiers'!$D$2:$D$37,MATCH(C949,'Country Tiers'!$A$2:$A$37,0))</f>
        <v>1</v>
      </c>
    </row>
    <row r="950" customFormat="false" ht="15" hidden="false" customHeight="false" outlineLevel="0" collapsed="false">
      <c r="A950" s="12" t="s">
        <v>75</v>
      </c>
      <c r="B950" s="12" t="s">
        <v>47</v>
      </c>
      <c r="C950" s="12" t="s">
        <v>302</v>
      </c>
      <c r="D950" s="12" t="str">
        <f aca="false">INDEX('Country Tiers'!$C$2:$C$37,MATCH(C950,'Country Tiers'!$A$2:$A$37,0))</f>
        <v>Tier 3</v>
      </c>
      <c r="E950" s="12" t="n">
        <f aca="false">INDEX('Country Tiers'!$D$2:$D$37,MATCH(C950,'Country Tiers'!$A$2:$A$37,0))</f>
        <v>1</v>
      </c>
    </row>
    <row r="951" customFormat="false" ht="15" hidden="false" customHeight="false" outlineLevel="0" collapsed="false">
      <c r="A951" s="12" t="s">
        <v>75</v>
      </c>
      <c r="B951" s="12" t="s">
        <v>47</v>
      </c>
      <c r="C951" s="12" t="s">
        <v>305</v>
      </c>
      <c r="D951" s="12" t="str">
        <f aca="false">INDEX('Country Tiers'!$C$2:$C$37,MATCH(C951,'Country Tiers'!$A$2:$A$37,0))</f>
        <v>Tier 3</v>
      </c>
      <c r="E951" s="12" t="n">
        <f aca="false">INDEX('Country Tiers'!$D$2:$D$37,MATCH(C951,'Country Tiers'!$A$2:$A$37,0))</f>
        <v>1</v>
      </c>
    </row>
    <row r="952" customFormat="false" ht="15" hidden="false" customHeight="false" outlineLevel="0" collapsed="false">
      <c r="A952" s="12" t="s">
        <v>75</v>
      </c>
      <c r="B952" s="12" t="s">
        <v>47</v>
      </c>
      <c r="C952" s="12" t="s">
        <v>306</v>
      </c>
      <c r="D952" s="12" t="str">
        <f aca="false">INDEX('Country Tiers'!$C$2:$C$37,MATCH(C952,'Country Tiers'!$A$2:$A$37,0))</f>
        <v>Tier 3</v>
      </c>
      <c r="E952" s="12" t="n">
        <f aca="false">INDEX('Country Tiers'!$D$2:$D$37,MATCH(C952,'Country Tiers'!$A$2:$A$37,0))</f>
        <v>1</v>
      </c>
    </row>
    <row r="953" customFormat="false" ht="15" hidden="false" customHeight="false" outlineLevel="0" collapsed="false">
      <c r="A953" s="12" t="s">
        <v>75</v>
      </c>
      <c r="B953" s="12" t="s">
        <v>47</v>
      </c>
      <c r="C953" s="12" t="s">
        <v>307</v>
      </c>
      <c r="D953" s="12" t="str">
        <f aca="false">INDEX('Country Tiers'!$C$2:$C$37,MATCH(C953,'Country Tiers'!$A$2:$A$37,0))</f>
        <v>Tier 2</v>
      </c>
      <c r="E953" s="12" t="n">
        <f aca="false">INDEX('Country Tiers'!$D$2:$D$37,MATCH(C953,'Country Tiers'!$A$2:$A$37,0))</f>
        <v>2</v>
      </c>
    </row>
    <row r="954" customFormat="false" ht="15" hidden="false" customHeight="false" outlineLevel="0" collapsed="false">
      <c r="A954" s="12" t="s">
        <v>75</v>
      </c>
      <c r="B954" s="12" t="s">
        <v>47</v>
      </c>
      <c r="C954" s="12" t="s">
        <v>308</v>
      </c>
      <c r="D954" s="12" t="str">
        <f aca="false">INDEX('Country Tiers'!$C$2:$C$37,MATCH(C954,'Country Tiers'!$A$2:$A$37,0))</f>
        <v>Tier 3</v>
      </c>
      <c r="E954" s="12" t="n">
        <f aca="false">INDEX('Country Tiers'!$D$2:$D$37,MATCH(C954,'Country Tiers'!$A$2:$A$37,0))</f>
        <v>1</v>
      </c>
    </row>
    <row r="955" customFormat="false" ht="15" hidden="false" customHeight="false" outlineLevel="0" collapsed="false">
      <c r="A955" s="12" t="s">
        <v>75</v>
      </c>
      <c r="B955" s="12" t="s">
        <v>47</v>
      </c>
      <c r="C955" s="12" t="s">
        <v>313</v>
      </c>
      <c r="D955" s="12" t="str">
        <f aca="false">INDEX('Country Tiers'!$C$2:$C$37,MATCH(C955,'Country Tiers'!$A$2:$A$37,0))</f>
        <v>Tier 1</v>
      </c>
      <c r="E955" s="12" t="n">
        <f aca="false">INDEX('Country Tiers'!$D$2:$D$37,MATCH(C955,'Country Tiers'!$A$2:$A$37,0))</f>
        <v>3</v>
      </c>
    </row>
    <row r="956" customFormat="false" ht="15" hidden="false" customHeight="false" outlineLevel="0" collapsed="false">
      <c r="A956" s="12" t="s">
        <v>75</v>
      </c>
      <c r="B956" s="12" t="s">
        <v>44</v>
      </c>
      <c r="C956" s="12" t="s">
        <v>274</v>
      </c>
      <c r="D956" s="12" t="str">
        <f aca="false">INDEX('Country Tiers'!$C$2:$C$37,MATCH(C956,'Country Tiers'!$A$2:$A$37,0))</f>
        <v>Tier 3</v>
      </c>
      <c r="E956" s="12" t="n">
        <f aca="false">INDEX('Country Tiers'!$D$2:$D$37,MATCH(C956,'Country Tiers'!$A$2:$A$37,0))</f>
        <v>1</v>
      </c>
    </row>
    <row r="957" customFormat="false" ht="15" hidden="false" customHeight="false" outlineLevel="0" collapsed="false">
      <c r="A957" s="12" t="s">
        <v>75</v>
      </c>
      <c r="B957" s="12" t="s">
        <v>44</v>
      </c>
      <c r="C957" s="12" t="s">
        <v>277</v>
      </c>
      <c r="D957" s="12" t="str">
        <f aca="false">INDEX('Country Tiers'!$C$2:$C$37,MATCH(C957,'Country Tiers'!$A$2:$A$37,0))</f>
        <v>Tier 1</v>
      </c>
      <c r="E957" s="12" t="n">
        <f aca="false">INDEX('Country Tiers'!$D$2:$D$37,MATCH(C957,'Country Tiers'!$A$2:$A$37,0))</f>
        <v>3</v>
      </c>
    </row>
    <row r="958" customFormat="false" ht="15" hidden="false" customHeight="false" outlineLevel="0" collapsed="false">
      <c r="A958" s="12" t="s">
        <v>75</v>
      </c>
      <c r="B958" s="12" t="s">
        <v>44</v>
      </c>
      <c r="C958" s="12" t="s">
        <v>278</v>
      </c>
      <c r="D958" s="12" t="str">
        <f aca="false">INDEX('Country Tiers'!$C$2:$C$37,MATCH(C958,'Country Tiers'!$A$2:$A$37,0))</f>
        <v>Tier 3</v>
      </c>
      <c r="E958" s="12" t="n">
        <f aca="false">INDEX('Country Tiers'!$D$2:$D$37,MATCH(C958,'Country Tiers'!$A$2:$A$37,0))</f>
        <v>1</v>
      </c>
    </row>
    <row r="959" customFormat="false" ht="15" hidden="false" customHeight="false" outlineLevel="0" collapsed="false">
      <c r="A959" s="12" t="s">
        <v>75</v>
      </c>
      <c r="B959" s="12" t="s">
        <v>44</v>
      </c>
      <c r="C959" s="12" t="s">
        <v>280</v>
      </c>
      <c r="D959" s="12" t="str">
        <f aca="false">INDEX('Country Tiers'!$C$2:$C$37,MATCH(C959,'Country Tiers'!$A$2:$A$37,0))</f>
        <v>Tier 3</v>
      </c>
      <c r="E959" s="12" t="n">
        <f aca="false">INDEX('Country Tiers'!$D$2:$D$37,MATCH(C959,'Country Tiers'!$A$2:$A$37,0))</f>
        <v>1</v>
      </c>
    </row>
    <row r="960" customFormat="false" ht="15" hidden="false" customHeight="false" outlineLevel="0" collapsed="false">
      <c r="A960" s="12" t="s">
        <v>75</v>
      </c>
      <c r="B960" s="12" t="s">
        <v>44</v>
      </c>
      <c r="C960" s="12" t="s">
        <v>282</v>
      </c>
      <c r="D960" s="12" t="str">
        <f aca="false">INDEX('Country Tiers'!$C$2:$C$37,MATCH(C960,'Country Tiers'!$A$2:$A$37,0))</f>
        <v>Tier 3</v>
      </c>
      <c r="E960" s="12" t="n">
        <f aca="false">INDEX('Country Tiers'!$D$2:$D$37,MATCH(C960,'Country Tiers'!$A$2:$A$37,0))</f>
        <v>1</v>
      </c>
    </row>
    <row r="961" customFormat="false" ht="15" hidden="false" customHeight="false" outlineLevel="0" collapsed="false">
      <c r="A961" s="12" t="s">
        <v>75</v>
      </c>
      <c r="B961" s="12" t="s">
        <v>44</v>
      </c>
      <c r="C961" s="12" t="s">
        <v>283</v>
      </c>
      <c r="D961" s="12" t="str">
        <f aca="false">INDEX('Country Tiers'!$C$2:$C$37,MATCH(C961,'Country Tiers'!$A$2:$A$37,0))</f>
        <v>Tier 3</v>
      </c>
      <c r="E961" s="12" t="n">
        <f aca="false">INDEX('Country Tiers'!$D$2:$D$37,MATCH(C961,'Country Tiers'!$A$2:$A$37,0))</f>
        <v>1</v>
      </c>
    </row>
    <row r="962" customFormat="false" ht="15" hidden="false" customHeight="false" outlineLevel="0" collapsed="false">
      <c r="A962" s="12" t="s">
        <v>75</v>
      </c>
      <c r="B962" s="12" t="s">
        <v>44</v>
      </c>
      <c r="C962" s="12" t="s">
        <v>284</v>
      </c>
      <c r="D962" s="12" t="str">
        <f aca="false">INDEX('Country Tiers'!$C$2:$C$37,MATCH(C962,'Country Tiers'!$A$2:$A$37,0))</f>
        <v>Tier 3</v>
      </c>
      <c r="E962" s="12" t="n">
        <f aca="false">INDEX('Country Tiers'!$D$2:$D$37,MATCH(C962,'Country Tiers'!$A$2:$A$37,0))</f>
        <v>1</v>
      </c>
    </row>
    <row r="963" customFormat="false" ht="15" hidden="false" customHeight="false" outlineLevel="0" collapsed="false">
      <c r="A963" s="12" t="s">
        <v>75</v>
      </c>
      <c r="B963" s="12" t="s">
        <v>44</v>
      </c>
      <c r="C963" s="12" t="s">
        <v>285</v>
      </c>
      <c r="D963" s="12" t="str">
        <f aca="false">INDEX('Country Tiers'!$C$2:$C$37,MATCH(C963,'Country Tiers'!$A$2:$A$37,0))</f>
        <v>Tier 3</v>
      </c>
      <c r="E963" s="12" t="n">
        <f aca="false">INDEX('Country Tiers'!$D$2:$D$37,MATCH(C963,'Country Tiers'!$A$2:$A$37,0))</f>
        <v>1</v>
      </c>
    </row>
    <row r="964" customFormat="false" ht="15" hidden="false" customHeight="false" outlineLevel="0" collapsed="false">
      <c r="A964" s="12" t="s">
        <v>75</v>
      </c>
      <c r="B964" s="12" t="s">
        <v>44</v>
      </c>
      <c r="C964" s="12" t="s">
        <v>286</v>
      </c>
      <c r="D964" s="12" t="str">
        <f aca="false">INDEX('Country Tiers'!$C$2:$C$37,MATCH(C964,'Country Tiers'!$A$2:$A$37,0))</f>
        <v>Tier 1</v>
      </c>
      <c r="E964" s="12" t="n">
        <f aca="false">INDEX('Country Tiers'!$D$2:$D$37,MATCH(C964,'Country Tiers'!$A$2:$A$37,0))</f>
        <v>3</v>
      </c>
    </row>
    <row r="965" customFormat="false" ht="15" hidden="false" customHeight="false" outlineLevel="0" collapsed="false">
      <c r="A965" s="12" t="s">
        <v>75</v>
      </c>
      <c r="B965" s="12" t="s">
        <v>44</v>
      </c>
      <c r="C965" s="12" t="s">
        <v>287</v>
      </c>
      <c r="D965" s="12" t="str">
        <f aca="false">INDEX('Country Tiers'!$C$2:$C$37,MATCH(C965,'Country Tiers'!$A$2:$A$37,0))</f>
        <v>Tier 1</v>
      </c>
      <c r="E965" s="12" t="n">
        <f aca="false">INDEX('Country Tiers'!$D$2:$D$37,MATCH(C965,'Country Tiers'!$A$2:$A$37,0))</f>
        <v>3</v>
      </c>
    </row>
    <row r="966" customFormat="false" ht="15" hidden="false" customHeight="false" outlineLevel="0" collapsed="false">
      <c r="A966" s="12" t="s">
        <v>75</v>
      </c>
      <c r="B966" s="12" t="s">
        <v>44</v>
      </c>
      <c r="C966" s="12" t="s">
        <v>288</v>
      </c>
      <c r="D966" s="12" t="str">
        <f aca="false">INDEX('Country Tiers'!$C$2:$C$37,MATCH(C966,'Country Tiers'!$A$2:$A$37,0))</f>
        <v>Tier 3</v>
      </c>
      <c r="E966" s="12" t="n">
        <f aca="false">INDEX('Country Tiers'!$D$2:$D$37,MATCH(C966,'Country Tiers'!$A$2:$A$37,0))</f>
        <v>1</v>
      </c>
    </row>
    <row r="967" customFormat="false" ht="15" hidden="false" customHeight="false" outlineLevel="0" collapsed="false">
      <c r="A967" s="12" t="s">
        <v>75</v>
      </c>
      <c r="B967" s="12" t="s">
        <v>44</v>
      </c>
      <c r="C967" s="12" t="s">
        <v>289</v>
      </c>
      <c r="D967" s="12" t="str">
        <f aca="false">INDEX('Country Tiers'!$C$2:$C$37,MATCH(C967,'Country Tiers'!$A$2:$A$37,0))</f>
        <v>Tier 3</v>
      </c>
      <c r="E967" s="12" t="n">
        <f aca="false">INDEX('Country Tiers'!$D$2:$D$37,MATCH(C967,'Country Tiers'!$A$2:$A$37,0))</f>
        <v>1</v>
      </c>
    </row>
    <row r="968" customFormat="false" ht="15" hidden="false" customHeight="false" outlineLevel="0" collapsed="false">
      <c r="A968" s="12" t="s">
        <v>75</v>
      </c>
      <c r="B968" s="12" t="s">
        <v>44</v>
      </c>
      <c r="C968" s="12" t="s">
        <v>290</v>
      </c>
      <c r="D968" s="12" t="str">
        <f aca="false">INDEX('Country Tiers'!$C$2:$C$37,MATCH(C968,'Country Tiers'!$A$2:$A$37,0))</f>
        <v>Tier 3</v>
      </c>
      <c r="E968" s="12" t="n">
        <f aca="false">INDEX('Country Tiers'!$D$2:$D$37,MATCH(C968,'Country Tiers'!$A$2:$A$37,0))</f>
        <v>1</v>
      </c>
    </row>
    <row r="969" customFormat="false" ht="15" hidden="false" customHeight="false" outlineLevel="0" collapsed="false">
      <c r="A969" s="12" t="s">
        <v>75</v>
      </c>
      <c r="B969" s="12" t="s">
        <v>44</v>
      </c>
      <c r="C969" s="12" t="s">
        <v>291</v>
      </c>
      <c r="D969" s="12" t="str">
        <f aca="false">INDEX('Country Tiers'!$C$2:$C$37,MATCH(C969,'Country Tiers'!$A$2:$A$37,0))</f>
        <v>Tier 3</v>
      </c>
      <c r="E969" s="12" t="n">
        <f aca="false">INDEX('Country Tiers'!$D$2:$D$37,MATCH(C969,'Country Tiers'!$A$2:$A$37,0))</f>
        <v>1</v>
      </c>
    </row>
    <row r="970" customFormat="false" ht="15" hidden="false" customHeight="false" outlineLevel="0" collapsed="false">
      <c r="A970" s="12" t="s">
        <v>75</v>
      </c>
      <c r="B970" s="12" t="s">
        <v>44</v>
      </c>
      <c r="C970" s="12" t="s">
        <v>292</v>
      </c>
      <c r="D970" s="12" t="str">
        <f aca="false">INDEX('Country Tiers'!$C$2:$C$37,MATCH(C970,'Country Tiers'!$A$2:$A$37,0))</f>
        <v>Tier 2</v>
      </c>
      <c r="E970" s="12" t="n">
        <f aca="false">INDEX('Country Tiers'!$D$2:$D$37,MATCH(C970,'Country Tiers'!$A$2:$A$37,0))</f>
        <v>2</v>
      </c>
    </row>
    <row r="971" customFormat="false" ht="15" hidden="false" customHeight="false" outlineLevel="0" collapsed="false">
      <c r="A971" s="12" t="s">
        <v>75</v>
      </c>
      <c r="B971" s="12" t="s">
        <v>44</v>
      </c>
      <c r="C971" s="12" t="s">
        <v>293</v>
      </c>
      <c r="D971" s="12" t="str">
        <f aca="false">INDEX('Country Tiers'!$C$2:$C$37,MATCH(C971,'Country Tiers'!$A$2:$A$37,0))</f>
        <v>Tier 3</v>
      </c>
      <c r="E971" s="12" t="n">
        <f aca="false">INDEX('Country Tiers'!$D$2:$D$37,MATCH(C971,'Country Tiers'!$A$2:$A$37,0))</f>
        <v>1</v>
      </c>
    </row>
    <row r="972" customFormat="false" ht="15" hidden="false" customHeight="false" outlineLevel="0" collapsed="false">
      <c r="A972" s="12" t="s">
        <v>75</v>
      </c>
      <c r="B972" s="12" t="s">
        <v>44</v>
      </c>
      <c r="C972" s="12" t="s">
        <v>295</v>
      </c>
      <c r="D972" s="12" t="str">
        <f aca="false">INDEX('Country Tiers'!$C$2:$C$37,MATCH(C972,'Country Tiers'!$A$2:$A$37,0))</f>
        <v>Tier 3</v>
      </c>
      <c r="E972" s="12" t="n">
        <f aca="false">INDEX('Country Tiers'!$D$2:$D$37,MATCH(C972,'Country Tiers'!$A$2:$A$37,0))</f>
        <v>1</v>
      </c>
    </row>
    <row r="973" customFormat="false" ht="15" hidden="false" customHeight="false" outlineLevel="0" collapsed="false">
      <c r="A973" s="12" t="s">
        <v>75</v>
      </c>
      <c r="B973" s="12" t="s">
        <v>44</v>
      </c>
      <c r="C973" s="12" t="s">
        <v>296</v>
      </c>
      <c r="D973" s="12" t="str">
        <f aca="false">INDEX('Country Tiers'!$C$2:$C$37,MATCH(C973,'Country Tiers'!$A$2:$A$37,0))</f>
        <v>Tier 3</v>
      </c>
      <c r="E973" s="12" t="n">
        <f aca="false">INDEX('Country Tiers'!$D$2:$D$37,MATCH(C973,'Country Tiers'!$A$2:$A$37,0))</f>
        <v>1</v>
      </c>
    </row>
    <row r="974" customFormat="false" ht="15" hidden="false" customHeight="false" outlineLevel="0" collapsed="false">
      <c r="A974" s="12" t="s">
        <v>75</v>
      </c>
      <c r="B974" s="12" t="s">
        <v>44</v>
      </c>
      <c r="C974" s="12" t="s">
        <v>297</v>
      </c>
      <c r="D974" s="12" t="str">
        <f aca="false">INDEX('Country Tiers'!$C$2:$C$37,MATCH(C974,'Country Tiers'!$A$2:$A$37,0))</f>
        <v>Tier 2</v>
      </c>
      <c r="E974" s="12" t="n">
        <f aca="false">INDEX('Country Tiers'!$D$2:$D$37,MATCH(C974,'Country Tiers'!$A$2:$A$37,0))</f>
        <v>2</v>
      </c>
    </row>
    <row r="975" customFormat="false" ht="15" hidden="false" customHeight="false" outlineLevel="0" collapsed="false">
      <c r="A975" s="12" t="s">
        <v>75</v>
      </c>
      <c r="B975" s="12" t="s">
        <v>44</v>
      </c>
      <c r="C975" s="12" t="s">
        <v>298</v>
      </c>
      <c r="D975" s="12" t="str">
        <f aca="false">INDEX('Country Tiers'!$C$2:$C$37,MATCH(C975,'Country Tiers'!$A$2:$A$37,0))</f>
        <v>Tier 1</v>
      </c>
      <c r="E975" s="12" t="n">
        <f aca="false">INDEX('Country Tiers'!$D$2:$D$37,MATCH(C975,'Country Tiers'!$A$2:$A$37,0))</f>
        <v>3</v>
      </c>
    </row>
    <row r="976" customFormat="false" ht="15" hidden="false" customHeight="false" outlineLevel="0" collapsed="false">
      <c r="A976" s="12" t="s">
        <v>75</v>
      </c>
      <c r="B976" s="12" t="s">
        <v>44</v>
      </c>
      <c r="C976" s="12" t="s">
        <v>299</v>
      </c>
      <c r="D976" s="12" t="str">
        <f aca="false">INDEX('Country Tiers'!$C$2:$C$37,MATCH(C976,'Country Tiers'!$A$2:$A$37,0))</f>
        <v>Tier 3</v>
      </c>
      <c r="E976" s="12" t="n">
        <f aca="false">INDEX('Country Tiers'!$D$2:$D$37,MATCH(C976,'Country Tiers'!$A$2:$A$37,0))</f>
        <v>1</v>
      </c>
    </row>
    <row r="977" customFormat="false" ht="15" hidden="false" customHeight="false" outlineLevel="0" collapsed="false">
      <c r="A977" s="12" t="s">
        <v>75</v>
      </c>
      <c r="B977" s="12" t="s">
        <v>44</v>
      </c>
      <c r="C977" s="12" t="s">
        <v>300</v>
      </c>
      <c r="D977" s="12" t="str">
        <f aca="false">INDEX('Country Tiers'!$C$2:$C$37,MATCH(C977,'Country Tiers'!$A$2:$A$37,0))</f>
        <v>Tier 3</v>
      </c>
      <c r="E977" s="12" t="n">
        <f aca="false">INDEX('Country Tiers'!$D$2:$D$37,MATCH(C977,'Country Tiers'!$A$2:$A$37,0))</f>
        <v>1</v>
      </c>
    </row>
    <row r="978" customFormat="false" ht="15" hidden="false" customHeight="false" outlineLevel="0" collapsed="false">
      <c r="A978" s="12" t="s">
        <v>75</v>
      </c>
      <c r="B978" s="12" t="s">
        <v>44</v>
      </c>
      <c r="C978" s="12" t="s">
        <v>301</v>
      </c>
      <c r="D978" s="12" t="str">
        <f aca="false">INDEX('Country Tiers'!$C$2:$C$37,MATCH(C978,'Country Tiers'!$A$2:$A$37,0))</f>
        <v>Tier 3</v>
      </c>
      <c r="E978" s="12" t="n">
        <f aca="false">INDEX('Country Tiers'!$D$2:$D$37,MATCH(C978,'Country Tiers'!$A$2:$A$37,0))</f>
        <v>1</v>
      </c>
    </row>
    <row r="979" customFormat="false" ht="15" hidden="false" customHeight="false" outlineLevel="0" collapsed="false">
      <c r="A979" s="12" t="s">
        <v>75</v>
      </c>
      <c r="B979" s="12" t="s">
        <v>44</v>
      </c>
      <c r="C979" s="12" t="s">
        <v>302</v>
      </c>
      <c r="D979" s="12" t="str">
        <f aca="false">INDEX('Country Tiers'!$C$2:$C$37,MATCH(C979,'Country Tiers'!$A$2:$A$37,0))</f>
        <v>Tier 3</v>
      </c>
      <c r="E979" s="12" t="n">
        <f aca="false">INDEX('Country Tiers'!$D$2:$D$37,MATCH(C979,'Country Tiers'!$A$2:$A$37,0))</f>
        <v>1</v>
      </c>
    </row>
    <row r="980" customFormat="false" ht="15" hidden="false" customHeight="false" outlineLevel="0" collapsed="false">
      <c r="A980" s="12" t="s">
        <v>75</v>
      </c>
      <c r="B980" s="12" t="s">
        <v>44</v>
      </c>
      <c r="C980" s="12" t="s">
        <v>305</v>
      </c>
      <c r="D980" s="12" t="str">
        <f aca="false">INDEX('Country Tiers'!$C$2:$C$37,MATCH(C980,'Country Tiers'!$A$2:$A$37,0))</f>
        <v>Tier 3</v>
      </c>
      <c r="E980" s="12" t="n">
        <f aca="false">INDEX('Country Tiers'!$D$2:$D$37,MATCH(C980,'Country Tiers'!$A$2:$A$37,0))</f>
        <v>1</v>
      </c>
    </row>
    <row r="981" customFormat="false" ht="15" hidden="false" customHeight="false" outlineLevel="0" collapsed="false">
      <c r="A981" s="12" t="s">
        <v>75</v>
      </c>
      <c r="B981" s="12" t="s">
        <v>44</v>
      </c>
      <c r="C981" s="12" t="s">
        <v>307</v>
      </c>
      <c r="D981" s="12" t="str">
        <f aca="false">INDEX('Country Tiers'!$C$2:$C$37,MATCH(C981,'Country Tiers'!$A$2:$A$37,0))</f>
        <v>Tier 2</v>
      </c>
      <c r="E981" s="12" t="n">
        <f aca="false">INDEX('Country Tiers'!$D$2:$D$37,MATCH(C981,'Country Tiers'!$A$2:$A$37,0))</f>
        <v>2</v>
      </c>
    </row>
    <row r="982" customFormat="false" ht="15" hidden="false" customHeight="false" outlineLevel="0" collapsed="false">
      <c r="A982" s="12" t="s">
        <v>75</v>
      </c>
      <c r="B982" s="12" t="s">
        <v>44</v>
      </c>
      <c r="C982" s="12" t="s">
        <v>308</v>
      </c>
      <c r="D982" s="12" t="str">
        <f aca="false">INDEX('Country Tiers'!$C$2:$C$37,MATCH(C982,'Country Tiers'!$A$2:$A$37,0))</f>
        <v>Tier 3</v>
      </c>
      <c r="E982" s="12" t="n">
        <f aca="false">INDEX('Country Tiers'!$D$2:$D$37,MATCH(C982,'Country Tiers'!$A$2:$A$37,0))</f>
        <v>1</v>
      </c>
    </row>
    <row r="983" customFormat="false" ht="15" hidden="false" customHeight="false" outlineLevel="0" collapsed="false">
      <c r="A983" s="12" t="s">
        <v>75</v>
      </c>
      <c r="B983" s="12" t="s">
        <v>44</v>
      </c>
      <c r="C983" s="12" t="s">
        <v>313</v>
      </c>
      <c r="D983" s="12" t="str">
        <f aca="false">INDEX('Country Tiers'!$C$2:$C$37,MATCH(C983,'Country Tiers'!$A$2:$A$37,0))</f>
        <v>Tier 1</v>
      </c>
      <c r="E983" s="12" t="n">
        <f aca="false">INDEX('Country Tiers'!$D$2:$D$37,MATCH(C983,'Country Tiers'!$A$2:$A$37,0))</f>
        <v>3</v>
      </c>
    </row>
    <row r="984" customFormat="false" ht="15" hidden="false" customHeight="false" outlineLevel="0" collapsed="false">
      <c r="A984" s="12" t="s">
        <v>75</v>
      </c>
      <c r="B984" s="12" t="s">
        <v>61</v>
      </c>
      <c r="C984" s="12" t="s">
        <v>309</v>
      </c>
      <c r="D984" s="12" t="str">
        <f aca="false">INDEX('Country Tiers'!$C$2:$C$37,MATCH(C984,'Country Tiers'!$A$2:$A$37,0))</f>
        <v>Tier 1</v>
      </c>
      <c r="E984" s="12" t="n">
        <f aca="false">INDEX('Country Tiers'!$D$2:$D$37,MATCH(C984,'Country Tiers'!$A$2:$A$37,0))</f>
        <v>3</v>
      </c>
    </row>
    <row r="985" customFormat="false" ht="15" hidden="false" customHeight="false" outlineLevel="0" collapsed="false">
      <c r="A985" s="12" t="s">
        <v>75</v>
      </c>
      <c r="B985" s="12" t="s">
        <v>38</v>
      </c>
      <c r="C985" s="12" t="s">
        <v>309</v>
      </c>
      <c r="D985" s="12" t="str">
        <f aca="false">INDEX('Country Tiers'!$C$2:$C$37,MATCH(C985,'Country Tiers'!$A$2:$A$37,0))</f>
        <v>Tier 1</v>
      </c>
      <c r="E985" s="12" t="n">
        <f aca="false">INDEX('Country Tiers'!$D$2:$D$37,MATCH(C985,'Country Tiers'!$A$2:$A$37,0))</f>
        <v>3</v>
      </c>
    </row>
    <row r="986" customFormat="false" ht="15" hidden="false" customHeight="false" outlineLevel="0" collapsed="false">
      <c r="A986" s="12" t="s">
        <v>75</v>
      </c>
      <c r="B986" s="12" t="s">
        <v>38</v>
      </c>
      <c r="C986" s="12" t="s">
        <v>311</v>
      </c>
      <c r="D986" s="12" t="str">
        <f aca="false">INDEX('Country Tiers'!$C$2:$C$37,MATCH(C986,'Country Tiers'!$A$2:$A$37,0))</f>
        <v>Tier 1</v>
      </c>
      <c r="E986" s="12" t="n">
        <f aca="false">INDEX('Country Tiers'!$D$2:$D$37,MATCH(C986,'Country Tiers'!$A$2:$A$37,0))</f>
        <v>3</v>
      </c>
    </row>
    <row r="987" customFormat="false" ht="15" hidden="false" customHeight="false" outlineLevel="0" collapsed="false">
      <c r="A987" s="12" t="s">
        <v>75</v>
      </c>
      <c r="B987" s="12" t="s">
        <v>36</v>
      </c>
      <c r="C987" s="12" t="s">
        <v>274</v>
      </c>
      <c r="D987" s="12" t="str">
        <f aca="false">INDEX('Country Tiers'!$C$2:$C$37,MATCH(C987,'Country Tiers'!$A$2:$A$37,0))</f>
        <v>Tier 3</v>
      </c>
      <c r="E987" s="12" t="n">
        <f aca="false">INDEX('Country Tiers'!$D$2:$D$37,MATCH(C987,'Country Tiers'!$A$2:$A$37,0))</f>
        <v>1</v>
      </c>
    </row>
    <row r="988" customFormat="false" ht="15" hidden="false" customHeight="false" outlineLevel="0" collapsed="false">
      <c r="A988" s="12" t="s">
        <v>75</v>
      </c>
      <c r="B988" s="12" t="s">
        <v>36</v>
      </c>
      <c r="C988" s="12" t="s">
        <v>277</v>
      </c>
      <c r="D988" s="12" t="str">
        <f aca="false">INDEX('Country Tiers'!$C$2:$C$37,MATCH(C988,'Country Tiers'!$A$2:$A$37,0))</f>
        <v>Tier 1</v>
      </c>
      <c r="E988" s="12" t="n">
        <f aca="false">INDEX('Country Tiers'!$D$2:$D$37,MATCH(C988,'Country Tiers'!$A$2:$A$37,0))</f>
        <v>3</v>
      </c>
    </row>
    <row r="989" customFormat="false" ht="15" hidden="false" customHeight="false" outlineLevel="0" collapsed="false">
      <c r="A989" s="12" t="s">
        <v>75</v>
      </c>
      <c r="B989" s="12" t="s">
        <v>36</v>
      </c>
      <c r="C989" s="12" t="s">
        <v>278</v>
      </c>
      <c r="D989" s="12" t="str">
        <f aca="false">INDEX('Country Tiers'!$C$2:$C$37,MATCH(C989,'Country Tiers'!$A$2:$A$37,0))</f>
        <v>Tier 3</v>
      </c>
      <c r="E989" s="12" t="n">
        <f aca="false">INDEX('Country Tiers'!$D$2:$D$37,MATCH(C989,'Country Tiers'!$A$2:$A$37,0))</f>
        <v>1</v>
      </c>
    </row>
    <row r="990" customFormat="false" ht="15" hidden="false" customHeight="false" outlineLevel="0" collapsed="false">
      <c r="A990" s="12" t="s">
        <v>75</v>
      </c>
      <c r="B990" s="12" t="s">
        <v>36</v>
      </c>
      <c r="C990" s="12" t="s">
        <v>280</v>
      </c>
      <c r="D990" s="12" t="str">
        <f aca="false">INDEX('Country Tiers'!$C$2:$C$37,MATCH(C990,'Country Tiers'!$A$2:$A$37,0))</f>
        <v>Tier 3</v>
      </c>
      <c r="E990" s="12" t="n">
        <f aca="false">INDEX('Country Tiers'!$D$2:$D$37,MATCH(C990,'Country Tiers'!$A$2:$A$37,0))</f>
        <v>1</v>
      </c>
    </row>
    <row r="991" customFormat="false" ht="15" hidden="false" customHeight="false" outlineLevel="0" collapsed="false">
      <c r="A991" s="12" t="s">
        <v>75</v>
      </c>
      <c r="B991" s="12" t="s">
        <v>36</v>
      </c>
      <c r="C991" s="12" t="s">
        <v>281</v>
      </c>
      <c r="D991" s="12" t="str">
        <f aca="false">INDEX('Country Tiers'!$C$2:$C$37,MATCH(C991,'Country Tiers'!$A$2:$A$37,0))</f>
        <v>Tier 3</v>
      </c>
      <c r="E991" s="12" t="n">
        <f aca="false">INDEX('Country Tiers'!$D$2:$D$37,MATCH(C991,'Country Tiers'!$A$2:$A$37,0))</f>
        <v>1</v>
      </c>
    </row>
    <row r="992" customFormat="false" ht="15" hidden="false" customHeight="false" outlineLevel="0" collapsed="false">
      <c r="A992" s="12" t="s">
        <v>75</v>
      </c>
      <c r="B992" s="12" t="s">
        <v>36</v>
      </c>
      <c r="C992" s="12" t="s">
        <v>282</v>
      </c>
      <c r="D992" s="12" t="str">
        <f aca="false">INDEX('Country Tiers'!$C$2:$C$37,MATCH(C992,'Country Tiers'!$A$2:$A$37,0))</f>
        <v>Tier 3</v>
      </c>
      <c r="E992" s="12" t="n">
        <f aca="false">INDEX('Country Tiers'!$D$2:$D$37,MATCH(C992,'Country Tiers'!$A$2:$A$37,0))</f>
        <v>1</v>
      </c>
    </row>
    <row r="993" customFormat="false" ht="15" hidden="false" customHeight="false" outlineLevel="0" collapsed="false">
      <c r="A993" s="12" t="s">
        <v>75</v>
      </c>
      <c r="B993" s="12" t="s">
        <v>36</v>
      </c>
      <c r="C993" s="12" t="s">
        <v>283</v>
      </c>
      <c r="D993" s="12" t="str">
        <f aca="false">INDEX('Country Tiers'!$C$2:$C$37,MATCH(C993,'Country Tiers'!$A$2:$A$37,0))</f>
        <v>Tier 3</v>
      </c>
      <c r="E993" s="12" t="n">
        <f aca="false">INDEX('Country Tiers'!$D$2:$D$37,MATCH(C993,'Country Tiers'!$A$2:$A$37,0))</f>
        <v>1</v>
      </c>
    </row>
    <row r="994" customFormat="false" ht="15" hidden="false" customHeight="false" outlineLevel="0" collapsed="false">
      <c r="A994" s="12" t="s">
        <v>75</v>
      </c>
      <c r="B994" s="12" t="s">
        <v>36</v>
      </c>
      <c r="C994" s="12" t="s">
        <v>284</v>
      </c>
      <c r="D994" s="12" t="str">
        <f aca="false">INDEX('Country Tiers'!$C$2:$C$37,MATCH(C994,'Country Tiers'!$A$2:$A$37,0))</f>
        <v>Tier 3</v>
      </c>
      <c r="E994" s="12" t="n">
        <f aca="false">INDEX('Country Tiers'!$D$2:$D$37,MATCH(C994,'Country Tiers'!$A$2:$A$37,0))</f>
        <v>1</v>
      </c>
    </row>
    <row r="995" customFormat="false" ht="15" hidden="false" customHeight="false" outlineLevel="0" collapsed="false">
      <c r="A995" s="12" t="s">
        <v>75</v>
      </c>
      <c r="B995" s="12" t="s">
        <v>36</v>
      </c>
      <c r="C995" s="12" t="s">
        <v>285</v>
      </c>
      <c r="D995" s="12" t="str">
        <f aca="false">INDEX('Country Tiers'!$C$2:$C$37,MATCH(C995,'Country Tiers'!$A$2:$A$37,0))</f>
        <v>Tier 3</v>
      </c>
      <c r="E995" s="12" t="n">
        <f aca="false">INDEX('Country Tiers'!$D$2:$D$37,MATCH(C995,'Country Tiers'!$A$2:$A$37,0))</f>
        <v>1</v>
      </c>
    </row>
    <row r="996" customFormat="false" ht="15" hidden="false" customHeight="false" outlineLevel="0" collapsed="false">
      <c r="A996" s="12" t="s">
        <v>75</v>
      </c>
      <c r="B996" s="12" t="s">
        <v>36</v>
      </c>
      <c r="C996" s="12" t="s">
        <v>286</v>
      </c>
      <c r="D996" s="12" t="str">
        <f aca="false">INDEX('Country Tiers'!$C$2:$C$37,MATCH(C996,'Country Tiers'!$A$2:$A$37,0))</f>
        <v>Tier 1</v>
      </c>
      <c r="E996" s="12" t="n">
        <f aca="false">INDEX('Country Tiers'!$D$2:$D$37,MATCH(C996,'Country Tiers'!$A$2:$A$37,0))</f>
        <v>3</v>
      </c>
    </row>
    <row r="997" customFormat="false" ht="15" hidden="false" customHeight="false" outlineLevel="0" collapsed="false">
      <c r="A997" s="12" t="s">
        <v>75</v>
      </c>
      <c r="B997" s="12" t="s">
        <v>36</v>
      </c>
      <c r="C997" s="12" t="s">
        <v>287</v>
      </c>
      <c r="D997" s="12" t="str">
        <f aca="false">INDEX('Country Tiers'!$C$2:$C$37,MATCH(C997,'Country Tiers'!$A$2:$A$37,0))</f>
        <v>Tier 1</v>
      </c>
      <c r="E997" s="12" t="n">
        <f aca="false">INDEX('Country Tiers'!$D$2:$D$37,MATCH(C997,'Country Tiers'!$A$2:$A$37,0))</f>
        <v>3</v>
      </c>
    </row>
    <row r="998" customFormat="false" ht="15" hidden="false" customHeight="false" outlineLevel="0" collapsed="false">
      <c r="A998" s="12" t="s">
        <v>75</v>
      </c>
      <c r="B998" s="12" t="s">
        <v>36</v>
      </c>
      <c r="C998" s="12" t="s">
        <v>288</v>
      </c>
      <c r="D998" s="12" t="str">
        <f aca="false">INDEX('Country Tiers'!$C$2:$C$37,MATCH(C998,'Country Tiers'!$A$2:$A$37,0))</f>
        <v>Tier 3</v>
      </c>
      <c r="E998" s="12" t="n">
        <f aca="false">INDEX('Country Tiers'!$D$2:$D$37,MATCH(C998,'Country Tiers'!$A$2:$A$37,0))</f>
        <v>1</v>
      </c>
    </row>
    <row r="999" customFormat="false" ht="15" hidden="false" customHeight="false" outlineLevel="0" collapsed="false">
      <c r="A999" s="12" t="s">
        <v>75</v>
      </c>
      <c r="B999" s="12" t="s">
        <v>36</v>
      </c>
      <c r="C999" s="12" t="s">
        <v>289</v>
      </c>
      <c r="D999" s="12" t="str">
        <f aca="false">INDEX('Country Tiers'!$C$2:$C$37,MATCH(C999,'Country Tiers'!$A$2:$A$37,0))</f>
        <v>Tier 3</v>
      </c>
      <c r="E999" s="12" t="n">
        <f aca="false">INDEX('Country Tiers'!$D$2:$D$37,MATCH(C999,'Country Tiers'!$A$2:$A$37,0))</f>
        <v>1</v>
      </c>
    </row>
    <row r="1000" customFormat="false" ht="15" hidden="false" customHeight="false" outlineLevel="0" collapsed="false">
      <c r="A1000" s="12" t="s">
        <v>75</v>
      </c>
      <c r="B1000" s="12" t="s">
        <v>36</v>
      </c>
      <c r="C1000" s="12" t="s">
        <v>290</v>
      </c>
      <c r="D1000" s="12" t="str">
        <f aca="false">INDEX('Country Tiers'!$C$2:$C$37,MATCH(C1000,'Country Tiers'!$A$2:$A$37,0))</f>
        <v>Tier 3</v>
      </c>
      <c r="E1000" s="12" t="n">
        <f aca="false">INDEX('Country Tiers'!$D$2:$D$37,MATCH(C1000,'Country Tiers'!$A$2:$A$37,0))</f>
        <v>1</v>
      </c>
    </row>
    <row r="1001" customFormat="false" ht="15" hidden="false" customHeight="false" outlineLevel="0" collapsed="false">
      <c r="A1001" s="12" t="s">
        <v>75</v>
      </c>
      <c r="B1001" s="12" t="s">
        <v>36</v>
      </c>
      <c r="C1001" s="12" t="s">
        <v>291</v>
      </c>
      <c r="D1001" s="12" t="str">
        <f aca="false">INDEX('Country Tiers'!$C$2:$C$37,MATCH(C1001,'Country Tiers'!$A$2:$A$37,0))</f>
        <v>Tier 3</v>
      </c>
      <c r="E1001" s="12" t="n">
        <f aca="false">INDEX('Country Tiers'!$D$2:$D$37,MATCH(C1001,'Country Tiers'!$A$2:$A$37,0))</f>
        <v>1</v>
      </c>
    </row>
    <row r="1002" customFormat="false" ht="15" hidden="false" customHeight="false" outlineLevel="0" collapsed="false">
      <c r="A1002" s="12" t="s">
        <v>75</v>
      </c>
      <c r="B1002" s="12" t="s">
        <v>36</v>
      </c>
      <c r="C1002" s="12" t="s">
        <v>292</v>
      </c>
      <c r="D1002" s="12" t="str">
        <f aca="false">INDEX('Country Tiers'!$C$2:$C$37,MATCH(C1002,'Country Tiers'!$A$2:$A$37,0))</f>
        <v>Tier 2</v>
      </c>
      <c r="E1002" s="12" t="n">
        <f aca="false">INDEX('Country Tiers'!$D$2:$D$37,MATCH(C1002,'Country Tiers'!$A$2:$A$37,0))</f>
        <v>2</v>
      </c>
    </row>
    <row r="1003" customFormat="false" ht="15" hidden="false" customHeight="false" outlineLevel="0" collapsed="false">
      <c r="A1003" s="12" t="s">
        <v>75</v>
      </c>
      <c r="B1003" s="12" t="s">
        <v>36</v>
      </c>
      <c r="C1003" s="12" t="s">
        <v>293</v>
      </c>
      <c r="D1003" s="12" t="str">
        <f aca="false">INDEX('Country Tiers'!$C$2:$C$37,MATCH(C1003,'Country Tiers'!$A$2:$A$37,0))</f>
        <v>Tier 3</v>
      </c>
      <c r="E1003" s="12" t="n">
        <f aca="false">INDEX('Country Tiers'!$D$2:$D$37,MATCH(C1003,'Country Tiers'!$A$2:$A$37,0))</f>
        <v>1</v>
      </c>
    </row>
    <row r="1004" customFormat="false" ht="15" hidden="false" customHeight="false" outlineLevel="0" collapsed="false">
      <c r="A1004" s="12" t="s">
        <v>75</v>
      </c>
      <c r="B1004" s="12" t="s">
        <v>36</v>
      </c>
      <c r="C1004" s="12" t="s">
        <v>295</v>
      </c>
      <c r="D1004" s="12" t="str">
        <f aca="false">INDEX('Country Tiers'!$C$2:$C$37,MATCH(C1004,'Country Tiers'!$A$2:$A$37,0))</f>
        <v>Tier 3</v>
      </c>
      <c r="E1004" s="12" t="n">
        <f aca="false">INDEX('Country Tiers'!$D$2:$D$37,MATCH(C1004,'Country Tiers'!$A$2:$A$37,0))</f>
        <v>1</v>
      </c>
    </row>
    <row r="1005" customFormat="false" ht="15" hidden="false" customHeight="false" outlineLevel="0" collapsed="false">
      <c r="A1005" s="12" t="s">
        <v>75</v>
      </c>
      <c r="B1005" s="12" t="s">
        <v>36</v>
      </c>
      <c r="C1005" s="12" t="s">
        <v>296</v>
      </c>
      <c r="D1005" s="12" t="str">
        <f aca="false">INDEX('Country Tiers'!$C$2:$C$37,MATCH(C1005,'Country Tiers'!$A$2:$A$37,0))</f>
        <v>Tier 3</v>
      </c>
      <c r="E1005" s="12" t="n">
        <f aca="false">INDEX('Country Tiers'!$D$2:$D$37,MATCH(C1005,'Country Tiers'!$A$2:$A$37,0))</f>
        <v>1</v>
      </c>
    </row>
    <row r="1006" customFormat="false" ht="15" hidden="false" customHeight="false" outlineLevel="0" collapsed="false">
      <c r="A1006" s="12" t="s">
        <v>75</v>
      </c>
      <c r="B1006" s="12" t="s">
        <v>36</v>
      </c>
      <c r="C1006" s="12" t="s">
        <v>297</v>
      </c>
      <c r="D1006" s="12" t="str">
        <f aca="false">INDEX('Country Tiers'!$C$2:$C$37,MATCH(C1006,'Country Tiers'!$A$2:$A$37,0))</f>
        <v>Tier 2</v>
      </c>
      <c r="E1006" s="12" t="n">
        <f aca="false">INDEX('Country Tiers'!$D$2:$D$37,MATCH(C1006,'Country Tiers'!$A$2:$A$37,0))</f>
        <v>2</v>
      </c>
    </row>
    <row r="1007" customFormat="false" ht="15" hidden="false" customHeight="false" outlineLevel="0" collapsed="false">
      <c r="A1007" s="12" t="s">
        <v>75</v>
      </c>
      <c r="B1007" s="12" t="s">
        <v>36</v>
      </c>
      <c r="C1007" s="12" t="s">
        <v>298</v>
      </c>
      <c r="D1007" s="12" t="str">
        <f aca="false">INDEX('Country Tiers'!$C$2:$C$37,MATCH(C1007,'Country Tiers'!$A$2:$A$37,0))</f>
        <v>Tier 1</v>
      </c>
      <c r="E1007" s="12" t="n">
        <f aca="false">INDEX('Country Tiers'!$D$2:$D$37,MATCH(C1007,'Country Tiers'!$A$2:$A$37,0))</f>
        <v>3</v>
      </c>
    </row>
    <row r="1008" customFormat="false" ht="15" hidden="false" customHeight="false" outlineLevel="0" collapsed="false">
      <c r="A1008" s="12" t="s">
        <v>75</v>
      </c>
      <c r="B1008" s="12" t="s">
        <v>36</v>
      </c>
      <c r="C1008" s="12" t="s">
        <v>299</v>
      </c>
      <c r="D1008" s="12" t="str">
        <f aca="false">INDEX('Country Tiers'!$C$2:$C$37,MATCH(C1008,'Country Tiers'!$A$2:$A$37,0))</f>
        <v>Tier 3</v>
      </c>
      <c r="E1008" s="12" t="n">
        <f aca="false">INDEX('Country Tiers'!$D$2:$D$37,MATCH(C1008,'Country Tiers'!$A$2:$A$37,0))</f>
        <v>1</v>
      </c>
    </row>
    <row r="1009" customFormat="false" ht="15" hidden="false" customHeight="false" outlineLevel="0" collapsed="false">
      <c r="A1009" s="12" t="s">
        <v>75</v>
      </c>
      <c r="B1009" s="12" t="s">
        <v>36</v>
      </c>
      <c r="C1009" s="12" t="s">
        <v>300</v>
      </c>
      <c r="D1009" s="12" t="str">
        <f aca="false">INDEX('Country Tiers'!$C$2:$C$37,MATCH(C1009,'Country Tiers'!$A$2:$A$37,0))</f>
        <v>Tier 3</v>
      </c>
      <c r="E1009" s="12" t="n">
        <f aca="false">INDEX('Country Tiers'!$D$2:$D$37,MATCH(C1009,'Country Tiers'!$A$2:$A$37,0))</f>
        <v>1</v>
      </c>
    </row>
    <row r="1010" customFormat="false" ht="15" hidden="false" customHeight="false" outlineLevel="0" collapsed="false">
      <c r="A1010" s="12" t="s">
        <v>75</v>
      </c>
      <c r="B1010" s="12" t="s">
        <v>36</v>
      </c>
      <c r="C1010" s="12" t="s">
        <v>301</v>
      </c>
      <c r="D1010" s="12" t="str">
        <f aca="false">INDEX('Country Tiers'!$C$2:$C$37,MATCH(C1010,'Country Tiers'!$A$2:$A$37,0))</f>
        <v>Tier 3</v>
      </c>
      <c r="E1010" s="12" t="n">
        <f aca="false">INDEX('Country Tiers'!$D$2:$D$37,MATCH(C1010,'Country Tiers'!$A$2:$A$37,0))</f>
        <v>1</v>
      </c>
    </row>
    <row r="1011" customFormat="false" ht="15" hidden="false" customHeight="false" outlineLevel="0" collapsed="false">
      <c r="A1011" s="12" t="s">
        <v>75</v>
      </c>
      <c r="B1011" s="12" t="s">
        <v>36</v>
      </c>
      <c r="C1011" s="12" t="s">
        <v>302</v>
      </c>
      <c r="D1011" s="12" t="str">
        <f aca="false">INDEX('Country Tiers'!$C$2:$C$37,MATCH(C1011,'Country Tiers'!$A$2:$A$37,0))</f>
        <v>Tier 3</v>
      </c>
      <c r="E1011" s="12" t="n">
        <f aca="false">INDEX('Country Tiers'!$D$2:$D$37,MATCH(C1011,'Country Tiers'!$A$2:$A$37,0))</f>
        <v>1</v>
      </c>
    </row>
    <row r="1012" customFormat="false" ht="15" hidden="false" customHeight="false" outlineLevel="0" collapsed="false">
      <c r="A1012" s="12" t="s">
        <v>75</v>
      </c>
      <c r="B1012" s="12" t="s">
        <v>36</v>
      </c>
      <c r="C1012" s="12" t="s">
        <v>305</v>
      </c>
      <c r="D1012" s="12" t="str">
        <f aca="false">INDEX('Country Tiers'!$C$2:$C$37,MATCH(C1012,'Country Tiers'!$A$2:$A$37,0))</f>
        <v>Tier 3</v>
      </c>
      <c r="E1012" s="12" t="n">
        <f aca="false">INDEX('Country Tiers'!$D$2:$D$37,MATCH(C1012,'Country Tiers'!$A$2:$A$37,0))</f>
        <v>1</v>
      </c>
    </row>
    <row r="1013" customFormat="false" ht="15" hidden="false" customHeight="false" outlineLevel="0" collapsed="false">
      <c r="A1013" s="12" t="s">
        <v>75</v>
      </c>
      <c r="B1013" s="12" t="s">
        <v>36</v>
      </c>
      <c r="C1013" s="12" t="s">
        <v>306</v>
      </c>
      <c r="D1013" s="12" t="str">
        <f aca="false">INDEX('Country Tiers'!$C$2:$C$37,MATCH(C1013,'Country Tiers'!$A$2:$A$37,0))</f>
        <v>Tier 3</v>
      </c>
      <c r="E1013" s="12" t="n">
        <f aca="false">INDEX('Country Tiers'!$D$2:$D$37,MATCH(C1013,'Country Tiers'!$A$2:$A$37,0))</f>
        <v>1</v>
      </c>
    </row>
    <row r="1014" customFormat="false" ht="15" hidden="false" customHeight="false" outlineLevel="0" collapsed="false">
      <c r="A1014" s="12" t="s">
        <v>75</v>
      </c>
      <c r="B1014" s="12" t="s">
        <v>36</v>
      </c>
      <c r="C1014" s="12" t="s">
        <v>307</v>
      </c>
      <c r="D1014" s="12" t="str">
        <f aca="false">INDEX('Country Tiers'!$C$2:$C$37,MATCH(C1014,'Country Tiers'!$A$2:$A$37,0))</f>
        <v>Tier 2</v>
      </c>
      <c r="E1014" s="12" t="n">
        <f aca="false">INDEX('Country Tiers'!$D$2:$D$37,MATCH(C1014,'Country Tiers'!$A$2:$A$37,0))</f>
        <v>2</v>
      </c>
    </row>
    <row r="1015" customFormat="false" ht="15" hidden="false" customHeight="false" outlineLevel="0" collapsed="false">
      <c r="A1015" s="12" t="s">
        <v>75</v>
      </c>
      <c r="B1015" s="12" t="s">
        <v>36</v>
      </c>
      <c r="C1015" s="12" t="s">
        <v>308</v>
      </c>
      <c r="D1015" s="12" t="str">
        <f aca="false">INDEX('Country Tiers'!$C$2:$C$37,MATCH(C1015,'Country Tiers'!$A$2:$A$37,0))</f>
        <v>Tier 3</v>
      </c>
      <c r="E1015" s="12" t="n">
        <f aca="false">INDEX('Country Tiers'!$D$2:$D$37,MATCH(C1015,'Country Tiers'!$A$2:$A$37,0))</f>
        <v>1</v>
      </c>
    </row>
    <row r="1016" customFormat="false" ht="15" hidden="false" customHeight="false" outlineLevel="0" collapsed="false">
      <c r="A1016" s="12" t="s">
        <v>75</v>
      </c>
      <c r="B1016" s="12" t="s">
        <v>36</v>
      </c>
      <c r="C1016" s="12" t="s">
        <v>313</v>
      </c>
      <c r="D1016" s="12" t="str">
        <f aca="false">INDEX('Country Tiers'!$C$2:$C$37,MATCH(C1016,'Country Tiers'!$A$2:$A$37,0))</f>
        <v>Tier 1</v>
      </c>
      <c r="E1016" s="12" t="n">
        <f aca="false">INDEX('Country Tiers'!$D$2:$D$37,MATCH(C1016,'Country Tiers'!$A$2:$A$37,0))</f>
        <v>3</v>
      </c>
    </row>
    <row r="1017" customFormat="false" ht="15" hidden="false" customHeight="false" outlineLevel="0" collapsed="false">
      <c r="A1017" s="12" t="s">
        <v>76</v>
      </c>
      <c r="B1017" s="12" t="s">
        <v>50</v>
      </c>
      <c r="C1017" s="12" t="s">
        <v>311</v>
      </c>
      <c r="D1017" s="12" t="str">
        <f aca="false">INDEX('Country Tiers'!$C$2:$C$37,MATCH(C1017,'Country Tiers'!$A$2:$A$37,0))</f>
        <v>Tier 1</v>
      </c>
      <c r="E1017" s="12" t="n">
        <f aca="false">INDEX('Country Tiers'!$D$2:$D$37,MATCH(C1017,'Country Tiers'!$A$2:$A$37,0))</f>
        <v>3</v>
      </c>
    </row>
    <row r="1018" customFormat="false" ht="15" hidden="false" customHeight="false" outlineLevel="0" collapsed="false">
      <c r="A1018" s="12" t="s">
        <v>77</v>
      </c>
      <c r="B1018" s="12" t="s">
        <v>38</v>
      </c>
      <c r="C1018" s="12" t="s">
        <v>309</v>
      </c>
      <c r="D1018" s="12" t="str">
        <f aca="false">INDEX('Country Tiers'!$C$2:$C$37,MATCH(C1018,'Country Tiers'!$A$2:$A$37,0))</f>
        <v>Tier 1</v>
      </c>
      <c r="E1018" s="12" t="n">
        <f aca="false">INDEX('Country Tiers'!$D$2:$D$37,MATCH(C1018,'Country Tiers'!$A$2:$A$37,0))</f>
        <v>3</v>
      </c>
    </row>
    <row r="1019" customFormat="false" ht="15" hidden="false" customHeight="false" outlineLevel="0" collapsed="false">
      <c r="A1019" s="12" t="s">
        <v>78</v>
      </c>
      <c r="B1019" s="12" t="s">
        <v>47</v>
      </c>
      <c r="C1019" s="12" t="s">
        <v>311</v>
      </c>
      <c r="D1019" s="12" t="str">
        <f aca="false">INDEX('Country Tiers'!$C$2:$C$37,MATCH(C1019,'Country Tiers'!$A$2:$A$37,0))</f>
        <v>Tier 1</v>
      </c>
      <c r="E1019" s="12" t="n">
        <f aca="false">INDEX('Country Tiers'!$D$2:$D$37,MATCH(C1019,'Country Tiers'!$A$2:$A$37,0))</f>
        <v>3</v>
      </c>
    </row>
    <row r="1020" customFormat="false" ht="15" hidden="false" customHeight="false" outlineLevel="0" collapsed="false">
      <c r="A1020" s="12" t="s">
        <v>78</v>
      </c>
      <c r="B1020" s="12" t="s">
        <v>57</v>
      </c>
      <c r="C1020" s="12" t="s">
        <v>311</v>
      </c>
      <c r="D1020" s="12" t="str">
        <f aca="false">INDEX('Country Tiers'!$C$2:$C$37,MATCH(C1020,'Country Tiers'!$A$2:$A$37,0))</f>
        <v>Tier 1</v>
      </c>
      <c r="E1020" s="12" t="n">
        <f aca="false">INDEX('Country Tiers'!$D$2:$D$37,MATCH(C1020,'Country Tiers'!$A$2:$A$37,0))</f>
        <v>3</v>
      </c>
    </row>
    <row r="1021" customFormat="false" ht="15" hidden="false" customHeight="false" outlineLevel="0" collapsed="false">
      <c r="A1021" s="12" t="s">
        <v>78</v>
      </c>
      <c r="B1021" s="12" t="s">
        <v>63</v>
      </c>
      <c r="C1021" s="12" t="s">
        <v>311</v>
      </c>
      <c r="D1021" s="12" t="str">
        <f aca="false">INDEX('Country Tiers'!$C$2:$C$37,MATCH(C1021,'Country Tiers'!$A$2:$A$37,0))</f>
        <v>Tier 1</v>
      </c>
      <c r="E1021" s="12" t="n">
        <f aca="false">INDEX('Country Tiers'!$D$2:$D$37,MATCH(C1021,'Country Tiers'!$A$2:$A$37,0))</f>
        <v>3</v>
      </c>
    </row>
    <row r="1022" customFormat="false" ht="15" hidden="false" customHeight="false" outlineLevel="0" collapsed="false">
      <c r="A1022" s="12" t="s">
        <v>78</v>
      </c>
      <c r="B1022" s="12" t="s">
        <v>36</v>
      </c>
      <c r="C1022" s="12" t="s">
        <v>311</v>
      </c>
      <c r="D1022" s="12" t="str">
        <f aca="false">INDEX('Country Tiers'!$C$2:$C$37,MATCH(C1022,'Country Tiers'!$A$2:$A$37,0))</f>
        <v>Tier 1</v>
      </c>
      <c r="E1022" s="12" t="n">
        <f aca="false">INDEX('Country Tiers'!$D$2:$D$37,MATCH(C1022,'Country Tiers'!$A$2:$A$37,0))</f>
        <v>3</v>
      </c>
    </row>
    <row r="1023" customFormat="false" ht="15" hidden="false" customHeight="false" outlineLevel="0" collapsed="false">
      <c r="A1023" s="12" t="s">
        <v>79</v>
      </c>
      <c r="B1023" s="12" t="s">
        <v>44</v>
      </c>
      <c r="C1023" s="12" t="s">
        <v>272</v>
      </c>
      <c r="D1023" s="12" t="str">
        <f aca="false">INDEX('Country Tiers'!$C$2:$C$37,MATCH(C1023,'Country Tiers'!$A$2:$A$37,0))</f>
        <v>Tier 2</v>
      </c>
      <c r="E1023" s="12" t="n">
        <f aca="false">INDEX('Country Tiers'!$D$2:$D$37,MATCH(C1023,'Country Tiers'!$A$2:$A$37,0))</f>
        <v>2</v>
      </c>
    </row>
    <row r="1024" customFormat="false" ht="15" hidden="false" customHeight="false" outlineLevel="0" collapsed="false">
      <c r="A1024" s="12" t="s">
        <v>79</v>
      </c>
      <c r="B1024" s="12" t="s">
        <v>44</v>
      </c>
      <c r="C1024" s="12" t="s">
        <v>309</v>
      </c>
      <c r="D1024" s="12" t="str">
        <f aca="false">INDEX('Country Tiers'!$C$2:$C$37,MATCH(C1024,'Country Tiers'!$A$2:$A$37,0))</f>
        <v>Tier 1</v>
      </c>
      <c r="E1024" s="12" t="n">
        <f aca="false">INDEX('Country Tiers'!$D$2:$D$37,MATCH(C1024,'Country Tiers'!$A$2:$A$37,0))</f>
        <v>3</v>
      </c>
    </row>
    <row r="1025" customFormat="false" ht="15" hidden="false" customHeight="false" outlineLevel="0" collapsed="false">
      <c r="A1025" s="12" t="s">
        <v>79</v>
      </c>
      <c r="B1025" s="12" t="s">
        <v>40</v>
      </c>
      <c r="C1025" s="12" t="s">
        <v>272</v>
      </c>
      <c r="D1025" s="12" t="str">
        <f aca="false">INDEX('Country Tiers'!$C$2:$C$37,MATCH(C1025,'Country Tiers'!$A$2:$A$37,0))</f>
        <v>Tier 2</v>
      </c>
      <c r="E1025" s="12" t="n">
        <f aca="false">INDEX('Country Tiers'!$D$2:$D$37,MATCH(C1025,'Country Tiers'!$A$2:$A$37,0))</f>
        <v>2</v>
      </c>
    </row>
    <row r="1026" customFormat="false" ht="15" hidden="false" customHeight="false" outlineLevel="0" collapsed="false">
      <c r="A1026" s="12" t="s">
        <v>79</v>
      </c>
      <c r="B1026" s="12" t="s">
        <v>41</v>
      </c>
      <c r="C1026" s="12" t="s">
        <v>311</v>
      </c>
      <c r="D1026" s="12" t="str">
        <f aca="false">INDEX('Country Tiers'!$C$2:$C$37,MATCH(C1026,'Country Tiers'!$A$2:$A$37,0))</f>
        <v>Tier 1</v>
      </c>
      <c r="E1026" s="12" t="n">
        <f aca="false">INDEX('Country Tiers'!$D$2:$D$37,MATCH(C1026,'Country Tiers'!$A$2:$A$37,0))</f>
        <v>3</v>
      </c>
    </row>
    <row r="1027" customFormat="false" ht="15" hidden="false" customHeight="false" outlineLevel="0" collapsed="false">
      <c r="A1027" s="12" t="s">
        <v>79</v>
      </c>
      <c r="B1027" s="12" t="s">
        <v>36</v>
      </c>
      <c r="C1027" s="12" t="s">
        <v>311</v>
      </c>
      <c r="D1027" s="12" t="str">
        <f aca="false">INDEX('Country Tiers'!$C$2:$C$37,MATCH(C1027,'Country Tiers'!$A$2:$A$37,0))</f>
        <v>Tier 1</v>
      </c>
      <c r="E1027" s="12" t="n">
        <f aca="false">INDEX('Country Tiers'!$D$2:$D$37,MATCH(C1027,'Country Tiers'!$A$2:$A$37,0))</f>
        <v>3</v>
      </c>
    </row>
    <row r="1028" customFormat="false" ht="15" hidden="false" customHeight="false" outlineLevel="0" collapsed="false">
      <c r="A1028" s="12" t="s">
        <v>80</v>
      </c>
      <c r="B1028" s="12" t="s">
        <v>35</v>
      </c>
      <c r="C1028" s="12" t="s">
        <v>279</v>
      </c>
      <c r="D1028" s="12" t="str">
        <f aca="false">INDEX('Country Tiers'!$C$2:$C$37,MATCH(C1028,'Country Tiers'!$A$2:$A$37,0))</f>
        <v>Tier 1</v>
      </c>
      <c r="E1028" s="12" t="n">
        <f aca="false">INDEX('Country Tiers'!$D$2:$D$37,MATCH(C1028,'Country Tiers'!$A$2:$A$37,0))</f>
        <v>3</v>
      </c>
    </row>
    <row r="1029" customFormat="false" ht="15" hidden="false" customHeight="false" outlineLevel="0" collapsed="false">
      <c r="A1029" s="12" t="s">
        <v>80</v>
      </c>
      <c r="B1029" s="12" t="s">
        <v>44</v>
      </c>
      <c r="C1029" s="12" t="s">
        <v>274</v>
      </c>
      <c r="D1029" s="12" t="str">
        <f aca="false">INDEX('Country Tiers'!$C$2:$C$37,MATCH(C1029,'Country Tiers'!$A$2:$A$37,0))</f>
        <v>Tier 3</v>
      </c>
      <c r="E1029" s="12" t="n">
        <f aca="false">INDEX('Country Tiers'!$D$2:$D$37,MATCH(C1029,'Country Tiers'!$A$2:$A$37,0))</f>
        <v>1</v>
      </c>
    </row>
    <row r="1030" customFormat="false" ht="15" hidden="false" customHeight="false" outlineLevel="0" collapsed="false">
      <c r="A1030" s="12" t="s">
        <v>80</v>
      </c>
      <c r="B1030" s="12" t="s">
        <v>44</v>
      </c>
      <c r="C1030" s="12" t="s">
        <v>277</v>
      </c>
      <c r="D1030" s="12" t="str">
        <f aca="false">INDEX('Country Tiers'!$C$2:$C$37,MATCH(C1030,'Country Tiers'!$A$2:$A$37,0))</f>
        <v>Tier 1</v>
      </c>
      <c r="E1030" s="12" t="n">
        <f aca="false">INDEX('Country Tiers'!$D$2:$D$37,MATCH(C1030,'Country Tiers'!$A$2:$A$37,0))</f>
        <v>3</v>
      </c>
    </row>
    <row r="1031" customFormat="false" ht="15" hidden="false" customHeight="false" outlineLevel="0" collapsed="false">
      <c r="A1031" s="12" t="s">
        <v>80</v>
      </c>
      <c r="B1031" s="12" t="s">
        <v>44</v>
      </c>
      <c r="C1031" s="12" t="s">
        <v>278</v>
      </c>
      <c r="D1031" s="12" t="str">
        <f aca="false">INDEX('Country Tiers'!$C$2:$C$37,MATCH(C1031,'Country Tiers'!$A$2:$A$37,0))</f>
        <v>Tier 3</v>
      </c>
      <c r="E1031" s="12" t="n">
        <f aca="false">INDEX('Country Tiers'!$D$2:$D$37,MATCH(C1031,'Country Tiers'!$A$2:$A$37,0))</f>
        <v>1</v>
      </c>
    </row>
    <row r="1032" customFormat="false" ht="15" hidden="false" customHeight="false" outlineLevel="0" collapsed="false">
      <c r="A1032" s="12" t="s">
        <v>80</v>
      </c>
      <c r="B1032" s="12" t="s">
        <v>44</v>
      </c>
      <c r="C1032" s="12" t="s">
        <v>280</v>
      </c>
      <c r="D1032" s="12" t="str">
        <f aca="false">INDEX('Country Tiers'!$C$2:$C$37,MATCH(C1032,'Country Tiers'!$A$2:$A$37,0))</f>
        <v>Tier 3</v>
      </c>
      <c r="E1032" s="12" t="n">
        <f aca="false">INDEX('Country Tiers'!$D$2:$D$37,MATCH(C1032,'Country Tiers'!$A$2:$A$37,0))</f>
        <v>1</v>
      </c>
    </row>
    <row r="1033" customFormat="false" ht="15" hidden="false" customHeight="false" outlineLevel="0" collapsed="false">
      <c r="A1033" s="12" t="s">
        <v>80</v>
      </c>
      <c r="B1033" s="12" t="s">
        <v>44</v>
      </c>
      <c r="C1033" s="12" t="s">
        <v>281</v>
      </c>
      <c r="D1033" s="12" t="str">
        <f aca="false">INDEX('Country Tiers'!$C$2:$C$37,MATCH(C1033,'Country Tiers'!$A$2:$A$37,0))</f>
        <v>Tier 3</v>
      </c>
      <c r="E1033" s="12" t="n">
        <f aca="false">INDEX('Country Tiers'!$D$2:$D$37,MATCH(C1033,'Country Tiers'!$A$2:$A$37,0))</f>
        <v>1</v>
      </c>
    </row>
    <row r="1034" customFormat="false" ht="15" hidden="false" customHeight="false" outlineLevel="0" collapsed="false">
      <c r="A1034" s="12" t="s">
        <v>80</v>
      </c>
      <c r="B1034" s="12" t="s">
        <v>44</v>
      </c>
      <c r="C1034" s="12" t="s">
        <v>282</v>
      </c>
      <c r="D1034" s="12" t="str">
        <f aca="false">INDEX('Country Tiers'!$C$2:$C$37,MATCH(C1034,'Country Tiers'!$A$2:$A$37,0))</f>
        <v>Tier 3</v>
      </c>
      <c r="E1034" s="12" t="n">
        <f aca="false">INDEX('Country Tiers'!$D$2:$D$37,MATCH(C1034,'Country Tiers'!$A$2:$A$37,0))</f>
        <v>1</v>
      </c>
    </row>
    <row r="1035" customFormat="false" ht="15" hidden="false" customHeight="false" outlineLevel="0" collapsed="false">
      <c r="A1035" s="12" t="s">
        <v>80</v>
      </c>
      <c r="B1035" s="12" t="s">
        <v>44</v>
      </c>
      <c r="C1035" s="12" t="s">
        <v>283</v>
      </c>
      <c r="D1035" s="12" t="str">
        <f aca="false">INDEX('Country Tiers'!$C$2:$C$37,MATCH(C1035,'Country Tiers'!$A$2:$A$37,0))</f>
        <v>Tier 3</v>
      </c>
      <c r="E1035" s="12" t="n">
        <f aca="false">INDEX('Country Tiers'!$D$2:$D$37,MATCH(C1035,'Country Tiers'!$A$2:$A$37,0))</f>
        <v>1</v>
      </c>
    </row>
    <row r="1036" customFormat="false" ht="15" hidden="false" customHeight="false" outlineLevel="0" collapsed="false">
      <c r="A1036" s="12" t="s">
        <v>80</v>
      </c>
      <c r="B1036" s="12" t="s">
        <v>44</v>
      </c>
      <c r="C1036" s="12" t="s">
        <v>284</v>
      </c>
      <c r="D1036" s="12" t="str">
        <f aca="false">INDEX('Country Tiers'!$C$2:$C$37,MATCH(C1036,'Country Tiers'!$A$2:$A$37,0))</f>
        <v>Tier 3</v>
      </c>
      <c r="E1036" s="12" t="n">
        <f aca="false">INDEX('Country Tiers'!$D$2:$D$37,MATCH(C1036,'Country Tiers'!$A$2:$A$37,0))</f>
        <v>1</v>
      </c>
    </row>
    <row r="1037" customFormat="false" ht="15" hidden="false" customHeight="false" outlineLevel="0" collapsed="false">
      <c r="A1037" s="12" t="s">
        <v>80</v>
      </c>
      <c r="B1037" s="12" t="s">
        <v>44</v>
      </c>
      <c r="C1037" s="12" t="s">
        <v>285</v>
      </c>
      <c r="D1037" s="12" t="str">
        <f aca="false">INDEX('Country Tiers'!$C$2:$C$37,MATCH(C1037,'Country Tiers'!$A$2:$A$37,0))</f>
        <v>Tier 3</v>
      </c>
      <c r="E1037" s="12" t="n">
        <f aca="false">INDEX('Country Tiers'!$D$2:$D$37,MATCH(C1037,'Country Tiers'!$A$2:$A$37,0))</f>
        <v>1</v>
      </c>
    </row>
    <row r="1038" customFormat="false" ht="15" hidden="false" customHeight="false" outlineLevel="0" collapsed="false">
      <c r="A1038" s="12" t="s">
        <v>80</v>
      </c>
      <c r="B1038" s="12" t="s">
        <v>44</v>
      </c>
      <c r="C1038" s="12" t="s">
        <v>286</v>
      </c>
      <c r="D1038" s="12" t="str">
        <f aca="false">INDEX('Country Tiers'!$C$2:$C$37,MATCH(C1038,'Country Tiers'!$A$2:$A$37,0))</f>
        <v>Tier 1</v>
      </c>
      <c r="E1038" s="12" t="n">
        <f aca="false">INDEX('Country Tiers'!$D$2:$D$37,MATCH(C1038,'Country Tiers'!$A$2:$A$37,0))</f>
        <v>3</v>
      </c>
    </row>
    <row r="1039" customFormat="false" ht="15" hidden="false" customHeight="false" outlineLevel="0" collapsed="false">
      <c r="A1039" s="12" t="s">
        <v>80</v>
      </c>
      <c r="B1039" s="12" t="s">
        <v>44</v>
      </c>
      <c r="C1039" s="12" t="s">
        <v>287</v>
      </c>
      <c r="D1039" s="12" t="str">
        <f aca="false">INDEX('Country Tiers'!$C$2:$C$37,MATCH(C1039,'Country Tiers'!$A$2:$A$37,0))</f>
        <v>Tier 1</v>
      </c>
      <c r="E1039" s="12" t="n">
        <f aca="false">INDEX('Country Tiers'!$D$2:$D$37,MATCH(C1039,'Country Tiers'!$A$2:$A$37,0))</f>
        <v>3</v>
      </c>
    </row>
    <row r="1040" customFormat="false" ht="15" hidden="false" customHeight="false" outlineLevel="0" collapsed="false">
      <c r="A1040" s="12" t="s">
        <v>80</v>
      </c>
      <c r="B1040" s="12" t="s">
        <v>44</v>
      </c>
      <c r="C1040" s="12" t="s">
        <v>288</v>
      </c>
      <c r="D1040" s="12" t="str">
        <f aca="false">INDEX('Country Tiers'!$C$2:$C$37,MATCH(C1040,'Country Tiers'!$A$2:$A$37,0))</f>
        <v>Tier 3</v>
      </c>
      <c r="E1040" s="12" t="n">
        <f aca="false">INDEX('Country Tiers'!$D$2:$D$37,MATCH(C1040,'Country Tiers'!$A$2:$A$37,0))</f>
        <v>1</v>
      </c>
    </row>
    <row r="1041" customFormat="false" ht="15" hidden="false" customHeight="false" outlineLevel="0" collapsed="false">
      <c r="A1041" s="12" t="s">
        <v>80</v>
      </c>
      <c r="B1041" s="12" t="s">
        <v>44</v>
      </c>
      <c r="C1041" s="12" t="s">
        <v>289</v>
      </c>
      <c r="D1041" s="12" t="str">
        <f aca="false">INDEX('Country Tiers'!$C$2:$C$37,MATCH(C1041,'Country Tiers'!$A$2:$A$37,0))</f>
        <v>Tier 3</v>
      </c>
      <c r="E1041" s="12" t="n">
        <f aca="false">INDEX('Country Tiers'!$D$2:$D$37,MATCH(C1041,'Country Tiers'!$A$2:$A$37,0))</f>
        <v>1</v>
      </c>
    </row>
    <row r="1042" customFormat="false" ht="15" hidden="false" customHeight="false" outlineLevel="0" collapsed="false">
      <c r="A1042" s="12" t="s">
        <v>80</v>
      </c>
      <c r="B1042" s="12" t="s">
        <v>44</v>
      </c>
      <c r="C1042" s="12" t="s">
        <v>290</v>
      </c>
      <c r="D1042" s="12" t="str">
        <f aca="false">INDEX('Country Tiers'!$C$2:$C$37,MATCH(C1042,'Country Tiers'!$A$2:$A$37,0))</f>
        <v>Tier 3</v>
      </c>
      <c r="E1042" s="12" t="n">
        <f aca="false">INDEX('Country Tiers'!$D$2:$D$37,MATCH(C1042,'Country Tiers'!$A$2:$A$37,0))</f>
        <v>1</v>
      </c>
    </row>
    <row r="1043" customFormat="false" ht="15" hidden="false" customHeight="false" outlineLevel="0" collapsed="false">
      <c r="A1043" s="12" t="s">
        <v>80</v>
      </c>
      <c r="B1043" s="12" t="s">
        <v>44</v>
      </c>
      <c r="C1043" s="12" t="s">
        <v>291</v>
      </c>
      <c r="D1043" s="12" t="str">
        <f aca="false">INDEX('Country Tiers'!$C$2:$C$37,MATCH(C1043,'Country Tiers'!$A$2:$A$37,0))</f>
        <v>Tier 3</v>
      </c>
      <c r="E1043" s="12" t="n">
        <f aca="false">INDEX('Country Tiers'!$D$2:$D$37,MATCH(C1043,'Country Tiers'!$A$2:$A$37,0))</f>
        <v>1</v>
      </c>
    </row>
    <row r="1044" customFormat="false" ht="15" hidden="false" customHeight="false" outlineLevel="0" collapsed="false">
      <c r="A1044" s="12" t="s">
        <v>80</v>
      </c>
      <c r="B1044" s="12" t="s">
        <v>44</v>
      </c>
      <c r="C1044" s="12" t="s">
        <v>292</v>
      </c>
      <c r="D1044" s="12" t="str">
        <f aca="false">INDEX('Country Tiers'!$C$2:$C$37,MATCH(C1044,'Country Tiers'!$A$2:$A$37,0))</f>
        <v>Tier 2</v>
      </c>
      <c r="E1044" s="12" t="n">
        <f aca="false">INDEX('Country Tiers'!$D$2:$D$37,MATCH(C1044,'Country Tiers'!$A$2:$A$37,0))</f>
        <v>2</v>
      </c>
    </row>
    <row r="1045" customFormat="false" ht="15" hidden="false" customHeight="false" outlineLevel="0" collapsed="false">
      <c r="A1045" s="12" t="s">
        <v>80</v>
      </c>
      <c r="B1045" s="12" t="s">
        <v>44</v>
      </c>
      <c r="C1045" s="12" t="s">
        <v>294</v>
      </c>
      <c r="D1045" s="12" t="str">
        <f aca="false">INDEX('Country Tiers'!$C$2:$C$37,MATCH(C1045,'Country Tiers'!$A$2:$A$37,0))</f>
        <v>Tier 3</v>
      </c>
      <c r="E1045" s="12" t="n">
        <f aca="false">INDEX('Country Tiers'!$D$2:$D$37,MATCH(C1045,'Country Tiers'!$A$2:$A$37,0))</f>
        <v>1</v>
      </c>
    </row>
    <row r="1046" customFormat="false" ht="15" hidden="false" customHeight="false" outlineLevel="0" collapsed="false">
      <c r="A1046" s="12" t="s">
        <v>80</v>
      </c>
      <c r="B1046" s="12" t="s">
        <v>44</v>
      </c>
      <c r="C1046" s="12" t="s">
        <v>295</v>
      </c>
      <c r="D1046" s="12" t="str">
        <f aca="false">INDEX('Country Tiers'!$C$2:$C$37,MATCH(C1046,'Country Tiers'!$A$2:$A$37,0))</f>
        <v>Tier 3</v>
      </c>
      <c r="E1046" s="12" t="n">
        <f aca="false">INDEX('Country Tiers'!$D$2:$D$37,MATCH(C1046,'Country Tiers'!$A$2:$A$37,0))</f>
        <v>1</v>
      </c>
    </row>
    <row r="1047" customFormat="false" ht="15" hidden="false" customHeight="false" outlineLevel="0" collapsed="false">
      <c r="A1047" s="12" t="s">
        <v>80</v>
      </c>
      <c r="B1047" s="12" t="s">
        <v>44</v>
      </c>
      <c r="C1047" s="12" t="s">
        <v>296</v>
      </c>
      <c r="D1047" s="12" t="str">
        <f aca="false">INDEX('Country Tiers'!$C$2:$C$37,MATCH(C1047,'Country Tiers'!$A$2:$A$37,0))</f>
        <v>Tier 3</v>
      </c>
      <c r="E1047" s="12" t="n">
        <f aca="false">INDEX('Country Tiers'!$D$2:$D$37,MATCH(C1047,'Country Tiers'!$A$2:$A$37,0))</f>
        <v>1</v>
      </c>
    </row>
    <row r="1048" customFormat="false" ht="15" hidden="false" customHeight="false" outlineLevel="0" collapsed="false">
      <c r="A1048" s="12" t="s">
        <v>80</v>
      </c>
      <c r="B1048" s="12" t="s">
        <v>44</v>
      </c>
      <c r="C1048" s="12" t="s">
        <v>297</v>
      </c>
      <c r="D1048" s="12" t="str">
        <f aca="false">INDEX('Country Tiers'!$C$2:$C$37,MATCH(C1048,'Country Tiers'!$A$2:$A$37,0))</f>
        <v>Tier 2</v>
      </c>
      <c r="E1048" s="12" t="n">
        <f aca="false">INDEX('Country Tiers'!$D$2:$D$37,MATCH(C1048,'Country Tiers'!$A$2:$A$37,0))</f>
        <v>2</v>
      </c>
    </row>
    <row r="1049" customFormat="false" ht="15" hidden="false" customHeight="false" outlineLevel="0" collapsed="false">
      <c r="A1049" s="12" t="s">
        <v>80</v>
      </c>
      <c r="B1049" s="12" t="s">
        <v>44</v>
      </c>
      <c r="C1049" s="12" t="s">
        <v>298</v>
      </c>
      <c r="D1049" s="12" t="str">
        <f aca="false">INDEX('Country Tiers'!$C$2:$C$37,MATCH(C1049,'Country Tiers'!$A$2:$A$37,0))</f>
        <v>Tier 1</v>
      </c>
      <c r="E1049" s="12" t="n">
        <f aca="false">INDEX('Country Tiers'!$D$2:$D$37,MATCH(C1049,'Country Tiers'!$A$2:$A$37,0))</f>
        <v>3</v>
      </c>
    </row>
    <row r="1050" customFormat="false" ht="15" hidden="false" customHeight="false" outlineLevel="0" collapsed="false">
      <c r="A1050" s="12" t="s">
        <v>80</v>
      </c>
      <c r="B1050" s="12" t="s">
        <v>44</v>
      </c>
      <c r="C1050" s="12" t="s">
        <v>299</v>
      </c>
      <c r="D1050" s="12" t="str">
        <f aca="false">INDEX('Country Tiers'!$C$2:$C$37,MATCH(C1050,'Country Tiers'!$A$2:$A$37,0))</f>
        <v>Tier 3</v>
      </c>
      <c r="E1050" s="12" t="n">
        <f aca="false">INDEX('Country Tiers'!$D$2:$D$37,MATCH(C1050,'Country Tiers'!$A$2:$A$37,0))</f>
        <v>1</v>
      </c>
    </row>
    <row r="1051" customFormat="false" ht="15" hidden="false" customHeight="false" outlineLevel="0" collapsed="false">
      <c r="A1051" s="12" t="s">
        <v>80</v>
      </c>
      <c r="B1051" s="12" t="s">
        <v>44</v>
      </c>
      <c r="C1051" s="12" t="s">
        <v>300</v>
      </c>
      <c r="D1051" s="12" t="str">
        <f aca="false">INDEX('Country Tiers'!$C$2:$C$37,MATCH(C1051,'Country Tiers'!$A$2:$A$37,0))</f>
        <v>Tier 3</v>
      </c>
      <c r="E1051" s="12" t="n">
        <f aca="false">INDEX('Country Tiers'!$D$2:$D$37,MATCH(C1051,'Country Tiers'!$A$2:$A$37,0))</f>
        <v>1</v>
      </c>
    </row>
    <row r="1052" customFormat="false" ht="15" hidden="false" customHeight="false" outlineLevel="0" collapsed="false">
      <c r="A1052" s="12" t="s">
        <v>80</v>
      </c>
      <c r="B1052" s="12" t="s">
        <v>44</v>
      </c>
      <c r="C1052" s="12" t="s">
        <v>301</v>
      </c>
      <c r="D1052" s="12" t="str">
        <f aca="false">INDEX('Country Tiers'!$C$2:$C$37,MATCH(C1052,'Country Tiers'!$A$2:$A$37,0))</f>
        <v>Tier 3</v>
      </c>
      <c r="E1052" s="12" t="n">
        <f aca="false">INDEX('Country Tiers'!$D$2:$D$37,MATCH(C1052,'Country Tiers'!$A$2:$A$37,0))</f>
        <v>1</v>
      </c>
    </row>
    <row r="1053" customFormat="false" ht="15" hidden="false" customHeight="false" outlineLevel="0" collapsed="false">
      <c r="A1053" s="12" t="s">
        <v>80</v>
      </c>
      <c r="B1053" s="12" t="s">
        <v>44</v>
      </c>
      <c r="C1053" s="12" t="s">
        <v>302</v>
      </c>
      <c r="D1053" s="12" t="str">
        <f aca="false">INDEX('Country Tiers'!$C$2:$C$37,MATCH(C1053,'Country Tiers'!$A$2:$A$37,0))</f>
        <v>Tier 3</v>
      </c>
      <c r="E1053" s="12" t="n">
        <f aca="false">INDEX('Country Tiers'!$D$2:$D$37,MATCH(C1053,'Country Tiers'!$A$2:$A$37,0))</f>
        <v>1</v>
      </c>
    </row>
    <row r="1054" customFormat="false" ht="15" hidden="false" customHeight="false" outlineLevel="0" collapsed="false">
      <c r="A1054" s="12" t="s">
        <v>80</v>
      </c>
      <c r="B1054" s="12" t="s">
        <v>44</v>
      </c>
      <c r="C1054" s="12" t="s">
        <v>305</v>
      </c>
      <c r="D1054" s="12" t="str">
        <f aca="false">INDEX('Country Tiers'!$C$2:$C$37,MATCH(C1054,'Country Tiers'!$A$2:$A$37,0))</f>
        <v>Tier 3</v>
      </c>
      <c r="E1054" s="12" t="n">
        <f aca="false">INDEX('Country Tiers'!$D$2:$D$37,MATCH(C1054,'Country Tiers'!$A$2:$A$37,0))</f>
        <v>1</v>
      </c>
    </row>
    <row r="1055" customFormat="false" ht="15" hidden="false" customHeight="false" outlineLevel="0" collapsed="false">
      <c r="A1055" s="12" t="s">
        <v>80</v>
      </c>
      <c r="B1055" s="12" t="s">
        <v>44</v>
      </c>
      <c r="C1055" s="12" t="s">
        <v>306</v>
      </c>
      <c r="D1055" s="12" t="str">
        <f aca="false">INDEX('Country Tiers'!$C$2:$C$37,MATCH(C1055,'Country Tiers'!$A$2:$A$37,0))</f>
        <v>Tier 3</v>
      </c>
      <c r="E1055" s="12" t="n">
        <f aca="false">INDEX('Country Tiers'!$D$2:$D$37,MATCH(C1055,'Country Tiers'!$A$2:$A$37,0))</f>
        <v>1</v>
      </c>
    </row>
    <row r="1056" customFormat="false" ht="15" hidden="false" customHeight="false" outlineLevel="0" collapsed="false">
      <c r="A1056" s="12" t="s">
        <v>80</v>
      </c>
      <c r="B1056" s="12" t="s">
        <v>44</v>
      </c>
      <c r="C1056" s="12" t="s">
        <v>307</v>
      </c>
      <c r="D1056" s="12" t="str">
        <f aca="false">INDEX('Country Tiers'!$C$2:$C$37,MATCH(C1056,'Country Tiers'!$A$2:$A$37,0))</f>
        <v>Tier 2</v>
      </c>
      <c r="E1056" s="12" t="n">
        <f aca="false">INDEX('Country Tiers'!$D$2:$D$37,MATCH(C1056,'Country Tiers'!$A$2:$A$37,0))</f>
        <v>2</v>
      </c>
    </row>
    <row r="1057" customFormat="false" ht="15" hidden="false" customHeight="false" outlineLevel="0" collapsed="false">
      <c r="A1057" s="12" t="s">
        <v>80</v>
      </c>
      <c r="B1057" s="12" t="s">
        <v>44</v>
      </c>
      <c r="C1057" s="12" t="s">
        <v>308</v>
      </c>
      <c r="D1057" s="12" t="str">
        <f aca="false">INDEX('Country Tiers'!$C$2:$C$37,MATCH(C1057,'Country Tiers'!$A$2:$A$37,0))</f>
        <v>Tier 3</v>
      </c>
      <c r="E1057" s="12" t="n">
        <f aca="false">INDEX('Country Tiers'!$D$2:$D$37,MATCH(C1057,'Country Tiers'!$A$2:$A$37,0))</f>
        <v>1</v>
      </c>
    </row>
    <row r="1058" customFormat="false" ht="15" hidden="false" customHeight="false" outlineLevel="0" collapsed="false">
      <c r="A1058" s="12" t="s">
        <v>80</v>
      </c>
      <c r="B1058" s="12" t="s">
        <v>44</v>
      </c>
      <c r="C1058" s="12" t="s">
        <v>309</v>
      </c>
      <c r="D1058" s="12" t="str">
        <f aca="false">INDEX('Country Tiers'!$C$2:$C$37,MATCH(C1058,'Country Tiers'!$A$2:$A$37,0))</f>
        <v>Tier 1</v>
      </c>
      <c r="E1058" s="12" t="n">
        <f aca="false">INDEX('Country Tiers'!$D$2:$D$37,MATCH(C1058,'Country Tiers'!$A$2:$A$37,0))</f>
        <v>3</v>
      </c>
    </row>
    <row r="1059" customFormat="false" ht="15" hidden="false" customHeight="false" outlineLevel="0" collapsed="false">
      <c r="A1059" s="12" t="s">
        <v>80</v>
      </c>
      <c r="B1059" s="12" t="s">
        <v>44</v>
      </c>
      <c r="C1059" s="12" t="s">
        <v>313</v>
      </c>
      <c r="D1059" s="12" t="str">
        <f aca="false">INDEX('Country Tiers'!$C$2:$C$37,MATCH(C1059,'Country Tiers'!$A$2:$A$37,0))</f>
        <v>Tier 1</v>
      </c>
      <c r="E1059" s="12" t="n">
        <f aca="false">INDEX('Country Tiers'!$D$2:$D$37,MATCH(C1059,'Country Tiers'!$A$2:$A$37,0))</f>
        <v>3</v>
      </c>
    </row>
    <row r="1060" customFormat="false" ht="15" hidden="false" customHeight="false" outlineLevel="0" collapsed="false">
      <c r="A1060" s="12" t="s">
        <v>81</v>
      </c>
      <c r="B1060" s="12" t="s">
        <v>57</v>
      </c>
      <c r="C1060" s="12" t="s">
        <v>311</v>
      </c>
      <c r="D1060" s="12" t="str">
        <f aca="false">INDEX('Country Tiers'!$C$2:$C$37,MATCH(C1060,'Country Tiers'!$A$2:$A$37,0))</f>
        <v>Tier 1</v>
      </c>
      <c r="E1060" s="12" t="n">
        <f aca="false">INDEX('Country Tiers'!$D$2:$D$37,MATCH(C1060,'Country Tiers'!$A$2:$A$37,0))</f>
        <v>3</v>
      </c>
    </row>
    <row r="1061" customFormat="false" ht="15" hidden="false" customHeight="false" outlineLevel="0" collapsed="false">
      <c r="A1061" s="12" t="s">
        <v>81</v>
      </c>
      <c r="B1061" s="12" t="s">
        <v>36</v>
      </c>
      <c r="C1061" s="12" t="s">
        <v>311</v>
      </c>
      <c r="D1061" s="12" t="str">
        <f aca="false">INDEX('Country Tiers'!$C$2:$C$37,MATCH(C1061,'Country Tiers'!$A$2:$A$37,0))</f>
        <v>Tier 1</v>
      </c>
      <c r="E1061" s="12" t="n">
        <f aca="false">INDEX('Country Tiers'!$D$2:$D$37,MATCH(C1061,'Country Tiers'!$A$2:$A$37,0))</f>
        <v>3</v>
      </c>
    </row>
    <row r="1062" customFormat="false" ht="15" hidden="false" customHeight="false" outlineLevel="0" collapsed="false">
      <c r="A1062" s="12" t="s">
        <v>82</v>
      </c>
      <c r="B1062" s="12" t="s">
        <v>65</v>
      </c>
      <c r="C1062" s="12" t="s">
        <v>272</v>
      </c>
      <c r="D1062" s="12" t="str">
        <f aca="false">INDEX('Country Tiers'!$C$2:$C$37,MATCH(C1062,'Country Tiers'!$A$2:$A$37,0))</f>
        <v>Tier 2</v>
      </c>
      <c r="E1062" s="12" t="n">
        <f aca="false">INDEX('Country Tiers'!$D$2:$D$37,MATCH(C1062,'Country Tiers'!$A$2:$A$37,0))</f>
        <v>2</v>
      </c>
    </row>
    <row r="1063" customFormat="false" ht="15" hidden="false" customHeight="false" outlineLevel="0" collapsed="false">
      <c r="A1063" s="12" t="s">
        <v>83</v>
      </c>
      <c r="B1063" s="12" t="s">
        <v>47</v>
      </c>
      <c r="C1063" s="12" t="s">
        <v>311</v>
      </c>
      <c r="D1063" s="12" t="str">
        <f aca="false">INDEX('Country Tiers'!$C$2:$C$37,MATCH(C1063,'Country Tiers'!$A$2:$A$37,0))</f>
        <v>Tier 1</v>
      </c>
      <c r="E1063" s="12" t="n">
        <f aca="false">INDEX('Country Tiers'!$D$2:$D$37,MATCH(C1063,'Country Tiers'!$A$2:$A$37,0))</f>
        <v>3</v>
      </c>
    </row>
    <row r="1064" customFormat="false" ht="15" hidden="false" customHeight="false" outlineLevel="0" collapsed="false">
      <c r="A1064" s="12" t="s">
        <v>83</v>
      </c>
      <c r="B1064" s="12" t="s">
        <v>55</v>
      </c>
      <c r="C1064" s="12" t="s">
        <v>274</v>
      </c>
      <c r="D1064" s="12" t="str">
        <f aca="false">INDEX('Country Tiers'!$C$2:$C$37,MATCH(C1064,'Country Tiers'!$A$2:$A$37,0))</f>
        <v>Tier 3</v>
      </c>
      <c r="E1064" s="12" t="n">
        <f aca="false">INDEX('Country Tiers'!$D$2:$D$37,MATCH(C1064,'Country Tiers'!$A$2:$A$37,0))</f>
        <v>1</v>
      </c>
    </row>
    <row r="1065" customFormat="false" ht="15" hidden="false" customHeight="false" outlineLevel="0" collapsed="false">
      <c r="A1065" s="12" t="s">
        <v>83</v>
      </c>
      <c r="B1065" s="12" t="s">
        <v>55</v>
      </c>
      <c r="C1065" s="12" t="s">
        <v>277</v>
      </c>
      <c r="D1065" s="12" t="str">
        <f aca="false">INDEX('Country Tiers'!$C$2:$C$37,MATCH(C1065,'Country Tiers'!$A$2:$A$37,0))</f>
        <v>Tier 1</v>
      </c>
      <c r="E1065" s="12" t="n">
        <f aca="false">INDEX('Country Tiers'!$D$2:$D$37,MATCH(C1065,'Country Tiers'!$A$2:$A$37,0))</f>
        <v>3</v>
      </c>
    </row>
    <row r="1066" customFormat="false" ht="15" hidden="false" customHeight="false" outlineLevel="0" collapsed="false">
      <c r="A1066" s="12" t="s">
        <v>83</v>
      </c>
      <c r="B1066" s="12" t="s">
        <v>55</v>
      </c>
      <c r="C1066" s="12" t="s">
        <v>278</v>
      </c>
      <c r="D1066" s="12" t="str">
        <f aca="false">INDEX('Country Tiers'!$C$2:$C$37,MATCH(C1066,'Country Tiers'!$A$2:$A$37,0))</f>
        <v>Tier 3</v>
      </c>
      <c r="E1066" s="12" t="n">
        <f aca="false">INDEX('Country Tiers'!$D$2:$D$37,MATCH(C1066,'Country Tiers'!$A$2:$A$37,0))</f>
        <v>1</v>
      </c>
    </row>
    <row r="1067" customFormat="false" ht="15" hidden="false" customHeight="false" outlineLevel="0" collapsed="false">
      <c r="A1067" s="12" t="s">
        <v>83</v>
      </c>
      <c r="B1067" s="12" t="s">
        <v>55</v>
      </c>
      <c r="C1067" s="12" t="s">
        <v>280</v>
      </c>
      <c r="D1067" s="12" t="str">
        <f aca="false">INDEX('Country Tiers'!$C$2:$C$37,MATCH(C1067,'Country Tiers'!$A$2:$A$37,0))</f>
        <v>Tier 3</v>
      </c>
      <c r="E1067" s="12" t="n">
        <f aca="false">INDEX('Country Tiers'!$D$2:$D$37,MATCH(C1067,'Country Tiers'!$A$2:$A$37,0))</f>
        <v>1</v>
      </c>
    </row>
    <row r="1068" customFormat="false" ht="15" hidden="false" customHeight="false" outlineLevel="0" collapsed="false">
      <c r="A1068" s="12" t="s">
        <v>83</v>
      </c>
      <c r="B1068" s="12" t="s">
        <v>55</v>
      </c>
      <c r="C1068" s="12" t="s">
        <v>281</v>
      </c>
      <c r="D1068" s="12" t="str">
        <f aca="false">INDEX('Country Tiers'!$C$2:$C$37,MATCH(C1068,'Country Tiers'!$A$2:$A$37,0))</f>
        <v>Tier 3</v>
      </c>
      <c r="E1068" s="12" t="n">
        <f aca="false">INDEX('Country Tiers'!$D$2:$D$37,MATCH(C1068,'Country Tiers'!$A$2:$A$37,0))</f>
        <v>1</v>
      </c>
    </row>
    <row r="1069" customFormat="false" ht="15" hidden="false" customHeight="false" outlineLevel="0" collapsed="false">
      <c r="A1069" s="12" t="s">
        <v>83</v>
      </c>
      <c r="B1069" s="12" t="s">
        <v>55</v>
      </c>
      <c r="C1069" s="12" t="s">
        <v>282</v>
      </c>
      <c r="D1069" s="12" t="str">
        <f aca="false">INDEX('Country Tiers'!$C$2:$C$37,MATCH(C1069,'Country Tiers'!$A$2:$A$37,0))</f>
        <v>Tier 3</v>
      </c>
      <c r="E1069" s="12" t="n">
        <f aca="false">INDEX('Country Tiers'!$D$2:$D$37,MATCH(C1069,'Country Tiers'!$A$2:$A$37,0))</f>
        <v>1</v>
      </c>
    </row>
    <row r="1070" customFormat="false" ht="15" hidden="false" customHeight="false" outlineLevel="0" collapsed="false">
      <c r="A1070" s="12" t="s">
        <v>83</v>
      </c>
      <c r="B1070" s="12" t="s">
        <v>55</v>
      </c>
      <c r="C1070" s="12" t="s">
        <v>283</v>
      </c>
      <c r="D1070" s="12" t="str">
        <f aca="false">INDEX('Country Tiers'!$C$2:$C$37,MATCH(C1070,'Country Tiers'!$A$2:$A$37,0))</f>
        <v>Tier 3</v>
      </c>
      <c r="E1070" s="12" t="n">
        <f aca="false">INDEX('Country Tiers'!$D$2:$D$37,MATCH(C1070,'Country Tiers'!$A$2:$A$37,0))</f>
        <v>1</v>
      </c>
    </row>
    <row r="1071" customFormat="false" ht="15" hidden="false" customHeight="false" outlineLevel="0" collapsed="false">
      <c r="A1071" s="12" t="s">
        <v>83</v>
      </c>
      <c r="B1071" s="12" t="s">
        <v>55</v>
      </c>
      <c r="C1071" s="12" t="s">
        <v>284</v>
      </c>
      <c r="D1071" s="12" t="str">
        <f aca="false">INDEX('Country Tiers'!$C$2:$C$37,MATCH(C1071,'Country Tiers'!$A$2:$A$37,0))</f>
        <v>Tier 3</v>
      </c>
      <c r="E1071" s="12" t="n">
        <f aca="false">INDEX('Country Tiers'!$D$2:$D$37,MATCH(C1071,'Country Tiers'!$A$2:$A$37,0))</f>
        <v>1</v>
      </c>
    </row>
    <row r="1072" customFormat="false" ht="15" hidden="false" customHeight="false" outlineLevel="0" collapsed="false">
      <c r="A1072" s="12" t="s">
        <v>83</v>
      </c>
      <c r="B1072" s="12" t="s">
        <v>55</v>
      </c>
      <c r="C1072" s="12" t="s">
        <v>285</v>
      </c>
      <c r="D1072" s="12" t="str">
        <f aca="false">INDEX('Country Tiers'!$C$2:$C$37,MATCH(C1072,'Country Tiers'!$A$2:$A$37,0))</f>
        <v>Tier 3</v>
      </c>
      <c r="E1072" s="12" t="n">
        <f aca="false">INDEX('Country Tiers'!$D$2:$D$37,MATCH(C1072,'Country Tiers'!$A$2:$A$37,0))</f>
        <v>1</v>
      </c>
    </row>
    <row r="1073" customFormat="false" ht="15" hidden="false" customHeight="false" outlineLevel="0" collapsed="false">
      <c r="A1073" s="12" t="s">
        <v>83</v>
      </c>
      <c r="B1073" s="12" t="s">
        <v>55</v>
      </c>
      <c r="C1073" s="12" t="s">
        <v>286</v>
      </c>
      <c r="D1073" s="12" t="str">
        <f aca="false">INDEX('Country Tiers'!$C$2:$C$37,MATCH(C1073,'Country Tiers'!$A$2:$A$37,0))</f>
        <v>Tier 1</v>
      </c>
      <c r="E1073" s="12" t="n">
        <f aca="false">INDEX('Country Tiers'!$D$2:$D$37,MATCH(C1073,'Country Tiers'!$A$2:$A$37,0))</f>
        <v>3</v>
      </c>
    </row>
    <row r="1074" customFormat="false" ht="15" hidden="false" customHeight="false" outlineLevel="0" collapsed="false">
      <c r="A1074" s="12" t="s">
        <v>83</v>
      </c>
      <c r="B1074" s="12" t="s">
        <v>55</v>
      </c>
      <c r="C1074" s="12" t="s">
        <v>287</v>
      </c>
      <c r="D1074" s="12" t="str">
        <f aca="false">INDEX('Country Tiers'!$C$2:$C$37,MATCH(C1074,'Country Tiers'!$A$2:$A$37,0))</f>
        <v>Tier 1</v>
      </c>
      <c r="E1074" s="12" t="n">
        <f aca="false">INDEX('Country Tiers'!$D$2:$D$37,MATCH(C1074,'Country Tiers'!$A$2:$A$37,0))</f>
        <v>3</v>
      </c>
    </row>
    <row r="1075" customFormat="false" ht="15" hidden="false" customHeight="false" outlineLevel="0" collapsed="false">
      <c r="A1075" s="12" t="s">
        <v>83</v>
      </c>
      <c r="B1075" s="12" t="s">
        <v>55</v>
      </c>
      <c r="C1075" s="12" t="s">
        <v>290</v>
      </c>
      <c r="D1075" s="12" t="str">
        <f aca="false">INDEX('Country Tiers'!$C$2:$C$37,MATCH(C1075,'Country Tiers'!$A$2:$A$37,0))</f>
        <v>Tier 3</v>
      </c>
      <c r="E1075" s="12" t="n">
        <f aca="false">INDEX('Country Tiers'!$D$2:$D$37,MATCH(C1075,'Country Tiers'!$A$2:$A$37,0))</f>
        <v>1</v>
      </c>
    </row>
    <row r="1076" customFormat="false" ht="15" hidden="false" customHeight="false" outlineLevel="0" collapsed="false">
      <c r="A1076" s="12" t="s">
        <v>83</v>
      </c>
      <c r="B1076" s="12" t="s">
        <v>55</v>
      </c>
      <c r="C1076" s="12" t="s">
        <v>291</v>
      </c>
      <c r="D1076" s="12" t="str">
        <f aca="false">INDEX('Country Tiers'!$C$2:$C$37,MATCH(C1076,'Country Tiers'!$A$2:$A$37,0))</f>
        <v>Tier 3</v>
      </c>
      <c r="E1076" s="12" t="n">
        <f aca="false">INDEX('Country Tiers'!$D$2:$D$37,MATCH(C1076,'Country Tiers'!$A$2:$A$37,0))</f>
        <v>1</v>
      </c>
    </row>
    <row r="1077" customFormat="false" ht="15" hidden="false" customHeight="false" outlineLevel="0" collapsed="false">
      <c r="A1077" s="12" t="s">
        <v>83</v>
      </c>
      <c r="B1077" s="12" t="s">
        <v>55</v>
      </c>
      <c r="C1077" s="12" t="s">
        <v>292</v>
      </c>
      <c r="D1077" s="12" t="str">
        <f aca="false">INDEX('Country Tiers'!$C$2:$C$37,MATCH(C1077,'Country Tiers'!$A$2:$A$37,0))</f>
        <v>Tier 2</v>
      </c>
      <c r="E1077" s="12" t="n">
        <f aca="false">INDEX('Country Tiers'!$D$2:$D$37,MATCH(C1077,'Country Tiers'!$A$2:$A$37,0))</f>
        <v>2</v>
      </c>
    </row>
    <row r="1078" customFormat="false" ht="15" hidden="false" customHeight="false" outlineLevel="0" collapsed="false">
      <c r="A1078" s="12" t="s">
        <v>83</v>
      </c>
      <c r="B1078" s="12" t="s">
        <v>55</v>
      </c>
      <c r="C1078" s="12" t="s">
        <v>293</v>
      </c>
      <c r="D1078" s="12" t="str">
        <f aca="false">INDEX('Country Tiers'!$C$2:$C$37,MATCH(C1078,'Country Tiers'!$A$2:$A$37,0))</f>
        <v>Tier 3</v>
      </c>
      <c r="E1078" s="12" t="n">
        <f aca="false">INDEX('Country Tiers'!$D$2:$D$37,MATCH(C1078,'Country Tiers'!$A$2:$A$37,0))</f>
        <v>1</v>
      </c>
    </row>
    <row r="1079" customFormat="false" ht="15" hidden="false" customHeight="false" outlineLevel="0" collapsed="false">
      <c r="A1079" s="12" t="s">
        <v>83</v>
      </c>
      <c r="B1079" s="12" t="s">
        <v>55</v>
      </c>
      <c r="C1079" s="12" t="s">
        <v>295</v>
      </c>
      <c r="D1079" s="12" t="str">
        <f aca="false">INDEX('Country Tiers'!$C$2:$C$37,MATCH(C1079,'Country Tiers'!$A$2:$A$37,0))</f>
        <v>Tier 3</v>
      </c>
      <c r="E1079" s="12" t="n">
        <f aca="false">INDEX('Country Tiers'!$D$2:$D$37,MATCH(C1079,'Country Tiers'!$A$2:$A$37,0))</f>
        <v>1</v>
      </c>
    </row>
    <row r="1080" customFormat="false" ht="15" hidden="false" customHeight="false" outlineLevel="0" collapsed="false">
      <c r="A1080" s="12" t="s">
        <v>83</v>
      </c>
      <c r="B1080" s="12" t="s">
        <v>55</v>
      </c>
      <c r="C1080" s="12" t="s">
        <v>296</v>
      </c>
      <c r="D1080" s="12" t="str">
        <f aca="false">INDEX('Country Tiers'!$C$2:$C$37,MATCH(C1080,'Country Tiers'!$A$2:$A$37,0))</f>
        <v>Tier 3</v>
      </c>
      <c r="E1080" s="12" t="n">
        <f aca="false">INDEX('Country Tiers'!$D$2:$D$37,MATCH(C1080,'Country Tiers'!$A$2:$A$37,0))</f>
        <v>1</v>
      </c>
    </row>
    <row r="1081" customFormat="false" ht="15" hidden="false" customHeight="false" outlineLevel="0" collapsed="false">
      <c r="A1081" s="12" t="s">
        <v>83</v>
      </c>
      <c r="B1081" s="12" t="s">
        <v>55</v>
      </c>
      <c r="C1081" s="12" t="s">
        <v>297</v>
      </c>
      <c r="D1081" s="12" t="str">
        <f aca="false">INDEX('Country Tiers'!$C$2:$C$37,MATCH(C1081,'Country Tiers'!$A$2:$A$37,0))</f>
        <v>Tier 2</v>
      </c>
      <c r="E1081" s="12" t="n">
        <f aca="false">INDEX('Country Tiers'!$D$2:$D$37,MATCH(C1081,'Country Tiers'!$A$2:$A$37,0))</f>
        <v>2</v>
      </c>
    </row>
    <row r="1082" customFormat="false" ht="15" hidden="false" customHeight="false" outlineLevel="0" collapsed="false">
      <c r="A1082" s="12" t="s">
        <v>83</v>
      </c>
      <c r="B1082" s="12" t="s">
        <v>55</v>
      </c>
      <c r="C1082" s="12" t="s">
        <v>298</v>
      </c>
      <c r="D1082" s="12" t="str">
        <f aca="false">INDEX('Country Tiers'!$C$2:$C$37,MATCH(C1082,'Country Tiers'!$A$2:$A$37,0))</f>
        <v>Tier 1</v>
      </c>
      <c r="E1082" s="12" t="n">
        <f aca="false">INDEX('Country Tiers'!$D$2:$D$37,MATCH(C1082,'Country Tiers'!$A$2:$A$37,0))</f>
        <v>3</v>
      </c>
    </row>
    <row r="1083" customFormat="false" ht="15" hidden="false" customHeight="false" outlineLevel="0" collapsed="false">
      <c r="A1083" s="12" t="s">
        <v>83</v>
      </c>
      <c r="B1083" s="12" t="s">
        <v>55</v>
      </c>
      <c r="C1083" s="12" t="s">
        <v>299</v>
      </c>
      <c r="D1083" s="12" t="str">
        <f aca="false">INDEX('Country Tiers'!$C$2:$C$37,MATCH(C1083,'Country Tiers'!$A$2:$A$37,0))</f>
        <v>Tier 3</v>
      </c>
      <c r="E1083" s="12" t="n">
        <f aca="false">INDEX('Country Tiers'!$D$2:$D$37,MATCH(C1083,'Country Tiers'!$A$2:$A$37,0))</f>
        <v>1</v>
      </c>
    </row>
    <row r="1084" customFormat="false" ht="15" hidden="false" customHeight="false" outlineLevel="0" collapsed="false">
      <c r="A1084" s="12" t="s">
        <v>83</v>
      </c>
      <c r="B1084" s="12" t="s">
        <v>55</v>
      </c>
      <c r="C1084" s="12" t="s">
        <v>300</v>
      </c>
      <c r="D1084" s="12" t="str">
        <f aca="false">INDEX('Country Tiers'!$C$2:$C$37,MATCH(C1084,'Country Tiers'!$A$2:$A$37,0))</f>
        <v>Tier 3</v>
      </c>
      <c r="E1084" s="12" t="n">
        <f aca="false">INDEX('Country Tiers'!$D$2:$D$37,MATCH(C1084,'Country Tiers'!$A$2:$A$37,0))</f>
        <v>1</v>
      </c>
    </row>
    <row r="1085" customFormat="false" ht="15" hidden="false" customHeight="false" outlineLevel="0" collapsed="false">
      <c r="A1085" s="12" t="s">
        <v>83</v>
      </c>
      <c r="B1085" s="12" t="s">
        <v>55</v>
      </c>
      <c r="C1085" s="12" t="s">
        <v>301</v>
      </c>
      <c r="D1085" s="12" t="str">
        <f aca="false">INDEX('Country Tiers'!$C$2:$C$37,MATCH(C1085,'Country Tiers'!$A$2:$A$37,0))</f>
        <v>Tier 3</v>
      </c>
      <c r="E1085" s="12" t="n">
        <f aca="false">INDEX('Country Tiers'!$D$2:$D$37,MATCH(C1085,'Country Tiers'!$A$2:$A$37,0))</f>
        <v>1</v>
      </c>
    </row>
    <row r="1086" customFormat="false" ht="15" hidden="false" customHeight="false" outlineLevel="0" collapsed="false">
      <c r="A1086" s="12" t="s">
        <v>83</v>
      </c>
      <c r="B1086" s="12" t="s">
        <v>55</v>
      </c>
      <c r="C1086" s="12" t="s">
        <v>302</v>
      </c>
      <c r="D1086" s="12" t="str">
        <f aca="false">INDEX('Country Tiers'!$C$2:$C$37,MATCH(C1086,'Country Tiers'!$A$2:$A$37,0))</f>
        <v>Tier 3</v>
      </c>
      <c r="E1086" s="12" t="n">
        <f aca="false">INDEX('Country Tiers'!$D$2:$D$37,MATCH(C1086,'Country Tiers'!$A$2:$A$37,0))</f>
        <v>1</v>
      </c>
    </row>
    <row r="1087" customFormat="false" ht="15" hidden="false" customHeight="false" outlineLevel="0" collapsed="false">
      <c r="A1087" s="12" t="s">
        <v>83</v>
      </c>
      <c r="B1087" s="12" t="s">
        <v>55</v>
      </c>
      <c r="C1087" s="12" t="s">
        <v>305</v>
      </c>
      <c r="D1087" s="12" t="str">
        <f aca="false">INDEX('Country Tiers'!$C$2:$C$37,MATCH(C1087,'Country Tiers'!$A$2:$A$37,0))</f>
        <v>Tier 3</v>
      </c>
      <c r="E1087" s="12" t="n">
        <f aca="false">INDEX('Country Tiers'!$D$2:$D$37,MATCH(C1087,'Country Tiers'!$A$2:$A$37,0))</f>
        <v>1</v>
      </c>
    </row>
    <row r="1088" customFormat="false" ht="15" hidden="false" customHeight="false" outlineLevel="0" collapsed="false">
      <c r="A1088" s="12" t="s">
        <v>83</v>
      </c>
      <c r="B1088" s="12" t="s">
        <v>55</v>
      </c>
      <c r="C1088" s="12" t="s">
        <v>307</v>
      </c>
      <c r="D1088" s="12" t="str">
        <f aca="false">INDEX('Country Tiers'!$C$2:$C$37,MATCH(C1088,'Country Tiers'!$A$2:$A$37,0))</f>
        <v>Tier 2</v>
      </c>
      <c r="E1088" s="12" t="n">
        <f aca="false">INDEX('Country Tiers'!$D$2:$D$37,MATCH(C1088,'Country Tiers'!$A$2:$A$37,0))</f>
        <v>2</v>
      </c>
    </row>
    <row r="1089" customFormat="false" ht="15" hidden="false" customHeight="false" outlineLevel="0" collapsed="false">
      <c r="A1089" s="12" t="s">
        <v>83</v>
      </c>
      <c r="B1089" s="12" t="s">
        <v>55</v>
      </c>
      <c r="C1089" s="12" t="s">
        <v>308</v>
      </c>
      <c r="D1089" s="12" t="str">
        <f aca="false">INDEX('Country Tiers'!$C$2:$C$37,MATCH(C1089,'Country Tiers'!$A$2:$A$37,0))</f>
        <v>Tier 3</v>
      </c>
      <c r="E1089" s="12" t="n">
        <f aca="false">INDEX('Country Tiers'!$D$2:$D$37,MATCH(C1089,'Country Tiers'!$A$2:$A$37,0))</f>
        <v>1</v>
      </c>
    </row>
    <row r="1090" customFormat="false" ht="15" hidden="false" customHeight="false" outlineLevel="0" collapsed="false">
      <c r="A1090" s="12" t="s">
        <v>83</v>
      </c>
      <c r="B1090" s="12" t="s">
        <v>55</v>
      </c>
      <c r="C1090" s="12" t="s">
        <v>311</v>
      </c>
      <c r="D1090" s="12" t="str">
        <f aca="false">INDEX('Country Tiers'!$C$2:$C$37,MATCH(C1090,'Country Tiers'!$A$2:$A$37,0))</f>
        <v>Tier 1</v>
      </c>
      <c r="E1090" s="12" t="n">
        <f aca="false">INDEX('Country Tiers'!$D$2:$D$37,MATCH(C1090,'Country Tiers'!$A$2:$A$37,0))</f>
        <v>3</v>
      </c>
    </row>
    <row r="1091" customFormat="false" ht="15" hidden="false" customHeight="false" outlineLevel="0" collapsed="false">
      <c r="A1091" s="12" t="s">
        <v>83</v>
      </c>
      <c r="B1091" s="12" t="s">
        <v>55</v>
      </c>
      <c r="C1091" s="12" t="s">
        <v>313</v>
      </c>
      <c r="D1091" s="12" t="str">
        <f aca="false">INDEX('Country Tiers'!$C$2:$C$37,MATCH(C1091,'Country Tiers'!$A$2:$A$37,0))</f>
        <v>Tier 1</v>
      </c>
      <c r="E1091" s="12" t="n">
        <f aca="false">INDEX('Country Tiers'!$D$2:$D$37,MATCH(C1091,'Country Tiers'!$A$2:$A$37,0))</f>
        <v>3</v>
      </c>
    </row>
    <row r="1092" customFormat="false" ht="15" hidden="false" customHeight="false" outlineLevel="0" collapsed="false">
      <c r="A1092" s="12" t="s">
        <v>83</v>
      </c>
      <c r="B1092" s="12" t="s">
        <v>35</v>
      </c>
      <c r="C1092" s="12" t="s">
        <v>279</v>
      </c>
      <c r="D1092" s="12" t="str">
        <f aca="false">INDEX('Country Tiers'!$C$2:$C$37,MATCH(C1092,'Country Tiers'!$A$2:$A$37,0))</f>
        <v>Tier 1</v>
      </c>
      <c r="E1092" s="12" t="n">
        <f aca="false">INDEX('Country Tiers'!$D$2:$D$37,MATCH(C1092,'Country Tiers'!$A$2:$A$37,0))</f>
        <v>3</v>
      </c>
    </row>
    <row r="1093" customFormat="false" ht="15" hidden="false" customHeight="false" outlineLevel="0" collapsed="false">
      <c r="A1093" s="12" t="s">
        <v>83</v>
      </c>
      <c r="B1093" s="12" t="s">
        <v>44</v>
      </c>
      <c r="C1093" s="12" t="s">
        <v>272</v>
      </c>
      <c r="D1093" s="12" t="str">
        <f aca="false">INDEX('Country Tiers'!$C$2:$C$37,MATCH(C1093,'Country Tiers'!$A$2:$A$37,0))</f>
        <v>Tier 2</v>
      </c>
      <c r="E1093" s="12" t="n">
        <f aca="false">INDEX('Country Tiers'!$D$2:$D$37,MATCH(C1093,'Country Tiers'!$A$2:$A$37,0))</f>
        <v>2</v>
      </c>
    </row>
    <row r="1094" customFormat="false" ht="15" hidden="false" customHeight="false" outlineLevel="0" collapsed="false">
      <c r="A1094" s="12" t="s">
        <v>83</v>
      </c>
      <c r="B1094" s="12" t="s">
        <v>44</v>
      </c>
      <c r="C1094" s="12" t="s">
        <v>309</v>
      </c>
      <c r="D1094" s="12" t="str">
        <f aca="false">INDEX('Country Tiers'!$C$2:$C$37,MATCH(C1094,'Country Tiers'!$A$2:$A$37,0))</f>
        <v>Tier 1</v>
      </c>
      <c r="E1094" s="12" t="n">
        <f aca="false">INDEX('Country Tiers'!$D$2:$D$37,MATCH(C1094,'Country Tiers'!$A$2:$A$37,0))</f>
        <v>3</v>
      </c>
    </row>
    <row r="1095" customFormat="false" ht="15" hidden="false" customHeight="false" outlineLevel="0" collapsed="false">
      <c r="A1095" s="12" t="s">
        <v>84</v>
      </c>
      <c r="B1095" s="12" t="s">
        <v>44</v>
      </c>
      <c r="C1095" s="12" t="s">
        <v>272</v>
      </c>
      <c r="D1095" s="12" t="str">
        <f aca="false">INDEX('Country Tiers'!$C$2:$C$37,MATCH(C1095,'Country Tiers'!$A$2:$A$37,0))</f>
        <v>Tier 2</v>
      </c>
      <c r="E1095" s="12" t="n">
        <f aca="false">INDEX('Country Tiers'!$D$2:$D$37,MATCH(C1095,'Country Tiers'!$A$2:$A$37,0))</f>
        <v>2</v>
      </c>
    </row>
    <row r="1096" customFormat="false" ht="15" hidden="false" customHeight="false" outlineLevel="0" collapsed="false">
      <c r="A1096" s="12" t="s">
        <v>84</v>
      </c>
      <c r="B1096" s="12" t="s">
        <v>44</v>
      </c>
      <c r="C1096" s="12" t="s">
        <v>309</v>
      </c>
      <c r="D1096" s="12" t="str">
        <f aca="false">INDEX('Country Tiers'!$C$2:$C$37,MATCH(C1096,'Country Tiers'!$A$2:$A$37,0))</f>
        <v>Tier 1</v>
      </c>
      <c r="E1096" s="12" t="n">
        <f aca="false">INDEX('Country Tiers'!$D$2:$D$37,MATCH(C1096,'Country Tiers'!$A$2:$A$37,0))</f>
        <v>3</v>
      </c>
    </row>
    <row r="1097" customFormat="false" ht="15" hidden="false" customHeight="false" outlineLevel="0" collapsed="false">
      <c r="A1097" s="12" t="s">
        <v>85</v>
      </c>
      <c r="B1097" s="12" t="s">
        <v>47</v>
      </c>
      <c r="C1097" s="12" t="s">
        <v>311</v>
      </c>
      <c r="D1097" s="12" t="str">
        <f aca="false">INDEX('Country Tiers'!$C$2:$C$37,MATCH(C1097,'Country Tiers'!$A$2:$A$37,0))</f>
        <v>Tier 1</v>
      </c>
      <c r="E1097" s="12" t="n">
        <f aca="false">INDEX('Country Tiers'!$D$2:$D$37,MATCH(C1097,'Country Tiers'!$A$2:$A$37,0))</f>
        <v>3</v>
      </c>
    </row>
    <row r="1098" customFormat="false" ht="15" hidden="false" customHeight="false" outlineLevel="0" collapsed="false">
      <c r="A1098" s="12" t="s">
        <v>86</v>
      </c>
      <c r="B1098" s="12" t="s">
        <v>47</v>
      </c>
      <c r="C1098" s="12" t="s">
        <v>274</v>
      </c>
      <c r="D1098" s="12" t="str">
        <f aca="false">INDEX('Country Tiers'!$C$2:$C$37,MATCH(C1098,'Country Tiers'!$A$2:$A$37,0))</f>
        <v>Tier 3</v>
      </c>
      <c r="E1098" s="12" t="n">
        <f aca="false">INDEX('Country Tiers'!$D$2:$D$37,MATCH(C1098,'Country Tiers'!$A$2:$A$37,0))</f>
        <v>1</v>
      </c>
    </row>
    <row r="1099" customFormat="false" ht="15" hidden="false" customHeight="false" outlineLevel="0" collapsed="false">
      <c r="A1099" s="12" t="s">
        <v>86</v>
      </c>
      <c r="B1099" s="12" t="s">
        <v>47</v>
      </c>
      <c r="C1099" s="12" t="s">
        <v>277</v>
      </c>
      <c r="D1099" s="12" t="str">
        <f aca="false">INDEX('Country Tiers'!$C$2:$C$37,MATCH(C1099,'Country Tiers'!$A$2:$A$37,0))</f>
        <v>Tier 1</v>
      </c>
      <c r="E1099" s="12" t="n">
        <f aca="false">INDEX('Country Tiers'!$D$2:$D$37,MATCH(C1099,'Country Tiers'!$A$2:$A$37,0))</f>
        <v>3</v>
      </c>
    </row>
    <row r="1100" customFormat="false" ht="15" hidden="false" customHeight="false" outlineLevel="0" collapsed="false">
      <c r="A1100" s="12" t="s">
        <v>86</v>
      </c>
      <c r="B1100" s="12" t="s">
        <v>47</v>
      </c>
      <c r="C1100" s="12" t="s">
        <v>278</v>
      </c>
      <c r="D1100" s="12" t="str">
        <f aca="false">INDEX('Country Tiers'!$C$2:$C$37,MATCH(C1100,'Country Tiers'!$A$2:$A$37,0))</f>
        <v>Tier 3</v>
      </c>
      <c r="E1100" s="12" t="n">
        <f aca="false">INDEX('Country Tiers'!$D$2:$D$37,MATCH(C1100,'Country Tiers'!$A$2:$A$37,0))</f>
        <v>1</v>
      </c>
    </row>
    <row r="1101" customFormat="false" ht="15" hidden="false" customHeight="false" outlineLevel="0" collapsed="false">
      <c r="A1101" s="12" t="s">
        <v>86</v>
      </c>
      <c r="B1101" s="12" t="s">
        <v>47</v>
      </c>
      <c r="C1101" s="12" t="s">
        <v>280</v>
      </c>
      <c r="D1101" s="12" t="str">
        <f aca="false">INDEX('Country Tiers'!$C$2:$C$37,MATCH(C1101,'Country Tiers'!$A$2:$A$37,0))</f>
        <v>Tier 3</v>
      </c>
      <c r="E1101" s="12" t="n">
        <f aca="false">INDEX('Country Tiers'!$D$2:$D$37,MATCH(C1101,'Country Tiers'!$A$2:$A$37,0))</f>
        <v>1</v>
      </c>
    </row>
    <row r="1102" customFormat="false" ht="15" hidden="false" customHeight="false" outlineLevel="0" collapsed="false">
      <c r="A1102" s="12" t="s">
        <v>86</v>
      </c>
      <c r="B1102" s="12" t="s">
        <v>47</v>
      </c>
      <c r="C1102" s="12" t="s">
        <v>281</v>
      </c>
      <c r="D1102" s="12" t="str">
        <f aca="false">INDEX('Country Tiers'!$C$2:$C$37,MATCH(C1102,'Country Tiers'!$A$2:$A$37,0))</f>
        <v>Tier 3</v>
      </c>
      <c r="E1102" s="12" t="n">
        <f aca="false">INDEX('Country Tiers'!$D$2:$D$37,MATCH(C1102,'Country Tiers'!$A$2:$A$37,0))</f>
        <v>1</v>
      </c>
    </row>
    <row r="1103" customFormat="false" ht="15" hidden="false" customHeight="false" outlineLevel="0" collapsed="false">
      <c r="A1103" s="12" t="s">
        <v>86</v>
      </c>
      <c r="B1103" s="12" t="s">
        <v>47</v>
      </c>
      <c r="C1103" s="12" t="s">
        <v>282</v>
      </c>
      <c r="D1103" s="12" t="str">
        <f aca="false">INDEX('Country Tiers'!$C$2:$C$37,MATCH(C1103,'Country Tiers'!$A$2:$A$37,0))</f>
        <v>Tier 3</v>
      </c>
      <c r="E1103" s="12" t="n">
        <f aca="false">INDEX('Country Tiers'!$D$2:$D$37,MATCH(C1103,'Country Tiers'!$A$2:$A$37,0))</f>
        <v>1</v>
      </c>
    </row>
    <row r="1104" customFormat="false" ht="15" hidden="false" customHeight="false" outlineLevel="0" collapsed="false">
      <c r="A1104" s="12" t="s">
        <v>86</v>
      </c>
      <c r="B1104" s="12" t="s">
        <v>47</v>
      </c>
      <c r="C1104" s="12" t="s">
        <v>283</v>
      </c>
      <c r="D1104" s="12" t="str">
        <f aca="false">INDEX('Country Tiers'!$C$2:$C$37,MATCH(C1104,'Country Tiers'!$A$2:$A$37,0))</f>
        <v>Tier 3</v>
      </c>
      <c r="E1104" s="12" t="n">
        <f aca="false">INDEX('Country Tiers'!$D$2:$D$37,MATCH(C1104,'Country Tiers'!$A$2:$A$37,0))</f>
        <v>1</v>
      </c>
    </row>
    <row r="1105" customFormat="false" ht="15" hidden="false" customHeight="false" outlineLevel="0" collapsed="false">
      <c r="A1105" s="12" t="s">
        <v>86</v>
      </c>
      <c r="B1105" s="12" t="s">
        <v>47</v>
      </c>
      <c r="C1105" s="12" t="s">
        <v>284</v>
      </c>
      <c r="D1105" s="12" t="str">
        <f aca="false">INDEX('Country Tiers'!$C$2:$C$37,MATCH(C1105,'Country Tiers'!$A$2:$A$37,0))</f>
        <v>Tier 3</v>
      </c>
      <c r="E1105" s="12" t="n">
        <f aca="false">INDEX('Country Tiers'!$D$2:$D$37,MATCH(C1105,'Country Tiers'!$A$2:$A$37,0))</f>
        <v>1</v>
      </c>
    </row>
    <row r="1106" customFormat="false" ht="15" hidden="false" customHeight="false" outlineLevel="0" collapsed="false">
      <c r="A1106" s="12" t="s">
        <v>86</v>
      </c>
      <c r="B1106" s="12" t="s">
        <v>47</v>
      </c>
      <c r="C1106" s="12" t="s">
        <v>285</v>
      </c>
      <c r="D1106" s="12" t="str">
        <f aca="false">INDEX('Country Tiers'!$C$2:$C$37,MATCH(C1106,'Country Tiers'!$A$2:$A$37,0))</f>
        <v>Tier 3</v>
      </c>
      <c r="E1106" s="12" t="n">
        <f aca="false">INDEX('Country Tiers'!$D$2:$D$37,MATCH(C1106,'Country Tiers'!$A$2:$A$37,0))</f>
        <v>1</v>
      </c>
    </row>
    <row r="1107" customFormat="false" ht="15" hidden="false" customHeight="false" outlineLevel="0" collapsed="false">
      <c r="A1107" s="12" t="s">
        <v>86</v>
      </c>
      <c r="B1107" s="12" t="s">
        <v>47</v>
      </c>
      <c r="C1107" s="12" t="s">
        <v>286</v>
      </c>
      <c r="D1107" s="12" t="str">
        <f aca="false">INDEX('Country Tiers'!$C$2:$C$37,MATCH(C1107,'Country Tiers'!$A$2:$A$37,0))</f>
        <v>Tier 1</v>
      </c>
      <c r="E1107" s="12" t="n">
        <f aca="false">INDEX('Country Tiers'!$D$2:$D$37,MATCH(C1107,'Country Tiers'!$A$2:$A$37,0))</f>
        <v>3</v>
      </c>
    </row>
    <row r="1108" customFormat="false" ht="15" hidden="false" customHeight="false" outlineLevel="0" collapsed="false">
      <c r="A1108" s="12" t="s">
        <v>86</v>
      </c>
      <c r="B1108" s="12" t="s">
        <v>47</v>
      </c>
      <c r="C1108" s="12" t="s">
        <v>287</v>
      </c>
      <c r="D1108" s="12" t="str">
        <f aca="false">INDEX('Country Tiers'!$C$2:$C$37,MATCH(C1108,'Country Tiers'!$A$2:$A$37,0))</f>
        <v>Tier 1</v>
      </c>
      <c r="E1108" s="12" t="n">
        <f aca="false">INDEX('Country Tiers'!$D$2:$D$37,MATCH(C1108,'Country Tiers'!$A$2:$A$37,0))</f>
        <v>3</v>
      </c>
    </row>
    <row r="1109" customFormat="false" ht="15" hidden="false" customHeight="false" outlineLevel="0" collapsed="false">
      <c r="A1109" s="12" t="s">
        <v>86</v>
      </c>
      <c r="B1109" s="12" t="s">
        <v>47</v>
      </c>
      <c r="C1109" s="12" t="s">
        <v>288</v>
      </c>
      <c r="D1109" s="12" t="str">
        <f aca="false">INDEX('Country Tiers'!$C$2:$C$37,MATCH(C1109,'Country Tiers'!$A$2:$A$37,0))</f>
        <v>Tier 3</v>
      </c>
      <c r="E1109" s="12" t="n">
        <f aca="false">INDEX('Country Tiers'!$D$2:$D$37,MATCH(C1109,'Country Tiers'!$A$2:$A$37,0))</f>
        <v>1</v>
      </c>
    </row>
    <row r="1110" customFormat="false" ht="15" hidden="false" customHeight="false" outlineLevel="0" collapsed="false">
      <c r="A1110" s="12" t="s">
        <v>86</v>
      </c>
      <c r="B1110" s="12" t="s">
        <v>47</v>
      </c>
      <c r="C1110" s="12" t="s">
        <v>289</v>
      </c>
      <c r="D1110" s="12" t="str">
        <f aca="false">INDEX('Country Tiers'!$C$2:$C$37,MATCH(C1110,'Country Tiers'!$A$2:$A$37,0))</f>
        <v>Tier 3</v>
      </c>
      <c r="E1110" s="12" t="n">
        <f aca="false">INDEX('Country Tiers'!$D$2:$D$37,MATCH(C1110,'Country Tiers'!$A$2:$A$37,0))</f>
        <v>1</v>
      </c>
    </row>
    <row r="1111" customFormat="false" ht="15" hidden="false" customHeight="false" outlineLevel="0" collapsed="false">
      <c r="A1111" s="12" t="s">
        <v>86</v>
      </c>
      <c r="B1111" s="12" t="s">
        <v>47</v>
      </c>
      <c r="C1111" s="12" t="s">
        <v>290</v>
      </c>
      <c r="D1111" s="12" t="str">
        <f aca="false">INDEX('Country Tiers'!$C$2:$C$37,MATCH(C1111,'Country Tiers'!$A$2:$A$37,0))</f>
        <v>Tier 3</v>
      </c>
      <c r="E1111" s="12" t="n">
        <f aca="false">INDEX('Country Tiers'!$D$2:$D$37,MATCH(C1111,'Country Tiers'!$A$2:$A$37,0))</f>
        <v>1</v>
      </c>
    </row>
    <row r="1112" customFormat="false" ht="15" hidden="false" customHeight="false" outlineLevel="0" collapsed="false">
      <c r="A1112" s="12" t="s">
        <v>86</v>
      </c>
      <c r="B1112" s="12" t="s">
        <v>47</v>
      </c>
      <c r="C1112" s="12" t="s">
        <v>291</v>
      </c>
      <c r="D1112" s="12" t="str">
        <f aca="false">INDEX('Country Tiers'!$C$2:$C$37,MATCH(C1112,'Country Tiers'!$A$2:$A$37,0))</f>
        <v>Tier 3</v>
      </c>
      <c r="E1112" s="12" t="n">
        <f aca="false">INDEX('Country Tiers'!$D$2:$D$37,MATCH(C1112,'Country Tiers'!$A$2:$A$37,0))</f>
        <v>1</v>
      </c>
    </row>
    <row r="1113" customFormat="false" ht="15" hidden="false" customHeight="false" outlineLevel="0" collapsed="false">
      <c r="A1113" s="12" t="s">
        <v>86</v>
      </c>
      <c r="B1113" s="12" t="s">
        <v>47</v>
      </c>
      <c r="C1113" s="12" t="s">
        <v>292</v>
      </c>
      <c r="D1113" s="12" t="str">
        <f aca="false">INDEX('Country Tiers'!$C$2:$C$37,MATCH(C1113,'Country Tiers'!$A$2:$A$37,0))</f>
        <v>Tier 2</v>
      </c>
      <c r="E1113" s="12" t="n">
        <f aca="false">INDEX('Country Tiers'!$D$2:$D$37,MATCH(C1113,'Country Tiers'!$A$2:$A$37,0))</f>
        <v>2</v>
      </c>
    </row>
    <row r="1114" customFormat="false" ht="15" hidden="false" customHeight="false" outlineLevel="0" collapsed="false">
      <c r="A1114" s="12" t="s">
        <v>86</v>
      </c>
      <c r="B1114" s="12" t="s">
        <v>47</v>
      </c>
      <c r="C1114" s="12" t="s">
        <v>294</v>
      </c>
      <c r="D1114" s="12" t="str">
        <f aca="false">INDEX('Country Tiers'!$C$2:$C$37,MATCH(C1114,'Country Tiers'!$A$2:$A$37,0))</f>
        <v>Tier 3</v>
      </c>
      <c r="E1114" s="12" t="n">
        <f aca="false">INDEX('Country Tiers'!$D$2:$D$37,MATCH(C1114,'Country Tiers'!$A$2:$A$37,0))</f>
        <v>1</v>
      </c>
    </row>
    <row r="1115" customFormat="false" ht="15" hidden="false" customHeight="false" outlineLevel="0" collapsed="false">
      <c r="A1115" s="12" t="s">
        <v>86</v>
      </c>
      <c r="B1115" s="12" t="s">
        <v>47</v>
      </c>
      <c r="C1115" s="12" t="s">
        <v>296</v>
      </c>
      <c r="D1115" s="12" t="str">
        <f aca="false">INDEX('Country Tiers'!$C$2:$C$37,MATCH(C1115,'Country Tiers'!$A$2:$A$37,0))</f>
        <v>Tier 3</v>
      </c>
      <c r="E1115" s="12" t="n">
        <f aca="false">INDEX('Country Tiers'!$D$2:$D$37,MATCH(C1115,'Country Tiers'!$A$2:$A$37,0))</f>
        <v>1</v>
      </c>
    </row>
    <row r="1116" customFormat="false" ht="15" hidden="false" customHeight="false" outlineLevel="0" collapsed="false">
      <c r="A1116" s="12" t="s">
        <v>86</v>
      </c>
      <c r="B1116" s="12" t="s">
        <v>47</v>
      </c>
      <c r="C1116" s="12" t="s">
        <v>297</v>
      </c>
      <c r="D1116" s="12" t="str">
        <f aca="false">INDEX('Country Tiers'!$C$2:$C$37,MATCH(C1116,'Country Tiers'!$A$2:$A$37,0))</f>
        <v>Tier 2</v>
      </c>
      <c r="E1116" s="12" t="n">
        <f aca="false">INDEX('Country Tiers'!$D$2:$D$37,MATCH(C1116,'Country Tiers'!$A$2:$A$37,0))</f>
        <v>2</v>
      </c>
    </row>
    <row r="1117" customFormat="false" ht="15" hidden="false" customHeight="false" outlineLevel="0" collapsed="false">
      <c r="A1117" s="12" t="s">
        <v>86</v>
      </c>
      <c r="B1117" s="12" t="s">
        <v>47</v>
      </c>
      <c r="C1117" s="12" t="s">
        <v>298</v>
      </c>
      <c r="D1117" s="12" t="str">
        <f aca="false">INDEX('Country Tiers'!$C$2:$C$37,MATCH(C1117,'Country Tiers'!$A$2:$A$37,0))</f>
        <v>Tier 1</v>
      </c>
      <c r="E1117" s="12" t="n">
        <f aca="false">INDEX('Country Tiers'!$D$2:$D$37,MATCH(C1117,'Country Tiers'!$A$2:$A$37,0))</f>
        <v>3</v>
      </c>
    </row>
    <row r="1118" customFormat="false" ht="15" hidden="false" customHeight="false" outlineLevel="0" collapsed="false">
      <c r="A1118" s="12" t="s">
        <v>86</v>
      </c>
      <c r="B1118" s="12" t="s">
        <v>47</v>
      </c>
      <c r="C1118" s="12" t="s">
        <v>299</v>
      </c>
      <c r="D1118" s="12" t="str">
        <f aca="false">INDEX('Country Tiers'!$C$2:$C$37,MATCH(C1118,'Country Tiers'!$A$2:$A$37,0))</f>
        <v>Tier 3</v>
      </c>
      <c r="E1118" s="12" t="n">
        <f aca="false">INDEX('Country Tiers'!$D$2:$D$37,MATCH(C1118,'Country Tiers'!$A$2:$A$37,0))</f>
        <v>1</v>
      </c>
    </row>
    <row r="1119" customFormat="false" ht="15" hidden="false" customHeight="false" outlineLevel="0" collapsed="false">
      <c r="A1119" s="12" t="s">
        <v>86</v>
      </c>
      <c r="B1119" s="12" t="s">
        <v>47</v>
      </c>
      <c r="C1119" s="12" t="s">
        <v>300</v>
      </c>
      <c r="D1119" s="12" t="str">
        <f aca="false">INDEX('Country Tiers'!$C$2:$C$37,MATCH(C1119,'Country Tiers'!$A$2:$A$37,0))</f>
        <v>Tier 3</v>
      </c>
      <c r="E1119" s="12" t="n">
        <f aca="false">INDEX('Country Tiers'!$D$2:$D$37,MATCH(C1119,'Country Tiers'!$A$2:$A$37,0))</f>
        <v>1</v>
      </c>
    </row>
    <row r="1120" customFormat="false" ht="15" hidden="false" customHeight="false" outlineLevel="0" collapsed="false">
      <c r="A1120" s="12" t="s">
        <v>86</v>
      </c>
      <c r="B1120" s="12" t="s">
        <v>47</v>
      </c>
      <c r="C1120" s="12" t="s">
        <v>301</v>
      </c>
      <c r="D1120" s="12" t="str">
        <f aca="false">INDEX('Country Tiers'!$C$2:$C$37,MATCH(C1120,'Country Tiers'!$A$2:$A$37,0))</f>
        <v>Tier 3</v>
      </c>
      <c r="E1120" s="12" t="n">
        <f aca="false">INDEX('Country Tiers'!$D$2:$D$37,MATCH(C1120,'Country Tiers'!$A$2:$A$37,0))</f>
        <v>1</v>
      </c>
    </row>
    <row r="1121" customFormat="false" ht="15" hidden="false" customHeight="false" outlineLevel="0" collapsed="false">
      <c r="A1121" s="12" t="s">
        <v>86</v>
      </c>
      <c r="B1121" s="12" t="s">
        <v>47</v>
      </c>
      <c r="C1121" s="12" t="s">
        <v>302</v>
      </c>
      <c r="D1121" s="12" t="str">
        <f aca="false">INDEX('Country Tiers'!$C$2:$C$37,MATCH(C1121,'Country Tiers'!$A$2:$A$37,0))</f>
        <v>Tier 3</v>
      </c>
      <c r="E1121" s="12" t="n">
        <f aca="false">INDEX('Country Tiers'!$D$2:$D$37,MATCH(C1121,'Country Tiers'!$A$2:$A$37,0))</f>
        <v>1</v>
      </c>
    </row>
    <row r="1122" customFormat="false" ht="15" hidden="false" customHeight="false" outlineLevel="0" collapsed="false">
      <c r="A1122" s="12" t="s">
        <v>86</v>
      </c>
      <c r="B1122" s="12" t="s">
        <v>47</v>
      </c>
      <c r="C1122" s="12" t="s">
        <v>306</v>
      </c>
      <c r="D1122" s="12" t="str">
        <f aca="false">INDEX('Country Tiers'!$C$2:$C$37,MATCH(C1122,'Country Tiers'!$A$2:$A$37,0))</f>
        <v>Tier 3</v>
      </c>
      <c r="E1122" s="12" t="n">
        <f aca="false">INDEX('Country Tiers'!$D$2:$D$37,MATCH(C1122,'Country Tiers'!$A$2:$A$37,0))</f>
        <v>1</v>
      </c>
    </row>
    <row r="1123" customFormat="false" ht="15" hidden="false" customHeight="false" outlineLevel="0" collapsed="false">
      <c r="A1123" s="12" t="s">
        <v>86</v>
      </c>
      <c r="B1123" s="12" t="s">
        <v>47</v>
      </c>
      <c r="C1123" s="12" t="s">
        <v>307</v>
      </c>
      <c r="D1123" s="12" t="str">
        <f aca="false">INDEX('Country Tiers'!$C$2:$C$37,MATCH(C1123,'Country Tiers'!$A$2:$A$37,0))</f>
        <v>Tier 2</v>
      </c>
      <c r="E1123" s="12" t="n">
        <f aca="false">INDEX('Country Tiers'!$D$2:$D$37,MATCH(C1123,'Country Tiers'!$A$2:$A$37,0))</f>
        <v>2</v>
      </c>
    </row>
    <row r="1124" customFormat="false" ht="15" hidden="false" customHeight="false" outlineLevel="0" collapsed="false">
      <c r="A1124" s="12" t="s">
        <v>86</v>
      </c>
      <c r="B1124" s="12" t="s">
        <v>47</v>
      </c>
      <c r="C1124" s="12" t="s">
        <v>308</v>
      </c>
      <c r="D1124" s="12" t="str">
        <f aca="false">INDEX('Country Tiers'!$C$2:$C$37,MATCH(C1124,'Country Tiers'!$A$2:$A$37,0))</f>
        <v>Tier 3</v>
      </c>
      <c r="E1124" s="12" t="n">
        <f aca="false">INDEX('Country Tiers'!$D$2:$D$37,MATCH(C1124,'Country Tiers'!$A$2:$A$37,0))</f>
        <v>1</v>
      </c>
    </row>
    <row r="1125" customFormat="false" ht="15" hidden="false" customHeight="false" outlineLevel="0" collapsed="false">
      <c r="A1125" s="12" t="s">
        <v>86</v>
      </c>
      <c r="B1125" s="12" t="s">
        <v>47</v>
      </c>
      <c r="C1125" s="12" t="s">
        <v>313</v>
      </c>
      <c r="D1125" s="12" t="str">
        <f aca="false">INDEX('Country Tiers'!$C$2:$C$37,MATCH(C1125,'Country Tiers'!$A$2:$A$37,0))</f>
        <v>Tier 1</v>
      </c>
      <c r="E1125" s="12" t="n">
        <f aca="false">INDEX('Country Tiers'!$D$2:$D$37,MATCH(C1125,'Country Tiers'!$A$2:$A$37,0))</f>
        <v>3</v>
      </c>
    </row>
    <row r="1126" customFormat="false" ht="15" hidden="false" customHeight="false" outlineLevel="0" collapsed="false">
      <c r="A1126" s="12" t="s">
        <v>86</v>
      </c>
      <c r="B1126" s="12" t="s">
        <v>54</v>
      </c>
      <c r="C1126" s="12" t="s">
        <v>272</v>
      </c>
      <c r="D1126" s="12" t="str">
        <f aca="false">INDEX('Country Tiers'!$C$2:$C$37,MATCH(C1126,'Country Tiers'!$A$2:$A$37,0))</f>
        <v>Tier 2</v>
      </c>
      <c r="E1126" s="12" t="n">
        <f aca="false">INDEX('Country Tiers'!$D$2:$D$37,MATCH(C1126,'Country Tiers'!$A$2:$A$37,0))</f>
        <v>2</v>
      </c>
    </row>
    <row r="1127" customFormat="false" ht="15" hidden="false" customHeight="false" outlineLevel="0" collapsed="false">
      <c r="A1127" s="12" t="s">
        <v>86</v>
      </c>
      <c r="B1127" s="12" t="s">
        <v>54</v>
      </c>
      <c r="C1127" s="12" t="s">
        <v>274</v>
      </c>
      <c r="D1127" s="12" t="str">
        <f aca="false">INDEX('Country Tiers'!$C$2:$C$37,MATCH(C1127,'Country Tiers'!$A$2:$A$37,0))</f>
        <v>Tier 3</v>
      </c>
      <c r="E1127" s="12" t="n">
        <f aca="false">INDEX('Country Tiers'!$D$2:$D$37,MATCH(C1127,'Country Tiers'!$A$2:$A$37,0))</f>
        <v>1</v>
      </c>
    </row>
    <row r="1128" customFormat="false" ht="15" hidden="false" customHeight="false" outlineLevel="0" collapsed="false">
      <c r="A1128" s="12" t="s">
        <v>86</v>
      </c>
      <c r="B1128" s="12" t="s">
        <v>54</v>
      </c>
      <c r="C1128" s="12" t="s">
        <v>277</v>
      </c>
      <c r="D1128" s="12" t="str">
        <f aca="false">INDEX('Country Tiers'!$C$2:$C$37,MATCH(C1128,'Country Tiers'!$A$2:$A$37,0))</f>
        <v>Tier 1</v>
      </c>
      <c r="E1128" s="12" t="n">
        <f aca="false">INDEX('Country Tiers'!$D$2:$D$37,MATCH(C1128,'Country Tiers'!$A$2:$A$37,0))</f>
        <v>3</v>
      </c>
    </row>
    <row r="1129" customFormat="false" ht="15" hidden="false" customHeight="false" outlineLevel="0" collapsed="false">
      <c r="A1129" s="12" t="s">
        <v>86</v>
      </c>
      <c r="B1129" s="12" t="s">
        <v>54</v>
      </c>
      <c r="C1129" s="12" t="s">
        <v>278</v>
      </c>
      <c r="D1129" s="12" t="str">
        <f aca="false">INDEX('Country Tiers'!$C$2:$C$37,MATCH(C1129,'Country Tiers'!$A$2:$A$37,0))</f>
        <v>Tier 3</v>
      </c>
      <c r="E1129" s="12" t="n">
        <f aca="false">INDEX('Country Tiers'!$D$2:$D$37,MATCH(C1129,'Country Tiers'!$A$2:$A$37,0))</f>
        <v>1</v>
      </c>
    </row>
    <row r="1130" customFormat="false" ht="15" hidden="false" customHeight="false" outlineLevel="0" collapsed="false">
      <c r="A1130" s="12" t="s">
        <v>86</v>
      </c>
      <c r="B1130" s="12" t="s">
        <v>54</v>
      </c>
      <c r="C1130" s="12" t="s">
        <v>280</v>
      </c>
      <c r="D1130" s="12" t="str">
        <f aca="false">INDEX('Country Tiers'!$C$2:$C$37,MATCH(C1130,'Country Tiers'!$A$2:$A$37,0))</f>
        <v>Tier 3</v>
      </c>
      <c r="E1130" s="12" t="n">
        <f aca="false">INDEX('Country Tiers'!$D$2:$D$37,MATCH(C1130,'Country Tiers'!$A$2:$A$37,0))</f>
        <v>1</v>
      </c>
    </row>
    <row r="1131" customFormat="false" ht="15" hidden="false" customHeight="false" outlineLevel="0" collapsed="false">
      <c r="A1131" s="12" t="s">
        <v>86</v>
      </c>
      <c r="B1131" s="12" t="s">
        <v>54</v>
      </c>
      <c r="C1131" s="12" t="s">
        <v>281</v>
      </c>
      <c r="D1131" s="12" t="str">
        <f aca="false">INDEX('Country Tiers'!$C$2:$C$37,MATCH(C1131,'Country Tiers'!$A$2:$A$37,0))</f>
        <v>Tier 3</v>
      </c>
      <c r="E1131" s="12" t="n">
        <f aca="false">INDEX('Country Tiers'!$D$2:$D$37,MATCH(C1131,'Country Tiers'!$A$2:$A$37,0))</f>
        <v>1</v>
      </c>
    </row>
    <row r="1132" customFormat="false" ht="15" hidden="false" customHeight="false" outlineLevel="0" collapsed="false">
      <c r="A1132" s="12" t="s">
        <v>86</v>
      </c>
      <c r="B1132" s="12" t="s">
        <v>54</v>
      </c>
      <c r="C1132" s="12" t="s">
        <v>282</v>
      </c>
      <c r="D1132" s="12" t="str">
        <f aca="false">INDEX('Country Tiers'!$C$2:$C$37,MATCH(C1132,'Country Tiers'!$A$2:$A$37,0))</f>
        <v>Tier 3</v>
      </c>
      <c r="E1132" s="12" t="n">
        <f aca="false">INDEX('Country Tiers'!$D$2:$D$37,MATCH(C1132,'Country Tiers'!$A$2:$A$37,0))</f>
        <v>1</v>
      </c>
    </row>
    <row r="1133" customFormat="false" ht="15" hidden="false" customHeight="false" outlineLevel="0" collapsed="false">
      <c r="A1133" s="12" t="s">
        <v>86</v>
      </c>
      <c r="B1133" s="12" t="s">
        <v>54</v>
      </c>
      <c r="C1133" s="12" t="s">
        <v>283</v>
      </c>
      <c r="D1133" s="12" t="str">
        <f aca="false">INDEX('Country Tiers'!$C$2:$C$37,MATCH(C1133,'Country Tiers'!$A$2:$A$37,0))</f>
        <v>Tier 3</v>
      </c>
      <c r="E1133" s="12" t="n">
        <f aca="false">INDEX('Country Tiers'!$D$2:$D$37,MATCH(C1133,'Country Tiers'!$A$2:$A$37,0))</f>
        <v>1</v>
      </c>
    </row>
    <row r="1134" customFormat="false" ht="15" hidden="false" customHeight="false" outlineLevel="0" collapsed="false">
      <c r="A1134" s="12" t="s">
        <v>86</v>
      </c>
      <c r="B1134" s="12" t="s">
        <v>54</v>
      </c>
      <c r="C1134" s="12" t="s">
        <v>284</v>
      </c>
      <c r="D1134" s="12" t="str">
        <f aca="false">INDEX('Country Tiers'!$C$2:$C$37,MATCH(C1134,'Country Tiers'!$A$2:$A$37,0))</f>
        <v>Tier 3</v>
      </c>
      <c r="E1134" s="12" t="n">
        <f aca="false">INDEX('Country Tiers'!$D$2:$D$37,MATCH(C1134,'Country Tiers'!$A$2:$A$37,0))</f>
        <v>1</v>
      </c>
    </row>
    <row r="1135" customFormat="false" ht="15" hidden="false" customHeight="false" outlineLevel="0" collapsed="false">
      <c r="A1135" s="12" t="s">
        <v>86</v>
      </c>
      <c r="B1135" s="12" t="s">
        <v>54</v>
      </c>
      <c r="C1135" s="12" t="s">
        <v>285</v>
      </c>
      <c r="D1135" s="12" t="str">
        <f aca="false">INDEX('Country Tiers'!$C$2:$C$37,MATCH(C1135,'Country Tiers'!$A$2:$A$37,0))</f>
        <v>Tier 3</v>
      </c>
      <c r="E1135" s="12" t="n">
        <f aca="false">INDEX('Country Tiers'!$D$2:$D$37,MATCH(C1135,'Country Tiers'!$A$2:$A$37,0))</f>
        <v>1</v>
      </c>
    </row>
    <row r="1136" customFormat="false" ht="15" hidden="false" customHeight="false" outlineLevel="0" collapsed="false">
      <c r="A1136" s="12" t="s">
        <v>86</v>
      </c>
      <c r="B1136" s="12" t="s">
        <v>54</v>
      </c>
      <c r="C1136" s="12" t="s">
        <v>286</v>
      </c>
      <c r="D1136" s="12" t="str">
        <f aca="false">INDEX('Country Tiers'!$C$2:$C$37,MATCH(C1136,'Country Tiers'!$A$2:$A$37,0))</f>
        <v>Tier 1</v>
      </c>
      <c r="E1136" s="12" t="n">
        <f aca="false">INDEX('Country Tiers'!$D$2:$D$37,MATCH(C1136,'Country Tiers'!$A$2:$A$37,0))</f>
        <v>3</v>
      </c>
    </row>
    <row r="1137" customFormat="false" ht="15" hidden="false" customHeight="false" outlineLevel="0" collapsed="false">
      <c r="A1137" s="12" t="s">
        <v>86</v>
      </c>
      <c r="B1137" s="12" t="s">
        <v>54</v>
      </c>
      <c r="C1137" s="12" t="s">
        <v>287</v>
      </c>
      <c r="D1137" s="12" t="str">
        <f aca="false">INDEX('Country Tiers'!$C$2:$C$37,MATCH(C1137,'Country Tiers'!$A$2:$A$37,0))</f>
        <v>Tier 1</v>
      </c>
      <c r="E1137" s="12" t="n">
        <f aca="false">INDEX('Country Tiers'!$D$2:$D$37,MATCH(C1137,'Country Tiers'!$A$2:$A$37,0))</f>
        <v>3</v>
      </c>
    </row>
    <row r="1138" customFormat="false" ht="15" hidden="false" customHeight="false" outlineLevel="0" collapsed="false">
      <c r="A1138" s="12" t="s">
        <v>86</v>
      </c>
      <c r="B1138" s="12" t="s">
        <v>54</v>
      </c>
      <c r="C1138" s="12" t="s">
        <v>288</v>
      </c>
      <c r="D1138" s="12" t="str">
        <f aca="false">INDEX('Country Tiers'!$C$2:$C$37,MATCH(C1138,'Country Tiers'!$A$2:$A$37,0))</f>
        <v>Tier 3</v>
      </c>
      <c r="E1138" s="12" t="n">
        <f aca="false">INDEX('Country Tiers'!$D$2:$D$37,MATCH(C1138,'Country Tiers'!$A$2:$A$37,0))</f>
        <v>1</v>
      </c>
    </row>
    <row r="1139" customFormat="false" ht="15" hidden="false" customHeight="false" outlineLevel="0" collapsed="false">
      <c r="A1139" s="12" t="s">
        <v>86</v>
      </c>
      <c r="B1139" s="12" t="s">
        <v>54</v>
      </c>
      <c r="C1139" s="12" t="s">
        <v>289</v>
      </c>
      <c r="D1139" s="12" t="str">
        <f aca="false">INDEX('Country Tiers'!$C$2:$C$37,MATCH(C1139,'Country Tiers'!$A$2:$A$37,0))</f>
        <v>Tier 3</v>
      </c>
      <c r="E1139" s="12" t="n">
        <f aca="false">INDEX('Country Tiers'!$D$2:$D$37,MATCH(C1139,'Country Tiers'!$A$2:$A$37,0))</f>
        <v>1</v>
      </c>
    </row>
    <row r="1140" customFormat="false" ht="15" hidden="false" customHeight="false" outlineLevel="0" collapsed="false">
      <c r="A1140" s="12" t="s">
        <v>86</v>
      </c>
      <c r="B1140" s="12" t="s">
        <v>54</v>
      </c>
      <c r="C1140" s="12" t="s">
        <v>290</v>
      </c>
      <c r="D1140" s="12" t="str">
        <f aca="false">INDEX('Country Tiers'!$C$2:$C$37,MATCH(C1140,'Country Tiers'!$A$2:$A$37,0))</f>
        <v>Tier 3</v>
      </c>
      <c r="E1140" s="12" t="n">
        <f aca="false">INDEX('Country Tiers'!$D$2:$D$37,MATCH(C1140,'Country Tiers'!$A$2:$A$37,0))</f>
        <v>1</v>
      </c>
    </row>
    <row r="1141" customFormat="false" ht="15" hidden="false" customHeight="false" outlineLevel="0" collapsed="false">
      <c r="A1141" s="12" t="s">
        <v>86</v>
      </c>
      <c r="B1141" s="12" t="s">
        <v>54</v>
      </c>
      <c r="C1141" s="12" t="s">
        <v>291</v>
      </c>
      <c r="D1141" s="12" t="str">
        <f aca="false">INDEX('Country Tiers'!$C$2:$C$37,MATCH(C1141,'Country Tiers'!$A$2:$A$37,0))</f>
        <v>Tier 3</v>
      </c>
      <c r="E1141" s="12" t="n">
        <f aca="false">INDEX('Country Tiers'!$D$2:$D$37,MATCH(C1141,'Country Tiers'!$A$2:$A$37,0))</f>
        <v>1</v>
      </c>
    </row>
    <row r="1142" customFormat="false" ht="15" hidden="false" customHeight="false" outlineLevel="0" collapsed="false">
      <c r="A1142" s="12" t="s">
        <v>86</v>
      </c>
      <c r="B1142" s="12" t="s">
        <v>54</v>
      </c>
      <c r="C1142" s="12" t="s">
        <v>292</v>
      </c>
      <c r="D1142" s="12" t="str">
        <f aca="false">INDEX('Country Tiers'!$C$2:$C$37,MATCH(C1142,'Country Tiers'!$A$2:$A$37,0))</f>
        <v>Tier 2</v>
      </c>
      <c r="E1142" s="12" t="n">
        <f aca="false">INDEX('Country Tiers'!$D$2:$D$37,MATCH(C1142,'Country Tiers'!$A$2:$A$37,0))</f>
        <v>2</v>
      </c>
    </row>
    <row r="1143" customFormat="false" ht="15" hidden="false" customHeight="false" outlineLevel="0" collapsed="false">
      <c r="A1143" s="12" t="s">
        <v>86</v>
      </c>
      <c r="B1143" s="12" t="s">
        <v>54</v>
      </c>
      <c r="C1143" s="12" t="s">
        <v>294</v>
      </c>
      <c r="D1143" s="12" t="str">
        <f aca="false">INDEX('Country Tiers'!$C$2:$C$37,MATCH(C1143,'Country Tiers'!$A$2:$A$37,0))</f>
        <v>Tier 3</v>
      </c>
      <c r="E1143" s="12" t="n">
        <f aca="false">INDEX('Country Tiers'!$D$2:$D$37,MATCH(C1143,'Country Tiers'!$A$2:$A$37,0))</f>
        <v>1</v>
      </c>
    </row>
    <row r="1144" customFormat="false" ht="15" hidden="false" customHeight="false" outlineLevel="0" collapsed="false">
      <c r="A1144" s="12" t="s">
        <v>86</v>
      </c>
      <c r="B1144" s="12" t="s">
        <v>54</v>
      </c>
      <c r="C1144" s="12" t="s">
        <v>296</v>
      </c>
      <c r="D1144" s="12" t="str">
        <f aca="false">INDEX('Country Tiers'!$C$2:$C$37,MATCH(C1144,'Country Tiers'!$A$2:$A$37,0))</f>
        <v>Tier 3</v>
      </c>
      <c r="E1144" s="12" t="n">
        <f aca="false">INDEX('Country Tiers'!$D$2:$D$37,MATCH(C1144,'Country Tiers'!$A$2:$A$37,0))</f>
        <v>1</v>
      </c>
    </row>
    <row r="1145" customFormat="false" ht="15" hidden="false" customHeight="false" outlineLevel="0" collapsed="false">
      <c r="A1145" s="12" t="s">
        <v>86</v>
      </c>
      <c r="B1145" s="12" t="s">
        <v>54</v>
      </c>
      <c r="C1145" s="12" t="s">
        <v>297</v>
      </c>
      <c r="D1145" s="12" t="str">
        <f aca="false">INDEX('Country Tiers'!$C$2:$C$37,MATCH(C1145,'Country Tiers'!$A$2:$A$37,0))</f>
        <v>Tier 2</v>
      </c>
      <c r="E1145" s="12" t="n">
        <f aca="false">INDEX('Country Tiers'!$D$2:$D$37,MATCH(C1145,'Country Tiers'!$A$2:$A$37,0))</f>
        <v>2</v>
      </c>
    </row>
    <row r="1146" customFormat="false" ht="15" hidden="false" customHeight="false" outlineLevel="0" collapsed="false">
      <c r="A1146" s="12" t="s">
        <v>86</v>
      </c>
      <c r="B1146" s="12" t="s">
        <v>54</v>
      </c>
      <c r="C1146" s="12" t="s">
        <v>298</v>
      </c>
      <c r="D1146" s="12" t="str">
        <f aca="false">INDEX('Country Tiers'!$C$2:$C$37,MATCH(C1146,'Country Tiers'!$A$2:$A$37,0))</f>
        <v>Tier 1</v>
      </c>
      <c r="E1146" s="12" t="n">
        <f aca="false">INDEX('Country Tiers'!$D$2:$D$37,MATCH(C1146,'Country Tiers'!$A$2:$A$37,0))</f>
        <v>3</v>
      </c>
    </row>
    <row r="1147" customFormat="false" ht="15" hidden="false" customHeight="false" outlineLevel="0" collapsed="false">
      <c r="A1147" s="12" t="s">
        <v>86</v>
      </c>
      <c r="B1147" s="12" t="s">
        <v>54</v>
      </c>
      <c r="C1147" s="12" t="s">
        <v>299</v>
      </c>
      <c r="D1147" s="12" t="str">
        <f aca="false">INDEX('Country Tiers'!$C$2:$C$37,MATCH(C1147,'Country Tiers'!$A$2:$A$37,0))</f>
        <v>Tier 3</v>
      </c>
      <c r="E1147" s="12" t="n">
        <f aca="false">INDEX('Country Tiers'!$D$2:$D$37,MATCH(C1147,'Country Tiers'!$A$2:$A$37,0))</f>
        <v>1</v>
      </c>
    </row>
    <row r="1148" customFormat="false" ht="15" hidden="false" customHeight="false" outlineLevel="0" collapsed="false">
      <c r="A1148" s="12" t="s">
        <v>86</v>
      </c>
      <c r="B1148" s="12" t="s">
        <v>54</v>
      </c>
      <c r="C1148" s="12" t="s">
        <v>300</v>
      </c>
      <c r="D1148" s="12" t="str">
        <f aca="false">INDEX('Country Tiers'!$C$2:$C$37,MATCH(C1148,'Country Tiers'!$A$2:$A$37,0))</f>
        <v>Tier 3</v>
      </c>
      <c r="E1148" s="12" t="n">
        <f aca="false">INDEX('Country Tiers'!$D$2:$D$37,MATCH(C1148,'Country Tiers'!$A$2:$A$37,0))</f>
        <v>1</v>
      </c>
    </row>
    <row r="1149" customFormat="false" ht="15" hidden="false" customHeight="false" outlineLevel="0" collapsed="false">
      <c r="A1149" s="12" t="s">
        <v>86</v>
      </c>
      <c r="B1149" s="12" t="s">
        <v>54</v>
      </c>
      <c r="C1149" s="12" t="s">
        <v>301</v>
      </c>
      <c r="D1149" s="12" t="str">
        <f aca="false">INDEX('Country Tiers'!$C$2:$C$37,MATCH(C1149,'Country Tiers'!$A$2:$A$37,0))</f>
        <v>Tier 3</v>
      </c>
      <c r="E1149" s="12" t="n">
        <f aca="false">INDEX('Country Tiers'!$D$2:$D$37,MATCH(C1149,'Country Tiers'!$A$2:$A$37,0))</f>
        <v>1</v>
      </c>
    </row>
    <row r="1150" customFormat="false" ht="15" hidden="false" customHeight="false" outlineLevel="0" collapsed="false">
      <c r="A1150" s="12" t="s">
        <v>86</v>
      </c>
      <c r="B1150" s="12" t="s">
        <v>54</v>
      </c>
      <c r="C1150" s="12" t="s">
        <v>302</v>
      </c>
      <c r="D1150" s="12" t="str">
        <f aca="false">INDEX('Country Tiers'!$C$2:$C$37,MATCH(C1150,'Country Tiers'!$A$2:$A$37,0))</f>
        <v>Tier 3</v>
      </c>
      <c r="E1150" s="12" t="n">
        <f aca="false">INDEX('Country Tiers'!$D$2:$D$37,MATCH(C1150,'Country Tiers'!$A$2:$A$37,0))</f>
        <v>1</v>
      </c>
    </row>
    <row r="1151" customFormat="false" ht="15" hidden="false" customHeight="false" outlineLevel="0" collapsed="false">
      <c r="A1151" s="12" t="s">
        <v>86</v>
      </c>
      <c r="B1151" s="12" t="s">
        <v>54</v>
      </c>
      <c r="C1151" s="12" t="s">
        <v>306</v>
      </c>
      <c r="D1151" s="12" t="str">
        <f aca="false">INDEX('Country Tiers'!$C$2:$C$37,MATCH(C1151,'Country Tiers'!$A$2:$A$37,0))</f>
        <v>Tier 3</v>
      </c>
      <c r="E1151" s="12" t="n">
        <f aca="false">INDEX('Country Tiers'!$D$2:$D$37,MATCH(C1151,'Country Tiers'!$A$2:$A$37,0))</f>
        <v>1</v>
      </c>
    </row>
    <row r="1152" customFormat="false" ht="15" hidden="false" customHeight="false" outlineLevel="0" collapsed="false">
      <c r="A1152" s="12" t="s">
        <v>86</v>
      </c>
      <c r="B1152" s="12" t="s">
        <v>54</v>
      </c>
      <c r="C1152" s="12" t="s">
        <v>307</v>
      </c>
      <c r="D1152" s="12" t="str">
        <f aca="false">INDEX('Country Tiers'!$C$2:$C$37,MATCH(C1152,'Country Tiers'!$A$2:$A$37,0))</f>
        <v>Tier 2</v>
      </c>
      <c r="E1152" s="12" t="n">
        <f aca="false">INDEX('Country Tiers'!$D$2:$D$37,MATCH(C1152,'Country Tiers'!$A$2:$A$37,0))</f>
        <v>2</v>
      </c>
    </row>
    <row r="1153" customFormat="false" ht="15" hidden="false" customHeight="false" outlineLevel="0" collapsed="false">
      <c r="A1153" s="12" t="s">
        <v>86</v>
      </c>
      <c r="B1153" s="12" t="s">
        <v>54</v>
      </c>
      <c r="C1153" s="12" t="s">
        <v>308</v>
      </c>
      <c r="D1153" s="12" t="str">
        <f aca="false">INDEX('Country Tiers'!$C$2:$C$37,MATCH(C1153,'Country Tiers'!$A$2:$A$37,0))</f>
        <v>Tier 3</v>
      </c>
      <c r="E1153" s="12" t="n">
        <f aca="false">INDEX('Country Tiers'!$D$2:$D$37,MATCH(C1153,'Country Tiers'!$A$2:$A$37,0))</f>
        <v>1</v>
      </c>
    </row>
    <row r="1154" customFormat="false" ht="15" hidden="false" customHeight="false" outlineLevel="0" collapsed="false">
      <c r="A1154" s="12" t="s">
        <v>86</v>
      </c>
      <c r="B1154" s="12" t="s">
        <v>54</v>
      </c>
      <c r="C1154" s="12" t="s">
        <v>309</v>
      </c>
      <c r="D1154" s="12" t="str">
        <f aca="false">INDEX('Country Tiers'!$C$2:$C$37,MATCH(C1154,'Country Tiers'!$A$2:$A$37,0))</f>
        <v>Tier 1</v>
      </c>
      <c r="E1154" s="12" t="n">
        <f aca="false">INDEX('Country Tiers'!$D$2:$D$37,MATCH(C1154,'Country Tiers'!$A$2:$A$37,0))</f>
        <v>3</v>
      </c>
    </row>
    <row r="1155" customFormat="false" ht="15" hidden="false" customHeight="false" outlineLevel="0" collapsed="false">
      <c r="A1155" s="12" t="s">
        <v>86</v>
      </c>
      <c r="B1155" s="12" t="s">
        <v>54</v>
      </c>
      <c r="C1155" s="12" t="s">
        <v>313</v>
      </c>
      <c r="D1155" s="12" t="str">
        <f aca="false">INDEX('Country Tiers'!$C$2:$C$37,MATCH(C1155,'Country Tiers'!$A$2:$A$37,0))</f>
        <v>Tier 1</v>
      </c>
      <c r="E1155" s="12" t="n">
        <f aca="false">INDEX('Country Tiers'!$D$2:$D$37,MATCH(C1155,'Country Tiers'!$A$2:$A$37,0))</f>
        <v>3</v>
      </c>
    </row>
    <row r="1156" customFormat="false" ht="15" hidden="false" customHeight="false" outlineLevel="0" collapsed="false">
      <c r="A1156" s="12" t="s">
        <v>86</v>
      </c>
      <c r="B1156" s="12" t="s">
        <v>55</v>
      </c>
      <c r="C1156" s="12" t="s">
        <v>272</v>
      </c>
      <c r="D1156" s="12" t="str">
        <f aca="false">INDEX('Country Tiers'!$C$2:$C$37,MATCH(C1156,'Country Tiers'!$A$2:$A$37,0))</f>
        <v>Tier 2</v>
      </c>
      <c r="E1156" s="12" t="n">
        <f aca="false">INDEX('Country Tiers'!$D$2:$D$37,MATCH(C1156,'Country Tiers'!$A$2:$A$37,0))</f>
        <v>2</v>
      </c>
    </row>
    <row r="1157" customFormat="false" ht="15" hidden="false" customHeight="false" outlineLevel="0" collapsed="false">
      <c r="A1157" s="12" t="s">
        <v>86</v>
      </c>
      <c r="B1157" s="12" t="s">
        <v>55</v>
      </c>
      <c r="C1157" s="12" t="s">
        <v>274</v>
      </c>
      <c r="D1157" s="12" t="str">
        <f aca="false">INDEX('Country Tiers'!$C$2:$C$37,MATCH(C1157,'Country Tiers'!$A$2:$A$37,0))</f>
        <v>Tier 3</v>
      </c>
      <c r="E1157" s="12" t="n">
        <f aca="false">INDEX('Country Tiers'!$D$2:$D$37,MATCH(C1157,'Country Tiers'!$A$2:$A$37,0))</f>
        <v>1</v>
      </c>
    </row>
    <row r="1158" customFormat="false" ht="15" hidden="false" customHeight="false" outlineLevel="0" collapsed="false">
      <c r="A1158" s="12" t="s">
        <v>86</v>
      </c>
      <c r="B1158" s="12" t="s">
        <v>55</v>
      </c>
      <c r="C1158" s="12" t="s">
        <v>277</v>
      </c>
      <c r="D1158" s="12" t="str">
        <f aca="false">INDEX('Country Tiers'!$C$2:$C$37,MATCH(C1158,'Country Tiers'!$A$2:$A$37,0))</f>
        <v>Tier 1</v>
      </c>
      <c r="E1158" s="12" t="n">
        <f aca="false">INDEX('Country Tiers'!$D$2:$D$37,MATCH(C1158,'Country Tiers'!$A$2:$A$37,0))</f>
        <v>3</v>
      </c>
    </row>
    <row r="1159" customFormat="false" ht="15" hidden="false" customHeight="false" outlineLevel="0" collapsed="false">
      <c r="A1159" s="12" t="s">
        <v>86</v>
      </c>
      <c r="B1159" s="12" t="s">
        <v>55</v>
      </c>
      <c r="C1159" s="12" t="s">
        <v>278</v>
      </c>
      <c r="D1159" s="12" t="str">
        <f aca="false">INDEX('Country Tiers'!$C$2:$C$37,MATCH(C1159,'Country Tiers'!$A$2:$A$37,0))</f>
        <v>Tier 3</v>
      </c>
      <c r="E1159" s="12" t="n">
        <f aca="false">INDEX('Country Tiers'!$D$2:$D$37,MATCH(C1159,'Country Tiers'!$A$2:$A$37,0))</f>
        <v>1</v>
      </c>
    </row>
    <row r="1160" customFormat="false" ht="15" hidden="false" customHeight="false" outlineLevel="0" collapsed="false">
      <c r="A1160" s="12" t="s">
        <v>86</v>
      </c>
      <c r="B1160" s="12" t="s">
        <v>55</v>
      </c>
      <c r="C1160" s="12" t="s">
        <v>279</v>
      </c>
      <c r="D1160" s="12" t="str">
        <f aca="false">INDEX('Country Tiers'!$C$2:$C$37,MATCH(C1160,'Country Tiers'!$A$2:$A$37,0))</f>
        <v>Tier 1</v>
      </c>
      <c r="E1160" s="12" t="n">
        <f aca="false">INDEX('Country Tiers'!$D$2:$D$37,MATCH(C1160,'Country Tiers'!$A$2:$A$37,0))</f>
        <v>3</v>
      </c>
    </row>
    <row r="1161" customFormat="false" ht="15" hidden="false" customHeight="false" outlineLevel="0" collapsed="false">
      <c r="A1161" s="12" t="s">
        <v>86</v>
      </c>
      <c r="B1161" s="12" t="s">
        <v>55</v>
      </c>
      <c r="C1161" s="12" t="s">
        <v>280</v>
      </c>
      <c r="D1161" s="12" t="str">
        <f aca="false">INDEX('Country Tiers'!$C$2:$C$37,MATCH(C1161,'Country Tiers'!$A$2:$A$37,0))</f>
        <v>Tier 3</v>
      </c>
      <c r="E1161" s="12" t="n">
        <f aca="false">INDEX('Country Tiers'!$D$2:$D$37,MATCH(C1161,'Country Tiers'!$A$2:$A$37,0))</f>
        <v>1</v>
      </c>
    </row>
    <row r="1162" customFormat="false" ht="15" hidden="false" customHeight="false" outlineLevel="0" collapsed="false">
      <c r="A1162" s="12" t="s">
        <v>86</v>
      </c>
      <c r="B1162" s="12" t="s">
        <v>55</v>
      </c>
      <c r="C1162" s="12" t="s">
        <v>281</v>
      </c>
      <c r="D1162" s="12" t="str">
        <f aca="false">INDEX('Country Tiers'!$C$2:$C$37,MATCH(C1162,'Country Tiers'!$A$2:$A$37,0))</f>
        <v>Tier 3</v>
      </c>
      <c r="E1162" s="12" t="n">
        <f aca="false">INDEX('Country Tiers'!$D$2:$D$37,MATCH(C1162,'Country Tiers'!$A$2:$A$37,0))</f>
        <v>1</v>
      </c>
    </row>
    <row r="1163" customFormat="false" ht="15" hidden="false" customHeight="false" outlineLevel="0" collapsed="false">
      <c r="A1163" s="12" t="s">
        <v>86</v>
      </c>
      <c r="B1163" s="12" t="s">
        <v>55</v>
      </c>
      <c r="C1163" s="12" t="s">
        <v>282</v>
      </c>
      <c r="D1163" s="12" t="str">
        <f aca="false">INDEX('Country Tiers'!$C$2:$C$37,MATCH(C1163,'Country Tiers'!$A$2:$A$37,0))</f>
        <v>Tier 3</v>
      </c>
      <c r="E1163" s="12" t="n">
        <f aca="false">INDEX('Country Tiers'!$D$2:$D$37,MATCH(C1163,'Country Tiers'!$A$2:$A$37,0))</f>
        <v>1</v>
      </c>
    </row>
    <row r="1164" customFormat="false" ht="15" hidden="false" customHeight="false" outlineLevel="0" collapsed="false">
      <c r="A1164" s="12" t="s">
        <v>86</v>
      </c>
      <c r="B1164" s="12" t="s">
        <v>55</v>
      </c>
      <c r="C1164" s="12" t="s">
        <v>283</v>
      </c>
      <c r="D1164" s="12" t="str">
        <f aca="false">INDEX('Country Tiers'!$C$2:$C$37,MATCH(C1164,'Country Tiers'!$A$2:$A$37,0))</f>
        <v>Tier 3</v>
      </c>
      <c r="E1164" s="12" t="n">
        <f aca="false">INDEX('Country Tiers'!$D$2:$D$37,MATCH(C1164,'Country Tiers'!$A$2:$A$37,0))</f>
        <v>1</v>
      </c>
    </row>
    <row r="1165" customFormat="false" ht="15" hidden="false" customHeight="false" outlineLevel="0" collapsed="false">
      <c r="A1165" s="12" t="s">
        <v>86</v>
      </c>
      <c r="B1165" s="12" t="s">
        <v>55</v>
      </c>
      <c r="C1165" s="12" t="s">
        <v>284</v>
      </c>
      <c r="D1165" s="12" t="str">
        <f aca="false">INDEX('Country Tiers'!$C$2:$C$37,MATCH(C1165,'Country Tiers'!$A$2:$A$37,0))</f>
        <v>Tier 3</v>
      </c>
      <c r="E1165" s="12" t="n">
        <f aca="false">INDEX('Country Tiers'!$D$2:$D$37,MATCH(C1165,'Country Tiers'!$A$2:$A$37,0))</f>
        <v>1</v>
      </c>
    </row>
    <row r="1166" customFormat="false" ht="15" hidden="false" customHeight="false" outlineLevel="0" collapsed="false">
      <c r="A1166" s="12" t="s">
        <v>86</v>
      </c>
      <c r="B1166" s="12" t="s">
        <v>55</v>
      </c>
      <c r="C1166" s="12" t="s">
        <v>285</v>
      </c>
      <c r="D1166" s="12" t="str">
        <f aca="false">INDEX('Country Tiers'!$C$2:$C$37,MATCH(C1166,'Country Tiers'!$A$2:$A$37,0))</f>
        <v>Tier 3</v>
      </c>
      <c r="E1166" s="12" t="n">
        <f aca="false">INDEX('Country Tiers'!$D$2:$D$37,MATCH(C1166,'Country Tiers'!$A$2:$A$37,0))</f>
        <v>1</v>
      </c>
    </row>
    <row r="1167" customFormat="false" ht="15" hidden="false" customHeight="false" outlineLevel="0" collapsed="false">
      <c r="A1167" s="12" t="s">
        <v>86</v>
      </c>
      <c r="B1167" s="12" t="s">
        <v>55</v>
      </c>
      <c r="C1167" s="12" t="s">
        <v>286</v>
      </c>
      <c r="D1167" s="12" t="str">
        <f aca="false">INDEX('Country Tiers'!$C$2:$C$37,MATCH(C1167,'Country Tiers'!$A$2:$A$37,0))</f>
        <v>Tier 1</v>
      </c>
      <c r="E1167" s="12" t="n">
        <f aca="false">INDEX('Country Tiers'!$D$2:$D$37,MATCH(C1167,'Country Tiers'!$A$2:$A$37,0))</f>
        <v>3</v>
      </c>
    </row>
    <row r="1168" customFormat="false" ht="15" hidden="false" customHeight="false" outlineLevel="0" collapsed="false">
      <c r="A1168" s="12" t="s">
        <v>86</v>
      </c>
      <c r="B1168" s="12" t="s">
        <v>55</v>
      </c>
      <c r="C1168" s="12" t="s">
        <v>287</v>
      </c>
      <c r="D1168" s="12" t="str">
        <f aca="false">INDEX('Country Tiers'!$C$2:$C$37,MATCH(C1168,'Country Tiers'!$A$2:$A$37,0))</f>
        <v>Tier 1</v>
      </c>
      <c r="E1168" s="12" t="n">
        <f aca="false">INDEX('Country Tiers'!$D$2:$D$37,MATCH(C1168,'Country Tiers'!$A$2:$A$37,0))</f>
        <v>3</v>
      </c>
    </row>
    <row r="1169" customFormat="false" ht="15" hidden="false" customHeight="false" outlineLevel="0" collapsed="false">
      <c r="A1169" s="12" t="s">
        <v>86</v>
      </c>
      <c r="B1169" s="12" t="s">
        <v>55</v>
      </c>
      <c r="C1169" s="12" t="s">
        <v>288</v>
      </c>
      <c r="D1169" s="12" t="str">
        <f aca="false">INDEX('Country Tiers'!$C$2:$C$37,MATCH(C1169,'Country Tiers'!$A$2:$A$37,0))</f>
        <v>Tier 3</v>
      </c>
      <c r="E1169" s="12" t="n">
        <f aca="false">INDEX('Country Tiers'!$D$2:$D$37,MATCH(C1169,'Country Tiers'!$A$2:$A$37,0))</f>
        <v>1</v>
      </c>
    </row>
    <row r="1170" customFormat="false" ht="15" hidden="false" customHeight="false" outlineLevel="0" collapsed="false">
      <c r="A1170" s="12" t="s">
        <v>86</v>
      </c>
      <c r="B1170" s="12" t="s">
        <v>55</v>
      </c>
      <c r="C1170" s="12" t="s">
        <v>289</v>
      </c>
      <c r="D1170" s="12" t="str">
        <f aca="false">INDEX('Country Tiers'!$C$2:$C$37,MATCH(C1170,'Country Tiers'!$A$2:$A$37,0))</f>
        <v>Tier 3</v>
      </c>
      <c r="E1170" s="12" t="n">
        <f aca="false">INDEX('Country Tiers'!$D$2:$D$37,MATCH(C1170,'Country Tiers'!$A$2:$A$37,0))</f>
        <v>1</v>
      </c>
    </row>
    <row r="1171" customFormat="false" ht="15" hidden="false" customHeight="false" outlineLevel="0" collapsed="false">
      <c r="A1171" s="12" t="s">
        <v>86</v>
      </c>
      <c r="B1171" s="12" t="s">
        <v>55</v>
      </c>
      <c r="C1171" s="12" t="s">
        <v>290</v>
      </c>
      <c r="D1171" s="12" t="str">
        <f aca="false">INDEX('Country Tiers'!$C$2:$C$37,MATCH(C1171,'Country Tiers'!$A$2:$A$37,0))</f>
        <v>Tier 3</v>
      </c>
      <c r="E1171" s="12" t="n">
        <f aca="false">INDEX('Country Tiers'!$D$2:$D$37,MATCH(C1171,'Country Tiers'!$A$2:$A$37,0))</f>
        <v>1</v>
      </c>
    </row>
    <row r="1172" customFormat="false" ht="15" hidden="false" customHeight="false" outlineLevel="0" collapsed="false">
      <c r="A1172" s="12" t="s">
        <v>86</v>
      </c>
      <c r="B1172" s="12" t="s">
        <v>55</v>
      </c>
      <c r="C1172" s="12" t="s">
        <v>291</v>
      </c>
      <c r="D1172" s="12" t="str">
        <f aca="false">INDEX('Country Tiers'!$C$2:$C$37,MATCH(C1172,'Country Tiers'!$A$2:$A$37,0))</f>
        <v>Tier 3</v>
      </c>
      <c r="E1172" s="12" t="n">
        <f aca="false">INDEX('Country Tiers'!$D$2:$D$37,MATCH(C1172,'Country Tiers'!$A$2:$A$37,0))</f>
        <v>1</v>
      </c>
    </row>
    <row r="1173" customFormat="false" ht="15" hidden="false" customHeight="false" outlineLevel="0" collapsed="false">
      <c r="A1173" s="12" t="s">
        <v>86</v>
      </c>
      <c r="B1173" s="12" t="s">
        <v>55</v>
      </c>
      <c r="C1173" s="12" t="s">
        <v>292</v>
      </c>
      <c r="D1173" s="12" t="str">
        <f aca="false">INDEX('Country Tiers'!$C$2:$C$37,MATCH(C1173,'Country Tiers'!$A$2:$A$37,0))</f>
        <v>Tier 2</v>
      </c>
      <c r="E1173" s="12" t="n">
        <f aca="false">INDEX('Country Tiers'!$D$2:$D$37,MATCH(C1173,'Country Tiers'!$A$2:$A$37,0))</f>
        <v>2</v>
      </c>
    </row>
    <row r="1174" customFormat="false" ht="15" hidden="false" customHeight="false" outlineLevel="0" collapsed="false">
      <c r="A1174" s="12" t="s">
        <v>86</v>
      </c>
      <c r="B1174" s="12" t="s">
        <v>55</v>
      </c>
      <c r="C1174" s="12" t="s">
        <v>294</v>
      </c>
      <c r="D1174" s="12" t="str">
        <f aca="false">INDEX('Country Tiers'!$C$2:$C$37,MATCH(C1174,'Country Tiers'!$A$2:$A$37,0))</f>
        <v>Tier 3</v>
      </c>
      <c r="E1174" s="12" t="n">
        <f aca="false">INDEX('Country Tiers'!$D$2:$D$37,MATCH(C1174,'Country Tiers'!$A$2:$A$37,0))</f>
        <v>1</v>
      </c>
    </row>
    <row r="1175" customFormat="false" ht="15" hidden="false" customHeight="false" outlineLevel="0" collapsed="false">
      <c r="A1175" s="12" t="s">
        <v>86</v>
      </c>
      <c r="B1175" s="12" t="s">
        <v>55</v>
      </c>
      <c r="C1175" s="12" t="s">
        <v>296</v>
      </c>
      <c r="D1175" s="12" t="str">
        <f aca="false">INDEX('Country Tiers'!$C$2:$C$37,MATCH(C1175,'Country Tiers'!$A$2:$A$37,0))</f>
        <v>Tier 3</v>
      </c>
      <c r="E1175" s="12" t="n">
        <f aca="false">INDEX('Country Tiers'!$D$2:$D$37,MATCH(C1175,'Country Tiers'!$A$2:$A$37,0))</f>
        <v>1</v>
      </c>
    </row>
    <row r="1176" customFormat="false" ht="15" hidden="false" customHeight="false" outlineLevel="0" collapsed="false">
      <c r="A1176" s="12" t="s">
        <v>86</v>
      </c>
      <c r="B1176" s="12" t="s">
        <v>55</v>
      </c>
      <c r="C1176" s="12" t="s">
        <v>297</v>
      </c>
      <c r="D1176" s="12" t="str">
        <f aca="false">INDEX('Country Tiers'!$C$2:$C$37,MATCH(C1176,'Country Tiers'!$A$2:$A$37,0))</f>
        <v>Tier 2</v>
      </c>
      <c r="E1176" s="12" t="n">
        <f aca="false">INDEX('Country Tiers'!$D$2:$D$37,MATCH(C1176,'Country Tiers'!$A$2:$A$37,0))</f>
        <v>2</v>
      </c>
    </row>
    <row r="1177" customFormat="false" ht="15" hidden="false" customHeight="false" outlineLevel="0" collapsed="false">
      <c r="A1177" s="12" t="s">
        <v>86</v>
      </c>
      <c r="B1177" s="12" t="s">
        <v>55</v>
      </c>
      <c r="C1177" s="12" t="s">
        <v>298</v>
      </c>
      <c r="D1177" s="12" t="str">
        <f aca="false">INDEX('Country Tiers'!$C$2:$C$37,MATCH(C1177,'Country Tiers'!$A$2:$A$37,0))</f>
        <v>Tier 1</v>
      </c>
      <c r="E1177" s="12" t="n">
        <f aca="false">INDEX('Country Tiers'!$D$2:$D$37,MATCH(C1177,'Country Tiers'!$A$2:$A$37,0))</f>
        <v>3</v>
      </c>
    </row>
    <row r="1178" customFormat="false" ht="15" hidden="false" customHeight="false" outlineLevel="0" collapsed="false">
      <c r="A1178" s="12" t="s">
        <v>86</v>
      </c>
      <c r="B1178" s="12" t="s">
        <v>55</v>
      </c>
      <c r="C1178" s="12" t="s">
        <v>299</v>
      </c>
      <c r="D1178" s="12" t="str">
        <f aca="false">INDEX('Country Tiers'!$C$2:$C$37,MATCH(C1178,'Country Tiers'!$A$2:$A$37,0))</f>
        <v>Tier 3</v>
      </c>
      <c r="E1178" s="12" t="n">
        <f aca="false">INDEX('Country Tiers'!$D$2:$D$37,MATCH(C1178,'Country Tiers'!$A$2:$A$37,0))</f>
        <v>1</v>
      </c>
    </row>
    <row r="1179" customFormat="false" ht="15" hidden="false" customHeight="false" outlineLevel="0" collapsed="false">
      <c r="A1179" s="12" t="s">
        <v>86</v>
      </c>
      <c r="B1179" s="12" t="s">
        <v>55</v>
      </c>
      <c r="C1179" s="12" t="s">
        <v>300</v>
      </c>
      <c r="D1179" s="12" t="str">
        <f aca="false">INDEX('Country Tiers'!$C$2:$C$37,MATCH(C1179,'Country Tiers'!$A$2:$A$37,0))</f>
        <v>Tier 3</v>
      </c>
      <c r="E1179" s="12" t="n">
        <f aca="false">INDEX('Country Tiers'!$D$2:$D$37,MATCH(C1179,'Country Tiers'!$A$2:$A$37,0))</f>
        <v>1</v>
      </c>
    </row>
    <row r="1180" customFormat="false" ht="15" hidden="false" customHeight="false" outlineLevel="0" collapsed="false">
      <c r="A1180" s="12" t="s">
        <v>86</v>
      </c>
      <c r="B1180" s="12" t="s">
        <v>55</v>
      </c>
      <c r="C1180" s="12" t="s">
        <v>301</v>
      </c>
      <c r="D1180" s="12" t="str">
        <f aca="false">INDEX('Country Tiers'!$C$2:$C$37,MATCH(C1180,'Country Tiers'!$A$2:$A$37,0))</f>
        <v>Tier 3</v>
      </c>
      <c r="E1180" s="12" t="n">
        <f aca="false">INDEX('Country Tiers'!$D$2:$D$37,MATCH(C1180,'Country Tiers'!$A$2:$A$37,0))</f>
        <v>1</v>
      </c>
    </row>
    <row r="1181" customFormat="false" ht="15" hidden="false" customHeight="false" outlineLevel="0" collapsed="false">
      <c r="A1181" s="12" t="s">
        <v>86</v>
      </c>
      <c r="B1181" s="12" t="s">
        <v>55</v>
      </c>
      <c r="C1181" s="12" t="s">
        <v>302</v>
      </c>
      <c r="D1181" s="12" t="str">
        <f aca="false">INDEX('Country Tiers'!$C$2:$C$37,MATCH(C1181,'Country Tiers'!$A$2:$A$37,0))</f>
        <v>Tier 3</v>
      </c>
      <c r="E1181" s="12" t="n">
        <f aca="false">INDEX('Country Tiers'!$D$2:$D$37,MATCH(C1181,'Country Tiers'!$A$2:$A$37,0))</f>
        <v>1</v>
      </c>
    </row>
    <row r="1182" customFormat="false" ht="15" hidden="false" customHeight="false" outlineLevel="0" collapsed="false">
      <c r="A1182" s="12" t="s">
        <v>86</v>
      </c>
      <c r="B1182" s="12" t="s">
        <v>55</v>
      </c>
      <c r="C1182" s="12" t="s">
        <v>306</v>
      </c>
      <c r="D1182" s="12" t="str">
        <f aca="false">INDEX('Country Tiers'!$C$2:$C$37,MATCH(C1182,'Country Tiers'!$A$2:$A$37,0))</f>
        <v>Tier 3</v>
      </c>
      <c r="E1182" s="12" t="n">
        <f aca="false">INDEX('Country Tiers'!$D$2:$D$37,MATCH(C1182,'Country Tiers'!$A$2:$A$37,0))</f>
        <v>1</v>
      </c>
    </row>
    <row r="1183" customFormat="false" ht="15" hidden="false" customHeight="false" outlineLevel="0" collapsed="false">
      <c r="A1183" s="12" t="s">
        <v>86</v>
      </c>
      <c r="B1183" s="12" t="s">
        <v>55</v>
      </c>
      <c r="C1183" s="12" t="s">
        <v>307</v>
      </c>
      <c r="D1183" s="12" t="str">
        <f aca="false">INDEX('Country Tiers'!$C$2:$C$37,MATCH(C1183,'Country Tiers'!$A$2:$A$37,0))</f>
        <v>Tier 2</v>
      </c>
      <c r="E1183" s="12" t="n">
        <f aca="false">INDEX('Country Tiers'!$D$2:$D$37,MATCH(C1183,'Country Tiers'!$A$2:$A$37,0))</f>
        <v>2</v>
      </c>
    </row>
    <row r="1184" customFormat="false" ht="15" hidden="false" customHeight="false" outlineLevel="0" collapsed="false">
      <c r="A1184" s="12" t="s">
        <v>86</v>
      </c>
      <c r="B1184" s="12" t="s">
        <v>55</v>
      </c>
      <c r="C1184" s="12" t="s">
        <v>308</v>
      </c>
      <c r="D1184" s="12" t="str">
        <f aca="false">INDEX('Country Tiers'!$C$2:$C$37,MATCH(C1184,'Country Tiers'!$A$2:$A$37,0))</f>
        <v>Tier 3</v>
      </c>
      <c r="E1184" s="12" t="n">
        <f aca="false">INDEX('Country Tiers'!$D$2:$D$37,MATCH(C1184,'Country Tiers'!$A$2:$A$37,0))</f>
        <v>1</v>
      </c>
    </row>
    <row r="1185" customFormat="false" ht="15" hidden="false" customHeight="false" outlineLevel="0" collapsed="false">
      <c r="A1185" s="12" t="s">
        <v>86</v>
      </c>
      <c r="B1185" s="12" t="s">
        <v>55</v>
      </c>
      <c r="C1185" s="12" t="s">
        <v>309</v>
      </c>
      <c r="D1185" s="12" t="str">
        <f aca="false">INDEX('Country Tiers'!$C$2:$C$37,MATCH(C1185,'Country Tiers'!$A$2:$A$37,0))</f>
        <v>Tier 1</v>
      </c>
      <c r="E1185" s="12" t="n">
        <f aca="false">INDEX('Country Tiers'!$D$2:$D$37,MATCH(C1185,'Country Tiers'!$A$2:$A$37,0))</f>
        <v>3</v>
      </c>
    </row>
    <row r="1186" customFormat="false" ht="15" hidden="false" customHeight="false" outlineLevel="0" collapsed="false">
      <c r="A1186" s="12" t="s">
        <v>86</v>
      </c>
      <c r="B1186" s="12" t="s">
        <v>55</v>
      </c>
      <c r="C1186" s="12" t="s">
        <v>313</v>
      </c>
      <c r="D1186" s="12" t="str">
        <f aca="false">INDEX('Country Tiers'!$C$2:$C$37,MATCH(C1186,'Country Tiers'!$A$2:$A$37,0))</f>
        <v>Tier 1</v>
      </c>
      <c r="E1186" s="12" t="n">
        <f aca="false">INDEX('Country Tiers'!$D$2:$D$37,MATCH(C1186,'Country Tiers'!$A$2:$A$37,0))</f>
        <v>3</v>
      </c>
    </row>
    <row r="1187" customFormat="false" ht="15" hidden="false" customHeight="false" outlineLevel="0" collapsed="false">
      <c r="A1187" s="12" t="s">
        <v>86</v>
      </c>
      <c r="B1187" s="12" t="s">
        <v>35</v>
      </c>
      <c r="C1187" s="12" t="s">
        <v>274</v>
      </c>
      <c r="D1187" s="12" t="str">
        <f aca="false">INDEX('Country Tiers'!$C$2:$C$37,MATCH(C1187,'Country Tiers'!$A$2:$A$37,0))</f>
        <v>Tier 3</v>
      </c>
      <c r="E1187" s="12" t="n">
        <f aca="false">INDEX('Country Tiers'!$D$2:$D$37,MATCH(C1187,'Country Tiers'!$A$2:$A$37,0))</f>
        <v>1</v>
      </c>
    </row>
    <row r="1188" customFormat="false" ht="15" hidden="false" customHeight="false" outlineLevel="0" collapsed="false">
      <c r="A1188" s="12" t="s">
        <v>86</v>
      </c>
      <c r="B1188" s="12" t="s">
        <v>35</v>
      </c>
      <c r="C1188" s="12" t="s">
        <v>277</v>
      </c>
      <c r="D1188" s="12" t="str">
        <f aca="false">INDEX('Country Tiers'!$C$2:$C$37,MATCH(C1188,'Country Tiers'!$A$2:$A$37,0))</f>
        <v>Tier 1</v>
      </c>
      <c r="E1188" s="12" t="n">
        <f aca="false">INDEX('Country Tiers'!$D$2:$D$37,MATCH(C1188,'Country Tiers'!$A$2:$A$37,0))</f>
        <v>3</v>
      </c>
    </row>
    <row r="1189" customFormat="false" ht="15" hidden="false" customHeight="false" outlineLevel="0" collapsed="false">
      <c r="A1189" s="12" t="s">
        <v>86</v>
      </c>
      <c r="B1189" s="12" t="s">
        <v>35</v>
      </c>
      <c r="C1189" s="12" t="s">
        <v>278</v>
      </c>
      <c r="D1189" s="12" t="str">
        <f aca="false">INDEX('Country Tiers'!$C$2:$C$37,MATCH(C1189,'Country Tiers'!$A$2:$A$37,0))</f>
        <v>Tier 3</v>
      </c>
      <c r="E1189" s="12" t="n">
        <f aca="false">INDEX('Country Tiers'!$D$2:$D$37,MATCH(C1189,'Country Tiers'!$A$2:$A$37,0))</f>
        <v>1</v>
      </c>
    </row>
    <row r="1190" customFormat="false" ht="15" hidden="false" customHeight="false" outlineLevel="0" collapsed="false">
      <c r="A1190" s="12" t="s">
        <v>86</v>
      </c>
      <c r="B1190" s="12" t="s">
        <v>35</v>
      </c>
      <c r="C1190" s="12" t="s">
        <v>280</v>
      </c>
      <c r="D1190" s="12" t="str">
        <f aca="false">INDEX('Country Tiers'!$C$2:$C$37,MATCH(C1190,'Country Tiers'!$A$2:$A$37,0))</f>
        <v>Tier 3</v>
      </c>
      <c r="E1190" s="12" t="n">
        <f aca="false">INDEX('Country Tiers'!$D$2:$D$37,MATCH(C1190,'Country Tiers'!$A$2:$A$37,0))</f>
        <v>1</v>
      </c>
    </row>
    <row r="1191" customFormat="false" ht="15" hidden="false" customHeight="false" outlineLevel="0" collapsed="false">
      <c r="A1191" s="12" t="s">
        <v>86</v>
      </c>
      <c r="B1191" s="12" t="s">
        <v>35</v>
      </c>
      <c r="C1191" s="12" t="s">
        <v>281</v>
      </c>
      <c r="D1191" s="12" t="str">
        <f aca="false">INDEX('Country Tiers'!$C$2:$C$37,MATCH(C1191,'Country Tiers'!$A$2:$A$37,0))</f>
        <v>Tier 3</v>
      </c>
      <c r="E1191" s="12" t="n">
        <f aca="false">INDEX('Country Tiers'!$D$2:$D$37,MATCH(C1191,'Country Tiers'!$A$2:$A$37,0))</f>
        <v>1</v>
      </c>
    </row>
    <row r="1192" customFormat="false" ht="15" hidden="false" customHeight="false" outlineLevel="0" collapsed="false">
      <c r="A1192" s="12" t="s">
        <v>86</v>
      </c>
      <c r="B1192" s="12" t="s">
        <v>35</v>
      </c>
      <c r="C1192" s="12" t="s">
        <v>282</v>
      </c>
      <c r="D1192" s="12" t="str">
        <f aca="false">INDEX('Country Tiers'!$C$2:$C$37,MATCH(C1192,'Country Tiers'!$A$2:$A$37,0))</f>
        <v>Tier 3</v>
      </c>
      <c r="E1192" s="12" t="n">
        <f aca="false">INDEX('Country Tiers'!$D$2:$D$37,MATCH(C1192,'Country Tiers'!$A$2:$A$37,0))</f>
        <v>1</v>
      </c>
    </row>
    <row r="1193" customFormat="false" ht="15" hidden="false" customHeight="false" outlineLevel="0" collapsed="false">
      <c r="A1193" s="12" t="s">
        <v>86</v>
      </c>
      <c r="B1193" s="12" t="s">
        <v>35</v>
      </c>
      <c r="C1193" s="12" t="s">
        <v>283</v>
      </c>
      <c r="D1193" s="12" t="str">
        <f aca="false">INDEX('Country Tiers'!$C$2:$C$37,MATCH(C1193,'Country Tiers'!$A$2:$A$37,0))</f>
        <v>Tier 3</v>
      </c>
      <c r="E1193" s="12" t="n">
        <f aca="false">INDEX('Country Tiers'!$D$2:$D$37,MATCH(C1193,'Country Tiers'!$A$2:$A$37,0))</f>
        <v>1</v>
      </c>
    </row>
    <row r="1194" customFormat="false" ht="15" hidden="false" customHeight="false" outlineLevel="0" collapsed="false">
      <c r="A1194" s="12" t="s">
        <v>86</v>
      </c>
      <c r="B1194" s="12" t="s">
        <v>35</v>
      </c>
      <c r="C1194" s="12" t="s">
        <v>284</v>
      </c>
      <c r="D1194" s="12" t="str">
        <f aca="false">INDEX('Country Tiers'!$C$2:$C$37,MATCH(C1194,'Country Tiers'!$A$2:$A$37,0))</f>
        <v>Tier 3</v>
      </c>
      <c r="E1194" s="12" t="n">
        <f aca="false">INDEX('Country Tiers'!$D$2:$D$37,MATCH(C1194,'Country Tiers'!$A$2:$A$37,0))</f>
        <v>1</v>
      </c>
    </row>
    <row r="1195" customFormat="false" ht="15" hidden="false" customHeight="false" outlineLevel="0" collapsed="false">
      <c r="A1195" s="12" t="s">
        <v>86</v>
      </c>
      <c r="B1195" s="12" t="s">
        <v>35</v>
      </c>
      <c r="C1195" s="12" t="s">
        <v>285</v>
      </c>
      <c r="D1195" s="12" t="str">
        <f aca="false">INDEX('Country Tiers'!$C$2:$C$37,MATCH(C1195,'Country Tiers'!$A$2:$A$37,0))</f>
        <v>Tier 3</v>
      </c>
      <c r="E1195" s="12" t="n">
        <f aca="false">INDEX('Country Tiers'!$D$2:$D$37,MATCH(C1195,'Country Tiers'!$A$2:$A$37,0))</f>
        <v>1</v>
      </c>
    </row>
    <row r="1196" customFormat="false" ht="15" hidden="false" customHeight="false" outlineLevel="0" collapsed="false">
      <c r="A1196" s="12" t="s">
        <v>86</v>
      </c>
      <c r="B1196" s="12" t="s">
        <v>35</v>
      </c>
      <c r="C1196" s="12" t="s">
        <v>286</v>
      </c>
      <c r="D1196" s="12" t="str">
        <f aca="false">INDEX('Country Tiers'!$C$2:$C$37,MATCH(C1196,'Country Tiers'!$A$2:$A$37,0))</f>
        <v>Tier 1</v>
      </c>
      <c r="E1196" s="12" t="n">
        <f aca="false">INDEX('Country Tiers'!$D$2:$D$37,MATCH(C1196,'Country Tiers'!$A$2:$A$37,0))</f>
        <v>3</v>
      </c>
    </row>
    <row r="1197" customFormat="false" ht="15" hidden="false" customHeight="false" outlineLevel="0" collapsed="false">
      <c r="A1197" s="12" t="s">
        <v>86</v>
      </c>
      <c r="B1197" s="12" t="s">
        <v>35</v>
      </c>
      <c r="C1197" s="12" t="s">
        <v>287</v>
      </c>
      <c r="D1197" s="12" t="str">
        <f aca="false">INDEX('Country Tiers'!$C$2:$C$37,MATCH(C1197,'Country Tiers'!$A$2:$A$37,0))</f>
        <v>Tier 1</v>
      </c>
      <c r="E1197" s="12" t="n">
        <f aca="false">INDEX('Country Tiers'!$D$2:$D$37,MATCH(C1197,'Country Tiers'!$A$2:$A$37,0))</f>
        <v>3</v>
      </c>
    </row>
    <row r="1198" customFormat="false" ht="15" hidden="false" customHeight="false" outlineLevel="0" collapsed="false">
      <c r="A1198" s="12" t="s">
        <v>86</v>
      </c>
      <c r="B1198" s="12" t="s">
        <v>35</v>
      </c>
      <c r="C1198" s="12" t="s">
        <v>288</v>
      </c>
      <c r="D1198" s="12" t="str">
        <f aca="false">INDEX('Country Tiers'!$C$2:$C$37,MATCH(C1198,'Country Tiers'!$A$2:$A$37,0))</f>
        <v>Tier 3</v>
      </c>
      <c r="E1198" s="12" t="n">
        <f aca="false">INDEX('Country Tiers'!$D$2:$D$37,MATCH(C1198,'Country Tiers'!$A$2:$A$37,0))</f>
        <v>1</v>
      </c>
    </row>
    <row r="1199" customFormat="false" ht="15" hidden="false" customHeight="false" outlineLevel="0" collapsed="false">
      <c r="A1199" s="12" t="s">
        <v>86</v>
      </c>
      <c r="B1199" s="12" t="s">
        <v>35</v>
      </c>
      <c r="C1199" s="12" t="s">
        <v>289</v>
      </c>
      <c r="D1199" s="12" t="str">
        <f aca="false">INDEX('Country Tiers'!$C$2:$C$37,MATCH(C1199,'Country Tiers'!$A$2:$A$37,0))</f>
        <v>Tier 3</v>
      </c>
      <c r="E1199" s="12" t="n">
        <f aca="false">INDEX('Country Tiers'!$D$2:$D$37,MATCH(C1199,'Country Tiers'!$A$2:$A$37,0))</f>
        <v>1</v>
      </c>
    </row>
    <row r="1200" customFormat="false" ht="15" hidden="false" customHeight="false" outlineLevel="0" collapsed="false">
      <c r="A1200" s="12" t="s">
        <v>86</v>
      </c>
      <c r="B1200" s="12" t="s">
        <v>35</v>
      </c>
      <c r="C1200" s="12" t="s">
        <v>290</v>
      </c>
      <c r="D1200" s="12" t="str">
        <f aca="false">INDEX('Country Tiers'!$C$2:$C$37,MATCH(C1200,'Country Tiers'!$A$2:$A$37,0))</f>
        <v>Tier 3</v>
      </c>
      <c r="E1200" s="12" t="n">
        <f aca="false">INDEX('Country Tiers'!$D$2:$D$37,MATCH(C1200,'Country Tiers'!$A$2:$A$37,0))</f>
        <v>1</v>
      </c>
    </row>
    <row r="1201" customFormat="false" ht="15" hidden="false" customHeight="false" outlineLevel="0" collapsed="false">
      <c r="A1201" s="12" t="s">
        <v>86</v>
      </c>
      <c r="B1201" s="12" t="s">
        <v>35</v>
      </c>
      <c r="C1201" s="12" t="s">
        <v>291</v>
      </c>
      <c r="D1201" s="12" t="str">
        <f aca="false">INDEX('Country Tiers'!$C$2:$C$37,MATCH(C1201,'Country Tiers'!$A$2:$A$37,0))</f>
        <v>Tier 3</v>
      </c>
      <c r="E1201" s="12" t="n">
        <f aca="false">INDEX('Country Tiers'!$D$2:$D$37,MATCH(C1201,'Country Tiers'!$A$2:$A$37,0))</f>
        <v>1</v>
      </c>
    </row>
    <row r="1202" customFormat="false" ht="15" hidden="false" customHeight="false" outlineLevel="0" collapsed="false">
      <c r="A1202" s="12" t="s">
        <v>86</v>
      </c>
      <c r="B1202" s="12" t="s">
        <v>35</v>
      </c>
      <c r="C1202" s="12" t="s">
        <v>292</v>
      </c>
      <c r="D1202" s="12" t="str">
        <f aca="false">INDEX('Country Tiers'!$C$2:$C$37,MATCH(C1202,'Country Tiers'!$A$2:$A$37,0))</f>
        <v>Tier 2</v>
      </c>
      <c r="E1202" s="12" t="n">
        <f aca="false">INDEX('Country Tiers'!$D$2:$D$37,MATCH(C1202,'Country Tiers'!$A$2:$A$37,0))</f>
        <v>2</v>
      </c>
    </row>
    <row r="1203" customFormat="false" ht="15" hidden="false" customHeight="false" outlineLevel="0" collapsed="false">
      <c r="A1203" s="12" t="s">
        <v>86</v>
      </c>
      <c r="B1203" s="12" t="s">
        <v>35</v>
      </c>
      <c r="C1203" s="12" t="s">
        <v>294</v>
      </c>
      <c r="D1203" s="12" t="str">
        <f aca="false">INDEX('Country Tiers'!$C$2:$C$37,MATCH(C1203,'Country Tiers'!$A$2:$A$37,0))</f>
        <v>Tier 3</v>
      </c>
      <c r="E1203" s="12" t="n">
        <f aca="false">INDEX('Country Tiers'!$D$2:$D$37,MATCH(C1203,'Country Tiers'!$A$2:$A$37,0))</f>
        <v>1</v>
      </c>
    </row>
    <row r="1204" customFormat="false" ht="15" hidden="false" customHeight="false" outlineLevel="0" collapsed="false">
      <c r="A1204" s="12" t="s">
        <v>86</v>
      </c>
      <c r="B1204" s="12" t="s">
        <v>35</v>
      </c>
      <c r="C1204" s="12" t="s">
        <v>296</v>
      </c>
      <c r="D1204" s="12" t="str">
        <f aca="false">INDEX('Country Tiers'!$C$2:$C$37,MATCH(C1204,'Country Tiers'!$A$2:$A$37,0))</f>
        <v>Tier 3</v>
      </c>
      <c r="E1204" s="12" t="n">
        <f aca="false">INDEX('Country Tiers'!$D$2:$D$37,MATCH(C1204,'Country Tiers'!$A$2:$A$37,0))</f>
        <v>1</v>
      </c>
    </row>
    <row r="1205" customFormat="false" ht="15" hidden="false" customHeight="false" outlineLevel="0" collapsed="false">
      <c r="A1205" s="12" t="s">
        <v>86</v>
      </c>
      <c r="B1205" s="12" t="s">
        <v>35</v>
      </c>
      <c r="C1205" s="12" t="s">
        <v>297</v>
      </c>
      <c r="D1205" s="12" t="str">
        <f aca="false">INDEX('Country Tiers'!$C$2:$C$37,MATCH(C1205,'Country Tiers'!$A$2:$A$37,0))</f>
        <v>Tier 2</v>
      </c>
      <c r="E1205" s="12" t="n">
        <f aca="false">INDEX('Country Tiers'!$D$2:$D$37,MATCH(C1205,'Country Tiers'!$A$2:$A$37,0))</f>
        <v>2</v>
      </c>
    </row>
    <row r="1206" customFormat="false" ht="15" hidden="false" customHeight="false" outlineLevel="0" collapsed="false">
      <c r="A1206" s="12" t="s">
        <v>86</v>
      </c>
      <c r="B1206" s="12" t="s">
        <v>35</v>
      </c>
      <c r="C1206" s="12" t="s">
        <v>298</v>
      </c>
      <c r="D1206" s="12" t="str">
        <f aca="false">INDEX('Country Tiers'!$C$2:$C$37,MATCH(C1206,'Country Tiers'!$A$2:$A$37,0))</f>
        <v>Tier 1</v>
      </c>
      <c r="E1206" s="12" t="n">
        <f aca="false">INDEX('Country Tiers'!$D$2:$D$37,MATCH(C1206,'Country Tiers'!$A$2:$A$37,0))</f>
        <v>3</v>
      </c>
    </row>
    <row r="1207" customFormat="false" ht="15" hidden="false" customHeight="false" outlineLevel="0" collapsed="false">
      <c r="A1207" s="12" t="s">
        <v>86</v>
      </c>
      <c r="B1207" s="12" t="s">
        <v>35</v>
      </c>
      <c r="C1207" s="12" t="s">
        <v>299</v>
      </c>
      <c r="D1207" s="12" t="str">
        <f aca="false">INDEX('Country Tiers'!$C$2:$C$37,MATCH(C1207,'Country Tiers'!$A$2:$A$37,0))</f>
        <v>Tier 3</v>
      </c>
      <c r="E1207" s="12" t="n">
        <f aca="false">INDEX('Country Tiers'!$D$2:$D$37,MATCH(C1207,'Country Tiers'!$A$2:$A$37,0))</f>
        <v>1</v>
      </c>
    </row>
    <row r="1208" customFormat="false" ht="15" hidden="false" customHeight="false" outlineLevel="0" collapsed="false">
      <c r="A1208" s="12" t="s">
        <v>86</v>
      </c>
      <c r="B1208" s="12" t="s">
        <v>35</v>
      </c>
      <c r="C1208" s="12" t="s">
        <v>300</v>
      </c>
      <c r="D1208" s="12" t="str">
        <f aca="false">INDEX('Country Tiers'!$C$2:$C$37,MATCH(C1208,'Country Tiers'!$A$2:$A$37,0))</f>
        <v>Tier 3</v>
      </c>
      <c r="E1208" s="12" t="n">
        <f aca="false">INDEX('Country Tiers'!$D$2:$D$37,MATCH(C1208,'Country Tiers'!$A$2:$A$37,0))</f>
        <v>1</v>
      </c>
    </row>
    <row r="1209" customFormat="false" ht="15" hidden="false" customHeight="false" outlineLevel="0" collapsed="false">
      <c r="A1209" s="12" t="s">
        <v>86</v>
      </c>
      <c r="B1209" s="12" t="s">
        <v>35</v>
      </c>
      <c r="C1209" s="12" t="s">
        <v>301</v>
      </c>
      <c r="D1209" s="12" t="str">
        <f aca="false">INDEX('Country Tiers'!$C$2:$C$37,MATCH(C1209,'Country Tiers'!$A$2:$A$37,0))</f>
        <v>Tier 3</v>
      </c>
      <c r="E1209" s="12" t="n">
        <f aca="false">INDEX('Country Tiers'!$D$2:$D$37,MATCH(C1209,'Country Tiers'!$A$2:$A$37,0))</f>
        <v>1</v>
      </c>
    </row>
    <row r="1210" customFormat="false" ht="15" hidden="false" customHeight="false" outlineLevel="0" collapsed="false">
      <c r="A1210" s="12" t="s">
        <v>86</v>
      </c>
      <c r="B1210" s="12" t="s">
        <v>35</v>
      </c>
      <c r="C1210" s="12" t="s">
        <v>302</v>
      </c>
      <c r="D1210" s="12" t="str">
        <f aca="false">INDEX('Country Tiers'!$C$2:$C$37,MATCH(C1210,'Country Tiers'!$A$2:$A$37,0))</f>
        <v>Tier 3</v>
      </c>
      <c r="E1210" s="12" t="n">
        <f aca="false">INDEX('Country Tiers'!$D$2:$D$37,MATCH(C1210,'Country Tiers'!$A$2:$A$37,0))</f>
        <v>1</v>
      </c>
    </row>
    <row r="1211" customFormat="false" ht="15" hidden="false" customHeight="false" outlineLevel="0" collapsed="false">
      <c r="A1211" s="12" t="s">
        <v>86</v>
      </c>
      <c r="B1211" s="12" t="s">
        <v>35</v>
      </c>
      <c r="C1211" s="12" t="s">
        <v>306</v>
      </c>
      <c r="D1211" s="12" t="str">
        <f aca="false">INDEX('Country Tiers'!$C$2:$C$37,MATCH(C1211,'Country Tiers'!$A$2:$A$37,0))</f>
        <v>Tier 3</v>
      </c>
      <c r="E1211" s="12" t="n">
        <f aca="false">INDEX('Country Tiers'!$D$2:$D$37,MATCH(C1211,'Country Tiers'!$A$2:$A$37,0))</f>
        <v>1</v>
      </c>
    </row>
    <row r="1212" customFormat="false" ht="15" hidden="false" customHeight="false" outlineLevel="0" collapsed="false">
      <c r="A1212" s="12" t="s">
        <v>86</v>
      </c>
      <c r="B1212" s="12" t="s">
        <v>35</v>
      </c>
      <c r="C1212" s="12" t="s">
        <v>307</v>
      </c>
      <c r="D1212" s="12" t="str">
        <f aca="false">INDEX('Country Tiers'!$C$2:$C$37,MATCH(C1212,'Country Tiers'!$A$2:$A$37,0))</f>
        <v>Tier 2</v>
      </c>
      <c r="E1212" s="12" t="n">
        <f aca="false">INDEX('Country Tiers'!$D$2:$D$37,MATCH(C1212,'Country Tiers'!$A$2:$A$37,0))</f>
        <v>2</v>
      </c>
    </row>
    <row r="1213" customFormat="false" ht="15" hidden="false" customHeight="false" outlineLevel="0" collapsed="false">
      <c r="A1213" s="12" t="s">
        <v>86</v>
      </c>
      <c r="B1213" s="12" t="s">
        <v>35</v>
      </c>
      <c r="C1213" s="12" t="s">
        <v>308</v>
      </c>
      <c r="D1213" s="12" t="str">
        <f aca="false">INDEX('Country Tiers'!$C$2:$C$37,MATCH(C1213,'Country Tiers'!$A$2:$A$37,0))</f>
        <v>Tier 3</v>
      </c>
      <c r="E1213" s="12" t="n">
        <f aca="false">INDEX('Country Tiers'!$D$2:$D$37,MATCH(C1213,'Country Tiers'!$A$2:$A$37,0))</f>
        <v>1</v>
      </c>
    </row>
    <row r="1214" customFormat="false" ht="15" hidden="false" customHeight="false" outlineLevel="0" collapsed="false">
      <c r="A1214" s="12" t="s">
        <v>86</v>
      </c>
      <c r="B1214" s="12" t="s">
        <v>35</v>
      </c>
      <c r="C1214" s="12" t="s">
        <v>309</v>
      </c>
      <c r="D1214" s="12" t="str">
        <f aca="false">INDEX('Country Tiers'!$C$2:$C$37,MATCH(C1214,'Country Tiers'!$A$2:$A$37,0))</f>
        <v>Tier 1</v>
      </c>
      <c r="E1214" s="12" t="n">
        <f aca="false">INDEX('Country Tiers'!$D$2:$D$37,MATCH(C1214,'Country Tiers'!$A$2:$A$37,0))</f>
        <v>3</v>
      </c>
    </row>
    <row r="1215" customFormat="false" ht="15" hidden="false" customHeight="false" outlineLevel="0" collapsed="false">
      <c r="A1215" s="12" t="s">
        <v>86</v>
      </c>
      <c r="B1215" s="12" t="s">
        <v>35</v>
      </c>
      <c r="C1215" s="12" t="s">
        <v>313</v>
      </c>
      <c r="D1215" s="12" t="str">
        <f aca="false">INDEX('Country Tiers'!$C$2:$C$37,MATCH(C1215,'Country Tiers'!$A$2:$A$37,0))</f>
        <v>Tier 1</v>
      </c>
      <c r="E1215" s="12" t="n">
        <f aca="false">INDEX('Country Tiers'!$D$2:$D$37,MATCH(C1215,'Country Tiers'!$A$2:$A$37,0))</f>
        <v>3</v>
      </c>
    </row>
    <row r="1216" customFormat="false" ht="15" hidden="false" customHeight="false" outlineLevel="0" collapsed="false">
      <c r="A1216" s="12" t="s">
        <v>86</v>
      </c>
      <c r="B1216" s="12" t="s">
        <v>57</v>
      </c>
      <c r="C1216" s="12" t="s">
        <v>274</v>
      </c>
      <c r="D1216" s="12" t="str">
        <f aca="false">INDEX('Country Tiers'!$C$2:$C$37,MATCH(C1216,'Country Tiers'!$A$2:$A$37,0))</f>
        <v>Tier 3</v>
      </c>
      <c r="E1216" s="12" t="n">
        <f aca="false">INDEX('Country Tiers'!$D$2:$D$37,MATCH(C1216,'Country Tiers'!$A$2:$A$37,0))</f>
        <v>1</v>
      </c>
    </row>
    <row r="1217" customFormat="false" ht="15" hidden="false" customHeight="false" outlineLevel="0" collapsed="false">
      <c r="A1217" s="12" t="s">
        <v>86</v>
      </c>
      <c r="B1217" s="12" t="s">
        <v>57</v>
      </c>
      <c r="C1217" s="12" t="s">
        <v>277</v>
      </c>
      <c r="D1217" s="12" t="str">
        <f aca="false">INDEX('Country Tiers'!$C$2:$C$37,MATCH(C1217,'Country Tiers'!$A$2:$A$37,0))</f>
        <v>Tier 1</v>
      </c>
      <c r="E1217" s="12" t="n">
        <f aca="false">INDEX('Country Tiers'!$D$2:$D$37,MATCH(C1217,'Country Tiers'!$A$2:$A$37,0))</f>
        <v>3</v>
      </c>
    </row>
    <row r="1218" customFormat="false" ht="15" hidden="false" customHeight="false" outlineLevel="0" collapsed="false">
      <c r="A1218" s="12" t="s">
        <v>86</v>
      </c>
      <c r="B1218" s="12" t="s">
        <v>57</v>
      </c>
      <c r="C1218" s="12" t="s">
        <v>278</v>
      </c>
      <c r="D1218" s="12" t="str">
        <f aca="false">INDEX('Country Tiers'!$C$2:$C$37,MATCH(C1218,'Country Tiers'!$A$2:$A$37,0))</f>
        <v>Tier 3</v>
      </c>
      <c r="E1218" s="12" t="n">
        <f aca="false">INDEX('Country Tiers'!$D$2:$D$37,MATCH(C1218,'Country Tiers'!$A$2:$A$37,0))</f>
        <v>1</v>
      </c>
    </row>
    <row r="1219" customFormat="false" ht="15" hidden="false" customHeight="false" outlineLevel="0" collapsed="false">
      <c r="A1219" s="12" t="s">
        <v>86</v>
      </c>
      <c r="B1219" s="12" t="s">
        <v>57</v>
      </c>
      <c r="C1219" s="12" t="s">
        <v>280</v>
      </c>
      <c r="D1219" s="12" t="str">
        <f aca="false">INDEX('Country Tiers'!$C$2:$C$37,MATCH(C1219,'Country Tiers'!$A$2:$A$37,0))</f>
        <v>Tier 3</v>
      </c>
      <c r="E1219" s="12" t="n">
        <f aca="false">INDEX('Country Tiers'!$D$2:$D$37,MATCH(C1219,'Country Tiers'!$A$2:$A$37,0))</f>
        <v>1</v>
      </c>
    </row>
    <row r="1220" customFormat="false" ht="15" hidden="false" customHeight="false" outlineLevel="0" collapsed="false">
      <c r="A1220" s="12" t="s">
        <v>86</v>
      </c>
      <c r="B1220" s="12" t="s">
        <v>57</v>
      </c>
      <c r="C1220" s="12" t="s">
        <v>281</v>
      </c>
      <c r="D1220" s="12" t="str">
        <f aca="false">INDEX('Country Tiers'!$C$2:$C$37,MATCH(C1220,'Country Tiers'!$A$2:$A$37,0))</f>
        <v>Tier 3</v>
      </c>
      <c r="E1220" s="12" t="n">
        <f aca="false">INDEX('Country Tiers'!$D$2:$D$37,MATCH(C1220,'Country Tiers'!$A$2:$A$37,0))</f>
        <v>1</v>
      </c>
    </row>
    <row r="1221" customFormat="false" ht="15" hidden="false" customHeight="false" outlineLevel="0" collapsed="false">
      <c r="A1221" s="12" t="s">
        <v>86</v>
      </c>
      <c r="B1221" s="12" t="s">
        <v>57</v>
      </c>
      <c r="C1221" s="12" t="s">
        <v>282</v>
      </c>
      <c r="D1221" s="12" t="str">
        <f aca="false">INDEX('Country Tiers'!$C$2:$C$37,MATCH(C1221,'Country Tiers'!$A$2:$A$37,0))</f>
        <v>Tier 3</v>
      </c>
      <c r="E1221" s="12" t="n">
        <f aca="false">INDEX('Country Tiers'!$D$2:$D$37,MATCH(C1221,'Country Tiers'!$A$2:$A$37,0))</f>
        <v>1</v>
      </c>
    </row>
    <row r="1222" customFormat="false" ht="15" hidden="false" customHeight="false" outlineLevel="0" collapsed="false">
      <c r="A1222" s="12" t="s">
        <v>86</v>
      </c>
      <c r="B1222" s="12" t="s">
        <v>57</v>
      </c>
      <c r="C1222" s="12" t="s">
        <v>283</v>
      </c>
      <c r="D1222" s="12" t="str">
        <f aca="false">INDEX('Country Tiers'!$C$2:$C$37,MATCH(C1222,'Country Tiers'!$A$2:$A$37,0))</f>
        <v>Tier 3</v>
      </c>
      <c r="E1222" s="12" t="n">
        <f aca="false">INDEX('Country Tiers'!$D$2:$D$37,MATCH(C1222,'Country Tiers'!$A$2:$A$37,0))</f>
        <v>1</v>
      </c>
    </row>
    <row r="1223" customFormat="false" ht="15" hidden="false" customHeight="false" outlineLevel="0" collapsed="false">
      <c r="A1223" s="12" t="s">
        <v>86</v>
      </c>
      <c r="B1223" s="12" t="s">
        <v>57</v>
      </c>
      <c r="C1223" s="12" t="s">
        <v>284</v>
      </c>
      <c r="D1223" s="12" t="str">
        <f aca="false">INDEX('Country Tiers'!$C$2:$C$37,MATCH(C1223,'Country Tiers'!$A$2:$A$37,0))</f>
        <v>Tier 3</v>
      </c>
      <c r="E1223" s="12" t="n">
        <f aca="false">INDEX('Country Tiers'!$D$2:$D$37,MATCH(C1223,'Country Tiers'!$A$2:$A$37,0))</f>
        <v>1</v>
      </c>
    </row>
    <row r="1224" customFormat="false" ht="15" hidden="false" customHeight="false" outlineLevel="0" collapsed="false">
      <c r="A1224" s="12" t="s">
        <v>86</v>
      </c>
      <c r="B1224" s="12" t="s">
        <v>57</v>
      </c>
      <c r="C1224" s="12" t="s">
        <v>285</v>
      </c>
      <c r="D1224" s="12" t="str">
        <f aca="false">INDEX('Country Tiers'!$C$2:$C$37,MATCH(C1224,'Country Tiers'!$A$2:$A$37,0))</f>
        <v>Tier 3</v>
      </c>
      <c r="E1224" s="12" t="n">
        <f aca="false">INDEX('Country Tiers'!$D$2:$D$37,MATCH(C1224,'Country Tiers'!$A$2:$A$37,0))</f>
        <v>1</v>
      </c>
    </row>
    <row r="1225" customFormat="false" ht="15" hidden="false" customHeight="false" outlineLevel="0" collapsed="false">
      <c r="A1225" s="12" t="s">
        <v>86</v>
      </c>
      <c r="B1225" s="12" t="s">
        <v>57</v>
      </c>
      <c r="C1225" s="12" t="s">
        <v>286</v>
      </c>
      <c r="D1225" s="12" t="str">
        <f aca="false">INDEX('Country Tiers'!$C$2:$C$37,MATCH(C1225,'Country Tiers'!$A$2:$A$37,0))</f>
        <v>Tier 1</v>
      </c>
      <c r="E1225" s="12" t="n">
        <f aca="false">INDEX('Country Tiers'!$D$2:$D$37,MATCH(C1225,'Country Tiers'!$A$2:$A$37,0))</f>
        <v>3</v>
      </c>
    </row>
    <row r="1226" customFormat="false" ht="15" hidden="false" customHeight="false" outlineLevel="0" collapsed="false">
      <c r="A1226" s="12" t="s">
        <v>86</v>
      </c>
      <c r="B1226" s="12" t="s">
        <v>57</v>
      </c>
      <c r="C1226" s="12" t="s">
        <v>287</v>
      </c>
      <c r="D1226" s="12" t="str">
        <f aca="false">INDEX('Country Tiers'!$C$2:$C$37,MATCH(C1226,'Country Tiers'!$A$2:$A$37,0))</f>
        <v>Tier 1</v>
      </c>
      <c r="E1226" s="12" t="n">
        <f aca="false">INDEX('Country Tiers'!$D$2:$D$37,MATCH(C1226,'Country Tiers'!$A$2:$A$37,0))</f>
        <v>3</v>
      </c>
    </row>
    <row r="1227" customFormat="false" ht="15" hidden="false" customHeight="false" outlineLevel="0" collapsed="false">
      <c r="A1227" s="12" t="s">
        <v>86</v>
      </c>
      <c r="B1227" s="12" t="s">
        <v>57</v>
      </c>
      <c r="C1227" s="12" t="s">
        <v>288</v>
      </c>
      <c r="D1227" s="12" t="str">
        <f aca="false">INDEX('Country Tiers'!$C$2:$C$37,MATCH(C1227,'Country Tiers'!$A$2:$A$37,0))</f>
        <v>Tier 3</v>
      </c>
      <c r="E1227" s="12" t="n">
        <f aca="false">INDEX('Country Tiers'!$D$2:$D$37,MATCH(C1227,'Country Tiers'!$A$2:$A$37,0))</f>
        <v>1</v>
      </c>
    </row>
    <row r="1228" customFormat="false" ht="15" hidden="false" customHeight="false" outlineLevel="0" collapsed="false">
      <c r="A1228" s="12" t="s">
        <v>86</v>
      </c>
      <c r="B1228" s="12" t="s">
        <v>57</v>
      </c>
      <c r="C1228" s="12" t="s">
        <v>289</v>
      </c>
      <c r="D1228" s="12" t="str">
        <f aca="false">INDEX('Country Tiers'!$C$2:$C$37,MATCH(C1228,'Country Tiers'!$A$2:$A$37,0))</f>
        <v>Tier 3</v>
      </c>
      <c r="E1228" s="12" t="n">
        <f aca="false">INDEX('Country Tiers'!$D$2:$D$37,MATCH(C1228,'Country Tiers'!$A$2:$A$37,0))</f>
        <v>1</v>
      </c>
    </row>
    <row r="1229" customFormat="false" ht="15" hidden="false" customHeight="false" outlineLevel="0" collapsed="false">
      <c r="A1229" s="12" t="s">
        <v>86</v>
      </c>
      <c r="B1229" s="12" t="s">
        <v>57</v>
      </c>
      <c r="C1229" s="12" t="s">
        <v>290</v>
      </c>
      <c r="D1229" s="12" t="str">
        <f aca="false">INDEX('Country Tiers'!$C$2:$C$37,MATCH(C1229,'Country Tiers'!$A$2:$A$37,0))</f>
        <v>Tier 3</v>
      </c>
      <c r="E1229" s="12" t="n">
        <f aca="false">INDEX('Country Tiers'!$D$2:$D$37,MATCH(C1229,'Country Tiers'!$A$2:$A$37,0))</f>
        <v>1</v>
      </c>
    </row>
    <row r="1230" customFormat="false" ht="15" hidden="false" customHeight="false" outlineLevel="0" collapsed="false">
      <c r="A1230" s="12" t="s">
        <v>86</v>
      </c>
      <c r="B1230" s="12" t="s">
        <v>57</v>
      </c>
      <c r="C1230" s="12" t="s">
        <v>291</v>
      </c>
      <c r="D1230" s="12" t="str">
        <f aca="false">INDEX('Country Tiers'!$C$2:$C$37,MATCH(C1230,'Country Tiers'!$A$2:$A$37,0))</f>
        <v>Tier 3</v>
      </c>
      <c r="E1230" s="12" t="n">
        <f aca="false">INDEX('Country Tiers'!$D$2:$D$37,MATCH(C1230,'Country Tiers'!$A$2:$A$37,0))</f>
        <v>1</v>
      </c>
    </row>
    <row r="1231" customFormat="false" ht="15" hidden="false" customHeight="false" outlineLevel="0" collapsed="false">
      <c r="A1231" s="12" t="s">
        <v>86</v>
      </c>
      <c r="B1231" s="12" t="s">
        <v>57</v>
      </c>
      <c r="C1231" s="12" t="s">
        <v>292</v>
      </c>
      <c r="D1231" s="12" t="str">
        <f aca="false">INDEX('Country Tiers'!$C$2:$C$37,MATCH(C1231,'Country Tiers'!$A$2:$A$37,0))</f>
        <v>Tier 2</v>
      </c>
      <c r="E1231" s="12" t="n">
        <f aca="false">INDEX('Country Tiers'!$D$2:$D$37,MATCH(C1231,'Country Tiers'!$A$2:$A$37,0))</f>
        <v>2</v>
      </c>
    </row>
    <row r="1232" customFormat="false" ht="15" hidden="false" customHeight="false" outlineLevel="0" collapsed="false">
      <c r="A1232" s="12" t="s">
        <v>86</v>
      </c>
      <c r="B1232" s="12" t="s">
        <v>57</v>
      </c>
      <c r="C1232" s="12" t="s">
        <v>294</v>
      </c>
      <c r="D1232" s="12" t="str">
        <f aca="false">INDEX('Country Tiers'!$C$2:$C$37,MATCH(C1232,'Country Tiers'!$A$2:$A$37,0))</f>
        <v>Tier 3</v>
      </c>
      <c r="E1232" s="12" t="n">
        <f aca="false">INDEX('Country Tiers'!$D$2:$D$37,MATCH(C1232,'Country Tiers'!$A$2:$A$37,0))</f>
        <v>1</v>
      </c>
    </row>
    <row r="1233" customFormat="false" ht="15" hidden="false" customHeight="false" outlineLevel="0" collapsed="false">
      <c r="A1233" s="12" t="s">
        <v>86</v>
      </c>
      <c r="B1233" s="12" t="s">
        <v>57</v>
      </c>
      <c r="C1233" s="12" t="s">
        <v>296</v>
      </c>
      <c r="D1233" s="12" t="str">
        <f aca="false">INDEX('Country Tiers'!$C$2:$C$37,MATCH(C1233,'Country Tiers'!$A$2:$A$37,0))</f>
        <v>Tier 3</v>
      </c>
      <c r="E1233" s="12" t="n">
        <f aca="false">INDEX('Country Tiers'!$D$2:$D$37,MATCH(C1233,'Country Tiers'!$A$2:$A$37,0))</f>
        <v>1</v>
      </c>
    </row>
    <row r="1234" customFormat="false" ht="15" hidden="false" customHeight="false" outlineLevel="0" collapsed="false">
      <c r="A1234" s="12" t="s">
        <v>86</v>
      </c>
      <c r="B1234" s="12" t="s">
        <v>57</v>
      </c>
      <c r="C1234" s="12" t="s">
        <v>297</v>
      </c>
      <c r="D1234" s="12" t="str">
        <f aca="false">INDEX('Country Tiers'!$C$2:$C$37,MATCH(C1234,'Country Tiers'!$A$2:$A$37,0))</f>
        <v>Tier 2</v>
      </c>
      <c r="E1234" s="12" t="n">
        <f aca="false">INDEX('Country Tiers'!$D$2:$D$37,MATCH(C1234,'Country Tiers'!$A$2:$A$37,0))</f>
        <v>2</v>
      </c>
    </row>
    <row r="1235" customFormat="false" ht="15" hidden="false" customHeight="false" outlineLevel="0" collapsed="false">
      <c r="A1235" s="12" t="s">
        <v>86</v>
      </c>
      <c r="B1235" s="12" t="s">
        <v>57</v>
      </c>
      <c r="C1235" s="12" t="s">
        <v>298</v>
      </c>
      <c r="D1235" s="12" t="str">
        <f aca="false">INDEX('Country Tiers'!$C$2:$C$37,MATCH(C1235,'Country Tiers'!$A$2:$A$37,0))</f>
        <v>Tier 1</v>
      </c>
      <c r="E1235" s="12" t="n">
        <f aca="false">INDEX('Country Tiers'!$D$2:$D$37,MATCH(C1235,'Country Tiers'!$A$2:$A$37,0))</f>
        <v>3</v>
      </c>
    </row>
    <row r="1236" customFormat="false" ht="15" hidden="false" customHeight="false" outlineLevel="0" collapsed="false">
      <c r="A1236" s="12" t="s">
        <v>86</v>
      </c>
      <c r="B1236" s="12" t="s">
        <v>57</v>
      </c>
      <c r="C1236" s="12" t="s">
        <v>299</v>
      </c>
      <c r="D1236" s="12" t="str">
        <f aca="false">INDEX('Country Tiers'!$C$2:$C$37,MATCH(C1236,'Country Tiers'!$A$2:$A$37,0))</f>
        <v>Tier 3</v>
      </c>
      <c r="E1236" s="12" t="n">
        <f aca="false">INDEX('Country Tiers'!$D$2:$D$37,MATCH(C1236,'Country Tiers'!$A$2:$A$37,0))</f>
        <v>1</v>
      </c>
    </row>
    <row r="1237" customFormat="false" ht="15" hidden="false" customHeight="false" outlineLevel="0" collapsed="false">
      <c r="A1237" s="12" t="s">
        <v>86</v>
      </c>
      <c r="B1237" s="12" t="s">
        <v>57</v>
      </c>
      <c r="C1237" s="12" t="s">
        <v>300</v>
      </c>
      <c r="D1237" s="12" t="str">
        <f aca="false">INDEX('Country Tiers'!$C$2:$C$37,MATCH(C1237,'Country Tiers'!$A$2:$A$37,0))</f>
        <v>Tier 3</v>
      </c>
      <c r="E1237" s="12" t="n">
        <f aca="false">INDEX('Country Tiers'!$D$2:$D$37,MATCH(C1237,'Country Tiers'!$A$2:$A$37,0))</f>
        <v>1</v>
      </c>
    </row>
    <row r="1238" customFormat="false" ht="15" hidden="false" customHeight="false" outlineLevel="0" collapsed="false">
      <c r="A1238" s="12" t="s">
        <v>86</v>
      </c>
      <c r="B1238" s="12" t="s">
        <v>57</v>
      </c>
      <c r="C1238" s="12" t="s">
        <v>301</v>
      </c>
      <c r="D1238" s="12" t="str">
        <f aca="false">INDEX('Country Tiers'!$C$2:$C$37,MATCH(C1238,'Country Tiers'!$A$2:$A$37,0))</f>
        <v>Tier 3</v>
      </c>
      <c r="E1238" s="12" t="n">
        <f aca="false">INDEX('Country Tiers'!$D$2:$D$37,MATCH(C1238,'Country Tiers'!$A$2:$A$37,0))</f>
        <v>1</v>
      </c>
    </row>
    <row r="1239" customFormat="false" ht="15" hidden="false" customHeight="false" outlineLevel="0" collapsed="false">
      <c r="A1239" s="12" t="s">
        <v>86</v>
      </c>
      <c r="B1239" s="12" t="s">
        <v>57</v>
      </c>
      <c r="C1239" s="12" t="s">
        <v>302</v>
      </c>
      <c r="D1239" s="12" t="str">
        <f aca="false">INDEX('Country Tiers'!$C$2:$C$37,MATCH(C1239,'Country Tiers'!$A$2:$A$37,0))</f>
        <v>Tier 3</v>
      </c>
      <c r="E1239" s="12" t="n">
        <f aca="false">INDEX('Country Tiers'!$D$2:$D$37,MATCH(C1239,'Country Tiers'!$A$2:$A$37,0))</f>
        <v>1</v>
      </c>
    </row>
    <row r="1240" customFormat="false" ht="15" hidden="false" customHeight="false" outlineLevel="0" collapsed="false">
      <c r="A1240" s="12" t="s">
        <v>86</v>
      </c>
      <c r="B1240" s="12" t="s">
        <v>57</v>
      </c>
      <c r="C1240" s="12" t="s">
        <v>306</v>
      </c>
      <c r="D1240" s="12" t="str">
        <f aca="false">INDEX('Country Tiers'!$C$2:$C$37,MATCH(C1240,'Country Tiers'!$A$2:$A$37,0))</f>
        <v>Tier 3</v>
      </c>
      <c r="E1240" s="12" t="n">
        <f aca="false">INDEX('Country Tiers'!$D$2:$D$37,MATCH(C1240,'Country Tiers'!$A$2:$A$37,0))</f>
        <v>1</v>
      </c>
    </row>
    <row r="1241" customFormat="false" ht="15" hidden="false" customHeight="false" outlineLevel="0" collapsed="false">
      <c r="A1241" s="12" t="s">
        <v>86</v>
      </c>
      <c r="B1241" s="12" t="s">
        <v>57</v>
      </c>
      <c r="C1241" s="12" t="s">
        <v>307</v>
      </c>
      <c r="D1241" s="12" t="str">
        <f aca="false">INDEX('Country Tiers'!$C$2:$C$37,MATCH(C1241,'Country Tiers'!$A$2:$A$37,0))</f>
        <v>Tier 2</v>
      </c>
      <c r="E1241" s="12" t="n">
        <f aca="false">INDEX('Country Tiers'!$D$2:$D$37,MATCH(C1241,'Country Tiers'!$A$2:$A$37,0))</f>
        <v>2</v>
      </c>
    </row>
    <row r="1242" customFormat="false" ht="15" hidden="false" customHeight="false" outlineLevel="0" collapsed="false">
      <c r="A1242" s="12" t="s">
        <v>86</v>
      </c>
      <c r="B1242" s="12" t="s">
        <v>57</v>
      </c>
      <c r="C1242" s="12" t="s">
        <v>308</v>
      </c>
      <c r="D1242" s="12" t="str">
        <f aca="false">INDEX('Country Tiers'!$C$2:$C$37,MATCH(C1242,'Country Tiers'!$A$2:$A$37,0))</f>
        <v>Tier 3</v>
      </c>
      <c r="E1242" s="12" t="n">
        <f aca="false">INDEX('Country Tiers'!$D$2:$D$37,MATCH(C1242,'Country Tiers'!$A$2:$A$37,0))</f>
        <v>1</v>
      </c>
    </row>
    <row r="1243" customFormat="false" ht="15" hidden="false" customHeight="false" outlineLevel="0" collapsed="false">
      <c r="A1243" s="12" t="s">
        <v>86</v>
      </c>
      <c r="B1243" s="12" t="s">
        <v>57</v>
      </c>
      <c r="C1243" s="12" t="s">
        <v>309</v>
      </c>
      <c r="D1243" s="12" t="str">
        <f aca="false">INDEX('Country Tiers'!$C$2:$C$37,MATCH(C1243,'Country Tiers'!$A$2:$A$37,0))</f>
        <v>Tier 1</v>
      </c>
      <c r="E1243" s="12" t="n">
        <f aca="false">INDEX('Country Tiers'!$D$2:$D$37,MATCH(C1243,'Country Tiers'!$A$2:$A$37,0))</f>
        <v>3</v>
      </c>
    </row>
    <row r="1244" customFormat="false" ht="15" hidden="false" customHeight="false" outlineLevel="0" collapsed="false">
      <c r="A1244" s="12" t="s">
        <v>86</v>
      </c>
      <c r="B1244" s="12" t="s">
        <v>57</v>
      </c>
      <c r="C1244" s="12" t="s">
        <v>313</v>
      </c>
      <c r="D1244" s="12" t="str">
        <f aca="false">INDEX('Country Tiers'!$C$2:$C$37,MATCH(C1244,'Country Tiers'!$A$2:$A$37,0))</f>
        <v>Tier 1</v>
      </c>
      <c r="E1244" s="12" t="n">
        <f aca="false">INDEX('Country Tiers'!$D$2:$D$37,MATCH(C1244,'Country Tiers'!$A$2:$A$37,0))</f>
        <v>3</v>
      </c>
    </row>
    <row r="1245" customFormat="false" ht="15" hidden="false" customHeight="false" outlineLevel="0" collapsed="false">
      <c r="A1245" s="12" t="s">
        <v>86</v>
      </c>
      <c r="B1245" s="12" t="s">
        <v>44</v>
      </c>
      <c r="C1245" s="12" t="s">
        <v>272</v>
      </c>
      <c r="D1245" s="12" t="str">
        <f aca="false">INDEX('Country Tiers'!$C$2:$C$37,MATCH(C1245,'Country Tiers'!$A$2:$A$37,0))</f>
        <v>Tier 2</v>
      </c>
      <c r="E1245" s="12" t="n">
        <f aca="false">INDEX('Country Tiers'!$D$2:$D$37,MATCH(C1245,'Country Tiers'!$A$2:$A$37,0))</f>
        <v>2</v>
      </c>
    </row>
    <row r="1246" customFormat="false" ht="15" hidden="false" customHeight="false" outlineLevel="0" collapsed="false">
      <c r="A1246" s="12" t="s">
        <v>86</v>
      </c>
      <c r="B1246" s="12" t="s">
        <v>44</v>
      </c>
      <c r="C1246" s="12" t="s">
        <v>274</v>
      </c>
      <c r="D1246" s="12" t="str">
        <f aca="false">INDEX('Country Tiers'!$C$2:$C$37,MATCH(C1246,'Country Tiers'!$A$2:$A$37,0))</f>
        <v>Tier 3</v>
      </c>
      <c r="E1246" s="12" t="n">
        <f aca="false">INDEX('Country Tiers'!$D$2:$D$37,MATCH(C1246,'Country Tiers'!$A$2:$A$37,0))</f>
        <v>1</v>
      </c>
    </row>
    <row r="1247" customFormat="false" ht="15" hidden="false" customHeight="false" outlineLevel="0" collapsed="false">
      <c r="A1247" s="12" t="s">
        <v>86</v>
      </c>
      <c r="B1247" s="12" t="s">
        <v>44</v>
      </c>
      <c r="C1247" s="12" t="s">
        <v>277</v>
      </c>
      <c r="D1247" s="12" t="str">
        <f aca="false">INDEX('Country Tiers'!$C$2:$C$37,MATCH(C1247,'Country Tiers'!$A$2:$A$37,0))</f>
        <v>Tier 1</v>
      </c>
      <c r="E1247" s="12" t="n">
        <f aca="false">INDEX('Country Tiers'!$D$2:$D$37,MATCH(C1247,'Country Tiers'!$A$2:$A$37,0))</f>
        <v>3</v>
      </c>
    </row>
    <row r="1248" customFormat="false" ht="15" hidden="false" customHeight="false" outlineLevel="0" collapsed="false">
      <c r="A1248" s="12" t="s">
        <v>86</v>
      </c>
      <c r="B1248" s="12" t="s">
        <v>44</v>
      </c>
      <c r="C1248" s="12" t="s">
        <v>278</v>
      </c>
      <c r="D1248" s="12" t="str">
        <f aca="false">INDEX('Country Tiers'!$C$2:$C$37,MATCH(C1248,'Country Tiers'!$A$2:$A$37,0))</f>
        <v>Tier 3</v>
      </c>
      <c r="E1248" s="12" t="n">
        <f aca="false">INDEX('Country Tiers'!$D$2:$D$37,MATCH(C1248,'Country Tiers'!$A$2:$A$37,0))</f>
        <v>1</v>
      </c>
    </row>
    <row r="1249" customFormat="false" ht="15" hidden="false" customHeight="false" outlineLevel="0" collapsed="false">
      <c r="A1249" s="12" t="s">
        <v>86</v>
      </c>
      <c r="B1249" s="12" t="s">
        <v>44</v>
      </c>
      <c r="C1249" s="12" t="s">
        <v>280</v>
      </c>
      <c r="D1249" s="12" t="str">
        <f aca="false">INDEX('Country Tiers'!$C$2:$C$37,MATCH(C1249,'Country Tiers'!$A$2:$A$37,0))</f>
        <v>Tier 3</v>
      </c>
      <c r="E1249" s="12" t="n">
        <f aca="false">INDEX('Country Tiers'!$D$2:$D$37,MATCH(C1249,'Country Tiers'!$A$2:$A$37,0))</f>
        <v>1</v>
      </c>
    </row>
    <row r="1250" customFormat="false" ht="15" hidden="false" customHeight="false" outlineLevel="0" collapsed="false">
      <c r="A1250" s="12" t="s">
        <v>86</v>
      </c>
      <c r="B1250" s="12" t="s">
        <v>44</v>
      </c>
      <c r="C1250" s="12" t="s">
        <v>281</v>
      </c>
      <c r="D1250" s="12" t="str">
        <f aca="false">INDEX('Country Tiers'!$C$2:$C$37,MATCH(C1250,'Country Tiers'!$A$2:$A$37,0))</f>
        <v>Tier 3</v>
      </c>
      <c r="E1250" s="12" t="n">
        <f aca="false">INDEX('Country Tiers'!$D$2:$D$37,MATCH(C1250,'Country Tiers'!$A$2:$A$37,0))</f>
        <v>1</v>
      </c>
    </row>
    <row r="1251" customFormat="false" ht="15" hidden="false" customHeight="false" outlineLevel="0" collapsed="false">
      <c r="A1251" s="12" t="s">
        <v>86</v>
      </c>
      <c r="B1251" s="12" t="s">
        <v>44</v>
      </c>
      <c r="C1251" s="12" t="s">
        <v>282</v>
      </c>
      <c r="D1251" s="12" t="str">
        <f aca="false">INDEX('Country Tiers'!$C$2:$C$37,MATCH(C1251,'Country Tiers'!$A$2:$A$37,0))</f>
        <v>Tier 3</v>
      </c>
      <c r="E1251" s="12" t="n">
        <f aca="false">INDEX('Country Tiers'!$D$2:$D$37,MATCH(C1251,'Country Tiers'!$A$2:$A$37,0))</f>
        <v>1</v>
      </c>
    </row>
    <row r="1252" customFormat="false" ht="15" hidden="false" customHeight="false" outlineLevel="0" collapsed="false">
      <c r="A1252" s="12" t="s">
        <v>86</v>
      </c>
      <c r="B1252" s="12" t="s">
        <v>44</v>
      </c>
      <c r="C1252" s="12" t="s">
        <v>283</v>
      </c>
      <c r="D1252" s="12" t="str">
        <f aca="false">INDEX('Country Tiers'!$C$2:$C$37,MATCH(C1252,'Country Tiers'!$A$2:$A$37,0))</f>
        <v>Tier 3</v>
      </c>
      <c r="E1252" s="12" t="n">
        <f aca="false">INDEX('Country Tiers'!$D$2:$D$37,MATCH(C1252,'Country Tiers'!$A$2:$A$37,0))</f>
        <v>1</v>
      </c>
    </row>
    <row r="1253" customFormat="false" ht="15" hidden="false" customHeight="false" outlineLevel="0" collapsed="false">
      <c r="A1253" s="12" t="s">
        <v>86</v>
      </c>
      <c r="B1253" s="12" t="s">
        <v>44</v>
      </c>
      <c r="C1253" s="12" t="s">
        <v>284</v>
      </c>
      <c r="D1253" s="12" t="str">
        <f aca="false">INDEX('Country Tiers'!$C$2:$C$37,MATCH(C1253,'Country Tiers'!$A$2:$A$37,0))</f>
        <v>Tier 3</v>
      </c>
      <c r="E1253" s="12" t="n">
        <f aca="false">INDEX('Country Tiers'!$D$2:$D$37,MATCH(C1253,'Country Tiers'!$A$2:$A$37,0))</f>
        <v>1</v>
      </c>
    </row>
    <row r="1254" customFormat="false" ht="15" hidden="false" customHeight="false" outlineLevel="0" collapsed="false">
      <c r="A1254" s="12" t="s">
        <v>86</v>
      </c>
      <c r="B1254" s="12" t="s">
        <v>44</v>
      </c>
      <c r="C1254" s="12" t="s">
        <v>285</v>
      </c>
      <c r="D1254" s="12" t="str">
        <f aca="false">INDEX('Country Tiers'!$C$2:$C$37,MATCH(C1254,'Country Tiers'!$A$2:$A$37,0))</f>
        <v>Tier 3</v>
      </c>
      <c r="E1254" s="12" t="n">
        <f aca="false">INDEX('Country Tiers'!$D$2:$D$37,MATCH(C1254,'Country Tiers'!$A$2:$A$37,0))</f>
        <v>1</v>
      </c>
    </row>
    <row r="1255" customFormat="false" ht="15" hidden="false" customHeight="false" outlineLevel="0" collapsed="false">
      <c r="A1255" s="12" t="s">
        <v>86</v>
      </c>
      <c r="B1255" s="12" t="s">
        <v>44</v>
      </c>
      <c r="C1255" s="12" t="s">
        <v>286</v>
      </c>
      <c r="D1255" s="12" t="str">
        <f aca="false">INDEX('Country Tiers'!$C$2:$C$37,MATCH(C1255,'Country Tiers'!$A$2:$A$37,0))</f>
        <v>Tier 1</v>
      </c>
      <c r="E1255" s="12" t="n">
        <f aca="false">INDEX('Country Tiers'!$D$2:$D$37,MATCH(C1255,'Country Tiers'!$A$2:$A$37,0))</f>
        <v>3</v>
      </c>
    </row>
    <row r="1256" customFormat="false" ht="15" hidden="false" customHeight="false" outlineLevel="0" collapsed="false">
      <c r="A1256" s="12" t="s">
        <v>86</v>
      </c>
      <c r="B1256" s="12" t="s">
        <v>44</v>
      </c>
      <c r="C1256" s="12" t="s">
        <v>287</v>
      </c>
      <c r="D1256" s="12" t="str">
        <f aca="false">INDEX('Country Tiers'!$C$2:$C$37,MATCH(C1256,'Country Tiers'!$A$2:$A$37,0))</f>
        <v>Tier 1</v>
      </c>
      <c r="E1256" s="12" t="n">
        <f aca="false">INDEX('Country Tiers'!$D$2:$D$37,MATCH(C1256,'Country Tiers'!$A$2:$A$37,0))</f>
        <v>3</v>
      </c>
    </row>
    <row r="1257" customFormat="false" ht="15" hidden="false" customHeight="false" outlineLevel="0" collapsed="false">
      <c r="A1257" s="12" t="s">
        <v>86</v>
      </c>
      <c r="B1257" s="12" t="s">
        <v>44</v>
      </c>
      <c r="C1257" s="12" t="s">
        <v>288</v>
      </c>
      <c r="D1257" s="12" t="str">
        <f aca="false">INDEX('Country Tiers'!$C$2:$C$37,MATCH(C1257,'Country Tiers'!$A$2:$A$37,0))</f>
        <v>Tier 3</v>
      </c>
      <c r="E1257" s="12" t="n">
        <f aca="false">INDEX('Country Tiers'!$D$2:$D$37,MATCH(C1257,'Country Tiers'!$A$2:$A$37,0))</f>
        <v>1</v>
      </c>
    </row>
    <row r="1258" customFormat="false" ht="15" hidden="false" customHeight="false" outlineLevel="0" collapsed="false">
      <c r="A1258" s="12" t="s">
        <v>86</v>
      </c>
      <c r="B1258" s="12" t="s">
        <v>44</v>
      </c>
      <c r="C1258" s="12" t="s">
        <v>289</v>
      </c>
      <c r="D1258" s="12" t="str">
        <f aca="false">INDEX('Country Tiers'!$C$2:$C$37,MATCH(C1258,'Country Tiers'!$A$2:$A$37,0))</f>
        <v>Tier 3</v>
      </c>
      <c r="E1258" s="12" t="n">
        <f aca="false">INDEX('Country Tiers'!$D$2:$D$37,MATCH(C1258,'Country Tiers'!$A$2:$A$37,0))</f>
        <v>1</v>
      </c>
    </row>
    <row r="1259" customFormat="false" ht="15" hidden="false" customHeight="false" outlineLevel="0" collapsed="false">
      <c r="A1259" s="12" t="s">
        <v>86</v>
      </c>
      <c r="B1259" s="12" t="s">
        <v>44</v>
      </c>
      <c r="C1259" s="12" t="s">
        <v>290</v>
      </c>
      <c r="D1259" s="12" t="str">
        <f aca="false">INDEX('Country Tiers'!$C$2:$C$37,MATCH(C1259,'Country Tiers'!$A$2:$A$37,0))</f>
        <v>Tier 3</v>
      </c>
      <c r="E1259" s="12" t="n">
        <f aca="false">INDEX('Country Tiers'!$D$2:$D$37,MATCH(C1259,'Country Tiers'!$A$2:$A$37,0))</f>
        <v>1</v>
      </c>
    </row>
    <row r="1260" customFormat="false" ht="15" hidden="false" customHeight="false" outlineLevel="0" collapsed="false">
      <c r="A1260" s="12" t="s">
        <v>86</v>
      </c>
      <c r="B1260" s="12" t="s">
        <v>44</v>
      </c>
      <c r="C1260" s="12" t="s">
        <v>291</v>
      </c>
      <c r="D1260" s="12" t="str">
        <f aca="false">INDEX('Country Tiers'!$C$2:$C$37,MATCH(C1260,'Country Tiers'!$A$2:$A$37,0))</f>
        <v>Tier 3</v>
      </c>
      <c r="E1260" s="12" t="n">
        <f aca="false">INDEX('Country Tiers'!$D$2:$D$37,MATCH(C1260,'Country Tiers'!$A$2:$A$37,0))</f>
        <v>1</v>
      </c>
    </row>
    <row r="1261" customFormat="false" ht="15" hidden="false" customHeight="false" outlineLevel="0" collapsed="false">
      <c r="A1261" s="12" t="s">
        <v>86</v>
      </c>
      <c r="B1261" s="12" t="s">
        <v>44</v>
      </c>
      <c r="C1261" s="12" t="s">
        <v>292</v>
      </c>
      <c r="D1261" s="12" t="str">
        <f aca="false">INDEX('Country Tiers'!$C$2:$C$37,MATCH(C1261,'Country Tiers'!$A$2:$A$37,0))</f>
        <v>Tier 2</v>
      </c>
      <c r="E1261" s="12" t="n">
        <f aca="false">INDEX('Country Tiers'!$D$2:$D$37,MATCH(C1261,'Country Tiers'!$A$2:$A$37,0))</f>
        <v>2</v>
      </c>
    </row>
    <row r="1262" customFormat="false" ht="15" hidden="false" customHeight="false" outlineLevel="0" collapsed="false">
      <c r="A1262" s="12" t="s">
        <v>86</v>
      </c>
      <c r="B1262" s="12" t="s">
        <v>44</v>
      </c>
      <c r="C1262" s="12" t="s">
        <v>294</v>
      </c>
      <c r="D1262" s="12" t="str">
        <f aca="false">INDEX('Country Tiers'!$C$2:$C$37,MATCH(C1262,'Country Tiers'!$A$2:$A$37,0))</f>
        <v>Tier 3</v>
      </c>
      <c r="E1262" s="12" t="n">
        <f aca="false">INDEX('Country Tiers'!$D$2:$D$37,MATCH(C1262,'Country Tiers'!$A$2:$A$37,0))</f>
        <v>1</v>
      </c>
    </row>
    <row r="1263" customFormat="false" ht="15" hidden="false" customHeight="false" outlineLevel="0" collapsed="false">
      <c r="A1263" s="12" t="s">
        <v>86</v>
      </c>
      <c r="B1263" s="12" t="s">
        <v>44</v>
      </c>
      <c r="C1263" s="12" t="s">
        <v>296</v>
      </c>
      <c r="D1263" s="12" t="str">
        <f aca="false">INDEX('Country Tiers'!$C$2:$C$37,MATCH(C1263,'Country Tiers'!$A$2:$A$37,0))</f>
        <v>Tier 3</v>
      </c>
      <c r="E1263" s="12" t="n">
        <f aca="false">INDEX('Country Tiers'!$D$2:$D$37,MATCH(C1263,'Country Tiers'!$A$2:$A$37,0))</f>
        <v>1</v>
      </c>
    </row>
    <row r="1264" customFormat="false" ht="15" hidden="false" customHeight="false" outlineLevel="0" collapsed="false">
      <c r="A1264" s="12" t="s">
        <v>86</v>
      </c>
      <c r="B1264" s="12" t="s">
        <v>44</v>
      </c>
      <c r="C1264" s="12" t="s">
        <v>297</v>
      </c>
      <c r="D1264" s="12" t="str">
        <f aca="false">INDEX('Country Tiers'!$C$2:$C$37,MATCH(C1264,'Country Tiers'!$A$2:$A$37,0))</f>
        <v>Tier 2</v>
      </c>
      <c r="E1264" s="12" t="n">
        <f aca="false">INDEX('Country Tiers'!$D$2:$D$37,MATCH(C1264,'Country Tiers'!$A$2:$A$37,0))</f>
        <v>2</v>
      </c>
    </row>
    <row r="1265" customFormat="false" ht="15" hidden="false" customHeight="false" outlineLevel="0" collapsed="false">
      <c r="A1265" s="12" t="s">
        <v>86</v>
      </c>
      <c r="B1265" s="12" t="s">
        <v>44</v>
      </c>
      <c r="C1265" s="12" t="s">
        <v>298</v>
      </c>
      <c r="D1265" s="12" t="str">
        <f aca="false">INDEX('Country Tiers'!$C$2:$C$37,MATCH(C1265,'Country Tiers'!$A$2:$A$37,0))</f>
        <v>Tier 1</v>
      </c>
      <c r="E1265" s="12" t="n">
        <f aca="false">INDEX('Country Tiers'!$D$2:$D$37,MATCH(C1265,'Country Tiers'!$A$2:$A$37,0))</f>
        <v>3</v>
      </c>
    </row>
    <row r="1266" customFormat="false" ht="15" hidden="false" customHeight="false" outlineLevel="0" collapsed="false">
      <c r="A1266" s="12" t="s">
        <v>86</v>
      </c>
      <c r="B1266" s="12" t="s">
        <v>44</v>
      </c>
      <c r="C1266" s="12" t="s">
        <v>299</v>
      </c>
      <c r="D1266" s="12" t="str">
        <f aca="false">INDEX('Country Tiers'!$C$2:$C$37,MATCH(C1266,'Country Tiers'!$A$2:$A$37,0))</f>
        <v>Tier 3</v>
      </c>
      <c r="E1266" s="12" t="n">
        <f aca="false">INDEX('Country Tiers'!$D$2:$D$37,MATCH(C1266,'Country Tiers'!$A$2:$A$37,0))</f>
        <v>1</v>
      </c>
    </row>
    <row r="1267" customFormat="false" ht="15" hidden="false" customHeight="false" outlineLevel="0" collapsed="false">
      <c r="A1267" s="12" t="s">
        <v>86</v>
      </c>
      <c r="B1267" s="12" t="s">
        <v>44</v>
      </c>
      <c r="C1267" s="12" t="s">
        <v>300</v>
      </c>
      <c r="D1267" s="12" t="str">
        <f aca="false">INDEX('Country Tiers'!$C$2:$C$37,MATCH(C1267,'Country Tiers'!$A$2:$A$37,0))</f>
        <v>Tier 3</v>
      </c>
      <c r="E1267" s="12" t="n">
        <f aca="false">INDEX('Country Tiers'!$D$2:$D$37,MATCH(C1267,'Country Tiers'!$A$2:$A$37,0))</f>
        <v>1</v>
      </c>
    </row>
    <row r="1268" customFormat="false" ht="15" hidden="false" customHeight="false" outlineLevel="0" collapsed="false">
      <c r="A1268" s="12" t="s">
        <v>86</v>
      </c>
      <c r="B1268" s="12" t="s">
        <v>44</v>
      </c>
      <c r="C1268" s="12" t="s">
        <v>301</v>
      </c>
      <c r="D1268" s="12" t="str">
        <f aca="false">INDEX('Country Tiers'!$C$2:$C$37,MATCH(C1268,'Country Tiers'!$A$2:$A$37,0))</f>
        <v>Tier 3</v>
      </c>
      <c r="E1268" s="12" t="n">
        <f aca="false">INDEX('Country Tiers'!$D$2:$D$37,MATCH(C1268,'Country Tiers'!$A$2:$A$37,0))</f>
        <v>1</v>
      </c>
    </row>
    <row r="1269" customFormat="false" ht="15" hidden="false" customHeight="false" outlineLevel="0" collapsed="false">
      <c r="A1269" s="12" t="s">
        <v>86</v>
      </c>
      <c r="B1269" s="12" t="s">
        <v>44</v>
      </c>
      <c r="C1269" s="12" t="s">
        <v>302</v>
      </c>
      <c r="D1269" s="12" t="str">
        <f aca="false">INDEX('Country Tiers'!$C$2:$C$37,MATCH(C1269,'Country Tiers'!$A$2:$A$37,0))</f>
        <v>Tier 3</v>
      </c>
      <c r="E1269" s="12" t="n">
        <f aca="false">INDEX('Country Tiers'!$D$2:$D$37,MATCH(C1269,'Country Tiers'!$A$2:$A$37,0))</f>
        <v>1</v>
      </c>
    </row>
    <row r="1270" customFormat="false" ht="15" hidden="false" customHeight="false" outlineLevel="0" collapsed="false">
      <c r="A1270" s="12" t="s">
        <v>86</v>
      </c>
      <c r="B1270" s="12" t="s">
        <v>44</v>
      </c>
      <c r="C1270" s="12" t="s">
        <v>303</v>
      </c>
      <c r="D1270" s="12" t="str">
        <f aca="false">INDEX('Country Tiers'!$C$2:$C$37,MATCH(C1270,'Country Tiers'!$A$2:$A$37,0))</f>
        <v>Tier 2</v>
      </c>
      <c r="E1270" s="12" t="n">
        <f aca="false">INDEX('Country Tiers'!$D$2:$D$37,MATCH(C1270,'Country Tiers'!$A$2:$A$37,0))</f>
        <v>2</v>
      </c>
    </row>
    <row r="1271" customFormat="false" ht="15" hidden="false" customHeight="false" outlineLevel="0" collapsed="false">
      <c r="A1271" s="12" t="s">
        <v>86</v>
      </c>
      <c r="B1271" s="12" t="s">
        <v>44</v>
      </c>
      <c r="C1271" s="12" t="s">
        <v>306</v>
      </c>
      <c r="D1271" s="12" t="str">
        <f aca="false">INDEX('Country Tiers'!$C$2:$C$37,MATCH(C1271,'Country Tiers'!$A$2:$A$37,0))</f>
        <v>Tier 3</v>
      </c>
      <c r="E1271" s="12" t="n">
        <f aca="false">INDEX('Country Tiers'!$D$2:$D$37,MATCH(C1271,'Country Tiers'!$A$2:$A$37,0))</f>
        <v>1</v>
      </c>
    </row>
    <row r="1272" customFormat="false" ht="15" hidden="false" customHeight="false" outlineLevel="0" collapsed="false">
      <c r="A1272" s="12" t="s">
        <v>86</v>
      </c>
      <c r="B1272" s="12" t="s">
        <v>44</v>
      </c>
      <c r="C1272" s="12" t="s">
        <v>307</v>
      </c>
      <c r="D1272" s="12" t="str">
        <f aca="false">INDEX('Country Tiers'!$C$2:$C$37,MATCH(C1272,'Country Tiers'!$A$2:$A$37,0))</f>
        <v>Tier 2</v>
      </c>
      <c r="E1272" s="12" t="n">
        <f aca="false">INDEX('Country Tiers'!$D$2:$D$37,MATCH(C1272,'Country Tiers'!$A$2:$A$37,0))</f>
        <v>2</v>
      </c>
    </row>
    <row r="1273" customFormat="false" ht="15" hidden="false" customHeight="false" outlineLevel="0" collapsed="false">
      <c r="A1273" s="12" t="s">
        <v>86</v>
      </c>
      <c r="B1273" s="12" t="s">
        <v>44</v>
      </c>
      <c r="C1273" s="12" t="s">
        <v>308</v>
      </c>
      <c r="D1273" s="12" t="str">
        <f aca="false">INDEX('Country Tiers'!$C$2:$C$37,MATCH(C1273,'Country Tiers'!$A$2:$A$37,0))</f>
        <v>Tier 3</v>
      </c>
      <c r="E1273" s="12" t="n">
        <f aca="false">INDEX('Country Tiers'!$D$2:$D$37,MATCH(C1273,'Country Tiers'!$A$2:$A$37,0))</f>
        <v>1</v>
      </c>
    </row>
    <row r="1274" customFormat="false" ht="15" hidden="false" customHeight="false" outlineLevel="0" collapsed="false">
      <c r="A1274" s="12" t="s">
        <v>86</v>
      </c>
      <c r="B1274" s="12" t="s">
        <v>44</v>
      </c>
      <c r="C1274" s="12" t="s">
        <v>309</v>
      </c>
      <c r="D1274" s="12" t="str">
        <f aca="false">INDEX('Country Tiers'!$C$2:$C$37,MATCH(C1274,'Country Tiers'!$A$2:$A$37,0))</f>
        <v>Tier 1</v>
      </c>
      <c r="E1274" s="12" t="n">
        <f aca="false">INDEX('Country Tiers'!$D$2:$D$37,MATCH(C1274,'Country Tiers'!$A$2:$A$37,0))</f>
        <v>3</v>
      </c>
    </row>
    <row r="1275" customFormat="false" ht="15" hidden="false" customHeight="false" outlineLevel="0" collapsed="false">
      <c r="A1275" s="12" t="s">
        <v>86</v>
      </c>
      <c r="B1275" s="12" t="s">
        <v>44</v>
      </c>
      <c r="C1275" s="12" t="s">
        <v>313</v>
      </c>
      <c r="D1275" s="12" t="str">
        <f aca="false">INDEX('Country Tiers'!$C$2:$C$37,MATCH(C1275,'Country Tiers'!$A$2:$A$37,0))</f>
        <v>Tier 1</v>
      </c>
      <c r="E1275" s="12" t="n">
        <f aca="false">INDEX('Country Tiers'!$D$2:$D$37,MATCH(C1275,'Country Tiers'!$A$2:$A$37,0))</f>
        <v>3</v>
      </c>
    </row>
    <row r="1276" customFormat="false" ht="15" hidden="false" customHeight="false" outlineLevel="0" collapsed="false">
      <c r="A1276" s="12" t="s">
        <v>86</v>
      </c>
      <c r="B1276" s="12" t="s">
        <v>40</v>
      </c>
      <c r="C1276" s="12" t="s">
        <v>272</v>
      </c>
      <c r="D1276" s="12" t="str">
        <f aca="false">INDEX('Country Tiers'!$C$2:$C$37,MATCH(C1276,'Country Tiers'!$A$2:$A$37,0))</f>
        <v>Tier 2</v>
      </c>
      <c r="E1276" s="12" t="n">
        <f aca="false">INDEX('Country Tiers'!$D$2:$D$37,MATCH(C1276,'Country Tiers'!$A$2:$A$37,0))</f>
        <v>2</v>
      </c>
    </row>
    <row r="1277" customFormat="false" ht="15" hidden="false" customHeight="false" outlineLevel="0" collapsed="false">
      <c r="A1277" s="12" t="s">
        <v>86</v>
      </c>
      <c r="B1277" s="12" t="s">
        <v>38</v>
      </c>
      <c r="C1277" s="12" t="s">
        <v>272</v>
      </c>
      <c r="D1277" s="12" t="str">
        <f aca="false">INDEX('Country Tiers'!$C$2:$C$37,MATCH(C1277,'Country Tiers'!$A$2:$A$37,0))</f>
        <v>Tier 2</v>
      </c>
      <c r="E1277" s="12" t="n">
        <f aca="false">INDEX('Country Tiers'!$D$2:$D$37,MATCH(C1277,'Country Tiers'!$A$2:$A$37,0))</f>
        <v>2</v>
      </c>
    </row>
    <row r="1278" customFormat="false" ht="15" hidden="false" customHeight="false" outlineLevel="0" collapsed="false">
      <c r="A1278" s="12" t="s">
        <v>86</v>
      </c>
      <c r="B1278" s="12" t="s">
        <v>38</v>
      </c>
      <c r="C1278" s="12" t="s">
        <v>274</v>
      </c>
      <c r="D1278" s="12" t="str">
        <f aca="false">INDEX('Country Tiers'!$C$2:$C$37,MATCH(C1278,'Country Tiers'!$A$2:$A$37,0))</f>
        <v>Tier 3</v>
      </c>
      <c r="E1278" s="12" t="n">
        <f aca="false">INDEX('Country Tiers'!$D$2:$D$37,MATCH(C1278,'Country Tiers'!$A$2:$A$37,0))</f>
        <v>1</v>
      </c>
    </row>
    <row r="1279" customFormat="false" ht="15" hidden="false" customHeight="false" outlineLevel="0" collapsed="false">
      <c r="A1279" s="12" t="s">
        <v>86</v>
      </c>
      <c r="B1279" s="12" t="s">
        <v>38</v>
      </c>
      <c r="C1279" s="12" t="s">
        <v>277</v>
      </c>
      <c r="D1279" s="12" t="str">
        <f aca="false">INDEX('Country Tiers'!$C$2:$C$37,MATCH(C1279,'Country Tiers'!$A$2:$A$37,0))</f>
        <v>Tier 1</v>
      </c>
      <c r="E1279" s="12" t="n">
        <f aca="false">INDEX('Country Tiers'!$D$2:$D$37,MATCH(C1279,'Country Tiers'!$A$2:$A$37,0))</f>
        <v>3</v>
      </c>
    </row>
    <row r="1280" customFormat="false" ht="15" hidden="false" customHeight="false" outlineLevel="0" collapsed="false">
      <c r="A1280" s="12" t="s">
        <v>86</v>
      </c>
      <c r="B1280" s="12" t="s">
        <v>38</v>
      </c>
      <c r="C1280" s="12" t="s">
        <v>278</v>
      </c>
      <c r="D1280" s="12" t="str">
        <f aca="false">INDEX('Country Tiers'!$C$2:$C$37,MATCH(C1280,'Country Tiers'!$A$2:$A$37,0))</f>
        <v>Tier 3</v>
      </c>
      <c r="E1280" s="12" t="n">
        <f aca="false">INDEX('Country Tiers'!$D$2:$D$37,MATCH(C1280,'Country Tiers'!$A$2:$A$37,0))</f>
        <v>1</v>
      </c>
    </row>
    <row r="1281" customFormat="false" ht="15" hidden="false" customHeight="false" outlineLevel="0" collapsed="false">
      <c r="A1281" s="12" t="s">
        <v>86</v>
      </c>
      <c r="B1281" s="12" t="s">
        <v>38</v>
      </c>
      <c r="C1281" s="12" t="s">
        <v>280</v>
      </c>
      <c r="D1281" s="12" t="str">
        <f aca="false">INDEX('Country Tiers'!$C$2:$C$37,MATCH(C1281,'Country Tiers'!$A$2:$A$37,0))</f>
        <v>Tier 3</v>
      </c>
      <c r="E1281" s="12" t="n">
        <f aca="false">INDEX('Country Tiers'!$D$2:$D$37,MATCH(C1281,'Country Tiers'!$A$2:$A$37,0))</f>
        <v>1</v>
      </c>
    </row>
    <row r="1282" customFormat="false" ht="15" hidden="false" customHeight="false" outlineLevel="0" collapsed="false">
      <c r="A1282" s="12" t="s">
        <v>86</v>
      </c>
      <c r="B1282" s="12" t="s">
        <v>38</v>
      </c>
      <c r="C1282" s="12" t="s">
        <v>281</v>
      </c>
      <c r="D1282" s="12" t="str">
        <f aca="false">INDEX('Country Tiers'!$C$2:$C$37,MATCH(C1282,'Country Tiers'!$A$2:$A$37,0))</f>
        <v>Tier 3</v>
      </c>
      <c r="E1282" s="12" t="n">
        <f aca="false">INDEX('Country Tiers'!$D$2:$D$37,MATCH(C1282,'Country Tiers'!$A$2:$A$37,0))</f>
        <v>1</v>
      </c>
    </row>
    <row r="1283" customFormat="false" ht="15" hidden="false" customHeight="false" outlineLevel="0" collapsed="false">
      <c r="A1283" s="12" t="s">
        <v>86</v>
      </c>
      <c r="B1283" s="12" t="s">
        <v>38</v>
      </c>
      <c r="C1283" s="12" t="s">
        <v>282</v>
      </c>
      <c r="D1283" s="12" t="str">
        <f aca="false">INDEX('Country Tiers'!$C$2:$C$37,MATCH(C1283,'Country Tiers'!$A$2:$A$37,0))</f>
        <v>Tier 3</v>
      </c>
      <c r="E1283" s="12" t="n">
        <f aca="false">INDEX('Country Tiers'!$D$2:$D$37,MATCH(C1283,'Country Tiers'!$A$2:$A$37,0))</f>
        <v>1</v>
      </c>
    </row>
    <row r="1284" customFormat="false" ht="15" hidden="false" customHeight="false" outlineLevel="0" collapsed="false">
      <c r="A1284" s="12" t="s">
        <v>86</v>
      </c>
      <c r="B1284" s="12" t="s">
        <v>38</v>
      </c>
      <c r="C1284" s="12" t="s">
        <v>283</v>
      </c>
      <c r="D1284" s="12" t="str">
        <f aca="false">INDEX('Country Tiers'!$C$2:$C$37,MATCH(C1284,'Country Tiers'!$A$2:$A$37,0))</f>
        <v>Tier 3</v>
      </c>
      <c r="E1284" s="12" t="n">
        <f aca="false">INDEX('Country Tiers'!$D$2:$D$37,MATCH(C1284,'Country Tiers'!$A$2:$A$37,0))</f>
        <v>1</v>
      </c>
    </row>
    <row r="1285" customFormat="false" ht="15" hidden="false" customHeight="false" outlineLevel="0" collapsed="false">
      <c r="A1285" s="12" t="s">
        <v>86</v>
      </c>
      <c r="B1285" s="12" t="s">
        <v>38</v>
      </c>
      <c r="C1285" s="12" t="s">
        <v>284</v>
      </c>
      <c r="D1285" s="12" t="str">
        <f aca="false">INDEX('Country Tiers'!$C$2:$C$37,MATCH(C1285,'Country Tiers'!$A$2:$A$37,0))</f>
        <v>Tier 3</v>
      </c>
      <c r="E1285" s="12" t="n">
        <f aca="false">INDEX('Country Tiers'!$D$2:$D$37,MATCH(C1285,'Country Tiers'!$A$2:$A$37,0))</f>
        <v>1</v>
      </c>
    </row>
    <row r="1286" customFormat="false" ht="15" hidden="false" customHeight="false" outlineLevel="0" collapsed="false">
      <c r="A1286" s="12" t="s">
        <v>86</v>
      </c>
      <c r="B1286" s="12" t="s">
        <v>38</v>
      </c>
      <c r="C1286" s="12" t="s">
        <v>285</v>
      </c>
      <c r="D1286" s="12" t="str">
        <f aca="false">INDEX('Country Tiers'!$C$2:$C$37,MATCH(C1286,'Country Tiers'!$A$2:$A$37,0))</f>
        <v>Tier 3</v>
      </c>
      <c r="E1286" s="12" t="n">
        <f aca="false">INDEX('Country Tiers'!$D$2:$D$37,MATCH(C1286,'Country Tiers'!$A$2:$A$37,0))</f>
        <v>1</v>
      </c>
    </row>
    <row r="1287" customFormat="false" ht="15" hidden="false" customHeight="false" outlineLevel="0" collapsed="false">
      <c r="A1287" s="12" t="s">
        <v>86</v>
      </c>
      <c r="B1287" s="12" t="s">
        <v>38</v>
      </c>
      <c r="C1287" s="12" t="s">
        <v>286</v>
      </c>
      <c r="D1287" s="12" t="str">
        <f aca="false">INDEX('Country Tiers'!$C$2:$C$37,MATCH(C1287,'Country Tiers'!$A$2:$A$37,0))</f>
        <v>Tier 1</v>
      </c>
      <c r="E1287" s="12" t="n">
        <f aca="false">INDEX('Country Tiers'!$D$2:$D$37,MATCH(C1287,'Country Tiers'!$A$2:$A$37,0))</f>
        <v>3</v>
      </c>
    </row>
    <row r="1288" customFormat="false" ht="15" hidden="false" customHeight="false" outlineLevel="0" collapsed="false">
      <c r="A1288" s="12" t="s">
        <v>86</v>
      </c>
      <c r="B1288" s="12" t="s">
        <v>38</v>
      </c>
      <c r="C1288" s="12" t="s">
        <v>287</v>
      </c>
      <c r="D1288" s="12" t="str">
        <f aca="false">INDEX('Country Tiers'!$C$2:$C$37,MATCH(C1288,'Country Tiers'!$A$2:$A$37,0))</f>
        <v>Tier 1</v>
      </c>
      <c r="E1288" s="12" t="n">
        <f aca="false">INDEX('Country Tiers'!$D$2:$D$37,MATCH(C1288,'Country Tiers'!$A$2:$A$37,0))</f>
        <v>3</v>
      </c>
    </row>
    <row r="1289" customFormat="false" ht="15" hidden="false" customHeight="false" outlineLevel="0" collapsed="false">
      <c r="A1289" s="12" t="s">
        <v>86</v>
      </c>
      <c r="B1289" s="12" t="s">
        <v>38</v>
      </c>
      <c r="C1289" s="12" t="s">
        <v>288</v>
      </c>
      <c r="D1289" s="12" t="str">
        <f aca="false">INDEX('Country Tiers'!$C$2:$C$37,MATCH(C1289,'Country Tiers'!$A$2:$A$37,0))</f>
        <v>Tier 3</v>
      </c>
      <c r="E1289" s="12" t="n">
        <f aca="false">INDEX('Country Tiers'!$D$2:$D$37,MATCH(C1289,'Country Tiers'!$A$2:$A$37,0))</f>
        <v>1</v>
      </c>
    </row>
    <row r="1290" customFormat="false" ht="15" hidden="false" customHeight="false" outlineLevel="0" collapsed="false">
      <c r="A1290" s="12" t="s">
        <v>86</v>
      </c>
      <c r="B1290" s="12" t="s">
        <v>38</v>
      </c>
      <c r="C1290" s="12" t="s">
        <v>289</v>
      </c>
      <c r="D1290" s="12" t="str">
        <f aca="false">INDEX('Country Tiers'!$C$2:$C$37,MATCH(C1290,'Country Tiers'!$A$2:$A$37,0))</f>
        <v>Tier 3</v>
      </c>
      <c r="E1290" s="12" t="n">
        <f aca="false">INDEX('Country Tiers'!$D$2:$D$37,MATCH(C1290,'Country Tiers'!$A$2:$A$37,0))</f>
        <v>1</v>
      </c>
    </row>
    <row r="1291" customFormat="false" ht="15" hidden="false" customHeight="false" outlineLevel="0" collapsed="false">
      <c r="A1291" s="12" t="s">
        <v>86</v>
      </c>
      <c r="B1291" s="12" t="s">
        <v>38</v>
      </c>
      <c r="C1291" s="12" t="s">
        <v>290</v>
      </c>
      <c r="D1291" s="12" t="str">
        <f aca="false">INDEX('Country Tiers'!$C$2:$C$37,MATCH(C1291,'Country Tiers'!$A$2:$A$37,0))</f>
        <v>Tier 3</v>
      </c>
      <c r="E1291" s="12" t="n">
        <f aca="false">INDEX('Country Tiers'!$D$2:$D$37,MATCH(C1291,'Country Tiers'!$A$2:$A$37,0))</f>
        <v>1</v>
      </c>
    </row>
    <row r="1292" customFormat="false" ht="15" hidden="false" customHeight="false" outlineLevel="0" collapsed="false">
      <c r="A1292" s="12" t="s">
        <v>86</v>
      </c>
      <c r="B1292" s="12" t="s">
        <v>38</v>
      </c>
      <c r="C1292" s="12" t="s">
        <v>291</v>
      </c>
      <c r="D1292" s="12" t="str">
        <f aca="false">INDEX('Country Tiers'!$C$2:$C$37,MATCH(C1292,'Country Tiers'!$A$2:$A$37,0))</f>
        <v>Tier 3</v>
      </c>
      <c r="E1292" s="12" t="n">
        <f aca="false">INDEX('Country Tiers'!$D$2:$D$37,MATCH(C1292,'Country Tiers'!$A$2:$A$37,0))</f>
        <v>1</v>
      </c>
    </row>
    <row r="1293" customFormat="false" ht="15" hidden="false" customHeight="false" outlineLevel="0" collapsed="false">
      <c r="A1293" s="12" t="s">
        <v>86</v>
      </c>
      <c r="B1293" s="12" t="s">
        <v>38</v>
      </c>
      <c r="C1293" s="12" t="s">
        <v>292</v>
      </c>
      <c r="D1293" s="12" t="str">
        <f aca="false">INDEX('Country Tiers'!$C$2:$C$37,MATCH(C1293,'Country Tiers'!$A$2:$A$37,0))</f>
        <v>Tier 2</v>
      </c>
      <c r="E1293" s="12" t="n">
        <f aca="false">INDEX('Country Tiers'!$D$2:$D$37,MATCH(C1293,'Country Tiers'!$A$2:$A$37,0))</f>
        <v>2</v>
      </c>
    </row>
    <row r="1294" customFormat="false" ht="15" hidden="false" customHeight="false" outlineLevel="0" collapsed="false">
      <c r="A1294" s="12" t="s">
        <v>86</v>
      </c>
      <c r="B1294" s="12" t="s">
        <v>38</v>
      </c>
      <c r="C1294" s="12" t="s">
        <v>294</v>
      </c>
      <c r="D1294" s="12" t="str">
        <f aca="false">INDEX('Country Tiers'!$C$2:$C$37,MATCH(C1294,'Country Tiers'!$A$2:$A$37,0))</f>
        <v>Tier 3</v>
      </c>
      <c r="E1294" s="12" t="n">
        <f aca="false">INDEX('Country Tiers'!$D$2:$D$37,MATCH(C1294,'Country Tiers'!$A$2:$A$37,0))</f>
        <v>1</v>
      </c>
    </row>
    <row r="1295" customFormat="false" ht="15" hidden="false" customHeight="false" outlineLevel="0" collapsed="false">
      <c r="A1295" s="12" t="s">
        <v>86</v>
      </c>
      <c r="B1295" s="12" t="s">
        <v>38</v>
      </c>
      <c r="C1295" s="12" t="s">
        <v>296</v>
      </c>
      <c r="D1295" s="12" t="str">
        <f aca="false">INDEX('Country Tiers'!$C$2:$C$37,MATCH(C1295,'Country Tiers'!$A$2:$A$37,0))</f>
        <v>Tier 3</v>
      </c>
      <c r="E1295" s="12" t="n">
        <f aca="false">INDEX('Country Tiers'!$D$2:$D$37,MATCH(C1295,'Country Tiers'!$A$2:$A$37,0))</f>
        <v>1</v>
      </c>
    </row>
    <row r="1296" customFormat="false" ht="15" hidden="false" customHeight="false" outlineLevel="0" collapsed="false">
      <c r="A1296" s="12" t="s">
        <v>86</v>
      </c>
      <c r="B1296" s="12" t="s">
        <v>38</v>
      </c>
      <c r="C1296" s="12" t="s">
        <v>297</v>
      </c>
      <c r="D1296" s="12" t="str">
        <f aca="false">INDEX('Country Tiers'!$C$2:$C$37,MATCH(C1296,'Country Tiers'!$A$2:$A$37,0))</f>
        <v>Tier 2</v>
      </c>
      <c r="E1296" s="12" t="n">
        <f aca="false">INDEX('Country Tiers'!$D$2:$D$37,MATCH(C1296,'Country Tiers'!$A$2:$A$37,0))</f>
        <v>2</v>
      </c>
    </row>
    <row r="1297" customFormat="false" ht="15" hidden="false" customHeight="false" outlineLevel="0" collapsed="false">
      <c r="A1297" s="12" t="s">
        <v>86</v>
      </c>
      <c r="B1297" s="12" t="s">
        <v>38</v>
      </c>
      <c r="C1297" s="12" t="s">
        <v>298</v>
      </c>
      <c r="D1297" s="12" t="str">
        <f aca="false">INDEX('Country Tiers'!$C$2:$C$37,MATCH(C1297,'Country Tiers'!$A$2:$A$37,0))</f>
        <v>Tier 1</v>
      </c>
      <c r="E1297" s="12" t="n">
        <f aca="false">INDEX('Country Tiers'!$D$2:$D$37,MATCH(C1297,'Country Tiers'!$A$2:$A$37,0))</f>
        <v>3</v>
      </c>
    </row>
    <row r="1298" customFormat="false" ht="15" hidden="false" customHeight="false" outlineLevel="0" collapsed="false">
      <c r="A1298" s="12" t="s">
        <v>86</v>
      </c>
      <c r="B1298" s="12" t="s">
        <v>38</v>
      </c>
      <c r="C1298" s="12" t="s">
        <v>299</v>
      </c>
      <c r="D1298" s="12" t="str">
        <f aca="false">INDEX('Country Tiers'!$C$2:$C$37,MATCH(C1298,'Country Tiers'!$A$2:$A$37,0))</f>
        <v>Tier 3</v>
      </c>
      <c r="E1298" s="12" t="n">
        <f aca="false">INDEX('Country Tiers'!$D$2:$D$37,MATCH(C1298,'Country Tiers'!$A$2:$A$37,0))</f>
        <v>1</v>
      </c>
    </row>
    <row r="1299" customFormat="false" ht="15" hidden="false" customHeight="false" outlineLevel="0" collapsed="false">
      <c r="A1299" s="12" t="s">
        <v>86</v>
      </c>
      <c r="B1299" s="12" t="s">
        <v>38</v>
      </c>
      <c r="C1299" s="12" t="s">
        <v>300</v>
      </c>
      <c r="D1299" s="12" t="str">
        <f aca="false">INDEX('Country Tiers'!$C$2:$C$37,MATCH(C1299,'Country Tiers'!$A$2:$A$37,0))</f>
        <v>Tier 3</v>
      </c>
      <c r="E1299" s="12" t="n">
        <f aca="false">INDEX('Country Tiers'!$D$2:$D$37,MATCH(C1299,'Country Tiers'!$A$2:$A$37,0))</f>
        <v>1</v>
      </c>
    </row>
    <row r="1300" customFormat="false" ht="15" hidden="false" customHeight="false" outlineLevel="0" collapsed="false">
      <c r="A1300" s="12" t="s">
        <v>86</v>
      </c>
      <c r="B1300" s="12" t="s">
        <v>38</v>
      </c>
      <c r="C1300" s="12" t="s">
        <v>301</v>
      </c>
      <c r="D1300" s="12" t="str">
        <f aca="false">INDEX('Country Tiers'!$C$2:$C$37,MATCH(C1300,'Country Tiers'!$A$2:$A$37,0))</f>
        <v>Tier 3</v>
      </c>
      <c r="E1300" s="12" t="n">
        <f aca="false">INDEX('Country Tiers'!$D$2:$D$37,MATCH(C1300,'Country Tiers'!$A$2:$A$37,0))</f>
        <v>1</v>
      </c>
    </row>
    <row r="1301" customFormat="false" ht="15" hidden="false" customHeight="false" outlineLevel="0" collapsed="false">
      <c r="A1301" s="12" t="s">
        <v>86</v>
      </c>
      <c r="B1301" s="12" t="s">
        <v>38</v>
      </c>
      <c r="C1301" s="12" t="s">
        <v>302</v>
      </c>
      <c r="D1301" s="12" t="str">
        <f aca="false">INDEX('Country Tiers'!$C$2:$C$37,MATCH(C1301,'Country Tiers'!$A$2:$A$37,0))</f>
        <v>Tier 3</v>
      </c>
      <c r="E1301" s="12" t="n">
        <f aca="false">INDEX('Country Tiers'!$D$2:$D$37,MATCH(C1301,'Country Tiers'!$A$2:$A$37,0))</f>
        <v>1</v>
      </c>
    </row>
    <row r="1302" customFormat="false" ht="15" hidden="false" customHeight="false" outlineLevel="0" collapsed="false">
      <c r="A1302" s="12" t="s">
        <v>86</v>
      </c>
      <c r="B1302" s="12" t="s">
        <v>38</v>
      </c>
      <c r="C1302" s="12" t="s">
        <v>306</v>
      </c>
      <c r="D1302" s="12" t="str">
        <f aca="false">INDEX('Country Tiers'!$C$2:$C$37,MATCH(C1302,'Country Tiers'!$A$2:$A$37,0))</f>
        <v>Tier 3</v>
      </c>
      <c r="E1302" s="12" t="n">
        <f aca="false">INDEX('Country Tiers'!$D$2:$D$37,MATCH(C1302,'Country Tiers'!$A$2:$A$37,0))</f>
        <v>1</v>
      </c>
    </row>
    <row r="1303" customFormat="false" ht="15" hidden="false" customHeight="false" outlineLevel="0" collapsed="false">
      <c r="A1303" s="12" t="s">
        <v>86</v>
      </c>
      <c r="B1303" s="12" t="s">
        <v>38</v>
      </c>
      <c r="C1303" s="12" t="s">
        <v>307</v>
      </c>
      <c r="D1303" s="12" t="str">
        <f aca="false">INDEX('Country Tiers'!$C$2:$C$37,MATCH(C1303,'Country Tiers'!$A$2:$A$37,0))</f>
        <v>Tier 2</v>
      </c>
      <c r="E1303" s="12" t="n">
        <f aca="false">INDEX('Country Tiers'!$D$2:$D$37,MATCH(C1303,'Country Tiers'!$A$2:$A$37,0))</f>
        <v>2</v>
      </c>
    </row>
    <row r="1304" customFormat="false" ht="15" hidden="false" customHeight="false" outlineLevel="0" collapsed="false">
      <c r="A1304" s="12" t="s">
        <v>86</v>
      </c>
      <c r="B1304" s="12" t="s">
        <v>38</v>
      </c>
      <c r="C1304" s="12" t="s">
        <v>308</v>
      </c>
      <c r="D1304" s="12" t="str">
        <f aca="false">INDEX('Country Tiers'!$C$2:$C$37,MATCH(C1304,'Country Tiers'!$A$2:$A$37,0))</f>
        <v>Tier 3</v>
      </c>
      <c r="E1304" s="12" t="n">
        <f aca="false">INDEX('Country Tiers'!$D$2:$D$37,MATCH(C1304,'Country Tiers'!$A$2:$A$37,0))</f>
        <v>1</v>
      </c>
    </row>
    <row r="1305" customFormat="false" ht="15" hidden="false" customHeight="false" outlineLevel="0" collapsed="false">
      <c r="A1305" s="12" t="s">
        <v>86</v>
      </c>
      <c r="B1305" s="12" t="s">
        <v>38</v>
      </c>
      <c r="C1305" s="12" t="s">
        <v>309</v>
      </c>
      <c r="D1305" s="12" t="str">
        <f aca="false">INDEX('Country Tiers'!$C$2:$C$37,MATCH(C1305,'Country Tiers'!$A$2:$A$37,0))</f>
        <v>Tier 1</v>
      </c>
      <c r="E1305" s="12" t="n">
        <f aca="false">INDEX('Country Tiers'!$D$2:$D$37,MATCH(C1305,'Country Tiers'!$A$2:$A$37,0))</f>
        <v>3</v>
      </c>
    </row>
    <row r="1306" customFormat="false" ht="15" hidden="false" customHeight="false" outlineLevel="0" collapsed="false">
      <c r="A1306" s="12" t="s">
        <v>86</v>
      </c>
      <c r="B1306" s="12" t="s">
        <v>38</v>
      </c>
      <c r="C1306" s="12" t="s">
        <v>313</v>
      </c>
      <c r="D1306" s="12" t="str">
        <f aca="false">INDEX('Country Tiers'!$C$2:$C$37,MATCH(C1306,'Country Tiers'!$A$2:$A$37,0))</f>
        <v>Tier 1</v>
      </c>
      <c r="E1306" s="12" t="n">
        <f aca="false">INDEX('Country Tiers'!$D$2:$D$37,MATCH(C1306,'Country Tiers'!$A$2:$A$37,0))</f>
        <v>3</v>
      </c>
    </row>
    <row r="1307" customFormat="false" ht="15" hidden="false" customHeight="false" outlineLevel="0" collapsed="false">
      <c r="A1307" s="12" t="s">
        <v>87</v>
      </c>
      <c r="B1307" s="12" t="s">
        <v>44</v>
      </c>
      <c r="C1307" s="12" t="s">
        <v>290</v>
      </c>
      <c r="D1307" s="12" t="str">
        <f aca="false">INDEX('Country Tiers'!$C$2:$C$37,MATCH(C1307,'Country Tiers'!$A$2:$A$37,0))</f>
        <v>Tier 3</v>
      </c>
      <c r="E1307" s="12" t="n">
        <f aca="false">INDEX('Country Tiers'!$D$2:$D$37,MATCH(C1307,'Country Tiers'!$A$2:$A$37,0))</f>
        <v>1</v>
      </c>
    </row>
    <row r="1308" customFormat="false" ht="15" hidden="false" customHeight="false" outlineLevel="0" collapsed="false">
      <c r="A1308" s="12" t="s">
        <v>87</v>
      </c>
      <c r="B1308" s="12" t="s">
        <v>44</v>
      </c>
      <c r="C1308" s="12" t="s">
        <v>294</v>
      </c>
      <c r="D1308" s="12" t="str">
        <f aca="false">INDEX('Country Tiers'!$C$2:$C$37,MATCH(C1308,'Country Tiers'!$A$2:$A$37,0))</f>
        <v>Tier 3</v>
      </c>
      <c r="E1308" s="12" t="n">
        <f aca="false">INDEX('Country Tiers'!$D$2:$D$37,MATCH(C1308,'Country Tiers'!$A$2:$A$37,0))</f>
        <v>1</v>
      </c>
    </row>
    <row r="1309" customFormat="false" ht="15" hidden="false" customHeight="false" outlineLevel="0" collapsed="false">
      <c r="A1309" s="12" t="s">
        <v>87</v>
      </c>
      <c r="B1309" s="12" t="s">
        <v>44</v>
      </c>
      <c r="C1309" s="12" t="s">
        <v>299</v>
      </c>
      <c r="D1309" s="12" t="str">
        <f aca="false">INDEX('Country Tiers'!$C$2:$C$37,MATCH(C1309,'Country Tiers'!$A$2:$A$37,0))</f>
        <v>Tier 3</v>
      </c>
      <c r="E1309" s="12" t="n">
        <f aca="false">INDEX('Country Tiers'!$D$2:$D$37,MATCH(C1309,'Country Tiers'!$A$2:$A$37,0))</f>
        <v>1</v>
      </c>
    </row>
    <row r="1310" customFormat="false" ht="15" hidden="false" customHeight="false" outlineLevel="0" collapsed="false">
      <c r="A1310" s="12" t="s">
        <v>87</v>
      </c>
      <c r="B1310" s="12" t="s">
        <v>44</v>
      </c>
      <c r="C1310" s="12" t="s">
        <v>309</v>
      </c>
      <c r="D1310" s="12" t="str">
        <f aca="false">INDEX('Country Tiers'!$C$2:$C$37,MATCH(C1310,'Country Tiers'!$A$2:$A$37,0))</f>
        <v>Tier 1</v>
      </c>
      <c r="E1310" s="12" t="n">
        <f aca="false">INDEX('Country Tiers'!$D$2:$D$37,MATCH(C1310,'Country Tiers'!$A$2:$A$37,0))</f>
        <v>3</v>
      </c>
    </row>
    <row r="1311" customFormat="false" ht="15" hidden="false" customHeight="false" outlineLevel="0" collapsed="false">
      <c r="A1311" s="12" t="s">
        <v>88</v>
      </c>
      <c r="B1311" s="12" t="s">
        <v>44</v>
      </c>
      <c r="C1311" s="12" t="s">
        <v>272</v>
      </c>
      <c r="D1311" s="12" t="str">
        <f aca="false">INDEX('Country Tiers'!$C$2:$C$37,MATCH(C1311,'Country Tiers'!$A$2:$A$37,0))</f>
        <v>Tier 2</v>
      </c>
      <c r="E1311" s="12" t="n">
        <f aca="false">INDEX('Country Tiers'!$D$2:$D$37,MATCH(C1311,'Country Tiers'!$A$2:$A$37,0))</f>
        <v>2</v>
      </c>
    </row>
    <row r="1312" customFormat="false" ht="15" hidden="false" customHeight="false" outlineLevel="0" collapsed="false">
      <c r="A1312" s="12" t="s">
        <v>88</v>
      </c>
      <c r="B1312" s="12" t="s">
        <v>44</v>
      </c>
      <c r="C1312" s="12" t="s">
        <v>309</v>
      </c>
      <c r="D1312" s="12" t="str">
        <f aca="false">INDEX('Country Tiers'!$C$2:$C$37,MATCH(C1312,'Country Tiers'!$A$2:$A$37,0))</f>
        <v>Tier 1</v>
      </c>
      <c r="E1312" s="12" t="n">
        <f aca="false">INDEX('Country Tiers'!$D$2:$D$37,MATCH(C1312,'Country Tiers'!$A$2:$A$37,0))</f>
        <v>3</v>
      </c>
    </row>
    <row r="1313" customFormat="false" ht="15" hidden="false" customHeight="false" outlineLevel="0" collapsed="false">
      <c r="A1313" s="12" t="s">
        <v>89</v>
      </c>
      <c r="B1313" s="12" t="s">
        <v>55</v>
      </c>
      <c r="C1313" s="12" t="s">
        <v>311</v>
      </c>
      <c r="D1313" s="12" t="str">
        <f aca="false">INDEX('Country Tiers'!$C$2:$C$37,MATCH(C1313,'Country Tiers'!$A$2:$A$37,0))</f>
        <v>Tier 1</v>
      </c>
      <c r="E1313" s="12" t="n">
        <f aca="false">INDEX('Country Tiers'!$D$2:$D$37,MATCH(C1313,'Country Tiers'!$A$2:$A$37,0))</f>
        <v>3</v>
      </c>
    </row>
    <row r="1314" customFormat="false" ht="15" hidden="false" customHeight="false" outlineLevel="0" collapsed="false">
      <c r="A1314" s="12" t="s">
        <v>90</v>
      </c>
      <c r="B1314" s="12" t="s">
        <v>70</v>
      </c>
      <c r="C1314" s="12" t="s">
        <v>311</v>
      </c>
      <c r="D1314" s="12" t="str">
        <f aca="false">INDEX('Country Tiers'!$C$2:$C$37,MATCH(C1314,'Country Tiers'!$A$2:$A$37,0))</f>
        <v>Tier 1</v>
      </c>
      <c r="E1314" s="12" t="n">
        <f aca="false">INDEX('Country Tiers'!$D$2:$D$37,MATCH(C1314,'Country Tiers'!$A$2:$A$37,0))</f>
        <v>3</v>
      </c>
    </row>
    <row r="1315" customFormat="false" ht="15" hidden="false" customHeight="false" outlineLevel="0" collapsed="false">
      <c r="A1315" s="12" t="s">
        <v>90</v>
      </c>
      <c r="B1315" s="12" t="s">
        <v>55</v>
      </c>
      <c r="C1315" s="12" t="s">
        <v>311</v>
      </c>
      <c r="D1315" s="12" t="str">
        <f aca="false">INDEX('Country Tiers'!$C$2:$C$37,MATCH(C1315,'Country Tiers'!$A$2:$A$37,0))</f>
        <v>Tier 1</v>
      </c>
      <c r="E1315" s="12" t="n">
        <f aca="false">INDEX('Country Tiers'!$D$2:$D$37,MATCH(C1315,'Country Tiers'!$A$2:$A$37,0))</f>
        <v>3</v>
      </c>
    </row>
    <row r="1316" customFormat="false" ht="15" hidden="false" customHeight="false" outlineLevel="0" collapsed="false">
      <c r="A1316" s="12" t="s">
        <v>90</v>
      </c>
      <c r="B1316" s="12" t="s">
        <v>40</v>
      </c>
      <c r="C1316" s="12" t="s">
        <v>311</v>
      </c>
      <c r="D1316" s="12" t="str">
        <f aca="false">INDEX('Country Tiers'!$C$2:$C$37,MATCH(C1316,'Country Tiers'!$A$2:$A$37,0))</f>
        <v>Tier 1</v>
      </c>
      <c r="E1316" s="12" t="n">
        <f aca="false">INDEX('Country Tiers'!$D$2:$D$37,MATCH(C1316,'Country Tiers'!$A$2:$A$37,0))</f>
        <v>3</v>
      </c>
    </row>
    <row r="1317" customFormat="false" ht="15" hidden="false" customHeight="false" outlineLevel="0" collapsed="false">
      <c r="A1317" s="12" t="s">
        <v>91</v>
      </c>
      <c r="B1317" s="12" t="s">
        <v>65</v>
      </c>
      <c r="C1317" s="12" t="s">
        <v>311</v>
      </c>
      <c r="D1317" s="12" t="str">
        <f aca="false">INDEX('Country Tiers'!$C$2:$C$37,MATCH(C1317,'Country Tiers'!$A$2:$A$37,0))</f>
        <v>Tier 1</v>
      </c>
      <c r="E1317" s="12" t="n">
        <f aca="false">INDEX('Country Tiers'!$D$2:$D$37,MATCH(C1317,'Country Tiers'!$A$2:$A$37,0))</f>
        <v>3</v>
      </c>
    </row>
    <row r="1318" customFormat="false" ht="15" hidden="false" customHeight="false" outlineLevel="0" collapsed="false">
      <c r="A1318" s="12" t="s">
        <v>92</v>
      </c>
      <c r="B1318" s="12" t="s">
        <v>47</v>
      </c>
      <c r="C1318" s="12" t="s">
        <v>274</v>
      </c>
      <c r="D1318" s="12" t="str">
        <f aca="false">INDEX('Country Tiers'!$C$2:$C$37,MATCH(C1318,'Country Tiers'!$A$2:$A$37,0))</f>
        <v>Tier 3</v>
      </c>
      <c r="E1318" s="12" t="n">
        <f aca="false">INDEX('Country Tiers'!$D$2:$D$37,MATCH(C1318,'Country Tiers'!$A$2:$A$37,0))</f>
        <v>1</v>
      </c>
    </row>
    <row r="1319" customFormat="false" ht="15" hidden="false" customHeight="false" outlineLevel="0" collapsed="false">
      <c r="A1319" s="12" t="s">
        <v>92</v>
      </c>
      <c r="B1319" s="12" t="s">
        <v>47</v>
      </c>
      <c r="C1319" s="12" t="s">
        <v>277</v>
      </c>
      <c r="D1319" s="12" t="str">
        <f aca="false">INDEX('Country Tiers'!$C$2:$C$37,MATCH(C1319,'Country Tiers'!$A$2:$A$37,0))</f>
        <v>Tier 1</v>
      </c>
      <c r="E1319" s="12" t="n">
        <f aca="false">INDEX('Country Tiers'!$D$2:$D$37,MATCH(C1319,'Country Tiers'!$A$2:$A$37,0))</f>
        <v>3</v>
      </c>
    </row>
    <row r="1320" customFormat="false" ht="15" hidden="false" customHeight="false" outlineLevel="0" collapsed="false">
      <c r="A1320" s="12" t="s">
        <v>92</v>
      </c>
      <c r="B1320" s="12" t="s">
        <v>47</v>
      </c>
      <c r="C1320" s="12" t="s">
        <v>278</v>
      </c>
      <c r="D1320" s="12" t="str">
        <f aca="false">INDEX('Country Tiers'!$C$2:$C$37,MATCH(C1320,'Country Tiers'!$A$2:$A$37,0))</f>
        <v>Tier 3</v>
      </c>
      <c r="E1320" s="12" t="n">
        <f aca="false">INDEX('Country Tiers'!$D$2:$D$37,MATCH(C1320,'Country Tiers'!$A$2:$A$37,0))</f>
        <v>1</v>
      </c>
    </row>
    <row r="1321" customFormat="false" ht="15" hidden="false" customHeight="false" outlineLevel="0" collapsed="false">
      <c r="A1321" s="12" t="s">
        <v>92</v>
      </c>
      <c r="B1321" s="12" t="s">
        <v>47</v>
      </c>
      <c r="C1321" s="12" t="s">
        <v>280</v>
      </c>
      <c r="D1321" s="12" t="str">
        <f aca="false">INDEX('Country Tiers'!$C$2:$C$37,MATCH(C1321,'Country Tiers'!$A$2:$A$37,0))</f>
        <v>Tier 3</v>
      </c>
      <c r="E1321" s="12" t="n">
        <f aca="false">INDEX('Country Tiers'!$D$2:$D$37,MATCH(C1321,'Country Tiers'!$A$2:$A$37,0))</f>
        <v>1</v>
      </c>
    </row>
    <row r="1322" customFormat="false" ht="15" hidden="false" customHeight="false" outlineLevel="0" collapsed="false">
      <c r="A1322" s="12" t="s">
        <v>92</v>
      </c>
      <c r="B1322" s="12" t="s">
        <v>47</v>
      </c>
      <c r="C1322" s="12" t="s">
        <v>281</v>
      </c>
      <c r="D1322" s="12" t="str">
        <f aca="false">INDEX('Country Tiers'!$C$2:$C$37,MATCH(C1322,'Country Tiers'!$A$2:$A$37,0))</f>
        <v>Tier 3</v>
      </c>
      <c r="E1322" s="12" t="n">
        <f aca="false">INDEX('Country Tiers'!$D$2:$D$37,MATCH(C1322,'Country Tiers'!$A$2:$A$37,0))</f>
        <v>1</v>
      </c>
    </row>
    <row r="1323" customFormat="false" ht="15" hidden="false" customHeight="false" outlineLevel="0" collapsed="false">
      <c r="A1323" s="12" t="s">
        <v>92</v>
      </c>
      <c r="B1323" s="12" t="s">
        <v>47</v>
      </c>
      <c r="C1323" s="12" t="s">
        <v>282</v>
      </c>
      <c r="D1323" s="12" t="str">
        <f aca="false">INDEX('Country Tiers'!$C$2:$C$37,MATCH(C1323,'Country Tiers'!$A$2:$A$37,0))</f>
        <v>Tier 3</v>
      </c>
      <c r="E1323" s="12" t="n">
        <f aca="false">INDEX('Country Tiers'!$D$2:$D$37,MATCH(C1323,'Country Tiers'!$A$2:$A$37,0))</f>
        <v>1</v>
      </c>
    </row>
    <row r="1324" customFormat="false" ht="15" hidden="false" customHeight="false" outlineLevel="0" collapsed="false">
      <c r="A1324" s="12" t="s">
        <v>92</v>
      </c>
      <c r="B1324" s="12" t="s">
        <v>47</v>
      </c>
      <c r="C1324" s="12" t="s">
        <v>283</v>
      </c>
      <c r="D1324" s="12" t="str">
        <f aca="false">INDEX('Country Tiers'!$C$2:$C$37,MATCH(C1324,'Country Tiers'!$A$2:$A$37,0))</f>
        <v>Tier 3</v>
      </c>
      <c r="E1324" s="12" t="n">
        <f aca="false">INDEX('Country Tiers'!$D$2:$D$37,MATCH(C1324,'Country Tiers'!$A$2:$A$37,0))</f>
        <v>1</v>
      </c>
    </row>
    <row r="1325" customFormat="false" ht="15" hidden="false" customHeight="false" outlineLevel="0" collapsed="false">
      <c r="A1325" s="12" t="s">
        <v>92</v>
      </c>
      <c r="B1325" s="12" t="s">
        <v>47</v>
      </c>
      <c r="C1325" s="12" t="s">
        <v>284</v>
      </c>
      <c r="D1325" s="12" t="str">
        <f aca="false">INDEX('Country Tiers'!$C$2:$C$37,MATCH(C1325,'Country Tiers'!$A$2:$A$37,0))</f>
        <v>Tier 3</v>
      </c>
      <c r="E1325" s="12" t="n">
        <f aca="false">INDEX('Country Tiers'!$D$2:$D$37,MATCH(C1325,'Country Tiers'!$A$2:$A$37,0))</f>
        <v>1</v>
      </c>
    </row>
    <row r="1326" customFormat="false" ht="15" hidden="false" customHeight="false" outlineLevel="0" collapsed="false">
      <c r="A1326" s="12" t="s">
        <v>92</v>
      </c>
      <c r="B1326" s="12" t="s">
        <v>47</v>
      </c>
      <c r="C1326" s="12" t="s">
        <v>285</v>
      </c>
      <c r="D1326" s="12" t="str">
        <f aca="false">INDEX('Country Tiers'!$C$2:$C$37,MATCH(C1326,'Country Tiers'!$A$2:$A$37,0))</f>
        <v>Tier 3</v>
      </c>
      <c r="E1326" s="12" t="n">
        <f aca="false">INDEX('Country Tiers'!$D$2:$D$37,MATCH(C1326,'Country Tiers'!$A$2:$A$37,0))</f>
        <v>1</v>
      </c>
    </row>
    <row r="1327" customFormat="false" ht="15" hidden="false" customHeight="false" outlineLevel="0" collapsed="false">
      <c r="A1327" s="12" t="s">
        <v>92</v>
      </c>
      <c r="B1327" s="12" t="s">
        <v>47</v>
      </c>
      <c r="C1327" s="12" t="s">
        <v>286</v>
      </c>
      <c r="D1327" s="12" t="str">
        <f aca="false">INDEX('Country Tiers'!$C$2:$C$37,MATCH(C1327,'Country Tiers'!$A$2:$A$37,0))</f>
        <v>Tier 1</v>
      </c>
      <c r="E1327" s="12" t="n">
        <f aca="false">INDEX('Country Tiers'!$D$2:$D$37,MATCH(C1327,'Country Tiers'!$A$2:$A$37,0))</f>
        <v>3</v>
      </c>
    </row>
    <row r="1328" customFormat="false" ht="15" hidden="false" customHeight="false" outlineLevel="0" collapsed="false">
      <c r="A1328" s="12" t="s">
        <v>92</v>
      </c>
      <c r="B1328" s="12" t="s">
        <v>47</v>
      </c>
      <c r="C1328" s="12" t="s">
        <v>287</v>
      </c>
      <c r="D1328" s="12" t="str">
        <f aca="false">INDEX('Country Tiers'!$C$2:$C$37,MATCH(C1328,'Country Tiers'!$A$2:$A$37,0))</f>
        <v>Tier 1</v>
      </c>
      <c r="E1328" s="12" t="n">
        <f aca="false">INDEX('Country Tiers'!$D$2:$D$37,MATCH(C1328,'Country Tiers'!$A$2:$A$37,0))</f>
        <v>3</v>
      </c>
    </row>
    <row r="1329" customFormat="false" ht="15" hidden="false" customHeight="false" outlineLevel="0" collapsed="false">
      <c r="A1329" s="12" t="s">
        <v>92</v>
      </c>
      <c r="B1329" s="12" t="s">
        <v>47</v>
      </c>
      <c r="C1329" s="12" t="s">
        <v>288</v>
      </c>
      <c r="D1329" s="12" t="str">
        <f aca="false">INDEX('Country Tiers'!$C$2:$C$37,MATCH(C1329,'Country Tiers'!$A$2:$A$37,0))</f>
        <v>Tier 3</v>
      </c>
      <c r="E1329" s="12" t="n">
        <f aca="false">INDEX('Country Tiers'!$D$2:$D$37,MATCH(C1329,'Country Tiers'!$A$2:$A$37,0))</f>
        <v>1</v>
      </c>
    </row>
    <row r="1330" customFormat="false" ht="15" hidden="false" customHeight="false" outlineLevel="0" collapsed="false">
      <c r="A1330" s="12" t="s">
        <v>92</v>
      </c>
      <c r="B1330" s="12" t="s">
        <v>47</v>
      </c>
      <c r="C1330" s="12" t="s">
        <v>289</v>
      </c>
      <c r="D1330" s="12" t="str">
        <f aca="false">INDEX('Country Tiers'!$C$2:$C$37,MATCH(C1330,'Country Tiers'!$A$2:$A$37,0))</f>
        <v>Tier 3</v>
      </c>
      <c r="E1330" s="12" t="n">
        <f aca="false">INDEX('Country Tiers'!$D$2:$D$37,MATCH(C1330,'Country Tiers'!$A$2:$A$37,0))</f>
        <v>1</v>
      </c>
    </row>
    <row r="1331" customFormat="false" ht="15" hidden="false" customHeight="false" outlineLevel="0" collapsed="false">
      <c r="A1331" s="12" t="s">
        <v>92</v>
      </c>
      <c r="B1331" s="12" t="s">
        <v>47</v>
      </c>
      <c r="C1331" s="12" t="s">
        <v>290</v>
      </c>
      <c r="D1331" s="12" t="str">
        <f aca="false">INDEX('Country Tiers'!$C$2:$C$37,MATCH(C1331,'Country Tiers'!$A$2:$A$37,0))</f>
        <v>Tier 3</v>
      </c>
      <c r="E1331" s="12" t="n">
        <f aca="false">INDEX('Country Tiers'!$D$2:$D$37,MATCH(C1331,'Country Tiers'!$A$2:$A$37,0))</f>
        <v>1</v>
      </c>
    </row>
    <row r="1332" customFormat="false" ht="15" hidden="false" customHeight="false" outlineLevel="0" collapsed="false">
      <c r="A1332" s="12" t="s">
        <v>92</v>
      </c>
      <c r="B1332" s="12" t="s">
        <v>47</v>
      </c>
      <c r="C1332" s="12" t="s">
        <v>291</v>
      </c>
      <c r="D1332" s="12" t="str">
        <f aca="false">INDEX('Country Tiers'!$C$2:$C$37,MATCH(C1332,'Country Tiers'!$A$2:$A$37,0))</f>
        <v>Tier 3</v>
      </c>
      <c r="E1332" s="12" t="n">
        <f aca="false">INDEX('Country Tiers'!$D$2:$D$37,MATCH(C1332,'Country Tiers'!$A$2:$A$37,0))</f>
        <v>1</v>
      </c>
    </row>
    <row r="1333" customFormat="false" ht="15" hidden="false" customHeight="false" outlineLevel="0" collapsed="false">
      <c r="A1333" s="12" t="s">
        <v>92</v>
      </c>
      <c r="B1333" s="12" t="s">
        <v>47</v>
      </c>
      <c r="C1333" s="12" t="s">
        <v>292</v>
      </c>
      <c r="D1333" s="12" t="str">
        <f aca="false">INDEX('Country Tiers'!$C$2:$C$37,MATCH(C1333,'Country Tiers'!$A$2:$A$37,0))</f>
        <v>Tier 2</v>
      </c>
      <c r="E1333" s="12" t="n">
        <f aca="false">INDEX('Country Tiers'!$D$2:$D$37,MATCH(C1333,'Country Tiers'!$A$2:$A$37,0))</f>
        <v>2</v>
      </c>
    </row>
    <row r="1334" customFormat="false" ht="15" hidden="false" customHeight="false" outlineLevel="0" collapsed="false">
      <c r="A1334" s="12" t="s">
        <v>92</v>
      </c>
      <c r="B1334" s="12" t="s">
        <v>47</v>
      </c>
      <c r="C1334" s="12" t="s">
        <v>293</v>
      </c>
      <c r="D1334" s="12" t="str">
        <f aca="false">INDEX('Country Tiers'!$C$2:$C$37,MATCH(C1334,'Country Tiers'!$A$2:$A$37,0))</f>
        <v>Tier 3</v>
      </c>
      <c r="E1334" s="12" t="n">
        <f aca="false">INDEX('Country Tiers'!$D$2:$D$37,MATCH(C1334,'Country Tiers'!$A$2:$A$37,0))</f>
        <v>1</v>
      </c>
    </row>
    <row r="1335" customFormat="false" ht="15" hidden="false" customHeight="false" outlineLevel="0" collapsed="false">
      <c r="A1335" s="12" t="s">
        <v>92</v>
      </c>
      <c r="B1335" s="12" t="s">
        <v>47</v>
      </c>
      <c r="C1335" s="12" t="s">
        <v>294</v>
      </c>
      <c r="D1335" s="12" t="str">
        <f aca="false">INDEX('Country Tiers'!$C$2:$C$37,MATCH(C1335,'Country Tiers'!$A$2:$A$37,0))</f>
        <v>Tier 3</v>
      </c>
      <c r="E1335" s="12" t="n">
        <f aca="false">INDEX('Country Tiers'!$D$2:$D$37,MATCH(C1335,'Country Tiers'!$A$2:$A$37,0))</f>
        <v>1</v>
      </c>
    </row>
    <row r="1336" customFormat="false" ht="15" hidden="false" customHeight="false" outlineLevel="0" collapsed="false">
      <c r="A1336" s="12" t="s">
        <v>92</v>
      </c>
      <c r="B1336" s="12" t="s">
        <v>47</v>
      </c>
      <c r="C1336" s="12" t="s">
        <v>295</v>
      </c>
      <c r="D1336" s="12" t="str">
        <f aca="false">INDEX('Country Tiers'!$C$2:$C$37,MATCH(C1336,'Country Tiers'!$A$2:$A$37,0))</f>
        <v>Tier 3</v>
      </c>
      <c r="E1336" s="12" t="n">
        <f aca="false">INDEX('Country Tiers'!$D$2:$D$37,MATCH(C1336,'Country Tiers'!$A$2:$A$37,0))</f>
        <v>1</v>
      </c>
    </row>
    <row r="1337" customFormat="false" ht="15" hidden="false" customHeight="false" outlineLevel="0" collapsed="false">
      <c r="A1337" s="12" t="s">
        <v>92</v>
      </c>
      <c r="B1337" s="12" t="s">
        <v>47</v>
      </c>
      <c r="C1337" s="12" t="s">
        <v>296</v>
      </c>
      <c r="D1337" s="12" t="str">
        <f aca="false">INDEX('Country Tiers'!$C$2:$C$37,MATCH(C1337,'Country Tiers'!$A$2:$A$37,0))</f>
        <v>Tier 3</v>
      </c>
      <c r="E1337" s="12" t="n">
        <f aca="false">INDEX('Country Tiers'!$D$2:$D$37,MATCH(C1337,'Country Tiers'!$A$2:$A$37,0))</f>
        <v>1</v>
      </c>
    </row>
    <row r="1338" customFormat="false" ht="15" hidden="false" customHeight="false" outlineLevel="0" collapsed="false">
      <c r="A1338" s="12" t="s">
        <v>92</v>
      </c>
      <c r="B1338" s="12" t="s">
        <v>47</v>
      </c>
      <c r="C1338" s="12" t="s">
        <v>297</v>
      </c>
      <c r="D1338" s="12" t="str">
        <f aca="false">INDEX('Country Tiers'!$C$2:$C$37,MATCH(C1338,'Country Tiers'!$A$2:$A$37,0))</f>
        <v>Tier 2</v>
      </c>
      <c r="E1338" s="12" t="n">
        <f aca="false">INDEX('Country Tiers'!$D$2:$D$37,MATCH(C1338,'Country Tiers'!$A$2:$A$37,0))</f>
        <v>2</v>
      </c>
    </row>
    <row r="1339" customFormat="false" ht="15" hidden="false" customHeight="false" outlineLevel="0" collapsed="false">
      <c r="A1339" s="12" t="s">
        <v>92</v>
      </c>
      <c r="B1339" s="12" t="s">
        <v>47</v>
      </c>
      <c r="C1339" s="12" t="s">
        <v>298</v>
      </c>
      <c r="D1339" s="12" t="str">
        <f aca="false">INDEX('Country Tiers'!$C$2:$C$37,MATCH(C1339,'Country Tiers'!$A$2:$A$37,0))</f>
        <v>Tier 1</v>
      </c>
      <c r="E1339" s="12" t="n">
        <f aca="false">INDEX('Country Tiers'!$D$2:$D$37,MATCH(C1339,'Country Tiers'!$A$2:$A$37,0))</f>
        <v>3</v>
      </c>
    </row>
    <row r="1340" customFormat="false" ht="15" hidden="false" customHeight="false" outlineLevel="0" collapsed="false">
      <c r="A1340" s="12" t="s">
        <v>92</v>
      </c>
      <c r="B1340" s="12" t="s">
        <v>47</v>
      </c>
      <c r="C1340" s="12" t="s">
        <v>299</v>
      </c>
      <c r="D1340" s="12" t="str">
        <f aca="false">INDEX('Country Tiers'!$C$2:$C$37,MATCH(C1340,'Country Tiers'!$A$2:$A$37,0))</f>
        <v>Tier 3</v>
      </c>
      <c r="E1340" s="12" t="n">
        <f aca="false">INDEX('Country Tiers'!$D$2:$D$37,MATCH(C1340,'Country Tiers'!$A$2:$A$37,0))</f>
        <v>1</v>
      </c>
    </row>
    <row r="1341" customFormat="false" ht="15" hidden="false" customHeight="false" outlineLevel="0" collapsed="false">
      <c r="A1341" s="12" t="s">
        <v>92</v>
      </c>
      <c r="B1341" s="12" t="s">
        <v>47</v>
      </c>
      <c r="C1341" s="12" t="s">
        <v>300</v>
      </c>
      <c r="D1341" s="12" t="str">
        <f aca="false">INDEX('Country Tiers'!$C$2:$C$37,MATCH(C1341,'Country Tiers'!$A$2:$A$37,0))</f>
        <v>Tier 3</v>
      </c>
      <c r="E1341" s="12" t="n">
        <f aca="false">INDEX('Country Tiers'!$D$2:$D$37,MATCH(C1341,'Country Tiers'!$A$2:$A$37,0))</f>
        <v>1</v>
      </c>
    </row>
    <row r="1342" customFormat="false" ht="15" hidden="false" customHeight="false" outlineLevel="0" collapsed="false">
      <c r="A1342" s="12" t="s">
        <v>92</v>
      </c>
      <c r="B1342" s="12" t="s">
        <v>47</v>
      </c>
      <c r="C1342" s="12" t="s">
        <v>301</v>
      </c>
      <c r="D1342" s="12" t="str">
        <f aca="false">INDEX('Country Tiers'!$C$2:$C$37,MATCH(C1342,'Country Tiers'!$A$2:$A$37,0))</f>
        <v>Tier 3</v>
      </c>
      <c r="E1342" s="12" t="n">
        <f aca="false">INDEX('Country Tiers'!$D$2:$D$37,MATCH(C1342,'Country Tiers'!$A$2:$A$37,0))</f>
        <v>1</v>
      </c>
    </row>
    <row r="1343" customFormat="false" ht="15" hidden="false" customHeight="false" outlineLevel="0" collapsed="false">
      <c r="A1343" s="12" t="s">
        <v>92</v>
      </c>
      <c r="B1343" s="12" t="s">
        <v>47</v>
      </c>
      <c r="C1343" s="12" t="s">
        <v>302</v>
      </c>
      <c r="D1343" s="12" t="str">
        <f aca="false">INDEX('Country Tiers'!$C$2:$C$37,MATCH(C1343,'Country Tiers'!$A$2:$A$37,0))</f>
        <v>Tier 3</v>
      </c>
      <c r="E1343" s="12" t="n">
        <f aca="false">INDEX('Country Tiers'!$D$2:$D$37,MATCH(C1343,'Country Tiers'!$A$2:$A$37,0))</f>
        <v>1</v>
      </c>
    </row>
    <row r="1344" customFormat="false" ht="15" hidden="false" customHeight="false" outlineLevel="0" collapsed="false">
      <c r="A1344" s="12" t="s">
        <v>92</v>
      </c>
      <c r="B1344" s="12" t="s">
        <v>47</v>
      </c>
      <c r="C1344" s="12" t="s">
        <v>305</v>
      </c>
      <c r="D1344" s="12" t="str">
        <f aca="false">INDEX('Country Tiers'!$C$2:$C$37,MATCH(C1344,'Country Tiers'!$A$2:$A$37,0))</f>
        <v>Tier 3</v>
      </c>
      <c r="E1344" s="12" t="n">
        <f aca="false">INDEX('Country Tiers'!$D$2:$D$37,MATCH(C1344,'Country Tiers'!$A$2:$A$37,0))</f>
        <v>1</v>
      </c>
    </row>
    <row r="1345" customFormat="false" ht="15" hidden="false" customHeight="false" outlineLevel="0" collapsed="false">
      <c r="A1345" s="12" t="s">
        <v>92</v>
      </c>
      <c r="B1345" s="12" t="s">
        <v>47</v>
      </c>
      <c r="C1345" s="12" t="s">
        <v>306</v>
      </c>
      <c r="D1345" s="12" t="str">
        <f aca="false">INDEX('Country Tiers'!$C$2:$C$37,MATCH(C1345,'Country Tiers'!$A$2:$A$37,0))</f>
        <v>Tier 3</v>
      </c>
      <c r="E1345" s="12" t="n">
        <f aca="false">INDEX('Country Tiers'!$D$2:$D$37,MATCH(C1345,'Country Tiers'!$A$2:$A$37,0))</f>
        <v>1</v>
      </c>
    </row>
    <row r="1346" customFormat="false" ht="15" hidden="false" customHeight="false" outlineLevel="0" collapsed="false">
      <c r="A1346" s="12" t="s">
        <v>92</v>
      </c>
      <c r="B1346" s="12" t="s">
        <v>47</v>
      </c>
      <c r="C1346" s="12" t="s">
        <v>307</v>
      </c>
      <c r="D1346" s="12" t="str">
        <f aca="false">INDEX('Country Tiers'!$C$2:$C$37,MATCH(C1346,'Country Tiers'!$A$2:$A$37,0))</f>
        <v>Tier 2</v>
      </c>
      <c r="E1346" s="12" t="n">
        <f aca="false">INDEX('Country Tiers'!$D$2:$D$37,MATCH(C1346,'Country Tiers'!$A$2:$A$37,0))</f>
        <v>2</v>
      </c>
    </row>
    <row r="1347" customFormat="false" ht="15" hidden="false" customHeight="false" outlineLevel="0" collapsed="false">
      <c r="A1347" s="12" t="s">
        <v>92</v>
      </c>
      <c r="B1347" s="12" t="s">
        <v>47</v>
      </c>
      <c r="C1347" s="12" t="s">
        <v>308</v>
      </c>
      <c r="D1347" s="12" t="str">
        <f aca="false">INDEX('Country Tiers'!$C$2:$C$37,MATCH(C1347,'Country Tiers'!$A$2:$A$37,0))</f>
        <v>Tier 3</v>
      </c>
      <c r="E1347" s="12" t="n">
        <f aca="false">INDEX('Country Tiers'!$D$2:$D$37,MATCH(C1347,'Country Tiers'!$A$2:$A$37,0))</f>
        <v>1</v>
      </c>
    </row>
    <row r="1348" customFormat="false" ht="15" hidden="false" customHeight="false" outlineLevel="0" collapsed="false">
      <c r="A1348" s="12" t="s">
        <v>92</v>
      </c>
      <c r="B1348" s="12" t="s">
        <v>47</v>
      </c>
      <c r="C1348" s="12" t="s">
        <v>313</v>
      </c>
      <c r="D1348" s="12" t="str">
        <f aca="false">INDEX('Country Tiers'!$C$2:$C$37,MATCH(C1348,'Country Tiers'!$A$2:$A$37,0))</f>
        <v>Tier 1</v>
      </c>
      <c r="E1348" s="12" t="n">
        <f aca="false">INDEX('Country Tiers'!$D$2:$D$37,MATCH(C1348,'Country Tiers'!$A$2:$A$37,0))</f>
        <v>3</v>
      </c>
    </row>
    <row r="1349" customFormat="false" ht="15" hidden="false" customHeight="false" outlineLevel="0" collapsed="false">
      <c r="A1349" s="12" t="s">
        <v>92</v>
      </c>
      <c r="B1349" s="12" t="s">
        <v>54</v>
      </c>
      <c r="C1349" s="12" t="s">
        <v>303</v>
      </c>
      <c r="D1349" s="12" t="str">
        <f aca="false">INDEX('Country Tiers'!$C$2:$C$37,MATCH(C1349,'Country Tiers'!$A$2:$A$37,0))</f>
        <v>Tier 2</v>
      </c>
      <c r="E1349" s="12" t="n">
        <f aca="false">INDEX('Country Tiers'!$D$2:$D$37,MATCH(C1349,'Country Tiers'!$A$2:$A$37,0))</f>
        <v>2</v>
      </c>
    </row>
    <row r="1350" customFormat="false" ht="15" hidden="false" customHeight="false" outlineLevel="0" collapsed="false">
      <c r="A1350" s="12" t="s">
        <v>92</v>
      </c>
      <c r="B1350" s="12" t="s">
        <v>44</v>
      </c>
      <c r="C1350" s="12" t="s">
        <v>272</v>
      </c>
      <c r="D1350" s="12" t="str">
        <f aca="false">INDEX('Country Tiers'!$C$2:$C$37,MATCH(C1350,'Country Tiers'!$A$2:$A$37,0))</f>
        <v>Tier 2</v>
      </c>
      <c r="E1350" s="12" t="n">
        <f aca="false">INDEX('Country Tiers'!$D$2:$D$37,MATCH(C1350,'Country Tiers'!$A$2:$A$37,0))</f>
        <v>2</v>
      </c>
    </row>
    <row r="1351" customFormat="false" ht="15" hidden="false" customHeight="false" outlineLevel="0" collapsed="false">
      <c r="A1351" s="12" t="s">
        <v>92</v>
      </c>
      <c r="B1351" s="12" t="s">
        <v>44</v>
      </c>
      <c r="C1351" s="12" t="s">
        <v>274</v>
      </c>
      <c r="D1351" s="12" t="str">
        <f aca="false">INDEX('Country Tiers'!$C$2:$C$37,MATCH(C1351,'Country Tiers'!$A$2:$A$37,0))</f>
        <v>Tier 3</v>
      </c>
      <c r="E1351" s="12" t="n">
        <f aca="false">INDEX('Country Tiers'!$D$2:$D$37,MATCH(C1351,'Country Tiers'!$A$2:$A$37,0))</f>
        <v>1</v>
      </c>
    </row>
    <row r="1352" customFormat="false" ht="15" hidden="false" customHeight="false" outlineLevel="0" collapsed="false">
      <c r="A1352" s="12" t="s">
        <v>92</v>
      </c>
      <c r="B1352" s="12" t="s">
        <v>44</v>
      </c>
      <c r="C1352" s="12" t="s">
        <v>277</v>
      </c>
      <c r="D1352" s="12" t="str">
        <f aca="false">INDEX('Country Tiers'!$C$2:$C$37,MATCH(C1352,'Country Tiers'!$A$2:$A$37,0))</f>
        <v>Tier 1</v>
      </c>
      <c r="E1352" s="12" t="n">
        <f aca="false">INDEX('Country Tiers'!$D$2:$D$37,MATCH(C1352,'Country Tiers'!$A$2:$A$37,0))</f>
        <v>3</v>
      </c>
    </row>
    <row r="1353" customFormat="false" ht="15" hidden="false" customHeight="false" outlineLevel="0" collapsed="false">
      <c r="A1353" s="12" t="s">
        <v>92</v>
      </c>
      <c r="B1353" s="12" t="s">
        <v>44</v>
      </c>
      <c r="C1353" s="12" t="s">
        <v>278</v>
      </c>
      <c r="D1353" s="12" t="str">
        <f aca="false">INDEX('Country Tiers'!$C$2:$C$37,MATCH(C1353,'Country Tiers'!$A$2:$A$37,0))</f>
        <v>Tier 3</v>
      </c>
      <c r="E1353" s="12" t="n">
        <f aca="false">INDEX('Country Tiers'!$D$2:$D$37,MATCH(C1353,'Country Tiers'!$A$2:$A$37,0))</f>
        <v>1</v>
      </c>
    </row>
    <row r="1354" customFormat="false" ht="15" hidden="false" customHeight="false" outlineLevel="0" collapsed="false">
      <c r="A1354" s="12" t="s">
        <v>92</v>
      </c>
      <c r="B1354" s="12" t="s">
        <v>44</v>
      </c>
      <c r="C1354" s="12" t="s">
        <v>279</v>
      </c>
      <c r="D1354" s="12" t="str">
        <f aca="false">INDEX('Country Tiers'!$C$2:$C$37,MATCH(C1354,'Country Tiers'!$A$2:$A$37,0))</f>
        <v>Tier 1</v>
      </c>
      <c r="E1354" s="12" t="n">
        <f aca="false">INDEX('Country Tiers'!$D$2:$D$37,MATCH(C1354,'Country Tiers'!$A$2:$A$37,0))</f>
        <v>3</v>
      </c>
    </row>
    <row r="1355" customFormat="false" ht="15" hidden="false" customHeight="false" outlineLevel="0" collapsed="false">
      <c r="A1355" s="12" t="s">
        <v>92</v>
      </c>
      <c r="B1355" s="12" t="s">
        <v>44</v>
      </c>
      <c r="C1355" s="12" t="s">
        <v>280</v>
      </c>
      <c r="D1355" s="12" t="str">
        <f aca="false">INDEX('Country Tiers'!$C$2:$C$37,MATCH(C1355,'Country Tiers'!$A$2:$A$37,0))</f>
        <v>Tier 3</v>
      </c>
      <c r="E1355" s="12" t="n">
        <f aca="false">INDEX('Country Tiers'!$D$2:$D$37,MATCH(C1355,'Country Tiers'!$A$2:$A$37,0))</f>
        <v>1</v>
      </c>
    </row>
    <row r="1356" customFormat="false" ht="15" hidden="false" customHeight="false" outlineLevel="0" collapsed="false">
      <c r="A1356" s="12" t="s">
        <v>92</v>
      </c>
      <c r="B1356" s="12" t="s">
        <v>44</v>
      </c>
      <c r="C1356" s="12" t="s">
        <v>281</v>
      </c>
      <c r="D1356" s="12" t="str">
        <f aca="false">INDEX('Country Tiers'!$C$2:$C$37,MATCH(C1356,'Country Tiers'!$A$2:$A$37,0))</f>
        <v>Tier 3</v>
      </c>
      <c r="E1356" s="12" t="n">
        <f aca="false">INDEX('Country Tiers'!$D$2:$D$37,MATCH(C1356,'Country Tiers'!$A$2:$A$37,0))</f>
        <v>1</v>
      </c>
    </row>
    <row r="1357" customFormat="false" ht="15" hidden="false" customHeight="false" outlineLevel="0" collapsed="false">
      <c r="A1357" s="12" t="s">
        <v>92</v>
      </c>
      <c r="B1357" s="12" t="s">
        <v>44</v>
      </c>
      <c r="C1357" s="12" t="s">
        <v>282</v>
      </c>
      <c r="D1357" s="12" t="str">
        <f aca="false">INDEX('Country Tiers'!$C$2:$C$37,MATCH(C1357,'Country Tiers'!$A$2:$A$37,0))</f>
        <v>Tier 3</v>
      </c>
      <c r="E1357" s="12" t="n">
        <f aca="false">INDEX('Country Tiers'!$D$2:$D$37,MATCH(C1357,'Country Tiers'!$A$2:$A$37,0))</f>
        <v>1</v>
      </c>
    </row>
    <row r="1358" customFormat="false" ht="15" hidden="false" customHeight="false" outlineLevel="0" collapsed="false">
      <c r="A1358" s="12" t="s">
        <v>92</v>
      </c>
      <c r="B1358" s="12" t="s">
        <v>44</v>
      </c>
      <c r="C1358" s="12" t="s">
        <v>283</v>
      </c>
      <c r="D1358" s="12" t="str">
        <f aca="false">INDEX('Country Tiers'!$C$2:$C$37,MATCH(C1358,'Country Tiers'!$A$2:$A$37,0))</f>
        <v>Tier 3</v>
      </c>
      <c r="E1358" s="12" t="n">
        <f aca="false">INDEX('Country Tiers'!$D$2:$D$37,MATCH(C1358,'Country Tiers'!$A$2:$A$37,0))</f>
        <v>1</v>
      </c>
    </row>
    <row r="1359" customFormat="false" ht="15" hidden="false" customHeight="false" outlineLevel="0" collapsed="false">
      <c r="A1359" s="12" t="s">
        <v>92</v>
      </c>
      <c r="B1359" s="12" t="s">
        <v>44</v>
      </c>
      <c r="C1359" s="12" t="s">
        <v>284</v>
      </c>
      <c r="D1359" s="12" t="str">
        <f aca="false">INDEX('Country Tiers'!$C$2:$C$37,MATCH(C1359,'Country Tiers'!$A$2:$A$37,0))</f>
        <v>Tier 3</v>
      </c>
      <c r="E1359" s="12" t="n">
        <f aca="false">INDEX('Country Tiers'!$D$2:$D$37,MATCH(C1359,'Country Tiers'!$A$2:$A$37,0))</f>
        <v>1</v>
      </c>
    </row>
    <row r="1360" customFormat="false" ht="15" hidden="false" customHeight="false" outlineLevel="0" collapsed="false">
      <c r="A1360" s="12" t="s">
        <v>92</v>
      </c>
      <c r="B1360" s="12" t="s">
        <v>44</v>
      </c>
      <c r="C1360" s="12" t="s">
        <v>285</v>
      </c>
      <c r="D1360" s="12" t="str">
        <f aca="false">INDEX('Country Tiers'!$C$2:$C$37,MATCH(C1360,'Country Tiers'!$A$2:$A$37,0))</f>
        <v>Tier 3</v>
      </c>
      <c r="E1360" s="12" t="n">
        <f aca="false">INDEX('Country Tiers'!$D$2:$D$37,MATCH(C1360,'Country Tiers'!$A$2:$A$37,0))</f>
        <v>1</v>
      </c>
    </row>
    <row r="1361" customFormat="false" ht="15" hidden="false" customHeight="false" outlineLevel="0" collapsed="false">
      <c r="A1361" s="12" t="s">
        <v>92</v>
      </c>
      <c r="B1361" s="12" t="s">
        <v>44</v>
      </c>
      <c r="C1361" s="12" t="s">
        <v>286</v>
      </c>
      <c r="D1361" s="12" t="str">
        <f aca="false">INDEX('Country Tiers'!$C$2:$C$37,MATCH(C1361,'Country Tiers'!$A$2:$A$37,0))</f>
        <v>Tier 1</v>
      </c>
      <c r="E1361" s="12" t="n">
        <f aca="false">INDEX('Country Tiers'!$D$2:$D$37,MATCH(C1361,'Country Tiers'!$A$2:$A$37,0))</f>
        <v>3</v>
      </c>
    </row>
    <row r="1362" customFormat="false" ht="15" hidden="false" customHeight="false" outlineLevel="0" collapsed="false">
      <c r="A1362" s="12" t="s">
        <v>92</v>
      </c>
      <c r="B1362" s="12" t="s">
        <v>44</v>
      </c>
      <c r="C1362" s="12" t="s">
        <v>287</v>
      </c>
      <c r="D1362" s="12" t="str">
        <f aca="false">INDEX('Country Tiers'!$C$2:$C$37,MATCH(C1362,'Country Tiers'!$A$2:$A$37,0))</f>
        <v>Tier 1</v>
      </c>
      <c r="E1362" s="12" t="n">
        <f aca="false">INDEX('Country Tiers'!$D$2:$D$37,MATCH(C1362,'Country Tiers'!$A$2:$A$37,0))</f>
        <v>3</v>
      </c>
    </row>
    <row r="1363" customFormat="false" ht="15" hidden="false" customHeight="false" outlineLevel="0" collapsed="false">
      <c r="A1363" s="12" t="s">
        <v>92</v>
      </c>
      <c r="B1363" s="12" t="s">
        <v>44</v>
      </c>
      <c r="C1363" s="12" t="s">
        <v>288</v>
      </c>
      <c r="D1363" s="12" t="str">
        <f aca="false">INDEX('Country Tiers'!$C$2:$C$37,MATCH(C1363,'Country Tiers'!$A$2:$A$37,0))</f>
        <v>Tier 3</v>
      </c>
      <c r="E1363" s="12" t="n">
        <f aca="false">INDEX('Country Tiers'!$D$2:$D$37,MATCH(C1363,'Country Tiers'!$A$2:$A$37,0))</f>
        <v>1</v>
      </c>
    </row>
    <row r="1364" customFormat="false" ht="15" hidden="false" customHeight="false" outlineLevel="0" collapsed="false">
      <c r="A1364" s="12" t="s">
        <v>92</v>
      </c>
      <c r="B1364" s="12" t="s">
        <v>44</v>
      </c>
      <c r="C1364" s="12" t="s">
        <v>289</v>
      </c>
      <c r="D1364" s="12" t="str">
        <f aca="false">INDEX('Country Tiers'!$C$2:$C$37,MATCH(C1364,'Country Tiers'!$A$2:$A$37,0))</f>
        <v>Tier 3</v>
      </c>
      <c r="E1364" s="12" t="n">
        <f aca="false">INDEX('Country Tiers'!$D$2:$D$37,MATCH(C1364,'Country Tiers'!$A$2:$A$37,0))</f>
        <v>1</v>
      </c>
    </row>
    <row r="1365" customFormat="false" ht="15" hidden="false" customHeight="false" outlineLevel="0" collapsed="false">
      <c r="A1365" s="12" t="s">
        <v>92</v>
      </c>
      <c r="B1365" s="12" t="s">
        <v>44</v>
      </c>
      <c r="C1365" s="12" t="s">
        <v>290</v>
      </c>
      <c r="D1365" s="12" t="str">
        <f aca="false">INDEX('Country Tiers'!$C$2:$C$37,MATCH(C1365,'Country Tiers'!$A$2:$A$37,0))</f>
        <v>Tier 3</v>
      </c>
      <c r="E1365" s="12" t="n">
        <f aca="false">INDEX('Country Tiers'!$D$2:$D$37,MATCH(C1365,'Country Tiers'!$A$2:$A$37,0))</f>
        <v>1</v>
      </c>
    </row>
    <row r="1366" customFormat="false" ht="15" hidden="false" customHeight="false" outlineLevel="0" collapsed="false">
      <c r="A1366" s="12" t="s">
        <v>92</v>
      </c>
      <c r="B1366" s="12" t="s">
        <v>44</v>
      </c>
      <c r="C1366" s="12" t="s">
        <v>291</v>
      </c>
      <c r="D1366" s="12" t="str">
        <f aca="false">INDEX('Country Tiers'!$C$2:$C$37,MATCH(C1366,'Country Tiers'!$A$2:$A$37,0))</f>
        <v>Tier 3</v>
      </c>
      <c r="E1366" s="12" t="n">
        <f aca="false">INDEX('Country Tiers'!$D$2:$D$37,MATCH(C1366,'Country Tiers'!$A$2:$A$37,0))</f>
        <v>1</v>
      </c>
    </row>
    <row r="1367" customFormat="false" ht="15" hidden="false" customHeight="false" outlineLevel="0" collapsed="false">
      <c r="A1367" s="12" t="s">
        <v>92</v>
      </c>
      <c r="B1367" s="12" t="s">
        <v>44</v>
      </c>
      <c r="C1367" s="12" t="s">
        <v>292</v>
      </c>
      <c r="D1367" s="12" t="str">
        <f aca="false">INDEX('Country Tiers'!$C$2:$C$37,MATCH(C1367,'Country Tiers'!$A$2:$A$37,0))</f>
        <v>Tier 2</v>
      </c>
      <c r="E1367" s="12" t="n">
        <f aca="false">INDEX('Country Tiers'!$D$2:$D$37,MATCH(C1367,'Country Tiers'!$A$2:$A$37,0))</f>
        <v>2</v>
      </c>
    </row>
    <row r="1368" customFormat="false" ht="15" hidden="false" customHeight="false" outlineLevel="0" collapsed="false">
      <c r="A1368" s="12" t="s">
        <v>92</v>
      </c>
      <c r="B1368" s="12" t="s">
        <v>44</v>
      </c>
      <c r="C1368" s="12" t="s">
        <v>293</v>
      </c>
      <c r="D1368" s="12" t="str">
        <f aca="false">INDEX('Country Tiers'!$C$2:$C$37,MATCH(C1368,'Country Tiers'!$A$2:$A$37,0))</f>
        <v>Tier 3</v>
      </c>
      <c r="E1368" s="12" t="n">
        <f aca="false">INDEX('Country Tiers'!$D$2:$D$37,MATCH(C1368,'Country Tiers'!$A$2:$A$37,0))</f>
        <v>1</v>
      </c>
    </row>
    <row r="1369" customFormat="false" ht="15" hidden="false" customHeight="false" outlineLevel="0" collapsed="false">
      <c r="A1369" s="12" t="s">
        <v>92</v>
      </c>
      <c r="B1369" s="12" t="s">
        <v>44</v>
      </c>
      <c r="C1369" s="12" t="s">
        <v>294</v>
      </c>
      <c r="D1369" s="12" t="str">
        <f aca="false">INDEX('Country Tiers'!$C$2:$C$37,MATCH(C1369,'Country Tiers'!$A$2:$A$37,0))</f>
        <v>Tier 3</v>
      </c>
      <c r="E1369" s="12" t="n">
        <f aca="false">INDEX('Country Tiers'!$D$2:$D$37,MATCH(C1369,'Country Tiers'!$A$2:$A$37,0))</f>
        <v>1</v>
      </c>
    </row>
    <row r="1370" customFormat="false" ht="15" hidden="false" customHeight="false" outlineLevel="0" collapsed="false">
      <c r="A1370" s="12" t="s">
        <v>92</v>
      </c>
      <c r="B1370" s="12" t="s">
        <v>44</v>
      </c>
      <c r="C1370" s="12" t="s">
        <v>295</v>
      </c>
      <c r="D1370" s="12" t="str">
        <f aca="false">INDEX('Country Tiers'!$C$2:$C$37,MATCH(C1370,'Country Tiers'!$A$2:$A$37,0))</f>
        <v>Tier 3</v>
      </c>
      <c r="E1370" s="12" t="n">
        <f aca="false">INDEX('Country Tiers'!$D$2:$D$37,MATCH(C1370,'Country Tiers'!$A$2:$A$37,0))</f>
        <v>1</v>
      </c>
    </row>
    <row r="1371" customFormat="false" ht="15" hidden="false" customHeight="false" outlineLevel="0" collapsed="false">
      <c r="A1371" s="12" t="s">
        <v>92</v>
      </c>
      <c r="B1371" s="12" t="s">
        <v>44</v>
      </c>
      <c r="C1371" s="12" t="s">
        <v>296</v>
      </c>
      <c r="D1371" s="12" t="str">
        <f aca="false">INDEX('Country Tiers'!$C$2:$C$37,MATCH(C1371,'Country Tiers'!$A$2:$A$37,0))</f>
        <v>Tier 3</v>
      </c>
      <c r="E1371" s="12" t="n">
        <f aca="false">INDEX('Country Tiers'!$D$2:$D$37,MATCH(C1371,'Country Tiers'!$A$2:$A$37,0))</f>
        <v>1</v>
      </c>
    </row>
    <row r="1372" customFormat="false" ht="15" hidden="false" customHeight="false" outlineLevel="0" collapsed="false">
      <c r="A1372" s="12" t="s">
        <v>92</v>
      </c>
      <c r="B1372" s="12" t="s">
        <v>44</v>
      </c>
      <c r="C1372" s="12" t="s">
        <v>297</v>
      </c>
      <c r="D1372" s="12" t="str">
        <f aca="false">INDEX('Country Tiers'!$C$2:$C$37,MATCH(C1372,'Country Tiers'!$A$2:$A$37,0))</f>
        <v>Tier 2</v>
      </c>
      <c r="E1372" s="12" t="n">
        <f aca="false">INDEX('Country Tiers'!$D$2:$D$37,MATCH(C1372,'Country Tiers'!$A$2:$A$37,0))</f>
        <v>2</v>
      </c>
    </row>
    <row r="1373" customFormat="false" ht="15" hidden="false" customHeight="false" outlineLevel="0" collapsed="false">
      <c r="A1373" s="12" t="s">
        <v>92</v>
      </c>
      <c r="B1373" s="12" t="s">
        <v>44</v>
      </c>
      <c r="C1373" s="12" t="s">
        <v>298</v>
      </c>
      <c r="D1373" s="12" t="str">
        <f aca="false">INDEX('Country Tiers'!$C$2:$C$37,MATCH(C1373,'Country Tiers'!$A$2:$A$37,0))</f>
        <v>Tier 1</v>
      </c>
      <c r="E1373" s="12" t="n">
        <f aca="false">INDEX('Country Tiers'!$D$2:$D$37,MATCH(C1373,'Country Tiers'!$A$2:$A$37,0))</f>
        <v>3</v>
      </c>
    </row>
    <row r="1374" customFormat="false" ht="15" hidden="false" customHeight="false" outlineLevel="0" collapsed="false">
      <c r="A1374" s="12" t="s">
        <v>92</v>
      </c>
      <c r="B1374" s="12" t="s">
        <v>44</v>
      </c>
      <c r="C1374" s="12" t="s">
        <v>299</v>
      </c>
      <c r="D1374" s="12" t="str">
        <f aca="false">INDEX('Country Tiers'!$C$2:$C$37,MATCH(C1374,'Country Tiers'!$A$2:$A$37,0))</f>
        <v>Tier 3</v>
      </c>
      <c r="E1374" s="12" t="n">
        <f aca="false">INDEX('Country Tiers'!$D$2:$D$37,MATCH(C1374,'Country Tiers'!$A$2:$A$37,0))</f>
        <v>1</v>
      </c>
    </row>
    <row r="1375" customFormat="false" ht="15" hidden="false" customHeight="false" outlineLevel="0" collapsed="false">
      <c r="A1375" s="12" t="s">
        <v>92</v>
      </c>
      <c r="B1375" s="12" t="s">
        <v>44</v>
      </c>
      <c r="C1375" s="12" t="s">
        <v>300</v>
      </c>
      <c r="D1375" s="12" t="str">
        <f aca="false">INDEX('Country Tiers'!$C$2:$C$37,MATCH(C1375,'Country Tiers'!$A$2:$A$37,0))</f>
        <v>Tier 3</v>
      </c>
      <c r="E1375" s="12" t="n">
        <f aca="false">INDEX('Country Tiers'!$D$2:$D$37,MATCH(C1375,'Country Tiers'!$A$2:$A$37,0))</f>
        <v>1</v>
      </c>
    </row>
    <row r="1376" customFormat="false" ht="15" hidden="false" customHeight="false" outlineLevel="0" collapsed="false">
      <c r="A1376" s="12" t="s">
        <v>92</v>
      </c>
      <c r="B1376" s="12" t="s">
        <v>44</v>
      </c>
      <c r="C1376" s="12" t="s">
        <v>301</v>
      </c>
      <c r="D1376" s="12" t="str">
        <f aca="false">INDEX('Country Tiers'!$C$2:$C$37,MATCH(C1376,'Country Tiers'!$A$2:$A$37,0))</f>
        <v>Tier 3</v>
      </c>
      <c r="E1376" s="12" t="n">
        <f aca="false">INDEX('Country Tiers'!$D$2:$D$37,MATCH(C1376,'Country Tiers'!$A$2:$A$37,0))</f>
        <v>1</v>
      </c>
    </row>
    <row r="1377" customFormat="false" ht="15" hidden="false" customHeight="false" outlineLevel="0" collapsed="false">
      <c r="A1377" s="12" t="s">
        <v>92</v>
      </c>
      <c r="B1377" s="12" t="s">
        <v>44</v>
      </c>
      <c r="C1377" s="12" t="s">
        <v>302</v>
      </c>
      <c r="D1377" s="12" t="str">
        <f aca="false">INDEX('Country Tiers'!$C$2:$C$37,MATCH(C1377,'Country Tiers'!$A$2:$A$37,0))</f>
        <v>Tier 3</v>
      </c>
      <c r="E1377" s="12" t="n">
        <f aca="false">INDEX('Country Tiers'!$D$2:$D$37,MATCH(C1377,'Country Tiers'!$A$2:$A$37,0))</f>
        <v>1</v>
      </c>
    </row>
    <row r="1378" customFormat="false" ht="15" hidden="false" customHeight="false" outlineLevel="0" collapsed="false">
      <c r="A1378" s="12" t="s">
        <v>92</v>
      </c>
      <c r="B1378" s="12" t="s">
        <v>44</v>
      </c>
      <c r="C1378" s="12" t="s">
        <v>303</v>
      </c>
      <c r="D1378" s="12" t="str">
        <f aca="false">INDEX('Country Tiers'!$C$2:$C$37,MATCH(C1378,'Country Tiers'!$A$2:$A$37,0))</f>
        <v>Tier 2</v>
      </c>
      <c r="E1378" s="12" t="n">
        <f aca="false">INDEX('Country Tiers'!$D$2:$D$37,MATCH(C1378,'Country Tiers'!$A$2:$A$37,0))</f>
        <v>2</v>
      </c>
    </row>
    <row r="1379" customFormat="false" ht="15" hidden="false" customHeight="false" outlineLevel="0" collapsed="false">
      <c r="A1379" s="12" t="s">
        <v>92</v>
      </c>
      <c r="B1379" s="12" t="s">
        <v>44</v>
      </c>
      <c r="C1379" s="12" t="s">
        <v>305</v>
      </c>
      <c r="D1379" s="12" t="str">
        <f aca="false">INDEX('Country Tiers'!$C$2:$C$37,MATCH(C1379,'Country Tiers'!$A$2:$A$37,0))</f>
        <v>Tier 3</v>
      </c>
      <c r="E1379" s="12" t="n">
        <f aca="false">INDEX('Country Tiers'!$D$2:$D$37,MATCH(C1379,'Country Tiers'!$A$2:$A$37,0))</f>
        <v>1</v>
      </c>
    </row>
    <row r="1380" customFormat="false" ht="15" hidden="false" customHeight="false" outlineLevel="0" collapsed="false">
      <c r="A1380" s="12" t="s">
        <v>92</v>
      </c>
      <c r="B1380" s="12" t="s">
        <v>44</v>
      </c>
      <c r="C1380" s="12" t="s">
        <v>306</v>
      </c>
      <c r="D1380" s="12" t="str">
        <f aca="false">INDEX('Country Tiers'!$C$2:$C$37,MATCH(C1380,'Country Tiers'!$A$2:$A$37,0))</f>
        <v>Tier 3</v>
      </c>
      <c r="E1380" s="12" t="n">
        <f aca="false">INDEX('Country Tiers'!$D$2:$D$37,MATCH(C1380,'Country Tiers'!$A$2:$A$37,0))</f>
        <v>1</v>
      </c>
    </row>
    <row r="1381" customFormat="false" ht="15" hidden="false" customHeight="false" outlineLevel="0" collapsed="false">
      <c r="A1381" s="12" t="s">
        <v>92</v>
      </c>
      <c r="B1381" s="12" t="s">
        <v>44</v>
      </c>
      <c r="C1381" s="12" t="s">
        <v>307</v>
      </c>
      <c r="D1381" s="12" t="str">
        <f aca="false">INDEX('Country Tiers'!$C$2:$C$37,MATCH(C1381,'Country Tiers'!$A$2:$A$37,0))</f>
        <v>Tier 2</v>
      </c>
      <c r="E1381" s="12" t="n">
        <f aca="false">INDEX('Country Tiers'!$D$2:$D$37,MATCH(C1381,'Country Tiers'!$A$2:$A$37,0))</f>
        <v>2</v>
      </c>
    </row>
    <row r="1382" customFormat="false" ht="15" hidden="false" customHeight="false" outlineLevel="0" collapsed="false">
      <c r="A1382" s="12" t="s">
        <v>92</v>
      </c>
      <c r="B1382" s="12" t="s">
        <v>44</v>
      </c>
      <c r="C1382" s="12" t="s">
        <v>308</v>
      </c>
      <c r="D1382" s="12" t="str">
        <f aca="false">INDEX('Country Tiers'!$C$2:$C$37,MATCH(C1382,'Country Tiers'!$A$2:$A$37,0))</f>
        <v>Tier 3</v>
      </c>
      <c r="E1382" s="12" t="n">
        <f aca="false">INDEX('Country Tiers'!$D$2:$D$37,MATCH(C1382,'Country Tiers'!$A$2:$A$37,0))</f>
        <v>1</v>
      </c>
    </row>
    <row r="1383" customFormat="false" ht="15" hidden="false" customHeight="false" outlineLevel="0" collapsed="false">
      <c r="A1383" s="12" t="s">
        <v>92</v>
      </c>
      <c r="B1383" s="12" t="s">
        <v>44</v>
      </c>
      <c r="C1383" s="12" t="s">
        <v>313</v>
      </c>
      <c r="D1383" s="12" t="str">
        <f aca="false">INDEX('Country Tiers'!$C$2:$C$37,MATCH(C1383,'Country Tiers'!$A$2:$A$37,0))</f>
        <v>Tier 1</v>
      </c>
      <c r="E1383" s="12" t="n">
        <f aca="false">INDEX('Country Tiers'!$D$2:$D$37,MATCH(C1383,'Country Tiers'!$A$2:$A$37,0))</f>
        <v>3</v>
      </c>
    </row>
    <row r="1384" customFormat="false" ht="15" hidden="false" customHeight="false" outlineLevel="0" collapsed="false">
      <c r="A1384" s="12" t="s">
        <v>92</v>
      </c>
      <c r="B1384" s="12" t="s">
        <v>50</v>
      </c>
      <c r="C1384" s="12" t="s">
        <v>311</v>
      </c>
      <c r="D1384" s="12" t="str">
        <f aca="false">INDEX('Country Tiers'!$C$2:$C$37,MATCH(C1384,'Country Tiers'!$A$2:$A$37,0))</f>
        <v>Tier 1</v>
      </c>
      <c r="E1384" s="12" t="n">
        <f aca="false">INDEX('Country Tiers'!$D$2:$D$37,MATCH(C1384,'Country Tiers'!$A$2:$A$37,0))</f>
        <v>3</v>
      </c>
    </row>
    <row r="1385" customFormat="false" ht="15" hidden="false" customHeight="false" outlineLevel="0" collapsed="false">
      <c r="A1385" s="12" t="s">
        <v>93</v>
      </c>
      <c r="B1385" s="12" t="s">
        <v>40</v>
      </c>
      <c r="C1385" s="12" t="s">
        <v>272</v>
      </c>
      <c r="D1385" s="12" t="str">
        <f aca="false">INDEX('Country Tiers'!$C$2:$C$37,MATCH(C1385,'Country Tiers'!$A$2:$A$37,0))</f>
        <v>Tier 2</v>
      </c>
      <c r="E1385" s="12" t="n">
        <f aca="false">INDEX('Country Tiers'!$D$2:$D$37,MATCH(C1385,'Country Tiers'!$A$2:$A$37,0))</f>
        <v>2</v>
      </c>
    </row>
    <row r="1386" customFormat="false" ht="15" hidden="false" customHeight="false" outlineLevel="0" collapsed="false">
      <c r="A1386" s="12" t="s">
        <v>94</v>
      </c>
      <c r="B1386" s="12" t="s">
        <v>40</v>
      </c>
      <c r="C1386" s="12" t="s">
        <v>303</v>
      </c>
      <c r="D1386" s="12" t="str">
        <f aca="false">INDEX('Country Tiers'!$C$2:$C$37,MATCH(C1386,'Country Tiers'!$A$2:$A$37,0))</f>
        <v>Tier 2</v>
      </c>
      <c r="E1386" s="12" t="n">
        <f aca="false">INDEX('Country Tiers'!$D$2:$D$37,MATCH(C1386,'Country Tiers'!$A$2:$A$37,0))</f>
        <v>2</v>
      </c>
    </row>
    <row r="1387" customFormat="false" ht="15" hidden="false" customHeight="false" outlineLevel="0" collapsed="false">
      <c r="A1387" s="12" t="s">
        <v>95</v>
      </c>
      <c r="B1387" s="12" t="s">
        <v>47</v>
      </c>
      <c r="C1387" s="12" t="s">
        <v>311</v>
      </c>
      <c r="D1387" s="12" t="str">
        <f aca="false">INDEX('Country Tiers'!$C$2:$C$37,MATCH(C1387,'Country Tiers'!$A$2:$A$37,0))</f>
        <v>Tier 1</v>
      </c>
      <c r="E1387" s="12" t="n">
        <f aca="false">INDEX('Country Tiers'!$D$2:$D$37,MATCH(C1387,'Country Tiers'!$A$2:$A$37,0))</f>
        <v>3</v>
      </c>
    </row>
    <row r="1388" customFormat="false" ht="15" hidden="false" customHeight="false" outlineLevel="0" collapsed="false">
      <c r="A1388" s="12" t="s">
        <v>95</v>
      </c>
      <c r="B1388" s="12" t="s">
        <v>55</v>
      </c>
      <c r="C1388" s="12" t="s">
        <v>311</v>
      </c>
      <c r="D1388" s="12" t="str">
        <f aca="false">INDEX('Country Tiers'!$C$2:$C$37,MATCH(C1388,'Country Tiers'!$A$2:$A$37,0))</f>
        <v>Tier 1</v>
      </c>
      <c r="E1388" s="12" t="n">
        <f aca="false">INDEX('Country Tiers'!$D$2:$D$37,MATCH(C1388,'Country Tiers'!$A$2:$A$37,0))</f>
        <v>3</v>
      </c>
    </row>
    <row r="1389" customFormat="false" ht="15" hidden="false" customHeight="false" outlineLevel="0" collapsed="false">
      <c r="A1389" s="12" t="s">
        <v>95</v>
      </c>
      <c r="B1389" s="12" t="s">
        <v>40</v>
      </c>
      <c r="C1389" s="12" t="s">
        <v>272</v>
      </c>
      <c r="D1389" s="12" t="str">
        <f aca="false">INDEX('Country Tiers'!$C$2:$C$37,MATCH(C1389,'Country Tiers'!$A$2:$A$37,0))</f>
        <v>Tier 2</v>
      </c>
      <c r="E1389" s="12" t="n">
        <f aca="false">INDEX('Country Tiers'!$D$2:$D$37,MATCH(C1389,'Country Tiers'!$A$2:$A$37,0))</f>
        <v>2</v>
      </c>
    </row>
    <row r="1390" customFormat="false" ht="15" hidden="false" customHeight="false" outlineLevel="0" collapsed="false">
      <c r="A1390" s="12" t="s">
        <v>96</v>
      </c>
      <c r="B1390" s="12" t="s">
        <v>44</v>
      </c>
      <c r="C1390" s="12" t="s">
        <v>274</v>
      </c>
      <c r="D1390" s="12" t="str">
        <f aca="false">INDEX('Country Tiers'!$C$2:$C$37,MATCH(C1390,'Country Tiers'!$A$2:$A$37,0))</f>
        <v>Tier 3</v>
      </c>
      <c r="E1390" s="12" t="n">
        <f aca="false">INDEX('Country Tiers'!$D$2:$D$37,MATCH(C1390,'Country Tiers'!$A$2:$A$37,0))</f>
        <v>1</v>
      </c>
    </row>
    <row r="1391" customFormat="false" ht="15" hidden="false" customHeight="false" outlineLevel="0" collapsed="false">
      <c r="A1391" s="12" t="s">
        <v>96</v>
      </c>
      <c r="B1391" s="12" t="s">
        <v>44</v>
      </c>
      <c r="C1391" s="12" t="s">
        <v>277</v>
      </c>
      <c r="D1391" s="12" t="str">
        <f aca="false">INDEX('Country Tiers'!$C$2:$C$37,MATCH(C1391,'Country Tiers'!$A$2:$A$37,0))</f>
        <v>Tier 1</v>
      </c>
      <c r="E1391" s="12" t="n">
        <f aca="false">INDEX('Country Tiers'!$D$2:$D$37,MATCH(C1391,'Country Tiers'!$A$2:$A$37,0))</f>
        <v>3</v>
      </c>
    </row>
    <row r="1392" customFormat="false" ht="15" hidden="false" customHeight="false" outlineLevel="0" collapsed="false">
      <c r="A1392" s="12" t="s">
        <v>96</v>
      </c>
      <c r="B1392" s="12" t="s">
        <v>44</v>
      </c>
      <c r="C1392" s="12" t="s">
        <v>278</v>
      </c>
      <c r="D1392" s="12" t="str">
        <f aca="false">INDEX('Country Tiers'!$C$2:$C$37,MATCH(C1392,'Country Tiers'!$A$2:$A$37,0))</f>
        <v>Tier 3</v>
      </c>
      <c r="E1392" s="12" t="n">
        <f aca="false">INDEX('Country Tiers'!$D$2:$D$37,MATCH(C1392,'Country Tiers'!$A$2:$A$37,0))</f>
        <v>1</v>
      </c>
    </row>
    <row r="1393" customFormat="false" ht="15" hidden="false" customHeight="false" outlineLevel="0" collapsed="false">
      <c r="A1393" s="12" t="s">
        <v>96</v>
      </c>
      <c r="B1393" s="12" t="s">
        <v>44</v>
      </c>
      <c r="C1393" s="12" t="s">
        <v>280</v>
      </c>
      <c r="D1393" s="12" t="str">
        <f aca="false">INDEX('Country Tiers'!$C$2:$C$37,MATCH(C1393,'Country Tiers'!$A$2:$A$37,0))</f>
        <v>Tier 3</v>
      </c>
      <c r="E1393" s="12" t="n">
        <f aca="false">INDEX('Country Tiers'!$D$2:$D$37,MATCH(C1393,'Country Tiers'!$A$2:$A$37,0))</f>
        <v>1</v>
      </c>
    </row>
    <row r="1394" customFormat="false" ht="15" hidden="false" customHeight="false" outlineLevel="0" collapsed="false">
      <c r="A1394" s="12" t="s">
        <v>96</v>
      </c>
      <c r="B1394" s="12" t="s">
        <v>44</v>
      </c>
      <c r="C1394" s="12" t="s">
        <v>281</v>
      </c>
      <c r="D1394" s="12" t="str">
        <f aca="false">INDEX('Country Tiers'!$C$2:$C$37,MATCH(C1394,'Country Tiers'!$A$2:$A$37,0))</f>
        <v>Tier 3</v>
      </c>
      <c r="E1394" s="12" t="n">
        <f aca="false">INDEX('Country Tiers'!$D$2:$D$37,MATCH(C1394,'Country Tiers'!$A$2:$A$37,0))</f>
        <v>1</v>
      </c>
    </row>
    <row r="1395" customFormat="false" ht="15" hidden="false" customHeight="false" outlineLevel="0" collapsed="false">
      <c r="A1395" s="12" t="s">
        <v>96</v>
      </c>
      <c r="B1395" s="12" t="s">
        <v>44</v>
      </c>
      <c r="C1395" s="12" t="s">
        <v>282</v>
      </c>
      <c r="D1395" s="12" t="str">
        <f aca="false">INDEX('Country Tiers'!$C$2:$C$37,MATCH(C1395,'Country Tiers'!$A$2:$A$37,0))</f>
        <v>Tier 3</v>
      </c>
      <c r="E1395" s="12" t="n">
        <f aca="false">INDEX('Country Tiers'!$D$2:$D$37,MATCH(C1395,'Country Tiers'!$A$2:$A$37,0))</f>
        <v>1</v>
      </c>
    </row>
    <row r="1396" customFormat="false" ht="15" hidden="false" customHeight="false" outlineLevel="0" collapsed="false">
      <c r="A1396" s="12" t="s">
        <v>96</v>
      </c>
      <c r="B1396" s="12" t="s">
        <v>44</v>
      </c>
      <c r="C1396" s="12" t="s">
        <v>283</v>
      </c>
      <c r="D1396" s="12" t="str">
        <f aca="false">INDEX('Country Tiers'!$C$2:$C$37,MATCH(C1396,'Country Tiers'!$A$2:$A$37,0))</f>
        <v>Tier 3</v>
      </c>
      <c r="E1396" s="12" t="n">
        <f aca="false">INDEX('Country Tiers'!$D$2:$D$37,MATCH(C1396,'Country Tiers'!$A$2:$A$37,0))</f>
        <v>1</v>
      </c>
    </row>
    <row r="1397" customFormat="false" ht="15" hidden="false" customHeight="false" outlineLevel="0" collapsed="false">
      <c r="A1397" s="12" t="s">
        <v>96</v>
      </c>
      <c r="B1397" s="12" t="s">
        <v>44</v>
      </c>
      <c r="C1397" s="12" t="s">
        <v>284</v>
      </c>
      <c r="D1397" s="12" t="str">
        <f aca="false">INDEX('Country Tiers'!$C$2:$C$37,MATCH(C1397,'Country Tiers'!$A$2:$A$37,0))</f>
        <v>Tier 3</v>
      </c>
      <c r="E1397" s="12" t="n">
        <f aca="false">INDEX('Country Tiers'!$D$2:$D$37,MATCH(C1397,'Country Tiers'!$A$2:$A$37,0))</f>
        <v>1</v>
      </c>
    </row>
    <row r="1398" customFormat="false" ht="15" hidden="false" customHeight="false" outlineLevel="0" collapsed="false">
      <c r="A1398" s="12" t="s">
        <v>96</v>
      </c>
      <c r="B1398" s="12" t="s">
        <v>44</v>
      </c>
      <c r="C1398" s="12" t="s">
        <v>285</v>
      </c>
      <c r="D1398" s="12" t="str">
        <f aca="false">INDEX('Country Tiers'!$C$2:$C$37,MATCH(C1398,'Country Tiers'!$A$2:$A$37,0))</f>
        <v>Tier 3</v>
      </c>
      <c r="E1398" s="12" t="n">
        <f aca="false">INDEX('Country Tiers'!$D$2:$D$37,MATCH(C1398,'Country Tiers'!$A$2:$A$37,0))</f>
        <v>1</v>
      </c>
    </row>
    <row r="1399" customFormat="false" ht="15" hidden="false" customHeight="false" outlineLevel="0" collapsed="false">
      <c r="A1399" s="12" t="s">
        <v>96</v>
      </c>
      <c r="B1399" s="12" t="s">
        <v>44</v>
      </c>
      <c r="C1399" s="12" t="s">
        <v>286</v>
      </c>
      <c r="D1399" s="12" t="str">
        <f aca="false">INDEX('Country Tiers'!$C$2:$C$37,MATCH(C1399,'Country Tiers'!$A$2:$A$37,0))</f>
        <v>Tier 1</v>
      </c>
      <c r="E1399" s="12" t="n">
        <f aca="false">INDEX('Country Tiers'!$D$2:$D$37,MATCH(C1399,'Country Tiers'!$A$2:$A$37,0))</f>
        <v>3</v>
      </c>
    </row>
    <row r="1400" customFormat="false" ht="15" hidden="false" customHeight="false" outlineLevel="0" collapsed="false">
      <c r="A1400" s="12" t="s">
        <v>96</v>
      </c>
      <c r="B1400" s="12" t="s">
        <v>44</v>
      </c>
      <c r="C1400" s="12" t="s">
        <v>287</v>
      </c>
      <c r="D1400" s="12" t="str">
        <f aca="false">INDEX('Country Tiers'!$C$2:$C$37,MATCH(C1400,'Country Tiers'!$A$2:$A$37,0))</f>
        <v>Tier 1</v>
      </c>
      <c r="E1400" s="12" t="n">
        <f aca="false">INDEX('Country Tiers'!$D$2:$D$37,MATCH(C1400,'Country Tiers'!$A$2:$A$37,0))</f>
        <v>3</v>
      </c>
    </row>
    <row r="1401" customFormat="false" ht="15" hidden="false" customHeight="false" outlineLevel="0" collapsed="false">
      <c r="A1401" s="12" t="s">
        <v>96</v>
      </c>
      <c r="B1401" s="12" t="s">
        <v>44</v>
      </c>
      <c r="C1401" s="12" t="s">
        <v>288</v>
      </c>
      <c r="D1401" s="12" t="str">
        <f aca="false">INDEX('Country Tiers'!$C$2:$C$37,MATCH(C1401,'Country Tiers'!$A$2:$A$37,0))</f>
        <v>Tier 3</v>
      </c>
      <c r="E1401" s="12" t="n">
        <f aca="false">INDEX('Country Tiers'!$D$2:$D$37,MATCH(C1401,'Country Tiers'!$A$2:$A$37,0))</f>
        <v>1</v>
      </c>
    </row>
    <row r="1402" customFormat="false" ht="15" hidden="false" customHeight="false" outlineLevel="0" collapsed="false">
      <c r="A1402" s="12" t="s">
        <v>96</v>
      </c>
      <c r="B1402" s="12" t="s">
        <v>44</v>
      </c>
      <c r="C1402" s="12" t="s">
        <v>289</v>
      </c>
      <c r="D1402" s="12" t="str">
        <f aca="false">INDEX('Country Tiers'!$C$2:$C$37,MATCH(C1402,'Country Tiers'!$A$2:$A$37,0))</f>
        <v>Tier 3</v>
      </c>
      <c r="E1402" s="12" t="n">
        <f aca="false">INDEX('Country Tiers'!$D$2:$D$37,MATCH(C1402,'Country Tiers'!$A$2:$A$37,0))</f>
        <v>1</v>
      </c>
    </row>
    <row r="1403" customFormat="false" ht="15" hidden="false" customHeight="false" outlineLevel="0" collapsed="false">
      <c r="A1403" s="12" t="s">
        <v>96</v>
      </c>
      <c r="B1403" s="12" t="s">
        <v>44</v>
      </c>
      <c r="C1403" s="12" t="s">
        <v>290</v>
      </c>
      <c r="D1403" s="12" t="str">
        <f aca="false">INDEX('Country Tiers'!$C$2:$C$37,MATCH(C1403,'Country Tiers'!$A$2:$A$37,0))</f>
        <v>Tier 3</v>
      </c>
      <c r="E1403" s="12" t="n">
        <f aca="false">INDEX('Country Tiers'!$D$2:$D$37,MATCH(C1403,'Country Tiers'!$A$2:$A$37,0))</f>
        <v>1</v>
      </c>
    </row>
    <row r="1404" customFormat="false" ht="15" hidden="false" customHeight="false" outlineLevel="0" collapsed="false">
      <c r="A1404" s="12" t="s">
        <v>96</v>
      </c>
      <c r="B1404" s="12" t="s">
        <v>44</v>
      </c>
      <c r="C1404" s="12" t="s">
        <v>291</v>
      </c>
      <c r="D1404" s="12" t="str">
        <f aca="false">INDEX('Country Tiers'!$C$2:$C$37,MATCH(C1404,'Country Tiers'!$A$2:$A$37,0))</f>
        <v>Tier 3</v>
      </c>
      <c r="E1404" s="12" t="n">
        <f aca="false">INDEX('Country Tiers'!$D$2:$D$37,MATCH(C1404,'Country Tiers'!$A$2:$A$37,0))</f>
        <v>1</v>
      </c>
    </row>
    <row r="1405" customFormat="false" ht="15" hidden="false" customHeight="false" outlineLevel="0" collapsed="false">
      <c r="A1405" s="12" t="s">
        <v>96</v>
      </c>
      <c r="B1405" s="12" t="s">
        <v>44</v>
      </c>
      <c r="C1405" s="12" t="s">
        <v>292</v>
      </c>
      <c r="D1405" s="12" t="str">
        <f aca="false">INDEX('Country Tiers'!$C$2:$C$37,MATCH(C1405,'Country Tiers'!$A$2:$A$37,0))</f>
        <v>Tier 2</v>
      </c>
      <c r="E1405" s="12" t="n">
        <f aca="false">INDEX('Country Tiers'!$D$2:$D$37,MATCH(C1405,'Country Tiers'!$A$2:$A$37,0))</f>
        <v>2</v>
      </c>
    </row>
    <row r="1406" customFormat="false" ht="15" hidden="false" customHeight="false" outlineLevel="0" collapsed="false">
      <c r="A1406" s="12" t="s">
        <v>96</v>
      </c>
      <c r="B1406" s="12" t="s">
        <v>44</v>
      </c>
      <c r="C1406" s="12" t="s">
        <v>293</v>
      </c>
      <c r="D1406" s="12" t="str">
        <f aca="false">INDEX('Country Tiers'!$C$2:$C$37,MATCH(C1406,'Country Tiers'!$A$2:$A$37,0))</f>
        <v>Tier 3</v>
      </c>
      <c r="E1406" s="12" t="n">
        <f aca="false">INDEX('Country Tiers'!$D$2:$D$37,MATCH(C1406,'Country Tiers'!$A$2:$A$37,0))</f>
        <v>1</v>
      </c>
    </row>
    <row r="1407" customFormat="false" ht="15" hidden="false" customHeight="false" outlineLevel="0" collapsed="false">
      <c r="A1407" s="12" t="s">
        <v>96</v>
      </c>
      <c r="B1407" s="12" t="s">
        <v>44</v>
      </c>
      <c r="C1407" s="12" t="s">
        <v>294</v>
      </c>
      <c r="D1407" s="12" t="str">
        <f aca="false">INDEX('Country Tiers'!$C$2:$C$37,MATCH(C1407,'Country Tiers'!$A$2:$A$37,0))</f>
        <v>Tier 3</v>
      </c>
      <c r="E1407" s="12" t="n">
        <f aca="false">INDEX('Country Tiers'!$D$2:$D$37,MATCH(C1407,'Country Tiers'!$A$2:$A$37,0))</f>
        <v>1</v>
      </c>
    </row>
    <row r="1408" customFormat="false" ht="15" hidden="false" customHeight="false" outlineLevel="0" collapsed="false">
      <c r="A1408" s="12" t="s">
        <v>96</v>
      </c>
      <c r="B1408" s="12" t="s">
        <v>44</v>
      </c>
      <c r="C1408" s="12" t="s">
        <v>295</v>
      </c>
      <c r="D1408" s="12" t="str">
        <f aca="false">INDEX('Country Tiers'!$C$2:$C$37,MATCH(C1408,'Country Tiers'!$A$2:$A$37,0))</f>
        <v>Tier 3</v>
      </c>
      <c r="E1408" s="12" t="n">
        <f aca="false">INDEX('Country Tiers'!$D$2:$D$37,MATCH(C1408,'Country Tiers'!$A$2:$A$37,0))</f>
        <v>1</v>
      </c>
    </row>
    <row r="1409" customFormat="false" ht="15" hidden="false" customHeight="false" outlineLevel="0" collapsed="false">
      <c r="A1409" s="12" t="s">
        <v>96</v>
      </c>
      <c r="B1409" s="12" t="s">
        <v>44</v>
      </c>
      <c r="C1409" s="12" t="s">
        <v>296</v>
      </c>
      <c r="D1409" s="12" t="str">
        <f aca="false">INDEX('Country Tiers'!$C$2:$C$37,MATCH(C1409,'Country Tiers'!$A$2:$A$37,0))</f>
        <v>Tier 3</v>
      </c>
      <c r="E1409" s="12" t="n">
        <f aca="false">INDEX('Country Tiers'!$D$2:$D$37,MATCH(C1409,'Country Tiers'!$A$2:$A$37,0))</f>
        <v>1</v>
      </c>
    </row>
    <row r="1410" customFormat="false" ht="15" hidden="false" customHeight="false" outlineLevel="0" collapsed="false">
      <c r="A1410" s="12" t="s">
        <v>96</v>
      </c>
      <c r="B1410" s="12" t="s">
        <v>44</v>
      </c>
      <c r="C1410" s="12" t="s">
        <v>297</v>
      </c>
      <c r="D1410" s="12" t="str">
        <f aca="false">INDEX('Country Tiers'!$C$2:$C$37,MATCH(C1410,'Country Tiers'!$A$2:$A$37,0))</f>
        <v>Tier 2</v>
      </c>
      <c r="E1410" s="12" t="n">
        <f aca="false">INDEX('Country Tiers'!$D$2:$D$37,MATCH(C1410,'Country Tiers'!$A$2:$A$37,0))</f>
        <v>2</v>
      </c>
    </row>
    <row r="1411" customFormat="false" ht="15" hidden="false" customHeight="false" outlineLevel="0" collapsed="false">
      <c r="A1411" s="12" t="s">
        <v>96</v>
      </c>
      <c r="B1411" s="12" t="s">
        <v>44</v>
      </c>
      <c r="C1411" s="12" t="s">
        <v>298</v>
      </c>
      <c r="D1411" s="12" t="str">
        <f aca="false">INDEX('Country Tiers'!$C$2:$C$37,MATCH(C1411,'Country Tiers'!$A$2:$A$37,0))</f>
        <v>Tier 1</v>
      </c>
      <c r="E1411" s="12" t="n">
        <f aca="false">INDEX('Country Tiers'!$D$2:$D$37,MATCH(C1411,'Country Tiers'!$A$2:$A$37,0))</f>
        <v>3</v>
      </c>
    </row>
    <row r="1412" customFormat="false" ht="15" hidden="false" customHeight="false" outlineLevel="0" collapsed="false">
      <c r="A1412" s="12" t="s">
        <v>96</v>
      </c>
      <c r="B1412" s="12" t="s">
        <v>44</v>
      </c>
      <c r="C1412" s="12" t="s">
        <v>299</v>
      </c>
      <c r="D1412" s="12" t="str">
        <f aca="false">INDEX('Country Tiers'!$C$2:$C$37,MATCH(C1412,'Country Tiers'!$A$2:$A$37,0))</f>
        <v>Tier 3</v>
      </c>
      <c r="E1412" s="12" t="n">
        <f aca="false">INDEX('Country Tiers'!$D$2:$D$37,MATCH(C1412,'Country Tiers'!$A$2:$A$37,0))</f>
        <v>1</v>
      </c>
    </row>
    <row r="1413" customFormat="false" ht="15" hidden="false" customHeight="false" outlineLevel="0" collapsed="false">
      <c r="A1413" s="12" t="s">
        <v>96</v>
      </c>
      <c r="B1413" s="12" t="s">
        <v>44</v>
      </c>
      <c r="C1413" s="12" t="s">
        <v>300</v>
      </c>
      <c r="D1413" s="12" t="str">
        <f aca="false">INDEX('Country Tiers'!$C$2:$C$37,MATCH(C1413,'Country Tiers'!$A$2:$A$37,0))</f>
        <v>Tier 3</v>
      </c>
      <c r="E1413" s="12" t="n">
        <f aca="false">INDEX('Country Tiers'!$D$2:$D$37,MATCH(C1413,'Country Tiers'!$A$2:$A$37,0))</f>
        <v>1</v>
      </c>
    </row>
    <row r="1414" customFormat="false" ht="15" hidden="false" customHeight="false" outlineLevel="0" collapsed="false">
      <c r="A1414" s="12" t="s">
        <v>96</v>
      </c>
      <c r="B1414" s="12" t="s">
        <v>44</v>
      </c>
      <c r="C1414" s="12" t="s">
        <v>301</v>
      </c>
      <c r="D1414" s="12" t="str">
        <f aca="false">INDEX('Country Tiers'!$C$2:$C$37,MATCH(C1414,'Country Tiers'!$A$2:$A$37,0))</f>
        <v>Tier 3</v>
      </c>
      <c r="E1414" s="12" t="n">
        <f aca="false">INDEX('Country Tiers'!$D$2:$D$37,MATCH(C1414,'Country Tiers'!$A$2:$A$37,0))</f>
        <v>1</v>
      </c>
    </row>
    <row r="1415" customFormat="false" ht="15" hidden="false" customHeight="false" outlineLevel="0" collapsed="false">
      <c r="A1415" s="12" t="s">
        <v>96</v>
      </c>
      <c r="B1415" s="12" t="s">
        <v>44</v>
      </c>
      <c r="C1415" s="12" t="s">
        <v>302</v>
      </c>
      <c r="D1415" s="12" t="str">
        <f aca="false">INDEX('Country Tiers'!$C$2:$C$37,MATCH(C1415,'Country Tiers'!$A$2:$A$37,0))</f>
        <v>Tier 3</v>
      </c>
      <c r="E1415" s="12" t="n">
        <f aca="false">INDEX('Country Tiers'!$D$2:$D$37,MATCH(C1415,'Country Tiers'!$A$2:$A$37,0))</f>
        <v>1</v>
      </c>
    </row>
    <row r="1416" customFormat="false" ht="15" hidden="false" customHeight="false" outlineLevel="0" collapsed="false">
      <c r="A1416" s="12" t="s">
        <v>96</v>
      </c>
      <c r="B1416" s="12" t="s">
        <v>44</v>
      </c>
      <c r="C1416" s="12" t="s">
        <v>305</v>
      </c>
      <c r="D1416" s="12" t="str">
        <f aca="false">INDEX('Country Tiers'!$C$2:$C$37,MATCH(C1416,'Country Tiers'!$A$2:$A$37,0))</f>
        <v>Tier 3</v>
      </c>
      <c r="E1416" s="12" t="n">
        <f aca="false">INDEX('Country Tiers'!$D$2:$D$37,MATCH(C1416,'Country Tiers'!$A$2:$A$37,0))</f>
        <v>1</v>
      </c>
    </row>
    <row r="1417" customFormat="false" ht="15" hidden="false" customHeight="false" outlineLevel="0" collapsed="false">
      <c r="A1417" s="12" t="s">
        <v>96</v>
      </c>
      <c r="B1417" s="12" t="s">
        <v>44</v>
      </c>
      <c r="C1417" s="12" t="s">
        <v>306</v>
      </c>
      <c r="D1417" s="12" t="str">
        <f aca="false">INDEX('Country Tiers'!$C$2:$C$37,MATCH(C1417,'Country Tiers'!$A$2:$A$37,0))</f>
        <v>Tier 3</v>
      </c>
      <c r="E1417" s="12" t="n">
        <f aca="false">INDEX('Country Tiers'!$D$2:$D$37,MATCH(C1417,'Country Tiers'!$A$2:$A$37,0))</f>
        <v>1</v>
      </c>
    </row>
    <row r="1418" customFormat="false" ht="15" hidden="false" customHeight="false" outlineLevel="0" collapsed="false">
      <c r="A1418" s="12" t="s">
        <v>96</v>
      </c>
      <c r="B1418" s="12" t="s">
        <v>44</v>
      </c>
      <c r="C1418" s="12" t="s">
        <v>307</v>
      </c>
      <c r="D1418" s="12" t="str">
        <f aca="false">INDEX('Country Tiers'!$C$2:$C$37,MATCH(C1418,'Country Tiers'!$A$2:$A$37,0))</f>
        <v>Tier 2</v>
      </c>
      <c r="E1418" s="12" t="n">
        <f aca="false">INDEX('Country Tiers'!$D$2:$D$37,MATCH(C1418,'Country Tiers'!$A$2:$A$37,0))</f>
        <v>2</v>
      </c>
    </row>
    <row r="1419" customFormat="false" ht="15" hidden="false" customHeight="false" outlineLevel="0" collapsed="false">
      <c r="A1419" s="12" t="s">
        <v>96</v>
      </c>
      <c r="B1419" s="12" t="s">
        <v>44</v>
      </c>
      <c r="C1419" s="12" t="s">
        <v>308</v>
      </c>
      <c r="D1419" s="12" t="str">
        <f aca="false">INDEX('Country Tiers'!$C$2:$C$37,MATCH(C1419,'Country Tiers'!$A$2:$A$37,0))</f>
        <v>Tier 3</v>
      </c>
      <c r="E1419" s="12" t="n">
        <f aca="false">INDEX('Country Tiers'!$D$2:$D$37,MATCH(C1419,'Country Tiers'!$A$2:$A$37,0))</f>
        <v>1</v>
      </c>
    </row>
    <row r="1420" customFormat="false" ht="15" hidden="false" customHeight="false" outlineLevel="0" collapsed="false">
      <c r="A1420" s="12" t="s">
        <v>96</v>
      </c>
      <c r="B1420" s="12" t="s">
        <v>44</v>
      </c>
      <c r="C1420" s="12" t="s">
        <v>313</v>
      </c>
      <c r="D1420" s="12" t="str">
        <f aca="false">INDEX('Country Tiers'!$C$2:$C$37,MATCH(C1420,'Country Tiers'!$A$2:$A$37,0))</f>
        <v>Tier 1</v>
      </c>
      <c r="E1420" s="12" t="n">
        <f aca="false">INDEX('Country Tiers'!$D$2:$D$37,MATCH(C1420,'Country Tiers'!$A$2:$A$37,0))</f>
        <v>3</v>
      </c>
    </row>
    <row r="1421" customFormat="false" ht="15" hidden="false" customHeight="false" outlineLevel="0" collapsed="false">
      <c r="A1421" s="12" t="s">
        <v>97</v>
      </c>
      <c r="B1421" s="12" t="s">
        <v>47</v>
      </c>
      <c r="C1421" s="12" t="s">
        <v>274</v>
      </c>
      <c r="D1421" s="12" t="str">
        <f aca="false">INDEX('Country Tiers'!$C$2:$C$37,MATCH(C1421,'Country Tiers'!$A$2:$A$37,0))</f>
        <v>Tier 3</v>
      </c>
      <c r="E1421" s="12" t="n">
        <f aca="false">INDEX('Country Tiers'!$D$2:$D$37,MATCH(C1421,'Country Tiers'!$A$2:$A$37,0))</f>
        <v>1</v>
      </c>
    </row>
    <row r="1422" customFormat="false" ht="15" hidden="false" customHeight="false" outlineLevel="0" collapsed="false">
      <c r="A1422" s="12" t="s">
        <v>97</v>
      </c>
      <c r="B1422" s="12" t="s">
        <v>47</v>
      </c>
      <c r="C1422" s="12" t="s">
        <v>277</v>
      </c>
      <c r="D1422" s="12" t="str">
        <f aca="false">INDEX('Country Tiers'!$C$2:$C$37,MATCH(C1422,'Country Tiers'!$A$2:$A$37,0))</f>
        <v>Tier 1</v>
      </c>
      <c r="E1422" s="12" t="n">
        <f aca="false">INDEX('Country Tiers'!$D$2:$D$37,MATCH(C1422,'Country Tiers'!$A$2:$A$37,0))</f>
        <v>3</v>
      </c>
    </row>
    <row r="1423" customFormat="false" ht="15" hidden="false" customHeight="false" outlineLevel="0" collapsed="false">
      <c r="A1423" s="12" t="s">
        <v>97</v>
      </c>
      <c r="B1423" s="12" t="s">
        <v>47</v>
      </c>
      <c r="C1423" s="12" t="s">
        <v>278</v>
      </c>
      <c r="D1423" s="12" t="str">
        <f aca="false">INDEX('Country Tiers'!$C$2:$C$37,MATCH(C1423,'Country Tiers'!$A$2:$A$37,0))</f>
        <v>Tier 3</v>
      </c>
      <c r="E1423" s="12" t="n">
        <f aca="false">INDEX('Country Tiers'!$D$2:$D$37,MATCH(C1423,'Country Tiers'!$A$2:$A$37,0))</f>
        <v>1</v>
      </c>
    </row>
    <row r="1424" customFormat="false" ht="15" hidden="false" customHeight="false" outlineLevel="0" collapsed="false">
      <c r="A1424" s="12" t="s">
        <v>97</v>
      </c>
      <c r="B1424" s="12" t="s">
        <v>47</v>
      </c>
      <c r="C1424" s="12" t="s">
        <v>281</v>
      </c>
      <c r="D1424" s="12" t="str">
        <f aca="false">INDEX('Country Tiers'!$C$2:$C$37,MATCH(C1424,'Country Tiers'!$A$2:$A$37,0))</f>
        <v>Tier 3</v>
      </c>
      <c r="E1424" s="12" t="n">
        <f aca="false">INDEX('Country Tiers'!$D$2:$D$37,MATCH(C1424,'Country Tiers'!$A$2:$A$37,0))</f>
        <v>1</v>
      </c>
    </row>
    <row r="1425" customFormat="false" ht="15" hidden="false" customHeight="false" outlineLevel="0" collapsed="false">
      <c r="A1425" s="12" t="s">
        <v>97</v>
      </c>
      <c r="B1425" s="12" t="s">
        <v>47</v>
      </c>
      <c r="C1425" s="12" t="s">
        <v>282</v>
      </c>
      <c r="D1425" s="12" t="str">
        <f aca="false">INDEX('Country Tiers'!$C$2:$C$37,MATCH(C1425,'Country Tiers'!$A$2:$A$37,0))</f>
        <v>Tier 3</v>
      </c>
      <c r="E1425" s="12" t="n">
        <f aca="false">INDEX('Country Tiers'!$D$2:$D$37,MATCH(C1425,'Country Tiers'!$A$2:$A$37,0))</f>
        <v>1</v>
      </c>
    </row>
    <row r="1426" customFormat="false" ht="15" hidden="false" customHeight="false" outlineLevel="0" collapsed="false">
      <c r="A1426" s="12" t="s">
        <v>97</v>
      </c>
      <c r="B1426" s="12" t="s">
        <v>47</v>
      </c>
      <c r="C1426" s="12" t="s">
        <v>283</v>
      </c>
      <c r="D1426" s="12" t="str">
        <f aca="false">INDEX('Country Tiers'!$C$2:$C$37,MATCH(C1426,'Country Tiers'!$A$2:$A$37,0))</f>
        <v>Tier 3</v>
      </c>
      <c r="E1426" s="12" t="n">
        <f aca="false">INDEX('Country Tiers'!$D$2:$D$37,MATCH(C1426,'Country Tiers'!$A$2:$A$37,0))</f>
        <v>1</v>
      </c>
    </row>
    <row r="1427" customFormat="false" ht="15" hidden="false" customHeight="false" outlineLevel="0" collapsed="false">
      <c r="A1427" s="12" t="s">
        <v>97</v>
      </c>
      <c r="B1427" s="12" t="s">
        <v>47</v>
      </c>
      <c r="C1427" s="12" t="s">
        <v>284</v>
      </c>
      <c r="D1427" s="12" t="str">
        <f aca="false">INDEX('Country Tiers'!$C$2:$C$37,MATCH(C1427,'Country Tiers'!$A$2:$A$37,0))</f>
        <v>Tier 3</v>
      </c>
      <c r="E1427" s="12" t="n">
        <f aca="false">INDEX('Country Tiers'!$D$2:$D$37,MATCH(C1427,'Country Tiers'!$A$2:$A$37,0))</f>
        <v>1</v>
      </c>
    </row>
    <row r="1428" customFormat="false" ht="15" hidden="false" customHeight="false" outlineLevel="0" collapsed="false">
      <c r="A1428" s="12" t="s">
        <v>97</v>
      </c>
      <c r="B1428" s="12" t="s">
        <v>47</v>
      </c>
      <c r="C1428" s="12" t="s">
        <v>285</v>
      </c>
      <c r="D1428" s="12" t="str">
        <f aca="false">INDEX('Country Tiers'!$C$2:$C$37,MATCH(C1428,'Country Tiers'!$A$2:$A$37,0))</f>
        <v>Tier 3</v>
      </c>
      <c r="E1428" s="12" t="n">
        <f aca="false">INDEX('Country Tiers'!$D$2:$D$37,MATCH(C1428,'Country Tiers'!$A$2:$A$37,0))</f>
        <v>1</v>
      </c>
    </row>
    <row r="1429" customFormat="false" ht="15" hidden="false" customHeight="false" outlineLevel="0" collapsed="false">
      <c r="A1429" s="12" t="s">
        <v>97</v>
      </c>
      <c r="B1429" s="12" t="s">
        <v>47</v>
      </c>
      <c r="C1429" s="12" t="s">
        <v>286</v>
      </c>
      <c r="D1429" s="12" t="str">
        <f aca="false">INDEX('Country Tiers'!$C$2:$C$37,MATCH(C1429,'Country Tiers'!$A$2:$A$37,0))</f>
        <v>Tier 1</v>
      </c>
      <c r="E1429" s="12" t="n">
        <f aca="false">INDEX('Country Tiers'!$D$2:$D$37,MATCH(C1429,'Country Tiers'!$A$2:$A$37,0))</f>
        <v>3</v>
      </c>
    </row>
    <row r="1430" customFormat="false" ht="15" hidden="false" customHeight="false" outlineLevel="0" collapsed="false">
      <c r="A1430" s="12" t="s">
        <v>97</v>
      </c>
      <c r="B1430" s="12" t="s">
        <v>47</v>
      </c>
      <c r="C1430" s="12" t="s">
        <v>287</v>
      </c>
      <c r="D1430" s="12" t="str">
        <f aca="false">INDEX('Country Tiers'!$C$2:$C$37,MATCH(C1430,'Country Tiers'!$A$2:$A$37,0))</f>
        <v>Tier 1</v>
      </c>
      <c r="E1430" s="12" t="n">
        <f aca="false">INDEX('Country Tiers'!$D$2:$D$37,MATCH(C1430,'Country Tiers'!$A$2:$A$37,0))</f>
        <v>3</v>
      </c>
    </row>
    <row r="1431" customFormat="false" ht="15" hidden="false" customHeight="false" outlineLevel="0" collapsed="false">
      <c r="A1431" s="12" t="s">
        <v>97</v>
      </c>
      <c r="B1431" s="12" t="s">
        <v>47</v>
      </c>
      <c r="C1431" s="12" t="s">
        <v>288</v>
      </c>
      <c r="D1431" s="12" t="str">
        <f aca="false">INDEX('Country Tiers'!$C$2:$C$37,MATCH(C1431,'Country Tiers'!$A$2:$A$37,0))</f>
        <v>Tier 3</v>
      </c>
      <c r="E1431" s="12" t="n">
        <f aca="false">INDEX('Country Tiers'!$D$2:$D$37,MATCH(C1431,'Country Tiers'!$A$2:$A$37,0))</f>
        <v>1</v>
      </c>
    </row>
    <row r="1432" customFormat="false" ht="15" hidden="false" customHeight="false" outlineLevel="0" collapsed="false">
      <c r="A1432" s="12" t="s">
        <v>97</v>
      </c>
      <c r="B1432" s="12" t="s">
        <v>47</v>
      </c>
      <c r="C1432" s="12" t="s">
        <v>289</v>
      </c>
      <c r="D1432" s="12" t="str">
        <f aca="false">INDEX('Country Tiers'!$C$2:$C$37,MATCH(C1432,'Country Tiers'!$A$2:$A$37,0))</f>
        <v>Tier 3</v>
      </c>
      <c r="E1432" s="12" t="n">
        <f aca="false">INDEX('Country Tiers'!$D$2:$D$37,MATCH(C1432,'Country Tiers'!$A$2:$A$37,0))</f>
        <v>1</v>
      </c>
    </row>
    <row r="1433" customFormat="false" ht="15" hidden="false" customHeight="false" outlineLevel="0" collapsed="false">
      <c r="A1433" s="12" t="s">
        <v>97</v>
      </c>
      <c r="B1433" s="12" t="s">
        <v>47</v>
      </c>
      <c r="C1433" s="12" t="s">
        <v>290</v>
      </c>
      <c r="D1433" s="12" t="str">
        <f aca="false">INDEX('Country Tiers'!$C$2:$C$37,MATCH(C1433,'Country Tiers'!$A$2:$A$37,0))</f>
        <v>Tier 3</v>
      </c>
      <c r="E1433" s="12" t="n">
        <f aca="false">INDEX('Country Tiers'!$D$2:$D$37,MATCH(C1433,'Country Tiers'!$A$2:$A$37,0))</f>
        <v>1</v>
      </c>
    </row>
    <row r="1434" customFormat="false" ht="15" hidden="false" customHeight="false" outlineLevel="0" collapsed="false">
      <c r="A1434" s="12" t="s">
        <v>97</v>
      </c>
      <c r="B1434" s="12" t="s">
        <v>47</v>
      </c>
      <c r="C1434" s="12" t="s">
        <v>291</v>
      </c>
      <c r="D1434" s="12" t="str">
        <f aca="false">INDEX('Country Tiers'!$C$2:$C$37,MATCH(C1434,'Country Tiers'!$A$2:$A$37,0))</f>
        <v>Tier 3</v>
      </c>
      <c r="E1434" s="12" t="n">
        <f aca="false">INDEX('Country Tiers'!$D$2:$D$37,MATCH(C1434,'Country Tiers'!$A$2:$A$37,0))</f>
        <v>1</v>
      </c>
    </row>
    <row r="1435" customFormat="false" ht="15" hidden="false" customHeight="false" outlineLevel="0" collapsed="false">
      <c r="A1435" s="12" t="s">
        <v>97</v>
      </c>
      <c r="B1435" s="12" t="s">
        <v>47</v>
      </c>
      <c r="C1435" s="12" t="s">
        <v>292</v>
      </c>
      <c r="D1435" s="12" t="str">
        <f aca="false">INDEX('Country Tiers'!$C$2:$C$37,MATCH(C1435,'Country Tiers'!$A$2:$A$37,0))</f>
        <v>Tier 2</v>
      </c>
      <c r="E1435" s="12" t="n">
        <f aca="false">INDEX('Country Tiers'!$D$2:$D$37,MATCH(C1435,'Country Tiers'!$A$2:$A$37,0))</f>
        <v>2</v>
      </c>
    </row>
    <row r="1436" customFormat="false" ht="15" hidden="false" customHeight="false" outlineLevel="0" collapsed="false">
      <c r="A1436" s="12" t="s">
        <v>97</v>
      </c>
      <c r="B1436" s="12" t="s">
        <v>47</v>
      </c>
      <c r="C1436" s="12" t="s">
        <v>293</v>
      </c>
      <c r="D1436" s="12" t="str">
        <f aca="false">INDEX('Country Tiers'!$C$2:$C$37,MATCH(C1436,'Country Tiers'!$A$2:$A$37,0))</f>
        <v>Tier 3</v>
      </c>
      <c r="E1436" s="12" t="n">
        <f aca="false">INDEX('Country Tiers'!$D$2:$D$37,MATCH(C1436,'Country Tiers'!$A$2:$A$37,0))</f>
        <v>1</v>
      </c>
    </row>
    <row r="1437" customFormat="false" ht="15" hidden="false" customHeight="false" outlineLevel="0" collapsed="false">
      <c r="A1437" s="12" t="s">
        <v>97</v>
      </c>
      <c r="B1437" s="12" t="s">
        <v>47</v>
      </c>
      <c r="C1437" s="12" t="s">
        <v>295</v>
      </c>
      <c r="D1437" s="12" t="str">
        <f aca="false">INDEX('Country Tiers'!$C$2:$C$37,MATCH(C1437,'Country Tiers'!$A$2:$A$37,0))</f>
        <v>Tier 3</v>
      </c>
      <c r="E1437" s="12" t="n">
        <f aca="false">INDEX('Country Tiers'!$D$2:$D$37,MATCH(C1437,'Country Tiers'!$A$2:$A$37,0))</f>
        <v>1</v>
      </c>
    </row>
    <row r="1438" customFormat="false" ht="15" hidden="false" customHeight="false" outlineLevel="0" collapsed="false">
      <c r="A1438" s="12" t="s">
        <v>97</v>
      </c>
      <c r="B1438" s="12" t="s">
        <v>47</v>
      </c>
      <c r="C1438" s="12" t="s">
        <v>296</v>
      </c>
      <c r="D1438" s="12" t="str">
        <f aca="false">INDEX('Country Tiers'!$C$2:$C$37,MATCH(C1438,'Country Tiers'!$A$2:$A$37,0))</f>
        <v>Tier 3</v>
      </c>
      <c r="E1438" s="12" t="n">
        <f aca="false">INDEX('Country Tiers'!$D$2:$D$37,MATCH(C1438,'Country Tiers'!$A$2:$A$37,0))</f>
        <v>1</v>
      </c>
    </row>
    <row r="1439" customFormat="false" ht="15" hidden="false" customHeight="false" outlineLevel="0" collapsed="false">
      <c r="A1439" s="12" t="s">
        <v>97</v>
      </c>
      <c r="B1439" s="12" t="s">
        <v>47</v>
      </c>
      <c r="C1439" s="12" t="s">
        <v>297</v>
      </c>
      <c r="D1439" s="12" t="str">
        <f aca="false">INDEX('Country Tiers'!$C$2:$C$37,MATCH(C1439,'Country Tiers'!$A$2:$A$37,0))</f>
        <v>Tier 2</v>
      </c>
      <c r="E1439" s="12" t="n">
        <f aca="false">INDEX('Country Tiers'!$D$2:$D$37,MATCH(C1439,'Country Tiers'!$A$2:$A$37,0))</f>
        <v>2</v>
      </c>
    </row>
    <row r="1440" customFormat="false" ht="15" hidden="false" customHeight="false" outlineLevel="0" collapsed="false">
      <c r="A1440" s="12" t="s">
        <v>97</v>
      </c>
      <c r="B1440" s="12" t="s">
        <v>47</v>
      </c>
      <c r="C1440" s="12" t="s">
        <v>298</v>
      </c>
      <c r="D1440" s="12" t="str">
        <f aca="false">INDEX('Country Tiers'!$C$2:$C$37,MATCH(C1440,'Country Tiers'!$A$2:$A$37,0))</f>
        <v>Tier 1</v>
      </c>
      <c r="E1440" s="12" t="n">
        <f aca="false">INDEX('Country Tiers'!$D$2:$D$37,MATCH(C1440,'Country Tiers'!$A$2:$A$37,0))</f>
        <v>3</v>
      </c>
    </row>
    <row r="1441" customFormat="false" ht="15" hidden="false" customHeight="false" outlineLevel="0" collapsed="false">
      <c r="A1441" s="12" t="s">
        <v>97</v>
      </c>
      <c r="B1441" s="12" t="s">
        <v>47</v>
      </c>
      <c r="C1441" s="12" t="s">
        <v>299</v>
      </c>
      <c r="D1441" s="12" t="str">
        <f aca="false">INDEX('Country Tiers'!$C$2:$C$37,MATCH(C1441,'Country Tiers'!$A$2:$A$37,0))</f>
        <v>Tier 3</v>
      </c>
      <c r="E1441" s="12" t="n">
        <f aca="false">INDEX('Country Tiers'!$D$2:$D$37,MATCH(C1441,'Country Tiers'!$A$2:$A$37,0))</f>
        <v>1</v>
      </c>
    </row>
    <row r="1442" customFormat="false" ht="15" hidden="false" customHeight="false" outlineLevel="0" collapsed="false">
      <c r="A1442" s="12" t="s">
        <v>97</v>
      </c>
      <c r="B1442" s="12" t="s">
        <v>47</v>
      </c>
      <c r="C1442" s="12" t="s">
        <v>300</v>
      </c>
      <c r="D1442" s="12" t="str">
        <f aca="false">INDEX('Country Tiers'!$C$2:$C$37,MATCH(C1442,'Country Tiers'!$A$2:$A$37,0))</f>
        <v>Tier 3</v>
      </c>
      <c r="E1442" s="12" t="n">
        <f aca="false">INDEX('Country Tiers'!$D$2:$D$37,MATCH(C1442,'Country Tiers'!$A$2:$A$37,0))</f>
        <v>1</v>
      </c>
    </row>
    <row r="1443" customFormat="false" ht="15" hidden="false" customHeight="false" outlineLevel="0" collapsed="false">
      <c r="A1443" s="12" t="s">
        <v>97</v>
      </c>
      <c r="B1443" s="12" t="s">
        <v>47</v>
      </c>
      <c r="C1443" s="12" t="s">
        <v>301</v>
      </c>
      <c r="D1443" s="12" t="str">
        <f aca="false">INDEX('Country Tiers'!$C$2:$C$37,MATCH(C1443,'Country Tiers'!$A$2:$A$37,0))</f>
        <v>Tier 3</v>
      </c>
      <c r="E1443" s="12" t="n">
        <f aca="false">INDEX('Country Tiers'!$D$2:$D$37,MATCH(C1443,'Country Tiers'!$A$2:$A$37,0))</f>
        <v>1</v>
      </c>
    </row>
    <row r="1444" customFormat="false" ht="15" hidden="false" customHeight="false" outlineLevel="0" collapsed="false">
      <c r="A1444" s="12" t="s">
        <v>97</v>
      </c>
      <c r="B1444" s="12" t="s">
        <v>47</v>
      </c>
      <c r="C1444" s="12" t="s">
        <v>302</v>
      </c>
      <c r="D1444" s="12" t="str">
        <f aca="false">INDEX('Country Tiers'!$C$2:$C$37,MATCH(C1444,'Country Tiers'!$A$2:$A$37,0))</f>
        <v>Tier 3</v>
      </c>
      <c r="E1444" s="12" t="n">
        <f aca="false">INDEX('Country Tiers'!$D$2:$D$37,MATCH(C1444,'Country Tiers'!$A$2:$A$37,0))</f>
        <v>1</v>
      </c>
    </row>
    <row r="1445" customFormat="false" ht="15" hidden="false" customHeight="false" outlineLevel="0" collapsed="false">
      <c r="A1445" s="12" t="s">
        <v>97</v>
      </c>
      <c r="B1445" s="12" t="s">
        <v>47</v>
      </c>
      <c r="C1445" s="12" t="s">
        <v>305</v>
      </c>
      <c r="D1445" s="12" t="str">
        <f aca="false">INDEX('Country Tiers'!$C$2:$C$37,MATCH(C1445,'Country Tiers'!$A$2:$A$37,0))</f>
        <v>Tier 3</v>
      </c>
      <c r="E1445" s="12" t="n">
        <f aca="false">INDEX('Country Tiers'!$D$2:$D$37,MATCH(C1445,'Country Tiers'!$A$2:$A$37,0))</f>
        <v>1</v>
      </c>
    </row>
    <row r="1446" customFormat="false" ht="15" hidden="false" customHeight="false" outlineLevel="0" collapsed="false">
      <c r="A1446" s="12" t="s">
        <v>97</v>
      </c>
      <c r="B1446" s="12" t="s">
        <v>47</v>
      </c>
      <c r="C1446" s="12" t="s">
        <v>306</v>
      </c>
      <c r="D1446" s="12" t="str">
        <f aca="false">INDEX('Country Tiers'!$C$2:$C$37,MATCH(C1446,'Country Tiers'!$A$2:$A$37,0))</f>
        <v>Tier 3</v>
      </c>
      <c r="E1446" s="12" t="n">
        <f aca="false">INDEX('Country Tiers'!$D$2:$D$37,MATCH(C1446,'Country Tiers'!$A$2:$A$37,0))</f>
        <v>1</v>
      </c>
    </row>
    <row r="1447" customFormat="false" ht="15" hidden="false" customHeight="false" outlineLevel="0" collapsed="false">
      <c r="A1447" s="12" t="s">
        <v>97</v>
      </c>
      <c r="B1447" s="12" t="s">
        <v>47</v>
      </c>
      <c r="C1447" s="12" t="s">
        <v>307</v>
      </c>
      <c r="D1447" s="12" t="str">
        <f aca="false">INDEX('Country Tiers'!$C$2:$C$37,MATCH(C1447,'Country Tiers'!$A$2:$A$37,0))</f>
        <v>Tier 2</v>
      </c>
      <c r="E1447" s="12" t="n">
        <f aca="false">INDEX('Country Tiers'!$D$2:$D$37,MATCH(C1447,'Country Tiers'!$A$2:$A$37,0))</f>
        <v>2</v>
      </c>
    </row>
    <row r="1448" customFormat="false" ht="15" hidden="false" customHeight="false" outlineLevel="0" collapsed="false">
      <c r="A1448" s="12" t="s">
        <v>97</v>
      </c>
      <c r="B1448" s="12" t="s">
        <v>47</v>
      </c>
      <c r="C1448" s="12" t="s">
        <v>308</v>
      </c>
      <c r="D1448" s="12" t="str">
        <f aca="false">INDEX('Country Tiers'!$C$2:$C$37,MATCH(C1448,'Country Tiers'!$A$2:$A$37,0))</f>
        <v>Tier 3</v>
      </c>
      <c r="E1448" s="12" t="n">
        <f aca="false">INDEX('Country Tiers'!$D$2:$D$37,MATCH(C1448,'Country Tiers'!$A$2:$A$37,0))</f>
        <v>1</v>
      </c>
    </row>
    <row r="1449" customFormat="false" ht="15" hidden="false" customHeight="false" outlineLevel="0" collapsed="false">
      <c r="A1449" s="12" t="s">
        <v>97</v>
      </c>
      <c r="B1449" s="12" t="s">
        <v>47</v>
      </c>
      <c r="C1449" s="12" t="s">
        <v>313</v>
      </c>
      <c r="D1449" s="12" t="str">
        <f aca="false">INDEX('Country Tiers'!$C$2:$C$37,MATCH(C1449,'Country Tiers'!$A$2:$A$37,0))</f>
        <v>Tier 1</v>
      </c>
      <c r="E1449" s="12" t="n">
        <f aca="false">INDEX('Country Tiers'!$D$2:$D$37,MATCH(C1449,'Country Tiers'!$A$2:$A$37,0))</f>
        <v>3</v>
      </c>
    </row>
    <row r="1450" customFormat="false" ht="15" hidden="false" customHeight="false" outlineLevel="0" collapsed="false">
      <c r="A1450" s="12" t="s">
        <v>97</v>
      </c>
      <c r="B1450" s="12" t="s">
        <v>44</v>
      </c>
      <c r="C1450" s="12" t="s">
        <v>272</v>
      </c>
      <c r="D1450" s="12" t="str">
        <f aca="false">INDEX('Country Tiers'!$C$2:$C$37,MATCH(C1450,'Country Tiers'!$A$2:$A$37,0))</f>
        <v>Tier 2</v>
      </c>
      <c r="E1450" s="12" t="n">
        <f aca="false">INDEX('Country Tiers'!$D$2:$D$37,MATCH(C1450,'Country Tiers'!$A$2:$A$37,0))</f>
        <v>2</v>
      </c>
    </row>
    <row r="1451" customFormat="false" ht="15" hidden="false" customHeight="false" outlineLevel="0" collapsed="false">
      <c r="A1451" s="12" t="s">
        <v>97</v>
      </c>
      <c r="B1451" s="12" t="s">
        <v>44</v>
      </c>
      <c r="C1451" s="12" t="s">
        <v>274</v>
      </c>
      <c r="D1451" s="12" t="str">
        <f aca="false">INDEX('Country Tiers'!$C$2:$C$37,MATCH(C1451,'Country Tiers'!$A$2:$A$37,0))</f>
        <v>Tier 3</v>
      </c>
      <c r="E1451" s="12" t="n">
        <f aca="false">INDEX('Country Tiers'!$D$2:$D$37,MATCH(C1451,'Country Tiers'!$A$2:$A$37,0))</f>
        <v>1</v>
      </c>
    </row>
    <row r="1452" customFormat="false" ht="15" hidden="false" customHeight="false" outlineLevel="0" collapsed="false">
      <c r="A1452" s="12" t="s">
        <v>97</v>
      </c>
      <c r="B1452" s="12" t="s">
        <v>44</v>
      </c>
      <c r="C1452" s="12" t="s">
        <v>277</v>
      </c>
      <c r="D1452" s="12" t="str">
        <f aca="false">INDEX('Country Tiers'!$C$2:$C$37,MATCH(C1452,'Country Tiers'!$A$2:$A$37,0))</f>
        <v>Tier 1</v>
      </c>
      <c r="E1452" s="12" t="n">
        <f aca="false">INDEX('Country Tiers'!$D$2:$D$37,MATCH(C1452,'Country Tiers'!$A$2:$A$37,0))</f>
        <v>3</v>
      </c>
    </row>
    <row r="1453" customFormat="false" ht="15" hidden="false" customHeight="false" outlineLevel="0" collapsed="false">
      <c r="A1453" s="12" t="s">
        <v>97</v>
      </c>
      <c r="B1453" s="12" t="s">
        <v>44</v>
      </c>
      <c r="C1453" s="12" t="s">
        <v>278</v>
      </c>
      <c r="D1453" s="12" t="str">
        <f aca="false">INDEX('Country Tiers'!$C$2:$C$37,MATCH(C1453,'Country Tiers'!$A$2:$A$37,0))</f>
        <v>Tier 3</v>
      </c>
      <c r="E1453" s="12" t="n">
        <f aca="false">INDEX('Country Tiers'!$D$2:$D$37,MATCH(C1453,'Country Tiers'!$A$2:$A$37,0))</f>
        <v>1</v>
      </c>
    </row>
    <row r="1454" customFormat="false" ht="15" hidden="false" customHeight="false" outlineLevel="0" collapsed="false">
      <c r="A1454" s="12" t="s">
        <v>97</v>
      </c>
      <c r="B1454" s="12" t="s">
        <v>44</v>
      </c>
      <c r="C1454" s="12" t="s">
        <v>281</v>
      </c>
      <c r="D1454" s="12" t="str">
        <f aca="false">INDEX('Country Tiers'!$C$2:$C$37,MATCH(C1454,'Country Tiers'!$A$2:$A$37,0))</f>
        <v>Tier 3</v>
      </c>
      <c r="E1454" s="12" t="n">
        <f aca="false">INDEX('Country Tiers'!$D$2:$D$37,MATCH(C1454,'Country Tiers'!$A$2:$A$37,0))</f>
        <v>1</v>
      </c>
    </row>
    <row r="1455" customFormat="false" ht="15" hidden="false" customHeight="false" outlineLevel="0" collapsed="false">
      <c r="A1455" s="12" t="s">
        <v>97</v>
      </c>
      <c r="B1455" s="12" t="s">
        <v>44</v>
      </c>
      <c r="C1455" s="12" t="s">
        <v>282</v>
      </c>
      <c r="D1455" s="12" t="str">
        <f aca="false">INDEX('Country Tiers'!$C$2:$C$37,MATCH(C1455,'Country Tiers'!$A$2:$A$37,0))</f>
        <v>Tier 3</v>
      </c>
      <c r="E1455" s="12" t="n">
        <f aca="false">INDEX('Country Tiers'!$D$2:$D$37,MATCH(C1455,'Country Tiers'!$A$2:$A$37,0))</f>
        <v>1</v>
      </c>
    </row>
    <row r="1456" customFormat="false" ht="15" hidden="false" customHeight="false" outlineLevel="0" collapsed="false">
      <c r="A1456" s="12" t="s">
        <v>97</v>
      </c>
      <c r="B1456" s="12" t="s">
        <v>44</v>
      </c>
      <c r="C1456" s="12" t="s">
        <v>283</v>
      </c>
      <c r="D1456" s="12" t="str">
        <f aca="false">INDEX('Country Tiers'!$C$2:$C$37,MATCH(C1456,'Country Tiers'!$A$2:$A$37,0))</f>
        <v>Tier 3</v>
      </c>
      <c r="E1456" s="12" t="n">
        <f aca="false">INDEX('Country Tiers'!$D$2:$D$37,MATCH(C1456,'Country Tiers'!$A$2:$A$37,0))</f>
        <v>1</v>
      </c>
    </row>
    <row r="1457" customFormat="false" ht="15" hidden="false" customHeight="false" outlineLevel="0" collapsed="false">
      <c r="A1457" s="12" t="s">
        <v>97</v>
      </c>
      <c r="B1457" s="12" t="s">
        <v>44</v>
      </c>
      <c r="C1457" s="12" t="s">
        <v>284</v>
      </c>
      <c r="D1457" s="12" t="str">
        <f aca="false">INDEX('Country Tiers'!$C$2:$C$37,MATCH(C1457,'Country Tiers'!$A$2:$A$37,0))</f>
        <v>Tier 3</v>
      </c>
      <c r="E1457" s="12" t="n">
        <f aca="false">INDEX('Country Tiers'!$D$2:$D$37,MATCH(C1457,'Country Tiers'!$A$2:$A$37,0))</f>
        <v>1</v>
      </c>
    </row>
    <row r="1458" customFormat="false" ht="15" hidden="false" customHeight="false" outlineLevel="0" collapsed="false">
      <c r="A1458" s="12" t="s">
        <v>97</v>
      </c>
      <c r="B1458" s="12" t="s">
        <v>44</v>
      </c>
      <c r="C1458" s="12" t="s">
        <v>285</v>
      </c>
      <c r="D1458" s="12" t="str">
        <f aca="false">INDEX('Country Tiers'!$C$2:$C$37,MATCH(C1458,'Country Tiers'!$A$2:$A$37,0))</f>
        <v>Tier 3</v>
      </c>
      <c r="E1458" s="12" t="n">
        <f aca="false">INDEX('Country Tiers'!$D$2:$D$37,MATCH(C1458,'Country Tiers'!$A$2:$A$37,0))</f>
        <v>1</v>
      </c>
    </row>
    <row r="1459" customFormat="false" ht="15" hidden="false" customHeight="false" outlineLevel="0" collapsed="false">
      <c r="A1459" s="12" t="s">
        <v>97</v>
      </c>
      <c r="B1459" s="12" t="s">
        <v>44</v>
      </c>
      <c r="C1459" s="12" t="s">
        <v>286</v>
      </c>
      <c r="D1459" s="12" t="str">
        <f aca="false">INDEX('Country Tiers'!$C$2:$C$37,MATCH(C1459,'Country Tiers'!$A$2:$A$37,0))</f>
        <v>Tier 1</v>
      </c>
      <c r="E1459" s="12" t="n">
        <f aca="false">INDEX('Country Tiers'!$D$2:$D$37,MATCH(C1459,'Country Tiers'!$A$2:$A$37,0))</f>
        <v>3</v>
      </c>
    </row>
    <row r="1460" customFormat="false" ht="15" hidden="false" customHeight="false" outlineLevel="0" collapsed="false">
      <c r="A1460" s="12" t="s">
        <v>97</v>
      </c>
      <c r="B1460" s="12" t="s">
        <v>44</v>
      </c>
      <c r="C1460" s="12" t="s">
        <v>287</v>
      </c>
      <c r="D1460" s="12" t="str">
        <f aca="false">INDEX('Country Tiers'!$C$2:$C$37,MATCH(C1460,'Country Tiers'!$A$2:$A$37,0))</f>
        <v>Tier 1</v>
      </c>
      <c r="E1460" s="12" t="n">
        <f aca="false">INDEX('Country Tiers'!$D$2:$D$37,MATCH(C1460,'Country Tiers'!$A$2:$A$37,0))</f>
        <v>3</v>
      </c>
    </row>
    <row r="1461" customFormat="false" ht="15" hidden="false" customHeight="false" outlineLevel="0" collapsed="false">
      <c r="A1461" s="12" t="s">
        <v>97</v>
      </c>
      <c r="B1461" s="12" t="s">
        <v>44</v>
      </c>
      <c r="C1461" s="12" t="s">
        <v>288</v>
      </c>
      <c r="D1461" s="12" t="str">
        <f aca="false">INDEX('Country Tiers'!$C$2:$C$37,MATCH(C1461,'Country Tiers'!$A$2:$A$37,0))</f>
        <v>Tier 3</v>
      </c>
      <c r="E1461" s="12" t="n">
        <f aca="false">INDEX('Country Tiers'!$D$2:$D$37,MATCH(C1461,'Country Tiers'!$A$2:$A$37,0))</f>
        <v>1</v>
      </c>
    </row>
    <row r="1462" customFormat="false" ht="15" hidden="false" customHeight="false" outlineLevel="0" collapsed="false">
      <c r="A1462" s="12" t="s">
        <v>97</v>
      </c>
      <c r="B1462" s="12" t="s">
        <v>44</v>
      </c>
      <c r="C1462" s="12" t="s">
        <v>289</v>
      </c>
      <c r="D1462" s="12" t="str">
        <f aca="false">INDEX('Country Tiers'!$C$2:$C$37,MATCH(C1462,'Country Tiers'!$A$2:$A$37,0))</f>
        <v>Tier 3</v>
      </c>
      <c r="E1462" s="12" t="n">
        <f aca="false">INDEX('Country Tiers'!$D$2:$D$37,MATCH(C1462,'Country Tiers'!$A$2:$A$37,0))</f>
        <v>1</v>
      </c>
    </row>
    <row r="1463" customFormat="false" ht="15" hidden="false" customHeight="false" outlineLevel="0" collapsed="false">
      <c r="A1463" s="12" t="s">
        <v>97</v>
      </c>
      <c r="B1463" s="12" t="s">
        <v>44</v>
      </c>
      <c r="C1463" s="12" t="s">
        <v>290</v>
      </c>
      <c r="D1463" s="12" t="str">
        <f aca="false">INDEX('Country Tiers'!$C$2:$C$37,MATCH(C1463,'Country Tiers'!$A$2:$A$37,0))</f>
        <v>Tier 3</v>
      </c>
      <c r="E1463" s="12" t="n">
        <f aca="false">INDEX('Country Tiers'!$D$2:$D$37,MATCH(C1463,'Country Tiers'!$A$2:$A$37,0))</f>
        <v>1</v>
      </c>
    </row>
    <row r="1464" customFormat="false" ht="15" hidden="false" customHeight="false" outlineLevel="0" collapsed="false">
      <c r="A1464" s="12" t="s">
        <v>97</v>
      </c>
      <c r="B1464" s="12" t="s">
        <v>44</v>
      </c>
      <c r="C1464" s="12" t="s">
        <v>291</v>
      </c>
      <c r="D1464" s="12" t="str">
        <f aca="false">INDEX('Country Tiers'!$C$2:$C$37,MATCH(C1464,'Country Tiers'!$A$2:$A$37,0))</f>
        <v>Tier 3</v>
      </c>
      <c r="E1464" s="12" t="n">
        <f aca="false">INDEX('Country Tiers'!$D$2:$D$37,MATCH(C1464,'Country Tiers'!$A$2:$A$37,0))</f>
        <v>1</v>
      </c>
    </row>
    <row r="1465" customFormat="false" ht="15" hidden="false" customHeight="false" outlineLevel="0" collapsed="false">
      <c r="A1465" s="12" t="s">
        <v>97</v>
      </c>
      <c r="B1465" s="12" t="s">
        <v>44</v>
      </c>
      <c r="C1465" s="12" t="s">
        <v>292</v>
      </c>
      <c r="D1465" s="12" t="str">
        <f aca="false">INDEX('Country Tiers'!$C$2:$C$37,MATCH(C1465,'Country Tiers'!$A$2:$A$37,0))</f>
        <v>Tier 2</v>
      </c>
      <c r="E1465" s="12" t="n">
        <f aca="false">INDEX('Country Tiers'!$D$2:$D$37,MATCH(C1465,'Country Tiers'!$A$2:$A$37,0))</f>
        <v>2</v>
      </c>
    </row>
    <row r="1466" customFormat="false" ht="15" hidden="false" customHeight="false" outlineLevel="0" collapsed="false">
      <c r="A1466" s="12" t="s">
        <v>97</v>
      </c>
      <c r="B1466" s="12" t="s">
        <v>44</v>
      </c>
      <c r="C1466" s="12" t="s">
        <v>293</v>
      </c>
      <c r="D1466" s="12" t="str">
        <f aca="false">INDEX('Country Tiers'!$C$2:$C$37,MATCH(C1466,'Country Tiers'!$A$2:$A$37,0))</f>
        <v>Tier 3</v>
      </c>
      <c r="E1466" s="12" t="n">
        <f aca="false">INDEX('Country Tiers'!$D$2:$D$37,MATCH(C1466,'Country Tiers'!$A$2:$A$37,0))</f>
        <v>1</v>
      </c>
    </row>
    <row r="1467" customFormat="false" ht="15" hidden="false" customHeight="false" outlineLevel="0" collapsed="false">
      <c r="A1467" s="12" t="s">
        <v>97</v>
      </c>
      <c r="B1467" s="12" t="s">
        <v>44</v>
      </c>
      <c r="C1467" s="12" t="s">
        <v>295</v>
      </c>
      <c r="D1467" s="12" t="str">
        <f aca="false">INDEX('Country Tiers'!$C$2:$C$37,MATCH(C1467,'Country Tiers'!$A$2:$A$37,0))</f>
        <v>Tier 3</v>
      </c>
      <c r="E1467" s="12" t="n">
        <f aca="false">INDEX('Country Tiers'!$D$2:$D$37,MATCH(C1467,'Country Tiers'!$A$2:$A$37,0))</f>
        <v>1</v>
      </c>
    </row>
    <row r="1468" customFormat="false" ht="15" hidden="false" customHeight="false" outlineLevel="0" collapsed="false">
      <c r="A1468" s="12" t="s">
        <v>97</v>
      </c>
      <c r="B1468" s="12" t="s">
        <v>44</v>
      </c>
      <c r="C1468" s="12" t="s">
        <v>296</v>
      </c>
      <c r="D1468" s="12" t="str">
        <f aca="false">INDEX('Country Tiers'!$C$2:$C$37,MATCH(C1468,'Country Tiers'!$A$2:$A$37,0))</f>
        <v>Tier 3</v>
      </c>
      <c r="E1468" s="12" t="n">
        <f aca="false">INDEX('Country Tiers'!$D$2:$D$37,MATCH(C1468,'Country Tiers'!$A$2:$A$37,0))</f>
        <v>1</v>
      </c>
    </row>
    <row r="1469" customFormat="false" ht="15" hidden="false" customHeight="false" outlineLevel="0" collapsed="false">
      <c r="A1469" s="12" t="s">
        <v>97</v>
      </c>
      <c r="B1469" s="12" t="s">
        <v>44</v>
      </c>
      <c r="C1469" s="12" t="s">
        <v>297</v>
      </c>
      <c r="D1469" s="12" t="str">
        <f aca="false">INDEX('Country Tiers'!$C$2:$C$37,MATCH(C1469,'Country Tiers'!$A$2:$A$37,0))</f>
        <v>Tier 2</v>
      </c>
      <c r="E1469" s="12" t="n">
        <f aca="false">INDEX('Country Tiers'!$D$2:$D$37,MATCH(C1469,'Country Tiers'!$A$2:$A$37,0))</f>
        <v>2</v>
      </c>
    </row>
    <row r="1470" customFormat="false" ht="15" hidden="false" customHeight="false" outlineLevel="0" collapsed="false">
      <c r="A1470" s="12" t="s">
        <v>97</v>
      </c>
      <c r="B1470" s="12" t="s">
        <v>44</v>
      </c>
      <c r="C1470" s="12" t="s">
        <v>298</v>
      </c>
      <c r="D1470" s="12" t="str">
        <f aca="false">INDEX('Country Tiers'!$C$2:$C$37,MATCH(C1470,'Country Tiers'!$A$2:$A$37,0))</f>
        <v>Tier 1</v>
      </c>
      <c r="E1470" s="12" t="n">
        <f aca="false">INDEX('Country Tiers'!$D$2:$D$37,MATCH(C1470,'Country Tiers'!$A$2:$A$37,0))</f>
        <v>3</v>
      </c>
    </row>
    <row r="1471" customFormat="false" ht="15" hidden="false" customHeight="false" outlineLevel="0" collapsed="false">
      <c r="A1471" s="12" t="s">
        <v>97</v>
      </c>
      <c r="B1471" s="12" t="s">
        <v>44</v>
      </c>
      <c r="C1471" s="12" t="s">
        <v>299</v>
      </c>
      <c r="D1471" s="12" t="str">
        <f aca="false">INDEX('Country Tiers'!$C$2:$C$37,MATCH(C1471,'Country Tiers'!$A$2:$A$37,0))</f>
        <v>Tier 3</v>
      </c>
      <c r="E1471" s="12" t="n">
        <f aca="false">INDEX('Country Tiers'!$D$2:$D$37,MATCH(C1471,'Country Tiers'!$A$2:$A$37,0))</f>
        <v>1</v>
      </c>
    </row>
    <row r="1472" customFormat="false" ht="15" hidden="false" customHeight="false" outlineLevel="0" collapsed="false">
      <c r="A1472" s="12" t="s">
        <v>97</v>
      </c>
      <c r="B1472" s="12" t="s">
        <v>44</v>
      </c>
      <c r="C1472" s="12" t="s">
        <v>300</v>
      </c>
      <c r="D1472" s="12" t="str">
        <f aca="false">INDEX('Country Tiers'!$C$2:$C$37,MATCH(C1472,'Country Tiers'!$A$2:$A$37,0))</f>
        <v>Tier 3</v>
      </c>
      <c r="E1472" s="12" t="n">
        <f aca="false">INDEX('Country Tiers'!$D$2:$D$37,MATCH(C1472,'Country Tiers'!$A$2:$A$37,0))</f>
        <v>1</v>
      </c>
    </row>
    <row r="1473" customFormat="false" ht="15" hidden="false" customHeight="false" outlineLevel="0" collapsed="false">
      <c r="A1473" s="12" t="s">
        <v>97</v>
      </c>
      <c r="B1473" s="12" t="s">
        <v>44</v>
      </c>
      <c r="C1473" s="12" t="s">
        <v>301</v>
      </c>
      <c r="D1473" s="12" t="str">
        <f aca="false">INDEX('Country Tiers'!$C$2:$C$37,MATCH(C1473,'Country Tiers'!$A$2:$A$37,0))</f>
        <v>Tier 3</v>
      </c>
      <c r="E1473" s="12" t="n">
        <f aca="false">INDEX('Country Tiers'!$D$2:$D$37,MATCH(C1473,'Country Tiers'!$A$2:$A$37,0))</f>
        <v>1</v>
      </c>
    </row>
    <row r="1474" customFormat="false" ht="15" hidden="false" customHeight="false" outlineLevel="0" collapsed="false">
      <c r="A1474" s="12" t="s">
        <v>97</v>
      </c>
      <c r="B1474" s="12" t="s">
        <v>44</v>
      </c>
      <c r="C1474" s="12" t="s">
        <v>302</v>
      </c>
      <c r="D1474" s="12" t="str">
        <f aca="false">INDEX('Country Tiers'!$C$2:$C$37,MATCH(C1474,'Country Tiers'!$A$2:$A$37,0))</f>
        <v>Tier 3</v>
      </c>
      <c r="E1474" s="12" t="n">
        <f aca="false">INDEX('Country Tiers'!$D$2:$D$37,MATCH(C1474,'Country Tiers'!$A$2:$A$37,0))</f>
        <v>1</v>
      </c>
    </row>
    <row r="1475" customFormat="false" ht="15" hidden="false" customHeight="false" outlineLevel="0" collapsed="false">
      <c r="A1475" s="12" t="s">
        <v>97</v>
      </c>
      <c r="B1475" s="12" t="s">
        <v>44</v>
      </c>
      <c r="C1475" s="12" t="s">
        <v>303</v>
      </c>
      <c r="D1475" s="12" t="str">
        <f aca="false">INDEX('Country Tiers'!$C$2:$C$37,MATCH(C1475,'Country Tiers'!$A$2:$A$37,0))</f>
        <v>Tier 2</v>
      </c>
      <c r="E1475" s="12" t="n">
        <f aca="false">INDEX('Country Tiers'!$D$2:$D$37,MATCH(C1475,'Country Tiers'!$A$2:$A$37,0))</f>
        <v>2</v>
      </c>
    </row>
    <row r="1476" customFormat="false" ht="15" hidden="false" customHeight="false" outlineLevel="0" collapsed="false">
      <c r="A1476" s="12" t="s">
        <v>97</v>
      </c>
      <c r="B1476" s="12" t="s">
        <v>44</v>
      </c>
      <c r="C1476" s="12" t="s">
        <v>305</v>
      </c>
      <c r="D1476" s="12" t="str">
        <f aca="false">INDEX('Country Tiers'!$C$2:$C$37,MATCH(C1476,'Country Tiers'!$A$2:$A$37,0))</f>
        <v>Tier 3</v>
      </c>
      <c r="E1476" s="12" t="n">
        <f aca="false">INDEX('Country Tiers'!$D$2:$D$37,MATCH(C1476,'Country Tiers'!$A$2:$A$37,0))</f>
        <v>1</v>
      </c>
    </row>
    <row r="1477" customFormat="false" ht="15" hidden="false" customHeight="false" outlineLevel="0" collapsed="false">
      <c r="A1477" s="12" t="s">
        <v>97</v>
      </c>
      <c r="B1477" s="12" t="s">
        <v>44</v>
      </c>
      <c r="C1477" s="12" t="s">
        <v>306</v>
      </c>
      <c r="D1477" s="12" t="str">
        <f aca="false">INDEX('Country Tiers'!$C$2:$C$37,MATCH(C1477,'Country Tiers'!$A$2:$A$37,0))</f>
        <v>Tier 3</v>
      </c>
      <c r="E1477" s="12" t="n">
        <f aca="false">INDEX('Country Tiers'!$D$2:$D$37,MATCH(C1477,'Country Tiers'!$A$2:$A$37,0))</f>
        <v>1</v>
      </c>
    </row>
    <row r="1478" customFormat="false" ht="15" hidden="false" customHeight="false" outlineLevel="0" collapsed="false">
      <c r="A1478" s="12" t="s">
        <v>97</v>
      </c>
      <c r="B1478" s="12" t="s">
        <v>44</v>
      </c>
      <c r="C1478" s="12" t="s">
        <v>307</v>
      </c>
      <c r="D1478" s="12" t="str">
        <f aca="false">INDEX('Country Tiers'!$C$2:$C$37,MATCH(C1478,'Country Tiers'!$A$2:$A$37,0))</f>
        <v>Tier 2</v>
      </c>
      <c r="E1478" s="12" t="n">
        <f aca="false">INDEX('Country Tiers'!$D$2:$D$37,MATCH(C1478,'Country Tiers'!$A$2:$A$37,0))</f>
        <v>2</v>
      </c>
    </row>
    <row r="1479" customFormat="false" ht="15" hidden="false" customHeight="false" outlineLevel="0" collapsed="false">
      <c r="A1479" s="12" t="s">
        <v>97</v>
      </c>
      <c r="B1479" s="12" t="s">
        <v>44</v>
      </c>
      <c r="C1479" s="12" t="s">
        <v>308</v>
      </c>
      <c r="D1479" s="12" t="str">
        <f aca="false">INDEX('Country Tiers'!$C$2:$C$37,MATCH(C1479,'Country Tiers'!$A$2:$A$37,0))</f>
        <v>Tier 3</v>
      </c>
      <c r="E1479" s="12" t="n">
        <f aca="false">INDEX('Country Tiers'!$D$2:$D$37,MATCH(C1479,'Country Tiers'!$A$2:$A$37,0))</f>
        <v>1</v>
      </c>
    </row>
    <row r="1480" customFormat="false" ht="15" hidden="false" customHeight="false" outlineLevel="0" collapsed="false">
      <c r="A1480" s="12" t="s">
        <v>97</v>
      </c>
      <c r="B1480" s="12" t="s">
        <v>44</v>
      </c>
      <c r="C1480" s="12" t="s">
        <v>309</v>
      </c>
      <c r="D1480" s="12" t="str">
        <f aca="false">INDEX('Country Tiers'!$C$2:$C$37,MATCH(C1480,'Country Tiers'!$A$2:$A$37,0))</f>
        <v>Tier 1</v>
      </c>
      <c r="E1480" s="12" t="n">
        <f aca="false">INDEX('Country Tiers'!$D$2:$D$37,MATCH(C1480,'Country Tiers'!$A$2:$A$37,0))</f>
        <v>3</v>
      </c>
    </row>
    <row r="1481" customFormat="false" ht="15" hidden="false" customHeight="false" outlineLevel="0" collapsed="false">
      <c r="A1481" s="12" t="s">
        <v>97</v>
      </c>
      <c r="B1481" s="12" t="s">
        <v>44</v>
      </c>
      <c r="C1481" s="12" t="s">
        <v>313</v>
      </c>
      <c r="D1481" s="12" t="str">
        <f aca="false">INDEX('Country Tiers'!$C$2:$C$37,MATCH(C1481,'Country Tiers'!$A$2:$A$37,0))</f>
        <v>Tier 1</v>
      </c>
      <c r="E1481" s="12" t="n">
        <f aca="false">INDEX('Country Tiers'!$D$2:$D$37,MATCH(C1481,'Country Tiers'!$A$2:$A$37,0))</f>
        <v>3</v>
      </c>
    </row>
    <row r="1482" customFormat="false" ht="15" hidden="false" customHeight="false" outlineLevel="0" collapsed="false">
      <c r="A1482" s="12" t="s">
        <v>98</v>
      </c>
      <c r="B1482" s="12" t="s">
        <v>47</v>
      </c>
      <c r="C1482" s="12" t="s">
        <v>311</v>
      </c>
      <c r="D1482" s="12" t="str">
        <f aca="false">INDEX('Country Tiers'!$C$2:$C$37,MATCH(C1482,'Country Tiers'!$A$2:$A$37,0))</f>
        <v>Tier 1</v>
      </c>
      <c r="E1482" s="12" t="n">
        <f aca="false">INDEX('Country Tiers'!$D$2:$D$37,MATCH(C1482,'Country Tiers'!$A$2:$A$37,0))</f>
        <v>3</v>
      </c>
    </row>
    <row r="1483" customFormat="false" ht="15" hidden="false" customHeight="false" outlineLevel="0" collapsed="false">
      <c r="A1483" s="12" t="s">
        <v>98</v>
      </c>
      <c r="B1483" s="12" t="s">
        <v>44</v>
      </c>
      <c r="C1483" s="12" t="s">
        <v>278</v>
      </c>
      <c r="D1483" s="12" t="str">
        <f aca="false">INDEX('Country Tiers'!$C$2:$C$37,MATCH(C1483,'Country Tiers'!$A$2:$A$37,0))</f>
        <v>Tier 3</v>
      </c>
      <c r="E1483" s="12" t="n">
        <f aca="false">INDEX('Country Tiers'!$D$2:$D$37,MATCH(C1483,'Country Tiers'!$A$2:$A$37,0))</f>
        <v>1</v>
      </c>
    </row>
    <row r="1484" customFormat="false" ht="15" hidden="false" customHeight="false" outlineLevel="0" collapsed="false">
      <c r="A1484" s="12" t="s">
        <v>98</v>
      </c>
      <c r="B1484" s="12" t="s">
        <v>44</v>
      </c>
      <c r="C1484" s="12" t="s">
        <v>283</v>
      </c>
      <c r="D1484" s="12" t="str">
        <f aca="false">INDEX('Country Tiers'!$C$2:$C$37,MATCH(C1484,'Country Tiers'!$A$2:$A$37,0))</f>
        <v>Tier 3</v>
      </c>
      <c r="E1484" s="12" t="n">
        <f aca="false">INDEX('Country Tiers'!$D$2:$D$37,MATCH(C1484,'Country Tiers'!$A$2:$A$37,0))</f>
        <v>1</v>
      </c>
    </row>
    <row r="1485" customFormat="false" ht="15" hidden="false" customHeight="false" outlineLevel="0" collapsed="false">
      <c r="A1485" s="12" t="s">
        <v>98</v>
      </c>
      <c r="B1485" s="12" t="s">
        <v>44</v>
      </c>
      <c r="C1485" s="12" t="s">
        <v>285</v>
      </c>
      <c r="D1485" s="12" t="str">
        <f aca="false">INDEX('Country Tiers'!$C$2:$C$37,MATCH(C1485,'Country Tiers'!$A$2:$A$37,0))</f>
        <v>Tier 3</v>
      </c>
      <c r="E1485" s="12" t="n">
        <f aca="false">INDEX('Country Tiers'!$D$2:$D$37,MATCH(C1485,'Country Tiers'!$A$2:$A$37,0))</f>
        <v>1</v>
      </c>
    </row>
    <row r="1486" customFormat="false" ht="15" hidden="false" customHeight="false" outlineLevel="0" collapsed="false">
      <c r="A1486" s="12" t="s">
        <v>98</v>
      </c>
      <c r="B1486" s="12" t="s">
        <v>44</v>
      </c>
      <c r="C1486" s="12" t="s">
        <v>287</v>
      </c>
      <c r="D1486" s="12" t="str">
        <f aca="false">INDEX('Country Tiers'!$C$2:$C$37,MATCH(C1486,'Country Tiers'!$A$2:$A$37,0))</f>
        <v>Tier 1</v>
      </c>
      <c r="E1486" s="12" t="n">
        <f aca="false">INDEX('Country Tiers'!$D$2:$D$37,MATCH(C1486,'Country Tiers'!$A$2:$A$37,0))</f>
        <v>3</v>
      </c>
    </row>
    <row r="1487" customFormat="false" ht="15" hidden="false" customHeight="false" outlineLevel="0" collapsed="false">
      <c r="A1487" s="12" t="s">
        <v>98</v>
      </c>
      <c r="B1487" s="12" t="s">
        <v>44</v>
      </c>
      <c r="C1487" s="12" t="s">
        <v>289</v>
      </c>
      <c r="D1487" s="12" t="str">
        <f aca="false">INDEX('Country Tiers'!$C$2:$C$37,MATCH(C1487,'Country Tiers'!$A$2:$A$37,0))</f>
        <v>Tier 3</v>
      </c>
      <c r="E1487" s="12" t="n">
        <f aca="false">INDEX('Country Tiers'!$D$2:$D$37,MATCH(C1487,'Country Tiers'!$A$2:$A$37,0))</f>
        <v>1</v>
      </c>
    </row>
    <row r="1488" customFormat="false" ht="15" hidden="false" customHeight="false" outlineLevel="0" collapsed="false">
      <c r="A1488" s="12" t="s">
        <v>98</v>
      </c>
      <c r="B1488" s="12" t="s">
        <v>44</v>
      </c>
      <c r="C1488" s="12" t="s">
        <v>290</v>
      </c>
      <c r="D1488" s="12" t="str">
        <f aca="false">INDEX('Country Tiers'!$C$2:$C$37,MATCH(C1488,'Country Tiers'!$A$2:$A$37,0))</f>
        <v>Tier 3</v>
      </c>
      <c r="E1488" s="12" t="n">
        <f aca="false">INDEX('Country Tiers'!$D$2:$D$37,MATCH(C1488,'Country Tiers'!$A$2:$A$37,0))</f>
        <v>1</v>
      </c>
    </row>
    <row r="1489" customFormat="false" ht="15" hidden="false" customHeight="false" outlineLevel="0" collapsed="false">
      <c r="A1489" s="12" t="s">
        <v>98</v>
      </c>
      <c r="B1489" s="12" t="s">
        <v>44</v>
      </c>
      <c r="C1489" s="12" t="s">
        <v>291</v>
      </c>
      <c r="D1489" s="12" t="str">
        <f aca="false">INDEX('Country Tiers'!$C$2:$C$37,MATCH(C1489,'Country Tiers'!$A$2:$A$37,0))</f>
        <v>Tier 3</v>
      </c>
      <c r="E1489" s="12" t="n">
        <f aca="false">INDEX('Country Tiers'!$D$2:$D$37,MATCH(C1489,'Country Tiers'!$A$2:$A$37,0))</f>
        <v>1</v>
      </c>
    </row>
    <row r="1490" customFormat="false" ht="15" hidden="false" customHeight="false" outlineLevel="0" collapsed="false">
      <c r="A1490" s="12" t="s">
        <v>98</v>
      </c>
      <c r="B1490" s="12" t="s">
        <v>44</v>
      </c>
      <c r="C1490" s="12" t="s">
        <v>292</v>
      </c>
      <c r="D1490" s="12" t="str">
        <f aca="false">INDEX('Country Tiers'!$C$2:$C$37,MATCH(C1490,'Country Tiers'!$A$2:$A$37,0))</f>
        <v>Tier 2</v>
      </c>
      <c r="E1490" s="12" t="n">
        <f aca="false">INDEX('Country Tiers'!$D$2:$D$37,MATCH(C1490,'Country Tiers'!$A$2:$A$37,0))</f>
        <v>2</v>
      </c>
    </row>
    <row r="1491" customFormat="false" ht="15" hidden="false" customHeight="false" outlineLevel="0" collapsed="false">
      <c r="A1491" s="12" t="s">
        <v>98</v>
      </c>
      <c r="B1491" s="12" t="s">
        <v>44</v>
      </c>
      <c r="C1491" s="12" t="s">
        <v>294</v>
      </c>
      <c r="D1491" s="12" t="str">
        <f aca="false">INDEX('Country Tiers'!$C$2:$C$37,MATCH(C1491,'Country Tiers'!$A$2:$A$37,0))</f>
        <v>Tier 3</v>
      </c>
      <c r="E1491" s="12" t="n">
        <f aca="false">INDEX('Country Tiers'!$D$2:$D$37,MATCH(C1491,'Country Tiers'!$A$2:$A$37,0))</f>
        <v>1</v>
      </c>
    </row>
    <row r="1492" customFormat="false" ht="15" hidden="false" customHeight="false" outlineLevel="0" collapsed="false">
      <c r="A1492" s="12" t="s">
        <v>98</v>
      </c>
      <c r="B1492" s="12" t="s">
        <v>44</v>
      </c>
      <c r="C1492" s="12" t="s">
        <v>298</v>
      </c>
      <c r="D1492" s="12" t="str">
        <f aca="false">INDEX('Country Tiers'!$C$2:$C$37,MATCH(C1492,'Country Tiers'!$A$2:$A$37,0))</f>
        <v>Tier 1</v>
      </c>
      <c r="E1492" s="12" t="n">
        <f aca="false">INDEX('Country Tiers'!$D$2:$D$37,MATCH(C1492,'Country Tiers'!$A$2:$A$37,0))</f>
        <v>3</v>
      </c>
    </row>
    <row r="1493" customFormat="false" ht="15" hidden="false" customHeight="false" outlineLevel="0" collapsed="false">
      <c r="A1493" s="12" t="s">
        <v>98</v>
      </c>
      <c r="B1493" s="12" t="s">
        <v>44</v>
      </c>
      <c r="C1493" s="12" t="s">
        <v>299</v>
      </c>
      <c r="D1493" s="12" t="str">
        <f aca="false">INDEX('Country Tiers'!$C$2:$C$37,MATCH(C1493,'Country Tiers'!$A$2:$A$37,0))</f>
        <v>Tier 3</v>
      </c>
      <c r="E1493" s="12" t="n">
        <f aca="false">INDEX('Country Tiers'!$D$2:$D$37,MATCH(C1493,'Country Tiers'!$A$2:$A$37,0))</f>
        <v>1</v>
      </c>
    </row>
    <row r="1494" customFormat="false" ht="15" hidden="false" customHeight="false" outlineLevel="0" collapsed="false">
      <c r="A1494" s="12" t="s">
        <v>98</v>
      </c>
      <c r="B1494" s="12" t="s">
        <v>44</v>
      </c>
      <c r="C1494" s="12" t="s">
        <v>302</v>
      </c>
      <c r="D1494" s="12" t="str">
        <f aca="false">INDEX('Country Tiers'!$C$2:$C$37,MATCH(C1494,'Country Tiers'!$A$2:$A$37,0))</f>
        <v>Tier 3</v>
      </c>
      <c r="E1494" s="12" t="n">
        <f aca="false">INDEX('Country Tiers'!$D$2:$D$37,MATCH(C1494,'Country Tiers'!$A$2:$A$37,0))</f>
        <v>1</v>
      </c>
    </row>
    <row r="1495" customFormat="false" ht="15" hidden="false" customHeight="false" outlineLevel="0" collapsed="false">
      <c r="A1495" s="12" t="s">
        <v>98</v>
      </c>
      <c r="B1495" s="12" t="s">
        <v>44</v>
      </c>
      <c r="C1495" s="12" t="s">
        <v>308</v>
      </c>
      <c r="D1495" s="12" t="str">
        <f aca="false">INDEX('Country Tiers'!$C$2:$C$37,MATCH(C1495,'Country Tiers'!$A$2:$A$37,0))</f>
        <v>Tier 3</v>
      </c>
      <c r="E1495" s="12" t="n">
        <f aca="false">INDEX('Country Tiers'!$D$2:$D$37,MATCH(C1495,'Country Tiers'!$A$2:$A$37,0))</f>
        <v>1</v>
      </c>
    </row>
    <row r="1496" customFormat="false" ht="15" hidden="false" customHeight="false" outlineLevel="0" collapsed="false">
      <c r="A1496" s="12" t="s">
        <v>98</v>
      </c>
      <c r="B1496" s="12" t="s">
        <v>44</v>
      </c>
      <c r="C1496" s="12" t="s">
        <v>313</v>
      </c>
      <c r="D1496" s="12" t="str">
        <f aca="false">INDEX('Country Tiers'!$C$2:$C$37,MATCH(C1496,'Country Tiers'!$A$2:$A$37,0))</f>
        <v>Tier 1</v>
      </c>
      <c r="E1496" s="12" t="n">
        <f aca="false">INDEX('Country Tiers'!$D$2:$D$37,MATCH(C1496,'Country Tiers'!$A$2:$A$37,0))</f>
        <v>3</v>
      </c>
    </row>
    <row r="1497" customFormat="false" ht="15" hidden="false" customHeight="false" outlineLevel="0" collapsed="false">
      <c r="A1497" s="12" t="s">
        <v>99</v>
      </c>
      <c r="B1497" s="12" t="s">
        <v>55</v>
      </c>
      <c r="C1497" s="12" t="s">
        <v>272</v>
      </c>
      <c r="D1497" s="12" t="str">
        <f aca="false">INDEX('Country Tiers'!$C$2:$C$37,MATCH(C1497,'Country Tiers'!$A$2:$A$37,0))</f>
        <v>Tier 2</v>
      </c>
      <c r="E1497" s="12" t="n">
        <f aca="false">INDEX('Country Tiers'!$D$2:$D$37,MATCH(C1497,'Country Tiers'!$A$2:$A$37,0))</f>
        <v>2</v>
      </c>
    </row>
    <row r="1498" customFormat="false" ht="15" hidden="false" customHeight="false" outlineLevel="0" collapsed="false">
      <c r="A1498" s="12" t="s">
        <v>99</v>
      </c>
      <c r="B1498" s="12" t="s">
        <v>55</v>
      </c>
      <c r="C1498" s="12" t="s">
        <v>274</v>
      </c>
      <c r="D1498" s="12" t="str">
        <f aca="false">INDEX('Country Tiers'!$C$2:$C$37,MATCH(C1498,'Country Tiers'!$A$2:$A$37,0))</f>
        <v>Tier 3</v>
      </c>
      <c r="E1498" s="12" t="n">
        <f aca="false">INDEX('Country Tiers'!$D$2:$D$37,MATCH(C1498,'Country Tiers'!$A$2:$A$37,0))</f>
        <v>1</v>
      </c>
    </row>
    <row r="1499" customFormat="false" ht="15" hidden="false" customHeight="false" outlineLevel="0" collapsed="false">
      <c r="A1499" s="12" t="s">
        <v>99</v>
      </c>
      <c r="B1499" s="12" t="s">
        <v>55</v>
      </c>
      <c r="C1499" s="12" t="s">
        <v>277</v>
      </c>
      <c r="D1499" s="12" t="str">
        <f aca="false">INDEX('Country Tiers'!$C$2:$C$37,MATCH(C1499,'Country Tiers'!$A$2:$A$37,0))</f>
        <v>Tier 1</v>
      </c>
      <c r="E1499" s="12" t="n">
        <f aca="false">INDEX('Country Tiers'!$D$2:$D$37,MATCH(C1499,'Country Tiers'!$A$2:$A$37,0))</f>
        <v>3</v>
      </c>
    </row>
    <row r="1500" customFormat="false" ht="15" hidden="false" customHeight="false" outlineLevel="0" collapsed="false">
      <c r="A1500" s="12" t="s">
        <v>99</v>
      </c>
      <c r="B1500" s="12" t="s">
        <v>55</v>
      </c>
      <c r="C1500" s="12" t="s">
        <v>278</v>
      </c>
      <c r="D1500" s="12" t="str">
        <f aca="false">INDEX('Country Tiers'!$C$2:$C$37,MATCH(C1500,'Country Tiers'!$A$2:$A$37,0))</f>
        <v>Tier 3</v>
      </c>
      <c r="E1500" s="12" t="n">
        <f aca="false">INDEX('Country Tiers'!$D$2:$D$37,MATCH(C1500,'Country Tiers'!$A$2:$A$37,0))</f>
        <v>1</v>
      </c>
    </row>
    <row r="1501" customFormat="false" ht="15" hidden="false" customHeight="false" outlineLevel="0" collapsed="false">
      <c r="A1501" s="12" t="s">
        <v>99</v>
      </c>
      <c r="B1501" s="12" t="s">
        <v>55</v>
      </c>
      <c r="C1501" s="12" t="s">
        <v>279</v>
      </c>
      <c r="D1501" s="12" t="str">
        <f aca="false">INDEX('Country Tiers'!$C$2:$C$37,MATCH(C1501,'Country Tiers'!$A$2:$A$37,0))</f>
        <v>Tier 1</v>
      </c>
      <c r="E1501" s="12" t="n">
        <f aca="false">INDEX('Country Tiers'!$D$2:$D$37,MATCH(C1501,'Country Tiers'!$A$2:$A$37,0))</f>
        <v>3</v>
      </c>
    </row>
    <row r="1502" customFormat="false" ht="15" hidden="false" customHeight="false" outlineLevel="0" collapsed="false">
      <c r="A1502" s="12" t="s">
        <v>99</v>
      </c>
      <c r="B1502" s="12" t="s">
        <v>55</v>
      </c>
      <c r="C1502" s="12" t="s">
        <v>280</v>
      </c>
      <c r="D1502" s="12" t="str">
        <f aca="false">INDEX('Country Tiers'!$C$2:$C$37,MATCH(C1502,'Country Tiers'!$A$2:$A$37,0))</f>
        <v>Tier 3</v>
      </c>
      <c r="E1502" s="12" t="n">
        <f aca="false">INDEX('Country Tiers'!$D$2:$D$37,MATCH(C1502,'Country Tiers'!$A$2:$A$37,0))</f>
        <v>1</v>
      </c>
    </row>
    <row r="1503" customFormat="false" ht="15" hidden="false" customHeight="false" outlineLevel="0" collapsed="false">
      <c r="A1503" s="12" t="s">
        <v>99</v>
      </c>
      <c r="B1503" s="12" t="s">
        <v>55</v>
      </c>
      <c r="C1503" s="12" t="s">
        <v>282</v>
      </c>
      <c r="D1503" s="12" t="str">
        <f aca="false">INDEX('Country Tiers'!$C$2:$C$37,MATCH(C1503,'Country Tiers'!$A$2:$A$37,0))</f>
        <v>Tier 3</v>
      </c>
      <c r="E1503" s="12" t="n">
        <f aca="false">INDEX('Country Tiers'!$D$2:$D$37,MATCH(C1503,'Country Tiers'!$A$2:$A$37,0))</f>
        <v>1</v>
      </c>
    </row>
    <row r="1504" customFormat="false" ht="15" hidden="false" customHeight="false" outlineLevel="0" collapsed="false">
      <c r="A1504" s="12" t="s">
        <v>99</v>
      </c>
      <c r="B1504" s="12" t="s">
        <v>55</v>
      </c>
      <c r="C1504" s="12" t="s">
        <v>283</v>
      </c>
      <c r="D1504" s="12" t="str">
        <f aca="false">INDEX('Country Tiers'!$C$2:$C$37,MATCH(C1504,'Country Tiers'!$A$2:$A$37,0))</f>
        <v>Tier 3</v>
      </c>
      <c r="E1504" s="12" t="n">
        <f aca="false">INDEX('Country Tiers'!$D$2:$D$37,MATCH(C1504,'Country Tiers'!$A$2:$A$37,0))</f>
        <v>1</v>
      </c>
    </row>
    <row r="1505" customFormat="false" ht="15" hidden="false" customHeight="false" outlineLevel="0" collapsed="false">
      <c r="A1505" s="12" t="s">
        <v>99</v>
      </c>
      <c r="B1505" s="12" t="s">
        <v>55</v>
      </c>
      <c r="C1505" s="12" t="s">
        <v>284</v>
      </c>
      <c r="D1505" s="12" t="str">
        <f aca="false">INDEX('Country Tiers'!$C$2:$C$37,MATCH(C1505,'Country Tiers'!$A$2:$A$37,0))</f>
        <v>Tier 3</v>
      </c>
      <c r="E1505" s="12" t="n">
        <f aca="false">INDEX('Country Tiers'!$D$2:$D$37,MATCH(C1505,'Country Tiers'!$A$2:$A$37,0))</f>
        <v>1</v>
      </c>
    </row>
    <row r="1506" customFormat="false" ht="15" hidden="false" customHeight="false" outlineLevel="0" collapsed="false">
      <c r="A1506" s="12" t="s">
        <v>99</v>
      </c>
      <c r="B1506" s="12" t="s">
        <v>55</v>
      </c>
      <c r="C1506" s="12" t="s">
        <v>285</v>
      </c>
      <c r="D1506" s="12" t="str">
        <f aca="false">INDEX('Country Tiers'!$C$2:$C$37,MATCH(C1506,'Country Tiers'!$A$2:$A$37,0))</f>
        <v>Tier 3</v>
      </c>
      <c r="E1506" s="12" t="n">
        <f aca="false">INDEX('Country Tiers'!$D$2:$D$37,MATCH(C1506,'Country Tiers'!$A$2:$A$37,0))</f>
        <v>1</v>
      </c>
    </row>
    <row r="1507" customFormat="false" ht="15" hidden="false" customHeight="false" outlineLevel="0" collapsed="false">
      <c r="A1507" s="12" t="s">
        <v>99</v>
      </c>
      <c r="B1507" s="12" t="s">
        <v>55</v>
      </c>
      <c r="C1507" s="12" t="s">
        <v>286</v>
      </c>
      <c r="D1507" s="12" t="str">
        <f aca="false">INDEX('Country Tiers'!$C$2:$C$37,MATCH(C1507,'Country Tiers'!$A$2:$A$37,0))</f>
        <v>Tier 1</v>
      </c>
      <c r="E1507" s="12" t="n">
        <f aca="false">INDEX('Country Tiers'!$D$2:$D$37,MATCH(C1507,'Country Tiers'!$A$2:$A$37,0))</f>
        <v>3</v>
      </c>
    </row>
    <row r="1508" customFormat="false" ht="15" hidden="false" customHeight="false" outlineLevel="0" collapsed="false">
      <c r="A1508" s="12" t="s">
        <v>99</v>
      </c>
      <c r="B1508" s="12" t="s">
        <v>55</v>
      </c>
      <c r="C1508" s="12" t="s">
        <v>287</v>
      </c>
      <c r="D1508" s="12" t="str">
        <f aca="false">INDEX('Country Tiers'!$C$2:$C$37,MATCH(C1508,'Country Tiers'!$A$2:$A$37,0))</f>
        <v>Tier 1</v>
      </c>
      <c r="E1508" s="12" t="n">
        <f aca="false">INDEX('Country Tiers'!$D$2:$D$37,MATCH(C1508,'Country Tiers'!$A$2:$A$37,0))</f>
        <v>3</v>
      </c>
    </row>
    <row r="1509" customFormat="false" ht="15" hidden="false" customHeight="false" outlineLevel="0" collapsed="false">
      <c r="A1509" s="12" t="s">
        <v>99</v>
      </c>
      <c r="B1509" s="12" t="s">
        <v>55</v>
      </c>
      <c r="C1509" s="12" t="s">
        <v>289</v>
      </c>
      <c r="D1509" s="12" t="str">
        <f aca="false">INDEX('Country Tiers'!$C$2:$C$37,MATCH(C1509,'Country Tiers'!$A$2:$A$37,0))</f>
        <v>Tier 3</v>
      </c>
      <c r="E1509" s="12" t="n">
        <f aca="false">INDEX('Country Tiers'!$D$2:$D$37,MATCH(C1509,'Country Tiers'!$A$2:$A$37,0))</f>
        <v>1</v>
      </c>
    </row>
    <row r="1510" customFormat="false" ht="15" hidden="false" customHeight="false" outlineLevel="0" collapsed="false">
      <c r="A1510" s="12" t="s">
        <v>99</v>
      </c>
      <c r="B1510" s="12" t="s">
        <v>55</v>
      </c>
      <c r="C1510" s="12" t="s">
        <v>290</v>
      </c>
      <c r="D1510" s="12" t="str">
        <f aca="false">INDEX('Country Tiers'!$C$2:$C$37,MATCH(C1510,'Country Tiers'!$A$2:$A$37,0))</f>
        <v>Tier 3</v>
      </c>
      <c r="E1510" s="12" t="n">
        <f aca="false">INDEX('Country Tiers'!$D$2:$D$37,MATCH(C1510,'Country Tiers'!$A$2:$A$37,0))</f>
        <v>1</v>
      </c>
    </row>
    <row r="1511" customFormat="false" ht="15" hidden="false" customHeight="false" outlineLevel="0" collapsed="false">
      <c r="A1511" s="12" t="s">
        <v>99</v>
      </c>
      <c r="B1511" s="12" t="s">
        <v>55</v>
      </c>
      <c r="C1511" s="12" t="s">
        <v>292</v>
      </c>
      <c r="D1511" s="12" t="str">
        <f aca="false">INDEX('Country Tiers'!$C$2:$C$37,MATCH(C1511,'Country Tiers'!$A$2:$A$37,0))</f>
        <v>Tier 2</v>
      </c>
      <c r="E1511" s="12" t="n">
        <f aca="false">INDEX('Country Tiers'!$D$2:$D$37,MATCH(C1511,'Country Tiers'!$A$2:$A$37,0))</f>
        <v>2</v>
      </c>
    </row>
    <row r="1512" customFormat="false" ht="15" hidden="false" customHeight="false" outlineLevel="0" collapsed="false">
      <c r="A1512" s="12" t="s">
        <v>99</v>
      </c>
      <c r="B1512" s="12" t="s">
        <v>55</v>
      </c>
      <c r="C1512" s="12" t="s">
        <v>293</v>
      </c>
      <c r="D1512" s="12" t="str">
        <f aca="false">INDEX('Country Tiers'!$C$2:$C$37,MATCH(C1512,'Country Tiers'!$A$2:$A$37,0))</f>
        <v>Tier 3</v>
      </c>
      <c r="E1512" s="12" t="n">
        <f aca="false">INDEX('Country Tiers'!$D$2:$D$37,MATCH(C1512,'Country Tiers'!$A$2:$A$37,0))</f>
        <v>1</v>
      </c>
    </row>
    <row r="1513" customFormat="false" ht="15" hidden="false" customHeight="false" outlineLevel="0" collapsed="false">
      <c r="A1513" s="12" t="s">
        <v>99</v>
      </c>
      <c r="B1513" s="12" t="s">
        <v>55</v>
      </c>
      <c r="C1513" s="12" t="s">
        <v>294</v>
      </c>
      <c r="D1513" s="12" t="str">
        <f aca="false">INDEX('Country Tiers'!$C$2:$C$37,MATCH(C1513,'Country Tiers'!$A$2:$A$37,0))</f>
        <v>Tier 3</v>
      </c>
      <c r="E1513" s="12" t="n">
        <f aca="false">INDEX('Country Tiers'!$D$2:$D$37,MATCH(C1513,'Country Tiers'!$A$2:$A$37,0))</f>
        <v>1</v>
      </c>
    </row>
    <row r="1514" customFormat="false" ht="15" hidden="false" customHeight="false" outlineLevel="0" collapsed="false">
      <c r="A1514" s="12" t="s">
        <v>99</v>
      </c>
      <c r="B1514" s="12" t="s">
        <v>55</v>
      </c>
      <c r="C1514" s="12" t="s">
        <v>295</v>
      </c>
      <c r="D1514" s="12" t="str">
        <f aca="false">INDEX('Country Tiers'!$C$2:$C$37,MATCH(C1514,'Country Tiers'!$A$2:$A$37,0))</f>
        <v>Tier 3</v>
      </c>
      <c r="E1514" s="12" t="n">
        <f aca="false">INDEX('Country Tiers'!$D$2:$D$37,MATCH(C1514,'Country Tiers'!$A$2:$A$37,0))</f>
        <v>1</v>
      </c>
    </row>
    <row r="1515" customFormat="false" ht="15" hidden="false" customHeight="false" outlineLevel="0" collapsed="false">
      <c r="A1515" s="12" t="s">
        <v>99</v>
      </c>
      <c r="B1515" s="12" t="s">
        <v>55</v>
      </c>
      <c r="C1515" s="12" t="s">
        <v>296</v>
      </c>
      <c r="D1515" s="12" t="str">
        <f aca="false">INDEX('Country Tiers'!$C$2:$C$37,MATCH(C1515,'Country Tiers'!$A$2:$A$37,0))</f>
        <v>Tier 3</v>
      </c>
      <c r="E1515" s="12" t="n">
        <f aca="false">INDEX('Country Tiers'!$D$2:$D$37,MATCH(C1515,'Country Tiers'!$A$2:$A$37,0))</f>
        <v>1</v>
      </c>
    </row>
    <row r="1516" customFormat="false" ht="15" hidden="false" customHeight="false" outlineLevel="0" collapsed="false">
      <c r="A1516" s="12" t="s">
        <v>99</v>
      </c>
      <c r="B1516" s="12" t="s">
        <v>55</v>
      </c>
      <c r="C1516" s="12" t="s">
        <v>297</v>
      </c>
      <c r="D1516" s="12" t="str">
        <f aca="false">INDEX('Country Tiers'!$C$2:$C$37,MATCH(C1516,'Country Tiers'!$A$2:$A$37,0))</f>
        <v>Tier 2</v>
      </c>
      <c r="E1516" s="12" t="n">
        <f aca="false">INDEX('Country Tiers'!$D$2:$D$37,MATCH(C1516,'Country Tiers'!$A$2:$A$37,0))</f>
        <v>2</v>
      </c>
    </row>
    <row r="1517" customFormat="false" ht="15" hidden="false" customHeight="false" outlineLevel="0" collapsed="false">
      <c r="A1517" s="12" t="s">
        <v>99</v>
      </c>
      <c r="B1517" s="12" t="s">
        <v>55</v>
      </c>
      <c r="C1517" s="12" t="s">
        <v>298</v>
      </c>
      <c r="D1517" s="12" t="str">
        <f aca="false">INDEX('Country Tiers'!$C$2:$C$37,MATCH(C1517,'Country Tiers'!$A$2:$A$37,0))</f>
        <v>Tier 1</v>
      </c>
      <c r="E1517" s="12" t="n">
        <f aca="false">INDEX('Country Tiers'!$D$2:$D$37,MATCH(C1517,'Country Tiers'!$A$2:$A$37,0))</f>
        <v>3</v>
      </c>
    </row>
    <row r="1518" customFormat="false" ht="15" hidden="false" customHeight="false" outlineLevel="0" collapsed="false">
      <c r="A1518" s="12" t="s">
        <v>99</v>
      </c>
      <c r="B1518" s="12" t="s">
        <v>55</v>
      </c>
      <c r="C1518" s="12" t="s">
        <v>299</v>
      </c>
      <c r="D1518" s="12" t="str">
        <f aca="false">INDEX('Country Tiers'!$C$2:$C$37,MATCH(C1518,'Country Tiers'!$A$2:$A$37,0))</f>
        <v>Tier 3</v>
      </c>
      <c r="E1518" s="12" t="n">
        <f aca="false">INDEX('Country Tiers'!$D$2:$D$37,MATCH(C1518,'Country Tiers'!$A$2:$A$37,0))</f>
        <v>1</v>
      </c>
    </row>
    <row r="1519" customFormat="false" ht="15" hidden="false" customHeight="false" outlineLevel="0" collapsed="false">
      <c r="A1519" s="12" t="s">
        <v>99</v>
      </c>
      <c r="B1519" s="12" t="s">
        <v>55</v>
      </c>
      <c r="C1519" s="12" t="s">
        <v>301</v>
      </c>
      <c r="D1519" s="12" t="str">
        <f aca="false">INDEX('Country Tiers'!$C$2:$C$37,MATCH(C1519,'Country Tiers'!$A$2:$A$37,0))</f>
        <v>Tier 3</v>
      </c>
      <c r="E1519" s="12" t="n">
        <f aca="false">INDEX('Country Tiers'!$D$2:$D$37,MATCH(C1519,'Country Tiers'!$A$2:$A$37,0))</f>
        <v>1</v>
      </c>
    </row>
    <row r="1520" customFormat="false" ht="15" hidden="false" customHeight="false" outlineLevel="0" collapsed="false">
      <c r="A1520" s="12" t="s">
        <v>99</v>
      </c>
      <c r="B1520" s="12" t="s">
        <v>55</v>
      </c>
      <c r="C1520" s="12" t="s">
        <v>302</v>
      </c>
      <c r="D1520" s="12" t="str">
        <f aca="false">INDEX('Country Tiers'!$C$2:$C$37,MATCH(C1520,'Country Tiers'!$A$2:$A$37,0))</f>
        <v>Tier 3</v>
      </c>
      <c r="E1520" s="12" t="n">
        <f aca="false">INDEX('Country Tiers'!$D$2:$D$37,MATCH(C1520,'Country Tiers'!$A$2:$A$37,0))</f>
        <v>1</v>
      </c>
    </row>
    <row r="1521" customFormat="false" ht="15" hidden="false" customHeight="false" outlineLevel="0" collapsed="false">
      <c r="A1521" s="12" t="s">
        <v>99</v>
      </c>
      <c r="B1521" s="12" t="s">
        <v>55</v>
      </c>
      <c r="C1521" s="12" t="s">
        <v>303</v>
      </c>
      <c r="D1521" s="12" t="str">
        <f aca="false">INDEX('Country Tiers'!$C$2:$C$37,MATCH(C1521,'Country Tiers'!$A$2:$A$37,0))</f>
        <v>Tier 2</v>
      </c>
      <c r="E1521" s="12" t="n">
        <f aca="false">INDEX('Country Tiers'!$D$2:$D$37,MATCH(C1521,'Country Tiers'!$A$2:$A$37,0))</f>
        <v>2</v>
      </c>
    </row>
    <row r="1522" customFormat="false" ht="15" hidden="false" customHeight="false" outlineLevel="0" collapsed="false">
      <c r="A1522" s="12" t="s">
        <v>99</v>
      </c>
      <c r="B1522" s="12" t="s">
        <v>55</v>
      </c>
      <c r="C1522" s="12" t="s">
        <v>307</v>
      </c>
      <c r="D1522" s="12" t="str">
        <f aca="false">INDEX('Country Tiers'!$C$2:$C$37,MATCH(C1522,'Country Tiers'!$A$2:$A$37,0))</f>
        <v>Tier 2</v>
      </c>
      <c r="E1522" s="12" t="n">
        <f aca="false">INDEX('Country Tiers'!$D$2:$D$37,MATCH(C1522,'Country Tiers'!$A$2:$A$37,0))</f>
        <v>2</v>
      </c>
    </row>
    <row r="1523" customFormat="false" ht="15" hidden="false" customHeight="false" outlineLevel="0" collapsed="false">
      <c r="A1523" s="12" t="s">
        <v>99</v>
      </c>
      <c r="B1523" s="12" t="s">
        <v>55</v>
      </c>
      <c r="C1523" s="12" t="s">
        <v>308</v>
      </c>
      <c r="D1523" s="12" t="str">
        <f aca="false">INDEX('Country Tiers'!$C$2:$C$37,MATCH(C1523,'Country Tiers'!$A$2:$A$37,0))</f>
        <v>Tier 3</v>
      </c>
      <c r="E1523" s="12" t="n">
        <f aca="false">INDEX('Country Tiers'!$D$2:$D$37,MATCH(C1523,'Country Tiers'!$A$2:$A$37,0))</f>
        <v>1</v>
      </c>
    </row>
    <row r="1524" customFormat="false" ht="15" hidden="false" customHeight="false" outlineLevel="0" collapsed="false">
      <c r="A1524" s="12" t="s">
        <v>99</v>
      </c>
      <c r="B1524" s="12" t="s">
        <v>55</v>
      </c>
      <c r="C1524" s="12" t="s">
        <v>309</v>
      </c>
      <c r="D1524" s="12" t="str">
        <f aca="false">INDEX('Country Tiers'!$C$2:$C$37,MATCH(C1524,'Country Tiers'!$A$2:$A$37,0))</f>
        <v>Tier 1</v>
      </c>
      <c r="E1524" s="12" t="n">
        <f aca="false">INDEX('Country Tiers'!$D$2:$D$37,MATCH(C1524,'Country Tiers'!$A$2:$A$37,0))</f>
        <v>3</v>
      </c>
    </row>
    <row r="1525" customFormat="false" ht="15" hidden="false" customHeight="false" outlineLevel="0" collapsed="false">
      <c r="A1525" s="12" t="s">
        <v>99</v>
      </c>
      <c r="B1525" s="12" t="s">
        <v>55</v>
      </c>
      <c r="C1525" s="12" t="s">
        <v>311</v>
      </c>
      <c r="D1525" s="12" t="str">
        <f aca="false">INDEX('Country Tiers'!$C$2:$C$37,MATCH(C1525,'Country Tiers'!$A$2:$A$37,0))</f>
        <v>Tier 1</v>
      </c>
      <c r="E1525" s="12" t="n">
        <f aca="false">INDEX('Country Tiers'!$D$2:$D$37,MATCH(C1525,'Country Tiers'!$A$2:$A$37,0))</f>
        <v>3</v>
      </c>
    </row>
    <row r="1526" customFormat="false" ht="15" hidden="false" customHeight="false" outlineLevel="0" collapsed="false">
      <c r="A1526" s="12" t="s">
        <v>99</v>
      </c>
      <c r="B1526" s="12" t="s">
        <v>55</v>
      </c>
      <c r="C1526" s="12" t="s">
        <v>313</v>
      </c>
      <c r="D1526" s="12" t="str">
        <f aca="false">INDEX('Country Tiers'!$C$2:$C$37,MATCH(C1526,'Country Tiers'!$A$2:$A$37,0))</f>
        <v>Tier 1</v>
      </c>
      <c r="E1526" s="12" t="n">
        <f aca="false">INDEX('Country Tiers'!$D$2:$D$37,MATCH(C1526,'Country Tiers'!$A$2:$A$37,0))</f>
        <v>3</v>
      </c>
    </row>
    <row r="1527" customFormat="false" ht="15" hidden="false" customHeight="false" outlineLevel="0" collapsed="false">
      <c r="A1527" s="12" t="s">
        <v>99</v>
      </c>
      <c r="B1527" s="12" t="s">
        <v>35</v>
      </c>
      <c r="C1527" s="12" t="s">
        <v>274</v>
      </c>
      <c r="D1527" s="12" t="str">
        <f aca="false">INDEX('Country Tiers'!$C$2:$C$37,MATCH(C1527,'Country Tiers'!$A$2:$A$37,0))</f>
        <v>Tier 3</v>
      </c>
      <c r="E1527" s="12" t="n">
        <f aca="false">INDEX('Country Tiers'!$D$2:$D$37,MATCH(C1527,'Country Tiers'!$A$2:$A$37,0))</f>
        <v>1</v>
      </c>
    </row>
    <row r="1528" customFormat="false" ht="15" hidden="false" customHeight="false" outlineLevel="0" collapsed="false">
      <c r="A1528" s="12" t="s">
        <v>99</v>
      </c>
      <c r="B1528" s="12" t="s">
        <v>35</v>
      </c>
      <c r="C1528" s="12" t="s">
        <v>277</v>
      </c>
      <c r="D1528" s="12" t="str">
        <f aca="false">INDEX('Country Tiers'!$C$2:$C$37,MATCH(C1528,'Country Tiers'!$A$2:$A$37,0))</f>
        <v>Tier 1</v>
      </c>
      <c r="E1528" s="12" t="n">
        <f aca="false">INDEX('Country Tiers'!$D$2:$D$37,MATCH(C1528,'Country Tiers'!$A$2:$A$37,0))</f>
        <v>3</v>
      </c>
    </row>
    <row r="1529" customFormat="false" ht="15" hidden="false" customHeight="false" outlineLevel="0" collapsed="false">
      <c r="A1529" s="12" t="s">
        <v>99</v>
      </c>
      <c r="B1529" s="12" t="s">
        <v>35</v>
      </c>
      <c r="C1529" s="12" t="s">
        <v>278</v>
      </c>
      <c r="D1529" s="12" t="str">
        <f aca="false">INDEX('Country Tiers'!$C$2:$C$37,MATCH(C1529,'Country Tiers'!$A$2:$A$37,0))</f>
        <v>Tier 3</v>
      </c>
      <c r="E1529" s="12" t="n">
        <f aca="false">INDEX('Country Tiers'!$D$2:$D$37,MATCH(C1529,'Country Tiers'!$A$2:$A$37,0))</f>
        <v>1</v>
      </c>
    </row>
    <row r="1530" customFormat="false" ht="15" hidden="false" customHeight="false" outlineLevel="0" collapsed="false">
      <c r="A1530" s="12" t="s">
        <v>99</v>
      </c>
      <c r="B1530" s="12" t="s">
        <v>35</v>
      </c>
      <c r="C1530" s="12" t="s">
        <v>280</v>
      </c>
      <c r="D1530" s="12" t="str">
        <f aca="false">INDEX('Country Tiers'!$C$2:$C$37,MATCH(C1530,'Country Tiers'!$A$2:$A$37,0))</f>
        <v>Tier 3</v>
      </c>
      <c r="E1530" s="12" t="n">
        <f aca="false">INDEX('Country Tiers'!$D$2:$D$37,MATCH(C1530,'Country Tiers'!$A$2:$A$37,0))</f>
        <v>1</v>
      </c>
    </row>
    <row r="1531" customFormat="false" ht="15" hidden="false" customHeight="false" outlineLevel="0" collapsed="false">
      <c r="A1531" s="12" t="s">
        <v>99</v>
      </c>
      <c r="B1531" s="12" t="s">
        <v>35</v>
      </c>
      <c r="C1531" s="12" t="s">
        <v>282</v>
      </c>
      <c r="D1531" s="12" t="str">
        <f aca="false">INDEX('Country Tiers'!$C$2:$C$37,MATCH(C1531,'Country Tiers'!$A$2:$A$37,0))</f>
        <v>Tier 3</v>
      </c>
      <c r="E1531" s="12" t="n">
        <f aca="false">INDEX('Country Tiers'!$D$2:$D$37,MATCH(C1531,'Country Tiers'!$A$2:$A$37,0))</f>
        <v>1</v>
      </c>
    </row>
    <row r="1532" customFormat="false" ht="15" hidden="false" customHeight="false" outlineLevel="0" collapsed="false">
      <c r="A1532" s="12" t="s">
        <v>99</v>
      </c>
      <c r="B1532" s="12" t="s">
        <v>35</v>
      </c>
      <c r="C1532" s="12" t="s">
        <v>283</v>
      </c>
      <c r="D1532" s="12" t="str">
        <f aca="false">INDEX('Country Tiers'!$C$2:$C$37,MATCH(C1532,'Country Tiers'!$A$2:$A$37,0))</f>
        <v>Tier 3</v>
      </c>
      <c r="E1532" s="12" t="n">
        <f aca="false">INDEX('Country Tiers'!$D$2:$D$37,MATCH(C1532,'Country Tiers'!$A$2:$A$37,0))</f>
        <v>1</v>
      </c>
    </row>
    <row r="1533" customFormat="false" ht="15" hidden="false" customHeight="false" outlineLevel="0" collapsed="false">
      <c r="A1533" s="12" t="s">
        <v>99</v>
      </c>
      <c r="B1533" s="12" t="s">
        <v>35</v>
      </c>
      <c r="C1533" s="12" t="s">
        <v>284</v>
      </c>
      <c r="D1533" s="12" t="str">
        <f aca="false">INDEX('Country Tiers'!$C$2:$C$37,MATCH(C1533,'Country Tiers'!$A$2:$A$37,0))</f>
        <v>Tier 3</v>
      </c>
      <c r="E1533" s="12" t="n">
        <f aca="false">INDEX('Country Tiers'!$D$2:$D$37,MATCH(C1533,'Country Tiers'!$A$2:$A$37,0))</f>
        <v>1</v>
      </c>
    </row>
    <row r="1534" customFormat="false" ht="15" hidden="false" customHeight="false" outlineLevel="0" collapsed="false">
      <c r="A1534" s="12" t="s">
        <v>99</v>
      </c>
      <c r="B1534" s="12" t="s">
        <v>35</v>
      </c>
      <c r="C1534" s="12" t="s">
        <v>285</v>
      </c>
      <c r="D1534" s="12" t="str">
        <f aca="false">INDEX('Country Tiers'!$C$2:$C$37,MATCH(C1534,'Country Tiers'!$A$2:$A$37,0))</f>
        <v>Tier 3</v>
      </c>
      <c r="E1534" s="12" t="n">
        <f aca="false">INDEX('Country Tiers'!$D$2:$D$37,MATCH(C1534,'Country Tiers'!$A$2:$A$37,0))</f>
        <v>1</v>
      </c>
    </row>
    <row r="1535" customFormat="false" ht="15" hidden="false" customHeight="false" outlineLevel="0" collapsed="false">
      <c r="A1535" s="12" t="s">
        <v>99</v>
      </c>
      <c r="B1535" s="12" t="s">
        <v>35</v>
      </c>
      <c r="C1535" s="12" t="s">
        <v>286</v>
      </c>
      <c r="D1535" s="12" t="str">
        <f aca="false">INDEX('Country Tiers'!$C$2:$C$37,MATCH(C1535,'Country Tiers'!$A$2:$A$37,0))</f>
        <v>Tier 1</v>
      </c>
      <c r="E1535" s="12" t="n">
        <f aca="false">INDEX('Country Tiers'!$D$2:$D$37,MATCH(C1535,'Country Tiers'!$A$2:$A$37,0))</f>
        <v>3</v>
      </c>
    </row>
    <row r="1536" customFormat="false" ht="15" hidden="false" customHeight="false" outlineLevel="0" collapsed="false">
      <c r="A1536" s="12" t="s">
        <v>99</v>
      </c>
      <c r="B1536" s="12" t="s">
        <v>35</v>
      </c>
      <c r="C1536" s="12" t="s">
        <v>287</v>
      </c>
      <c r="D1536" s="12" t="str">
        <f aca="false">INDEX('Country Tiers'!$C$2:$C$37,MATCH(C1536,'Country Tiers'!$A$2:$A$37,0))</f>
        <v>Tier 1</v>
      </c>
      <c r="E1536" s="12" t="n">
        <f aca="false">INDEX('Country Tiers'!$D$2:$D$37,MATCH(C1536,'Country Tiers'!$A$2:$A$37,0))</f>
        <v>3</v>
      </c>
    </row>
    <row r="1537" customFormat="false" ht="15" hidden="false" customHeight="false" outlineLevel="0" collapsed="false">
      <c r="A1537" s="12" t="s">
        <v>99</v>
      </c>
      <c r="B1537" s="12" t="s">
        <v>35</v>
      </c>
      <c r="C1537" s="12" t="s">
        <v>289</v>
      </c>
      <c r="D1537" s="12" t="str">
        <f aca="false">INDEX('Country Tiers'!$C$2:$C$37,MATCH(C1537,'Country Tiers'!$A$2:$A$37,0))</f>
        <v>Tier 3</v>
      </c>
      <c r="E1537" s="12" t="n">
        <f aca="false">INDEX('Country Tiers'!$D$2:$D$37,MATCH(C1537,'Country Tiers'!$A$2:$A$37,0))</f>
        <v>1</v>
      </c>
    </row>
    <row r="1538" customFormat="false" ht="15" hidden="false" customHeight="false" outlineLevel="0" collapsed="false">
      <c r="A1538" s="12" t="s">
        <v>99</v>
      </c>
      <c r="B1538" s="12" t="s">
        <v>35</v>
      </c>
      <c r="C1538" s="12" t="s">
        <v>290</v>
      </c>
      <c r="D1538" s="12" t="str">
        <f aca="false">INDEX('Country Tiers'!$C$2:$C$37,MATCH(C1538,'Country Tiers'!$A$2:$A$37,0))</f>
        <v>Tier 3</v>
      </c>
      <c r="E1538" s="12" t="n">
        <f aca="false">INDEX('Country Tiers'!$D$2:$D$37,MATCH(C1538,'Country Tiers'!$A$2:$A$37,0))</f>
        <v>1</v>
      </c>
    </row>
    <row r="1539" customFormat="false" ht="15" hidden="false" customHeight="false" outlineLevel="0" collapsed="false">
      <c r="A1539" s="12" t="s">
        <v>99</v>
      </c>
      <c r="B1539" s="12" t="s">
        <v>35</v>
      </c>
      <c r="C1539" s="12" t="s">
        <v>292</v>
      </c>
      <c r="D1539" s="12" t="str">
        <f aca="false">INDEX('Country Tiers'!$C$2:$C$37,MATCH(C1539,'Country Tiers'!$A$2:$A$37,0))</f>
        <v>Tier 2</v>
      </c>
      <c r="E1539" s="12" t="n">
        <f aca="false">INDEX('Country Tiers'!$D$2:$D$37,MATCH(C1539,'Country Tiers'!$A$2:$A$37,0))</f>
        <v>2</v>
      </c>
    </row>
    <row r="1540" customFormat="false" ht="15" hidden="false" customHeight="false" outlineLevel="0" collapsed="false">
      <c r="A1540" s="12" t="s">
        <v>99</v>
      </c>
      <c r="B1540" s="12" t="s">
        <v>35</v>
      </c>
      <c r="C1540" s="12" t="s">
        <v>293</v>
      </c>
      <c r="D1540" s="12" t="str">
        <f aca="false">INDEX('Country Tiers'!$C$2:$C$37,MATCH(C1540,'Country Tiers'!$A$2:$A$37,0))</f>
        <v>Tier 3</v>
      </c>
      <c r="E1540" s="12" t="n">
        <f aca="false">INDEX('Country Tiers'!$D$2:$D$37,MATCH(C1540,'Country Tiers'!$A$2:$A$37,0))</f>
        <v>1</v>
      </c>
    </row>
    <row r="1541" customFormat="false" ht="15" hidden="false" customHeight="false" outlineLevel="0" collapsed="false">
      <c r="A1541" s="12" t="s">
        <v>99</v>
      </c>
      <c r="B1541" s="12" t="s">
        <v>35</v>
      </c>
      <c r="C1541" s="12" t="s">
        <v>294</v>
      </c>
      <c r="D1541" s="12" t="str">
        <f aca="false">INDEX('Country Tiers'!$C$2:$C$37,MATCH(C1541,'Country Tiers'!$A$2:$A$37,0))</f>
        <v>Tier 3</v>
      </c>
      <c r="E1541" s="12" t="n">
        <f aca="false">INDEX('Country Tiers'!$D$2:$D$37,MATCH(C1541,'Country Tiers'!$A$2:$A$37,0))</f>
        <v>1</v>
      </c>
    </row>
    <row r="1542" customFormat="false" ht="15" hidden="false" customHeight="false" outlineLevel="0" collapsed="false">
      <c r="A1542" s="12" t="s">
        <v>99</v>
      </c>
      <c r="B1542" s="12" t="s">
        <v>35</v>
      </c>
      <c r="C1542" s="12" t="s">
        <v>295</v>
      </c>
      <c r="D1542" s="12" t="str">
        <f aca="false">INDEX('Country Tiers'!$C$2:$C$37,MATCH(C1542,'Country Tiers'!$A$2:$A$37,0))</f>
        <v>Tier 3</v>
      </c>
      <c r="E1542" s="12" t="n">
        <f aca="false">INDEX('Country Tiers'!$D$2:$D$37,MATCH(C1542,'Country Tiers'!$A$2:$A$37,0))</f>
        <v>1</v>
      </c>
    </row>
    <row r="1543" customFormat="false" ht="15" hidden="false" customHeight="false" outlineLevel="0" collapsed="false">
      <c r="A1543" s="12" t="s">
        <v>99</v>
      </c>
      <c r="B1543" s="12" t="s">
        <v>35</v>
      </c>
      <c r="C1543" s="12" t="s">
        <v>296</v>
      </c>
      <c r="D1543" s="12" t="str">
        <f aca="false">INDEX('Country Tiers'!$C$2:$C$37,MATCH(C1543,'Country Tiers'!$A$2:$A$37,0))</f>
        <v>Tier 3</v>
      </c>
      <c r="E1543" s="12" t="n">
        <f aca="false">INDEX('Country Tiers'!$D$2:$D$37,MATCH(C1543,'Country Tiers'!$A$2:$A$37,0))</f>
        <v>1</v>
      </c>
    </row>
    <row r="1544" customFormat="false" ht="15" hidden="false" customHeight="false" outlineLevel="0" collapsed="false">
      <c r="A1544" s="12" t="s">
        <v>99</v>
      </c>
      <c r="B1544" s="12" t="s">
        <v>35</v>
      </c>
      <c r="C1544" s="12" t="s">
        <v>297</v>
      </c>
      <c r="D1544" s="12" t="str">
        <f aca="false">INDEX('Country Tiers'!$C$2:$C$37,MATCH(C1544,'Country Tiers'!$A$2:$A$37,0))</f>
        <v>Tier 2</v>
      </c>
      <c r="E1544" s="12" t="n">
        <f aca="false">INDEX('Country Tiers'!$D$2:$D$37,MATCH(C1544,'Country Tiers'!$A$2:$A$37,0))</f>
        <v>2</v>
      </c>
    </row>
    <row r="1545" customFormat="false" ht="15" hidden="false" customHeight="false" outlineLevel="0" collapsed="false">
      <c r="A1545" s="12" t="s">
        <v>99</v>
      </c>
      <c r="B1545" s="12" t="s">
        <v>35</v>
      </c>
      <c r="C1545" s="12" t="s">
        <v>298</v>
      </c>
      <c r="D1545" s="12" t="str">
        <f aca="false">INDEX('Country Tiers'!$C$2:$C$37,MATCH(C1545,'Country Tiers'!$A$2:$A$37,0))</f>
        <v>Tier 1</v>
      </c>
      <c r="E1545" s="12" t="n">
        <f aca="false">INDEX('Country Tiers'!$D$2:$D$37,MATCH(C1545,'Country Tiers'!$A$2:$A$37,0))</f>
        <v>3</v>
      </c>
    </row>
    <row r="1546" customFormat="false" ht="15" hidden="false" customHeight="false" outlineLevel="0" collapsed="false">
      <c r="A1546" s="12" t="s">
        <v>99</v>
      </c>
      <c r="B1546" s="12" t="s">
        <v>35</v>
      </c>
      <c r="C1546" s="12" t="s">
        <v>299</v>
      </c>
      <c r="D1546" s="12" t="str">
        <f aca="false">INDEX('Country Tiers'!$C$2:$C$37,MATCH(C1546,'Country Tiers'!$A$2:$A$37,0))</f>
        <v>Tier 3</v>
      </c>
      <c r="E1546" s="12" t="n">
        <f aca="false">INDEX('Country Tiers'!$D$2:$D$37,MATCH(C1546,'Country Tiers'!$A$2:$A$37,0))</f>
        <v>1</v>
      </c>
    </row>
    <row r="1547" customFormat="false" ht="15" hidden="false" customHeight="false" outlineLevel="0" collapsed="false">
      <c r="A1547" s="12" t="s">
        <v>99</v>
      </c>
      <c r="B1547" s="12" t="s">
        <v>35</v>
      </c>
      <c r="C1547" s="12" t="s">
        <v>301</v>
      </c>
      <c r="D1547" s="12" t="str">
        <f aca="false">INDEX('Country Tiers'!$C$2:$C$37,MATCH(C1547,'Country Tiers'!$A$2:$A$37,0))</f>
        <v>Tier 3</v>
      </c>
      <c r="E1547" s="12" t="n">
        <f aca="false">INDEX('Country Tiers'!$D$2:$D$37,MATCH(C1547,'Country Tiers'!$A$2:$A$37,0))</f>
        <v>1</v>
      </c>
    </row>
    <row r="1548" customFormat="false" ht="15" hidden="false" customHeight="false" outlineLevel="0" collapsed="false">
      <c r="A1548" s="12" t="s">
        <v>99</v>
      </c>
      <c r="B1548" s="12" t="s">
        <v>35</v>
      </c>
      <c r="C1548" s="12" t="s">
        <v>302</v>
      </c>
      <c r="D1548" s="12" t="str">
        <f aca="false">INDEX('Country Tiers'!$C$2:$C$37,MATCH(C1548,'Country Tiers'!$A$2:$A$37,0))</f>
        <v>Tier 3</v>
      </c>
      <c r="E1548" s="12" t="n">
        <f aca="false">INDEX('Country Tiers'!$D$2:$D$37,MATCH(C1548,'Country Tiers'!$A$2:$A$37,0))</f>
        <v>1</v>
      </c>
    </row>
    <row r="1549" customFormat="false" ht="15" hidden="false" customHeight="false" outlineLevel="0" collapsed="false">
      <c r="A1549" s="12" t="s">
        <v>99</v>
      </c>
      <c r="B1549" s="12" t="s">
        <v>35</v>
      </c>
      <c r="C1549" s="12" t="s">
        <v>307</v>
      </c>
      <c r="D1549" s="12" t="str">
        <f aca="false">INDEX('Country Tiers'!$C$2:$C$37,MATCH(C1549,'Country Tiers'!$A$2:$A$37,0))</f>
        <v>Tier 2</v>
      </c>
      <c r="E1549" s="12" t="n">
        <f aca="false">INDEX('Country Tiers'!$D$2:$D$37,MATCH(C1549,'Country Tiers'!$A$2:$A$37,0))</f>
        <v>2</v>
      </c>
    </row>
    <row r="1550" customFormat="false" ht="15" hidden="false" customHeight="false" outlineLevel="0" collapsed="false">
      <c r="A1550" s="12" t="s">
        <v>99</v>
      </c>
      <c r="B1550" s="12" t="s">
        <v>35</v>
      </c>
      <c r="C1550" s="12" t="s">
        <v>308</v>
      </c>
      <c r="D1550" s="12" t="str">
        <f aca="false">INDEX('Country Tiers'!$C$2:$C$37,MATCH(C1550,'Country Tiers'!$A$2:$A$37,0))</f>
        <v>Tier 3</v>
      </c>
      <c r="E1550" s="12" t="n">
        <f aca="false">INDEX('Country Tiers'!$D$2:$D$37,MATCH(C1550,'Country Tiers'!$A$2:$A$37,0))</f>
        <v>1</v>
      </c>
    </row>
    <row r="1551" customFormat="false" ht="15" hidden="false" customHeight="false" outlineLevel="0" collapsed="false">
      <c r="A1551" s="12" t="s">
        <v>99</v>
      </c>
      <c r="B1551" s="12" t="s">
        <v>35</v>
      </c>
      <c r="C1551" s="12" t="s">
        <v>313</v>
      </c>
      <c r="D1551" s="12" t="str">
        <f aca="false">INDEX('Country Tiers'!$C$2:$C$37,MATCH(C1551,'Country Tiers'!$A$2:$A$37,0))</f>
        <v>Tier 1</v>
      </c>
      <c r="E1551" s="12" t="n">
        <f aca="false">INDEX('Country Tiers'!$D$2:$D$37,MATCH(C1551,'Country Tiers'!$A$2:$A$37,0))</f>
        <v>3</v>
      </c>
    </row>
    <row r="1552" customFormat="false" ht="15" hidden="false" customHeight="false" outlineLevel="0" collapsed="false">
      <c r="A1552" s="12" t="s">
        <v>99</v>
      </c>
      <c r="B1552" s="12" t="s">
        <v>56</v>
      </c>
      <c r="C1552" s="12" t="s">
        <v>274</v>
      </c>
      <c r="D1552" s="12" t="str">
        <f aca="false">INDEX('Country Tiers'!$C$2:$C$37,MATCH(C1552,'Country Tiers'!$A$2:$A$37,0))</f>
        <v>Tier 3</v>
      </c>
      <c r="E1552" s="12" t="n">
        <f aca="false">INDEX('Country Tiers'!$D$2:$D$37,MATCH(C1552,'Country Tiers'!$A$2:$A$37,0))</f>
        <v>1</v>
      </c>
    </row>
    <row r="1553" customFormat="false" ht="15" hidden="false" customHeight="false" outlineLevel="0" collapsed="false">
      <c r="A1553" s="12" t="s">
        <v>99</v>
      </c>
      <c r="B1553" s="12" t="s">
        <v>56</v>
      </c>
      <c r="C1553" s="12" t="s">
        <v>277</v>
      </c>
      <c r="D1553" s="12" t="str">
        <f aca="false">INDEX('Country Tiers'!$C$2:$C$37,MATCH(C1553,'Country Tiers'!$A$2:$A$37,0))</f>
        <v>Tier 1</v>
      </c>
      <c r="E1553" s="12" t="n">
        <f aca="false">INDEX('Country Tiers'!$D$2:$D$37,MATCH(C1553,'Country Tiers'!$A$2:$A$37,0))</f>
        <v>3</v>
      </c>
    </row>
    <row r="1554" customFormat="false" ht="15" hidden="false" customHeight="false" outlineLevel="0" collapsed="false">
      <c r="A1554" s="12" t="s">
        <v>99</v>
      </c>
      <c r="B1554" s="12" t="s">
        <v>56</v>
      </c>
      <c r="C1554" s="12" t="s">
        <v>278</v>
      </c>
      <c r="D1554" s="12" t="str">
        <f aca="false">INDEX('Country Tiers'!$C$2:$C$37,MATCH(C1554,'Country Tiers'!$A$2:$A$37,0))</f>
        <v>Tier 3</v>
      </c>
      <c r="E1554" s="12" t="n">
        <f aca="false">INDEX('Country Tiers'!$D$2:$D$37,MATCH(C1554,'Country Tiers'!$A$2:$A$37,0))</f>
        <v>1</v>
      </c>
    </row>
    <row r="1555" customFormat="false" ht="15" hidden="false" customHeight="false" outlineLevel="0" collapsed="false">
      <c r="A1555" s="12" t="s">
        <v>99</v>
      </c>
      <c r="B1555" s="12" t="s">
        <v>56</v>
      </c>
      <c r="C1555" s="12" t="s">
        <v>280</v>
      </c>
      <c r="D1555" s="12" t="str">
        <f aca="false">INDEX('Country Tiers'!$C$2:$C$37,MATCH(C1555,'Country Tiers'!$A$2:$A$37,0))</f>
        <v>Tier 3</v>
      </c>
      <c r="E1555" s="12" t="n">
        <f aca="false">INDEX('Country Tiers'!$D$2:$D$37,MATCH(C1555,'Country Tiers'!$A$2:$A$37,0))</f>
        <v>1</v>
      </c>
    </row>
    <row r="1556" customFormat="false" ht="15" hidden="false" customHeight="false" outlineLevel="0" collapsed="false">
      <c r="A1556" s="12" t="s">
        <v>99</v>
      </c>
      <c r="B1556" s="12" t="s">
        <v>56</v>
      </c>
      <c r="C1556" s="12" t="s">
        <v>282</v>
      </c>
      <c r="D1556" s="12" t="str">
        <f aca="false">INDEX('Country Tiers'!$C$2:$C$37,MATCH(C1556,'Country Tiers'!$A$2:$A$37,0))</f>
        <v>Tier 3</v>
      </c>
      <c r="E1556" s="12" t="n">
        <f aca="false">INDEX('Country Tiers'!$D$2:$D$37,MATCH(C1556,'Country Tiers'!$A$2:$A$37,0))</f>
        <v>1</v>
      </c>
    </row>
    <row r="1557" customFormat="false" ht="15" hidden="false" customHeight="false" outlineLevel="0" collapsed="false">
      <c r="A1557" s="12" t="s">
        <v>99</v>
      </c>
      <c r="B1557" s="12" t="s">
        <v>56</v>
      </c>
      <c r="C1557" s="12" t="s">
        <v>283</v>
      </c>
      <c r="D1557" s="12" t="str">
        <f aca="false">INDEX('Country Tiers'!$C$2:$C$37,MATCH(C1557,'Country Tiers'!$A$2:$A$37,0))</f>
        <v>Tier 3</v>
      </c>
      <c r="E1557" s="12" t="n">
        <f aca="false">INDEX('Country Tiers'!$D$2:$D$37,MATCH(C1557,'Country Tiers'!$A$2:$A$37,0))</f>
        <v>1</v>
      </c>
    </row>
    <row r="1558" customFormat="false" ht="15" hidden="false" customHeight="false" outlineLevel="0" collapsed="false">
      <c r="A1558" s="12" t="s">
        <v>99</v>
      </c>
      <c r="B1558" s="12" t="s">
        <v>56</v>
      </c>
      <c r="C1558" s="12" t="s">
        <v>284</v>
      </c>
      <c r="D1558" s="12" t="str">
        <f aca="false">INDEX('Country Tiers'!$C$2:$C$37,MATCH(C1558,'Country Tiers'!$A$2:$A$37,0))</f>
        <v>Tier 3</v>
      </c>
      <c r="E1558" s="12" t="n">
        <f aca="false">INDEX('Country Tiers'!$D$2:$D$37,MATCH(C1558,'Country Tiers'!$A$2:$A$37,0))</f>
        <v>1</v>
      </c>
    </row>
    <row r="1559" customFormat="false" ht="15" hidden="false" customHeight="false" outlineLevel="0" collapsed="false">
      <c r="A1559" s="12" t="s">
        <v>99</v>
      </c>
      <c r="B1559" s="12" t="s">
        <v>56</v>
      </c>
      <c r="C1559" s="12" t="s">
        <v>285</v>
      </c>
      <c r="D1559" s="12" t="str">
        <f aca="false">INDEX('Country Tiers'!$C$2:$C$37,MATCH(C1559,'Country Tiers'!$A$2:$A$37,0))</f>
        <v>Tier 3</v>
      </c>
      <c r="E1559" s="12" t="n">
        <f aca="false">INDEX('Country Tiers'!$D$2:$D$37,MATCH(C1559,'Country Tiers'!$A$2:$A$37,0))</f>
        <v>1</v>
      </c>
    </row>
    <row r="1560" customFormat="false" ht="15" hidden="false" customHeight="false" outlineLevel="0" collapsed="false">
      <c r="A1560" s="12" t="s">
        <v>99</v>
      </c>
      <c r="B1560" s="12" t="s">
        <v>56</v>
      </c>
      <c r="C1560" s="12" t="s">
        <v>286</v>
      </c>
      <c r="D1560" s="12" t="str">
        <f aca="false">INDEX('Country Tiers'!$C$2:$C$37,MATCH(C1560,'Country Tiers'!$A$2:$A$37,0))</f>
        <v>Tier 1</v>
      </c>
      <c r="E1560" s="12" t="n">
        <f aca="false">INDEX('Country Tiers'!$D$2:$D$37,MATCH(C1560,'Country Tiers'!$A$2:$A$37,0))</f>
        <v>3</v>
      </c>
    </row>
    <row r="1561" customFormat="false" ht="15" hidden="false" customHeight="false" outlineLevel="0" collapsed="false">
      <c r="A1561" s="12" t="s">
        <v>99</v>
      </c>
      <c r="B1561" s="12" t="s">
        <v>56</v>
      </c>
      <c r="C1561" s="12" t="s">
        <v>287</v>
      </c>
      <c r="D1561" s="12" t="str">
        <f aca="false">INDEX('Country Tiers'!$C$2:$C$37,MATCH(C1561,'Country Tiers'!$A$2:$A$37,0))</f>
        <v>Tier 1</v>
      </c>
      <c r="E1561" s="12" t="n">
        <f aca="false">INDEX('Country Tiers'!$D$2:$D$37,MATCH(C1561,'Country Tiers'!$A$2:$A$37,0))</f>
        <v>3</v>
      </c>
    </row>
    <row r="1562" customFormat="false" ht="15" hidden="false" customHeight="false" outlineLevel="0" collapsed="false">
      <c r="A1562" s="12" t="s">
        <v>99</v>
      </c>
      <c r="B1562" s="12" t="s">
        <v>56</v>
      </c>
      <c r="C1562" s="12" t="s">
        <v>289</v>
      </c>
      <c r="D1562" s="12" t="str">
        <f aca="false">INDEX('Country Tiers'!$C$2:$C$37,MATCH(C1562,'Country Tiers'!$A$2:$A$37,0))</f>
        <v>Tier 3</v>
      </c>
      <c r="E1562" s="12" t="n">
        <f aca="false">INDEX('Country Tiers'!$D$2:$D$37,MATCH(C1562,'Country Tiers'!$A$2:$A$37,0))</f>
        <v>1</v>
      </c>
    </row>
    <row r="1563" customFormat="false" ht="15" hidden="false" customHeight="false" outlineLevel="0" collapsed="false">
      <c r="A1563" s="12" t="s">
        <v>99</v>
      </c>
      <c r="B1563" s="12" t="s">
        <v>56</v>
      </c>
      <c r="C1563" s="12" t="s">
        <v>290</v>
      </c>
      <c r="D1563" s="12" t="str">
        <f aca="false">INDEX('Country Tiers'!$C$2:$C$37,MATCH(C1563,'Country Tiers'!$A$2:$A$37,0))</f>
        <v>Tier 3</v>
      </c>
      <c r="E1563" s="12" t="n">
        <f aca="false">INDEX('Country Tiers'!$D$2:$D$37,MATCH(C1563,'Country Tiers'!$A$2:$A$37,0))</f>
        <v>1</v>
      </c>
    </row>
    <row r="1564" customFormat="false" ht="15" hidden="false" customHeight="false" outlineLevel="0" collapsed="false">
      <c r="A1564" s="12" t="s">
        <v>99</v>
      </c>
      <c r="B1564" s="12" t="s">
        <v>56</v>
      </c>
      <c r="C1564" s="12" t="s">
        <v>292</v>
      </c>
      <c r="D1564" s="12" t="str">
        <f aca="false">INDEX('Country Tiers'!$C$2:$C$37,MATCH(C1564,'Country Tiers'!$A$2:$A$37,0))</f>
        <v>Tier 2</v>
      </c>
      <c r="E1564" s="12" t="n">
        <f aca="false">INDEX('Country Tiers'!$D$2:$D$37,MATCH(C1564,'Country Tiers'!$A$2:$A$37,0))</f>
        <v>2</v>
      </c>
    </row>
    <row r="1565" customFormat="false" ht="15" hidden="false" customHeight="false" outlineLevel="0" collapsed="false">
      <c r="A1565" s="12" t="s">
        <v>99</v>
      </c>
      <c r="B1565" s="12" t="s">
        <v>56</v>
      </c>
      <c r="C1565" s="12" t="s">
        <v>293</v>
      </c>
      <c r="D1565" s="12" t="str">
        <f aca="false">INDEX('Country Tiers'!$C$2:$C$37,MATCH(C1565,'Country Tiers'!$A$2:$A$37,0))</f>
        <v>Tier 3</v>
      </c>
      <c r="E1565" s="12" t="n">
        <f aca="false">INDEX('Country Tiers'!$D$2:$D$37,MATCH(C1565,'Country Tiers'!$A$2:$A$37,0))</f>
        <v>1</v>
      </c>
    </row>
    <row r="1566" customFormat="false" ht="15" hidden="false" customHeight="false" outlineLevel="0" collapsed="false">
      <c r="A1566" s="12" t="s">
        <v>99</v>
      </c>
      <c r="B1566" s="12" t="s">
        <v>56</v>
      </c>
      <c r="C1566" s="12" t="s">
        <v>294</v>
      </c>
      <c r="D1566" s="12" t="str">
        <f aca="false">INDEX('Country Tiers'!$C$2:$C$37,MATCH(C1566,'Country Tiers'!$A$2:$A$37,0))</f>
        <v>Tier 3</v>
      </c>
      <c r="E1566" s="12" t="n">
        <f aca="false">INDEX('Country Tiers'!$D$2:$D$37,MATCH(C1566,'Country Tiers'!$A$2:$A$37,0))</f>
        <v>1</v>
      </c>
    </row>
    <row r="1567" customFormat="false" ht="15" hidden="false" customHeight="false" outlineLevel="0" collapsed="false">
      <c r="A1567" s="12" t="s">
        <v>99</v>
      </c>
      <c r="B1567" s="12" t="s">
        <v>56</v>
      </c>
      <c r="C1567" s="12" t="s">
        <v>295</v>
      </c>
      <c r="D1567" s="12" t="str">
        <f aca="false">INDEX('Country Tiers'!$C$2:$C$37,MATCH(C1567,'Country Tiers'!$A$2:$A$37,0))</f>
        <v>Tier 3</v>
      </c>
      <c r="E1567" s="12" t="n">
        <f aca="false">INDEX('Country Tiers'!$D$2:$D$37,MATCH(C1567,'Country Tiers'!$A$2:$A$37,0))</f>
        <v>1</v>
      </c>
    </row>
    <row r="1568" customFormat="false" ht="15" hidden="false" customHeight="false" outlineLevel="0" collapsed="false">
      <c r="A1568" s="12" t="s">
        <v>99</v>
      </c>
      <c r="B1568" s="12" t="s">
        <v>56</v>
      </c>
      <c r="C1568" s="12" t="s">
        <v>296</v>
      </c>
      <c r="D1568" s="12" t="str">
        <f aca="false">INDEX('Country Tiers'!$C$2:$C$37,MATCH(C1568,'Country Tiers'!$A$2:$A$37,0))</f>
        <v>Tier 3</v>
      </c>
      <c r="E1568" s="12" t="n">
        <f aca="false">INDEX('Country Tiers'!$D$2:$D$37,MATCH(C1568,'Country Tiers'!$A$2:$A$37,0))</f>
        <v>1</v>
      </c>
    </row>
    <row r="1569" customFormat="false" ht="15" hidden="false" customHeight="false" outlineLevel="0" collapsed="false">
      <c r="A1569" s="12" t="s">
        <v>99</v>
      </c>
      <c r="B1569" s="12" t="s">
        <v>56</v>
      </c>
      <c r="C1569" s="12" t="s">
        <v>297</v>
      </c>
      <c r="D1569" s="12" t="str">
        <f aca="false">INDEX('Country Tiers'!$C$2:$C$37,MATCH(C1569,'Country Tiers'!$A$2:$A$37,0))</f>
        <v>Tier 2</v>
      </c>
      <c r="E1569" s="12" t="n">
        <f aca="false">INDEX('Country Tiers'!$D$2:$D$37,MATCH(C1569,'Country Tiers'!$A$2:$A$37,0))</f>
        <v>2</v>
      </c>
    </row>
    <row r="1570" customFormat="false" ht="15" hidden="false" customHeight="false" outlineLevel="0" collapsed="false">
      <c r="A1570" s="12" t="s">
        <v>99</v>
      </c>
      <c r="B1570" s="12" t="s">
        <v>56</v>
      </c>
      <c r="C1570" s="12" t="s">
        <v>298</v>
      </c>
      <c r="D1570" s="12" t="str">
        <f aca="false">INDEX('Country Tiers'!$C$2:$C$37,MATCH(C1570,'Country Tiers'!$A$2:$A$37,0))</f>
        <v>Tier 1</v>
      </c>
      <c r="E1570" s="12" t="n">
        <f aca="false">INDEX('Country Tiers'!$D$2:$D$37,MATCH(C1570,'Country Tiers'!$A$2:$A$37,0))</f>
        <v>3</v>
      </c>
    </row>
    <row r="1571" customFormat="false" ht="15" hidden="false" customHeight="false" outlineLevel="0" collapsed="false">
      <c r="A1571" s="12" t="s">
        <v>99</v>
      </c>
      <c r="B1571" s="12" t="s">
        <v>56</v>
      </c>
      <c r="C1571" s="12" t="s">
        <v>299</v>
      </c>
      <c r="D1571" s="12" t="str">
        <f aca="false">INDEX('Country Tiers'!$C$2:$C$37,MATCH(C1571,'Country Tiers'!$A$2:$A$37,0))</f>
        <v>Tier 3</v>
      </c>
      <c r="E1571" s="12" t="n">
        <f aca="false">INDEX('Country Tiers'!$D$2:$D$37,MATCH(C1571,'Country Tiers'!$A$2:$A$37,0))</f>
        <v>1</v>
      </c>
    </row>
    <row r="1572" customFormat="false" ht="15" hidden="false" customHeight="false" outlineLevel="0" collapsed="false">
      <c r="A1572" s="12" t="s">
        <v>99</v>
      </c>
      <c r="B1572" s="12" t="s">
        <v>56</v>
      </c>
      <c r="C1572" s="12" t="s">
        <v>301</v>
      </c>
      <c r="D1572" s="12" t="str">
        <f aca="false">INDEX('Country Tiers'!$C$2:$C$37,MATCH(C1572,'Country Tiers'!$A$2:$A$37,0))</f>
        <v>Tier 3</v>
      </c>
      <c r="E1572" s="12" t="n">
        <f aca="false">INDEX('Country Tiers'!$D$2:$D$37,MATCH(C1572,'Country Tiers'!$A$2:$A$37,0))</f>
        <v>1</v>
      </c>
    </row>
    <row r="1573" customFormat="false" ht="15" hidden="false" customHeight="false" outlineLevel="0" collapsed="false">
      <c r="A1573" s="12" t="s">
        <v>99</v>
      </c>
      <c r="B1573" s="12" t="s">
        <v>56</v>
      </c>
      <c r="C1573" s="12" t="s">
        <v>302</v>
      </c>
      <c r="D1573" s="12" t="str">
        <f aca="false">INDEX('Country Tiers'!$C$2:$C$37,MATCH(C1573,'Country Tiers'!$A$2:$A$37,0))</f>
        <v>Tier 3</v>
      </c>
      <c r="E1573" s="12" t="n">
        <f aca="false">INDEX('Country Tiers'!$D$2:$D$37,MATCH(C1573,'Country Tiers'!$A$2:$A$37,0))</f>
        <v>1</v>
      </c>
    </row>
    <row r="1574" customFormat="false" ht="15" hidden="false" customHeight="false" outlineLevel="0" collapsed="false">
      <c r="A1574" s="12" t="s">
        <v>99</v>
      </c>
      <c r="B1574" s="12" t="s">
        <v>56</v>
      </c>
      <c r="C1574" s="12" t="s">
        <v>307</v>
      </c>
      <c r="D1574" s="12" t="str">
        <f aca="false">INDEX('Country Tiers'!$C$2:$C$37,MATCH(C1574,'Country Tiers'!$A$2:$A$37,0))</f>
        <v>Tier 2</v>
      </c>
      <c r="E1574" s="12" t="n">
        <f aca="false">INDEX('Country Tiers'!$D$2:$D$37,MATCH(C1574,'Country Tiers'!$A$2:$A$37,0))</f>
        <v>2</v>
      </c>
    </row>
    <row r="1575" customFormat="false" ht="15" hidden="false" customHeight="false" outlineLevel="0" collapsed="false">
      <c r="A1575" s="12" t="s">
        <v>99</v>
      </c>
      <c r="B1575" s="12" t="s">
        <v>56</v>
      </c>
      <c r="C1575" s="12" t="s">
        <v>308</v>
      </c>
      <c r="D1575" s="12" t="str">
        <f aca="false">INDEX('Country Tiers'!$C$2:$C$37,MATCH(C1575,'Country Tiers'!$A$2:$A$37,0))</f>
        <v>Tier 3</v>
      </c>
      <c r="E1575" s="12" t="n">
        <f aca="false">INDEX('Country Tiers'!$D$2:$D$37,MATCH(C1575,'Country Tiers'!$A$2:$A$37,0))</f>
        <v>1</v>
      </c>
    </row>
    <row r="1576" customFormat="false" ht="15" hidden="false" customHeight="false" outlineLevel="0" collapsed="false">
      <c r="A1576" s="12" t="s">
        <v>99</v>
      </c>
      <c r="B1576" s="12" t="s">
        <v>56</v>
      </c>
      <c r="C1576" s="12" t="s">
        <v>309</v>
      </c>
      <c r="D1576" s="12" t="str">
        <f aca="false">INDEX('Country Tiers'!$C$2:$C$37,MATCH(C1576,'Country Tiers'!$A$2:$A$37,0))</f>
        <v>Tier 1</v>
      </c>
      <c r="E1576" s="12" t="n">
        <f aca="false">INDEX('Country Tiers'!$D$2:$D$37,MATCH(C1576,'Country Tiers'!$A$2:$A$37,0))</f>
        <v>3</v>
      </c>
    </row>
    <row r="1577" customFormat="false" ht="15" hidden="false" customHeight="false" outlineLevel="0" collapsed="false">
      <c r="A1577" s="12" t="s">
        <v>99</v>
      </c>
      <c r="B1577" s="12" t="s">
        <v>56</v>
      </c>
      <c r="C1577" s="12" t="s">
        <v>311</v>
      </c>
      <c r="D1577" s="12" t="str">
        <f aca="false">INDEX('Country Tiers'!$C$2:$C$37,MATCH(C1577,'Country Tiers'!$A$2:$A$37,0))</f>
        <v>Tier 1</v>
      </c>
      <c r="E1577" s="12" t="n">
        <f aca="false">INDEX('Country Tiers'!$D$2:$D$37,MATCH(C1577,'Country Tiers'!$A$2:$A$37,0))</f>
        <v>3</v>
      </c>
    </row>
    <row r="1578" customFormat="false" ht="15" hidden="false" customHeight="false" outlineLevel="0" collapsed="false">
      <c r="A1578" s="12" t="s">
        <v>99</v>
      </c>
      <c r="B1578" s="12" t="s">
        <v>56</v>
      </c>
      <c r="C1578" s="12" t="s">
        <v>313</v>
      </c>
      <c r="D1578" s="12" t="str">
        <f aca="false">INDEX('Country Tiers'!$C$2:$C$37,MATCH(C1578,'Country Tiers'!$A$2:$A$37,0))</f>
        <v>Tier 1</v>
      </c>
      <c r="E1578" s="12" t="n">
        <f aca="false">INDEX('Country Tiers'!$D$2:$D$37,MATCH(C1578,'Country Tiers'!$A$2:$A$37,0))</f>
        <v>3</v>
      </c>
    </row>
    <row r="1579" customFormat="false" ht="15" hidden="false" customHeight="false" outlineLevel="0" collapsed="false">
      <c r="A1579" s="12" t="s">
        <v>99</v>
      </c>
      <c r="B1579" s="12" t="s">
        <v>44</v>
      </c>
      <c r="C1579" s="12" t="s">
        <v>274</v>
      </c>
      <c r="D1579" s="12" t="str">
        <f aca="false">INDEX('Country Tiers'!$C$2:$C$37,MATCH(C1579,'Country Tiers'!$A$2:$A$37,0))</f>
        <v>Tier 3</v>
      </c>
      <c r="E1579" s="12" t="n">
        <f aca="false">INDEX('Country Tiers'!$D$2:$D$37,MATCH(C1579,'Country Tiers'!$A$2:$A$37,0))</f>
        <v>1</v>
      </c>
    </row>
    <row r="1580" customFormat="false" ht="15" hidden="false" customHeight="false" outlineLevel="0" collapsed="false">
      <c r="A1580" s="12" t="s">
        <v>99</v>
      </c>
      <c r="B1580" s="12" t="s">
        <v>44</v>
      </c>
      <c r="C1580" s="12" t="s">
        <v>277</v>
      </c>
      <c r="D1580" s="12" t="str">
        <f aca="false">INDEX('Country Tiers'!$C$2:$C$37,MATCH(C1580,'Country Tiers'!$A$2:$A$37,0))</f>
        <v>Tier 1</v>
      </c>
      <c r="E1580" s="12" t="n">
        <f aca="false">INDEX('Country Tiers'!$D$2:$D$37,MATCH(C1580,'Country Tiers'!$A$2:$A$37,0))</f>
        <v>3</v>
      </c>
    </row>
    <row r="1581" customFormat="false" ht="15" hidden="false" customHeight="false" outlineLevel="0" collapsed="false">
      <c r="A1581" s="12" t="s">
        <v>99</v>
      </c>
      <c r="B1581" s="12" t="s">
        <v>44</v>
      </c>
      <c r="C1581" s="12" t="s">
        <v>278</v>
      </c>
      <c r="D1581" s="12" t="str">
        <f aca="false">INDEX('Country Tiers'!$C$2:$C$37,MATCH(C1581,'Country Tiers'!$A$2:$A$37,0))</f>
        <v>Tier 3</v>
      </c>
      <c r="E1581" s="12" t="n">
        <f aca="false">INDEX('Country Tiers'!$D$2:$D$37,MATCH(C1581,'Country Tiers'!$A$2:$A$37,0))</f>
        <v>1</v>
      </c>
    </row>
    <row r="1582" customFormat="false" ht="15" hidden="false" customHeight="false" outlineLevel="0" collapsed="false">
      <c r="A1582" s="12" t="s">
        <v>99</v>
      </c>
      <c r="B1582" s="12" t="s">
        <v>44</v>
      </c>
      <c r="C1582" s="12" t="s">
        <v>280</v>
      </c>
      <c r="D1582" s="12" t="str">
        <f aca="false">INDEX('Country Tiers'!$C$2:$C$37,MATCH(C1582,'Country Tiers'!$A$2:$A$37,0))</f>
        <v>Tier 3</v>
      </c>
      <c r="E1582" s="12" t="n">
        <f aca="false">INDEX('Country Tiers'!$D$2:$D$37,MATCH(C1582,'Country Tiers'!$A$2:$A$37,0))</f>
        <v>1</v>
      </c>
    </row>
    <row r="1583" customFormat="false" ht="15" hidden="false" customHeight="false" outlineLevel="0" collapsed="false">
      <c r="A1583" s="12" t="s">
        <v>99</v>
      </c>
      <c r="B1583" s="12" t="s">
        <v>44</v>
      </c>
      <c r="C1583" s="12" t="s">
        <v>282</v>
      </c>
      <c r="D1583" s="12" t="str">
        <f aca="false">INDEX('Country Tiers'!$C$2:$C$37,MATCH(C1583,'Country Tiers'!$A$2:$A$37,0))</f>
        <v>Tier 3</v>
      </c>
      <c r="E1583" s="12" t="n">
        <f aca="false">INDEX('Country Tiers'!$D$2:$D$37,MATCH(C1583,'Country Tiers'!$A$2:$A$37,0))</f>
        <v>1</v>
      </c>
    </row>
    <row r="1584" customFormat="false" ht="15" hidden="false" customHeight="false" outlineLevel="0" collapsed="false">
      <c r="A1584" s="12" t="s">
        <v>99</v>
      </c>
      <c r="B1584" s="12" t="s">
        <v>44</v>
      </c>
      <c r="C1584" s="12" t="s">
        <v>283</v>
      </c>
      <c r="D1584" s="12" t="str">
        <f aca="false">INDEX('Country Tiers'!$C$2:$C$37,MATCH(C1584,'Country Tiers'!$A$2:$A$37,0))</f>
        <v>Tier 3</v>
      </c>
      <c r="E1584" s="12" t="n">
        <f aca="false">INDEX('Country Tiers'!$D$2:$D$37,MATCH(C1584,'Country Tiers'!$A$2:$A$37,0))</f>
        <v>1</v>
      </c>
    </row>
    <row r="1585" customFormat="false" ht="15" hidden="false" customHeight="false" outlineLevel="0" collapsed="false">
      <c r="A1585" s="12" t="s">
        <v>99</v>
      </c>
      <c r="B1585" s="12" t="s">
        <v>44</v>
      </c>
      <c r="C1585" s="12" t="s">
        <v>284</v>
      </c>
      <c r="D1585" s="12" t="str">
        <f aca="false">INDEX('Country Tiers'!$C$2:$C$37,MATCH(C1585,'Country Tiers'!$A$2:$A$37,0))</f>
        <v>Tier 3</v>
      </c>
      <c r="E1585" s="12" t="n">
        <f aca="false">INDEX('Country Tiers'!$D$2:$D$37,MATCH(C1585,'Country Tiers'!$A$2:$A$37,0))</f>
        <v>1</v>
      </c>
    </row>
    <row r="1586" customFormat="false" ht="15" hidden="false" customHeight="false" outlineLevel="0" collapsed="false">
      <c r="A1586" s="12" t="s">
        <v>99</v>
      </c>
      <c r="B1586" s="12" t="s">
        <v>44</v>
      </c>
      <c r="C1586" s="12" t="s">
        <v>285</v>
      </c>
      <c r="D1586" s="12" t="str">
        <f aca="false">INDEX('Country Tiers'!$C$2:$C$37,MATCH(C1586,'Country Tiers'!$A$2:$A$37,0))</f>
        <v>Tier 3</v>
      </c>
      <c r="E1586" s="12" t="n">
        <f aca="false">INDEX('Country Tiers'!$D$2:$D$37,MATCH(C1586,'Country Tiers'!$A$2:$A$37,0))</f>
        <v>1</v>
      </c>
    </row>
    <row r="1587" customFormat="false" ht="15" hidden="false" customHeight="false" outlineLevel="0" collapsed="false">
      <c r="A1587" s="12" t="s">
        <v>99</v>
      </c>
      <c r="B1587" s="12" t="s">
        <v>44</v>
      </c>
      <c r="C1587" s="12" t="s">
        <v>286</v>
      </c>
      <c r="D1587" s="12" t="str">
        <f aca="false">INDEX('Country Tiers'!$C$2:$C$37,MATCH(C1587,'Country Tiers'!$A$2:$A$37,0))</f>
        <v>Tier 1</v>
      </c>
      <c r="E1587" s="12" t="n">
        <f aca="false">INDEX('Country Tiers'!$D$2:$D$37,MATCH(C1587,'Country Tiers'!$A$2:$A$37,0))</f>
        <v>3</v>
      </c>
    </row>
    <row r="1588" customFormat="false" ht="15" hidden="false" customHeight="false" outlineLevel="0" collapsed="false">
      <c r="A1588" s="12" t="s">
        <v>99</v>
      </c>
      <c r="B1588" s="12" t="s">
        <v>44</v>
      </c>
      <c r="C1588" s="12" t="s">
        <v>287</v>
      </c>
      <c r="D1588" s="12" t="str">
        <f aca="false">INDEX('Country Tiers'!$C$2:$C$37,MATCH(C1588,'Country Tiers'!$A$2:$A$37,0))</f>
        <v>Tier 1</v>
      </c>
      <c r="E1588" s="12" t="n">
        <f aca="false">INDEX('Country Tiers'!$D$2:$D$37,MATCH(C1588,'Country Tiers'!$A$2:$A$37,0))</f>
        <v>3</v>
      </c>
    </row>
    <row r="1589" customFormat="false" ht="15" hidden="false" customHeight="false" outlineLevel="0" collapsed="false">
      <c r="A1589" s="12" t="s">
        <v>99</v>
      </c>
      <c r="B1589" s="12" t="s">
        <v>44</v>
      </c>
      <c r="C1589" s="12" t="s">
        <v>289</v>
      </c>
      <c r="D1589" s="12" t="str">
        <f aca="false">INDEX('Country Tiers'!$C$2:$C$37,MATCH(C1589,'Country Tiers'!$A$2:$A$37,0))</f>
        <v>Tier 3</v>
      </c>
      <c r="E1589" s="12" t="n">
        <f aca="false">INDEX('Country Tiers'!$D$2:$D$37,MATCH(C1589,'Country Tiers'!$A$2:$A$37,0))</f>
        <v>1</v>
      </c>
    </row>
    <row r="1590" customFormat="false" ht="15" hidden="false" customHeight="false" outlineLevel="0" collapsed="false">
      <c r="A1590" s="12" t="s">
        <v>99</v>
      </c>
      <c r="B1590" s="12" t="s">
        <v>44</v>
      </c>
      <c r="C1590" s="12" t="s">
        <v>290</v>
      </c>
      <c r="D1590" s="12" t="str">
        <f aca="false">INDEX('Country Tiers'!$C$2:$C$37,MATCH(C1590,'Country Tiers'!$A$2:$A$37,0))</f>
        <v>Tier 3</v>
      </c>
      <c r="E1590" s="12" t="n">
        <f aca="false">INDEX('Country Tiers'!$D$2:$D$37,MATCH(C1590,'Country Tiers'!$A$2:$A$37,0))</f>
        <v>1</v>
      </c>
    </row>
    <row r="1591" customFormat="false" ht="15" hidden="false" customHeight="false" outlineLevel="0" collapsed="false">
      <c r="A1591" s="12" t="s">
        <v>99</v>
      </c>
      <c r="B1591" s="12" t="s">
        <v>44</v>
      </c>
      <c r="C1591" s="12" t="s">
        <v>292</v>
      </c>
      <c r="D1591" s="12" t="str">
        <f aca="false">INDEX('Country Tiers'!$C$2:$C$37,MATCH(C1591,'Country Tiers'!$A$2:$A$37,0))</f>
        <v>Tier 2</v>
      </c>
      <c r="E1591" s="12" t="n">
        <f aca="false">INDEX('Country Tiers'!$D$2:$D$37,MATCH(C1591,'Country Tiers'!$A$2:$A$37,0))</f>
        <v>2</v>
      </c>
    </row>
    <row r="1592" customFormat="false" ht="15" hidden="false" customHeight="false" outlineLevel="0" collapsed="false">
      <c r="A1592" s="12" t="s">
        <v>99</v>
      </c>
      <c r="B1592" s="12" t="s">
        <v>44</v>
      </c>
      <c r="C1592" s="12" t="s">
        <v>293</v>
      </c>
      <c r="D1592" s="12" t="str">
        <f aca="false">INDEX('Country Tiers'!$C$2:$C$37,MATCH(C1592,'Country Tiers'!$A$2:$A$37,0))</f>
        <v>Tier 3</v>
      </c>
      <c r="E1592" s="12" t="n">
        <f aca="false">INDEX('Country Tiers'!$D$2:$D$37,MATCH(C1592,'Country Tiers'!$A$2:$A$37,0))</f>
        <v>1</v>
      </c>
    </row>
    <row r="1593" customFormat="false" ht="15" hidden="false" customHeight="false" outlineLevel="0" collapsed="false">
      <c r="A1593" s="12" t="s">
        <v>99</v>
      </c>
      <c r="B1593" s="12" t="s">
        <v>44</v>
      </c>
      <c r="C1593" s="12" t="s">
        <v>294</v>
      </c>
      <c r="D1593" s="12" t="str">
        <f aca="false">INDEX('Country Tiers'!$C$2:$C$37,MATCH(C1593,'Country Tiers'!$A$2:$A$37,0))</f>
        <v>Tier 3</v>
      </c>
      <c r="E1593" s="12" t="n">
        <f aca="false">INDEX('Country Tiers'!$D$2:$D$37,MATCH(C1593,'Country Tiers'!$A$2:$A$37,0))</f>
        <v>1</v>
      </c>
    </row>
    <row r="1594" customFormat="false" ht="15" hidden="false" customHeight="false" outlineLevel="0" collapsed="false">
      <c r="A1594" s="12" t="s">
        <v>99</v>
      </c>
      <c r="B1594" s="12" t="s">
        <v>44</v>
      </c>
      <c r="C1594" s="12" t="s">
        <v>295</v>
      </c>
      <c r="D1594" s="12" t="str">
        <f aca="false">INDEX('Country Tiers'!$C$2:$C$37,MATCH(C1594,'Country Tiers'!$A$2:$A$37,0))</f>
        <v>Tier 3</v>
      </c>
      <c r="E1594" s="12" t="n">
        <f aca="false">INDEX('Country Tiers'!$D$2:$D$37,MATCH(C1594,'Country Tiers'!$A$2:$A$37,0))</f>
        <v>1</v>
      </c>
    </row>
    <row r="1595" customFormat="false" ht="15" hidden="false" customHeight="false" outlineLevel="0" collapsed="false">
      <c r="A1595" s="12" t="s">
        <v>99</v>
      </c>
      <c r="B1595" s="12" t="s">
        <v>44</v>
      </c>
      <c r="C1595" s="12" t="s">
        <v>296</v>
      </c>
      <c r="D1595" s="12" t="str">
        <f aca="false">INDEX('Country Tiers'!$C$2:$C$37,MATCH(C1595,'Country Tiers'!$A$2:$A$37,0))</f>
        <v>Tier 3</v>
      </c>
      <c r="E1595" s="12" t="n">
        <f aca="false">INDEX('Country Tiers'!$D$2:$D$37,MATCH(C1595,'Country Tiers'!$A$2:$A$37,0))</f>
        <v>1</v>
      </c>
    </row>
    <row r="1596" customFormat="false" ht="15" hidden="false" customHeight="false" outlineLevel="0" collapsed="false">
      <c r="A1596" s="12" t="s">
        <v>99</v>
      </c>
      <c r="B1596" s="12" t="s">
        <v>44</v>
      </c>
      <c r="C1596" s="12" t="s">
        <v>297</v>
      </c>
      <c r="D1596" s="12" t="str">
        <f aca="false">INDEX('Country Tiers'!$C$2:$C$37,MATCH(C1596,'Country Tiers'!$A$2:$A$37,0))</f>
        <v>Tier 2</v>
      </c>
      <c r="E1596" s="12" t="n">
        <f aca="false">INDEX('Country Tiers'!$D$2:$D$37,MATCH(C1596,'Country Tiers'!$A$2:$A$37,0))</f>
        <v>2</v>
      </c>
    </row>
    <row r="1597" customFormat="false" ht="15" hidden="false" customHeight="false" outlineLevel="0" collapsed="false">
      <c r="A1597" s="12" t="s">
        <v>99</v>
      </c>
      <c r="B1597" s="12" t="s">
        <v>44</v>
      </c>
      <c r="C1597" s="12" t="s">
        <v>298</v>
      </c>
      <c r="D1597" s="12" t="str">
        <f aca="false">INDEX('Country Tiers'!$C$2:$C$37,MATCH(C1597,'Country Tiers'!$A$2:$A$37,0))</f>
        <v>Tier 1</v>
      </c>
      <c r="E1597" s="12" t="n">
        <f aca="false">INDEX('Country Tiers'!$D$2:$D$37,MATCH(C1597,'Country Tiers'!$A$2:$A$37,0))</f>
        <v>3</v>
      </c>
    </row>
    <row r="1598" customFormat="false" ht="15" hidden="false" customHeight="false" outlineLevel="0" collapsed="false">
      <c r="A1598" s="12" t="s">
        <v>99</v>
      </c>
      <c r="B1598" s="12" t="s">
        <v>44</v>
      </c>
      <c r="C1598" s="12" t="s">
        <v>299</v>
      </c>
      <c r="D1598" s="12" t="str">
        <f aca="false">INDEX('Country Tiers'!$C$2:$C$37,MATCH(C1598,'Country Tiers'!$A$2:$A$37,0))</f>
        <v>Tier 3</v>
      </c>
      <c r="E1598" s="12" t="n">
        <f aca="false">INDEX('Country Tiers'!$D$2:$D$37,MATCH(C1598,'Country Tiers'!$A$2:$A$37,0))</f>
        <v>1</v>
      </c>
    </row>
    <row r="1599" customFormat="false" ht="15" hidden="false" customHeight="false" outlineLevel="0" collapsed="false">
      <c r="A1599" s="12" t="s">
        <v>99</v>
      </c>
      <c r="B1599" s="12" t="s">
        <v>44</v>
      </c>
      <c r="C1599" s="12" t="s">
        <v>301</v>
      </c>
      <c r="D1599" s="12" t="str">
        <f aca="false">INDEX('Country Tiers'!$C$2:$C$37,MATCH(C1599,'Country Tiers'!$A$2:$A$37,0))</f>
        <v>Tier 3</v>
      </c>
      <c r="E1599" s="12" t="n">
        <f aca="false">INDEX('Country Tiers'!$D$2:$D$37,MATCH(C1599,'Country Tiers'!$A$2:$A$37,0))</f>
        <v>1</v>
      </c>
    </row>
    <row r="1600" customFormat="false" ht="15" hidden="false" customHeight="false" outlineLevel="0" collapsed="false">
      <c r="A1600" s="12" t="s">
        <v>99</v>
      </c>
      <c r="B1600" s="12" t="s">
        <v>44</v>
      </c>
      <c r="C1600" s="12" t="s">
        <v>302</v>
      </c>
      <c r="D1600" s="12" t="str">
        <f aca="false">INDEX('Country Tiers'!$C$2:$C$37,MATCH(C1600,'Country Tiers'!$A$2:$A$37,0))</f>
        <v>Tier 3</v>
      </c>
      <c r="E1600" s="12" t="n">
        <f aca="false">INDEX('Country Tiers'!$D$2:$D$37,MATCH(C1600,'Country Tiers'!$A$2:$A$37,0))</f>
        <v>1</v>
      </c>
    </row>
    <row r="1601" customFormat="false" ht="15" hidden="false" customHeight="false" outlineLevel="0" collapsed="false">
      <c r="A1601" s="12" t="s">
        <v>99</v>
      </c>
      <c r="B1601" s="12" t="s">
        <v>44</v>
      </c>
      <c r="C1601" s="12" t="s">
        <v>307</v>
      </c>
      <c r="D1601" s="12" t="str">
        <f aca="false">INDEX('Country Tiers'!$C$2:$C$37,MATCH(C1601,'Country Tiers'!$A$2:$A$37,0))</f>
        <v>Tier 2</v>
      </c>
      <c r="E1601" s="12" t="n">
        <f aca="false">INDEX('Country Tiers'!$D$2:$D$37,MATCH(C1601,'Country Tiers'!$A$2:$A$37,0))</f>
        <v>2</v>
      </c>
    </row>
    <row r="1602" customFormat="false" ht="15" hidden="false" customHeight="false" outlineLevel="0" collapsed="false">
      <c r="A1602" s="12" t="s">
        <v>99</v>
      </c>
      <c r="B1602" s="12" t="s">
        <v>44</v>
      </c>
      <c r="C1602" s="12" t="s">
        <v>308</v>
      </c>
      <c r="D1602" s="12" t="str">
        <f aca="false">INDEX('Country Tiers'!$C$2:$C$37,MATCH(C1602,'Country Tiers'!$A$2:$A$37,0))</f>
        <v>Tier 3</v>
      </c>
      <c r="E1602" s="12" t="n">
        <f aca="false">INDEX('Country Tiers'!$D$2:$D$37,MATCH(C1602,'Country Tiers'!$A$2:$A$37,0))</f>
        <v>1</v>
      </c>
    </row>
    <row r="1603" customFormat="false" ht="15" hidden="false" customHeight="false" outlineLevel="0" collapsed="false">
      <c r="A1603" s="12" t="s">
        <v>99</v>
      </c>
      <c r="B1603" s="12" t="s">
        <v>44</v>
      </c>
      <c r="C1603" s="12" t="s">
        <v>313</v>
      </c>
      <c r="D1603" s="12" t="str">
        <f aca="false">INDEX('Country Tiers'!$C$2:$C$37,MATCH(C1603,'Country Tiers'!$A$2:$A$37,0))</f>
        <v>Tier 1</v>
      </c>
      <c r="E1603" s="12" t="n">
        <f aca="false">INDEX('Country Tiers'!$D$2:$D$37,MATCH(C1603,'Country Tiers'!$A$2:$A$37,0))</f>
        <v>3</v>
      </c>
    </row>
    <row r="1604" customFormat="false" ht="15" hidden="false" customHeight="false" outlineLevel="0" collapsed="false">
      <c r="A1604" s="12" t="s">
        <v>100</v>
      </c>
      <c r="B1604" s="12" t="s">
        <v>47</v>
      </c>
      <c r="C1604" s="12" t="s">
        <v>279</v>
      </c>
      <c r="D1604" s="12" t="str">
        <f aca="false">INDEX('Country Tiers'!$C$2:$C$37,MATCH(C1604,'Country Tiers'!$A$2:$A$37,0))</f>
        <v>Tier 1</v>
      </c>
      <c r="E1604" s="12" t="n">
        <f aca="false">INDEX('Country Tiers'!$D$2:$D$37,MATCH(C1604,'Country Tiers'!$A$2:$A$37,0))</f>
        <v>3</v>
      </c>
    </row>
    <row r="1605" customFormat="false" ht="15" hidden="false" customHeight="false" outlineLevel="0" collapsed="false">
      <c r="A1605" s="12" t="s">
        <v>100</v>
      </c>
      <c r="B1605" s="12" t="s">
        <v>47</v>
      </c>
      <c r="C1605" s="12" t="s">
        <v>303</v>
      </c>
      <c r="D1605" s="12" t="str">
        <f aca="false">INDEX('Country Tiers'!$C$2:$C$37,MATCH(C1605,'Country Tiers'!$A$2:$A$37,0))</f>
        <v>Tier 2</v>
      </c>
      <c r="E1605" s="12" t="n">
        <f aca="false">INDEX('Country Tiers'!$D$2:$D$37,MATCH(C1605,'Country Tiers'!$A$2:$A$37,0))</f>
        <v>2</v>
      </c>
    </row>
    <row r="1606" customFormat="false" ht="15" hidden="false" customHeight="false" outlineLevel="0" collapsed="false">
      <c r="A1606" s="12" t="s">
        <v>100</v>
      </c>
      <c r="B1606" s="12" t="s">
        <v>47</v>
      </c>
      <c r="C1606" s="12" t="s">
        <v>311</v>
      </c>
      <c r="D1606" s="12" t="str">
        <f aca="false">INDEX('Country Tiers'!$C$2:$C$37,MATCH(C1606,'Country Tiers'!$A$2:$A$37,0))</f>
        <v>Tier 1</v>
      </c>
      <c r="E1606" s="12" t="n">
        <f aca="false">INDEX('Country Tiers'!$D$2:$D$37,MATCH(C1606,'Country Tiers'!$A$2:$A$37,0))</f>
        <v>3</v>
      </c>
    </row>
    <row r="1607" customFormat="false" ht="15" hidden="false" customHeight="false" outlineLevel="0" collapsed="false">
      <c r="A1607" s="12" t="s">
        <v>100</v>
      </c>
      <c r="B1607" s="12" t="s">
        <v>55</v>
      </c>
      <c r="C1607" s="12" t="s">
        <v>279</v>
      </c>
      <c r="D1607" s="12" t="str">
        <f aca="false">INDEX('Country Tiers'!$C$2:$C$37,MATCH(C1607,'Country Tiers'!$A$2:$A$37,0))</f>
        <v>Tier 1</v>
      </c>
      <c r="E1607" s="12" t="n">
        <f aca="false">INDEX('Country Tiers'!$D$2:$D$37,MATCH(C1607,'Country Tiers'!$A$2:$A$37,0))</f>
        <v>3</v>
      </c>
    </row>
    <row r="1608" customFormat="false" ht="15" hidden="false" customHeight="false" outlineLevel="0" collapsed="false">
      <c r="A1608" s="12" t="s">
        <v>100</v>
      </c>
      <c r="B1608" s="12" t="s">
        <v>40</v>
      </c>
      <c r="C1608" s="12" t="s">
        <v>303</v>
      </c>
      <c r="D1608" s="12" t="str">
        <f aca="false">INDEX('Country Tiers'!$C$2:$C$37,MATCH(C1608,'Country Tiers'!$A$2:$A$37,0))</f>
        <v>Tier 2</v>
      </c>
      <c r="E1608" s="12" t="n">
        <f aca="false">INDEX('Country Tiers'!$D$2:$D$37,MATCH(C1608,'Country Tiers'!$A$2:$A$37,0))</f>
        <v>2</v>
      </c>
    </row>
    <row r="1609" customFormat="false" ht="15" hidden="false" customHeight="false" outlineLevel="0" collapsed="false">
      <c r="A1609" s="12" t="s">
        <v>101</v>
      </c>
      <c r="B1609" s="12" t="s">
        <v>47</v>
      </c>
      <c r="C1609" s="12" t="s">
        <v>311</v>
      </c>
      <c r="D1609" s="12" t="str">
        <f aca="false">INDEX('Country Tiers'!$C$2:$C$37,MATCH(C1609,'Country Tiers'!$A$2:$A$37,0))</f>
        <v>Tier 1</v>
      </c>
      <c r="E1609" s="12" t="n">
        <f aca="false">INDEX('Country Tiers'!$D$2:$D$37,MATCH(C1609,'Country Tiers'!$A$2:$A$37,0))</f>
        <v>3</v>
      </c>
    </row>
    <row r="1610" customFormat="false" ht="15" hidden="false" customHeight="false" outlineLevel="0" collapsed="false">
      <c r="A1610" s="12" t="s">
        <v>102</v>
      </c>
      <c r="B1610" s="12" t="s">
        <v>35</v>
      </c>
      <c r="C1610" s="12" t="s">
        <v>274</v>
      </c>
      <c r="D1610" s="12" t="str">
        <f aca="false">INDEX('Country Tiers'!$C$2:$C$37,MATCH(C1610,'Country Tiers'!$A$2:$A$37,0))</f>
        <v>Tier 3</v>
      </c>
      <c r="E1610" s="12" t="n">
        <f aca="false">INDEX('Country Tiers'!$D$2:$D$37,MATCH(C1610,'Country Tiers'!$A$2:$A$37,0))</f>
        <v>1</v>
      </c>
    </row>
    <row r="1611" customFormat="false" ht="15" hidden="false" customHeight="false" outlineLevel="0" collapsed="false">
      <c r="A1611" s="12" t="s">
        <v>102</v>
      </c>
      <c r="B1611" s="12" t="s">
        <v>35</v>
      </c>
      <c r="C1611" s="12" t="s">
        <v>277</v>
      </c>
      <c r="D1611" s="12" t="str">
        <f aca="false">INDEX('Country Tiers'!$C$2:$C$37,MATCH(C1611,'Country Tiers'!$A$2:$A$37,0))</f>
        <v>Tier 1</v>
      </c>
      <c r="E1611" s="12" t="n">
        <f aca="false">INDEX('Country Tiers'!$D$2:$D$37,MATCH(C1611,'Country Tiers'!$A$2:$A$37,0))</f>
        <v>3</v>
      </c>
    </row>
    <row r="1612" customFormat="false" ht="15" hidden="false" customHeight="false" outlineLevel="0" collapsed="false">
      <c r="A1612" s="12" t="s">
        <v>102</v>
      </c>
      <c r="B1612" s="12" t="s">
        <v>35</v>
      </c>
      <c r="C1612" s="12" t="s">
        <v>278</v>
      </c>
      <c r="D1612" s="12" t="str">
        <f aca="false">INDEX('Country Tiers'!$C$2:$C$37,MATCH(C1612,'Country Tiers'!$A$2:$A$37,0))</f>
        <v>Tier 3</v>
      </c>
      <c r="E1612" s="12" t="n">
        <f aca="false">INDEX('Country Tiers'!$D$2:$D$37,MATCH(C1612,'Country Tiers'!$A$2:$A$37,0))</f>
        <v>1</v>
      </c>
    </row>
    <row r="1613" customFormat="false" ht="15" hidden="false" customHeight="false" outlineLevel="0" collapsed="false">
      <c r="A1613" s="12" t="s">
        <v>102</v>
      </c>
      <c r="B1613" s="12" t="s">
        <v>35</v>
      </c>
      <c r="C1613" s="12" t="s">
        <v>280</v>
      </c>
      <c r="D1613" s="12" t="str">
        <f aca="false">INDEX('Country Tiers'!$C$2:$C$37,MATCH(C1613,'Country Tiers'!$A$2:$A$37,0))</f>
        <v>Tier 3</v>
      </c>
      <c r="E1613" s="12" t="n">
        <f aca="false">INDEX('Country Tiers'!$D$2:$D$37,MATCH(C1613,'Country Tiers'!$A$2:$A$37,0))</f>
        <v>1</v>
      </c>
    </row>
    <row r="1614" customFormat="false" ht="15" hidden="false" customHeight="false" outlineLevel="0" collapsed="false">
      <c r="A1614" s="12" t="s">
        <v>102</v>
      </c>
      <c r="B1614" s="12" t="s">
        <v>35</v>
      </c>
      <c r="C1614" s="12" t="s">
        <v>281</v>
      </c>
      <c r="D1614" s="12" t="str">
        <f aca="false">INDEX('Country Tiers'!$C$2:$C$37,MATCH(C1614,'Country Tiers'!$A$2:$A$37,0))</f>
        <v>Tier 3</v>
      </c>
      <c r="E1614" s="12" t="n">
        <f aca="false">INDEX('Country Tiers'!$D$2:$D$37,MATCH(C1614,'Country Tiers'!$A$2:$A$37,0))</f>
        <v>1</v>
      </c>
    </row>
    <row r="1615" customFormat="false" ht="15" hidden="false" customHeight="false" outlineLevel="0" collapsed="false">
      <c r="A1615" s="12" t="s">
        <v>102</v>
      </c>
      <c r="B1615" s="12" t="s">
        <v>35</v>
      </c>
      <c r="C1615" s="12" t="s">
        <v>282</v>
      </c>
      <c r="D1615" s="12" t="str">
        <f aca="false">INDEX('Country Tiers'!$C$2:$C$37,MATCH(C1615,'Country Tiers'!$A$2:$A$37,0))</f>
        <v>Tier 3</v>
      </c>
      <c r="E1615" s="12" t="n">
        <f aca="false">INDEX('Country Tiers'!$D$2:$D$37,MATCH(C1615,'Country Tiers'!$A$2:$A$37,0))</f>
        <v>1</v>
      </c>
    </row>
    <row r="1616" customFormat="false" ht="15" hidden="false" customHeight="false" outlineLevel="0" collapsed="false">
      <c r="A1616" s="12" t="s">
        <v>102</v>
      </c>
      <c r="B1616" s="12" t="s">
        <v>35</v>
      </c>
      <c r="C1616" s="12" t="s">
        <v>283</v>
      </c>
      <c r="D1616" s="12" t="str">
        <f aca="false">INDEX('Country Tiers'!$C$2:$C$37,MATCH(C1616,'Country Tiers'!$A$2:$A$37,0))</f>
        <v>Tier 3</v>
      </c>
      <c r="E1616" s="12" t="n">
        <f aca="false">INDEX('Country Tiers'!$D$2:$D$37,MATCH(C1616,'Country Tiers'!$A$2:$A$37,0))</f>
        <v>1</v>
      </c>
    </row>
    <row r="1617" customFormat="false" ht="15" hidden="false" customHeight="false" outlineLevel="0" collapsed="false">
      <c r="A1617" s="12" t="s">
        <v>102</v>
      </c>
      <c r="B1617" s="12" t="s">
        <v>35</v>
      </c>
      <c r="C1617" s="12" t="s">
        <v>284</v>
      </c>
      <c r="D1617" s="12" t="str">
        <f aca="false">INDEX('Country Tiers'!$C$2:$C$37,MATCH(C1617,'Country Tiers'!$A$2:$A$37,0))</f>
        <v>Tier 3</v>
      </c>
      <c r="E1617" s="12" t="n">
        <f aca="false">INDEX('Country Tiers'!$D$2:$D$37,MATCH(C1617,'Country Tiers'!$A$2:$A$37,0))</f>
        <v>1</v>
      </c>
    </row>
    <row r="1618" customFormat="false" ht="15" hidden="false" customHeight="false" outlineLevel="0" collapsed="false">
      <c r="A1618" s="12" t="s">
        <v>102</v>
      </c>
      <c r="B1618" s="12" t="s">
        <v>35</v>
      </c>
      <c r="C1618" s="12" t="s">
        <v>285</v>
      </c>
      <c r="D1618" s="12" t="str">
        <f aca="false">INDEX('Country Tiers'!$C$2:$C$37,MATCH(C1618,'Country Tiers'!$A$2:$A$37,0))</f>
        <v>Tier 3</v>
      </c>
      <c r="E1618" s="12" t="n">
        <f aca="false">INDEX('Country Tiers'!$D$2:$D$37,MATCH(C1618,'Country Tiers'!$A$2:$A$37,0))</f>
        <v>1</v>
      </c>
    </row>
    <row r="1619" customFormat="false" ht="15" hidden="false" customHeight="false" outlineLevel="0" collapsed="false">
      <c r="A1619" s="12" t="s">
        <v>102</v>
      </c>
      <c r="B1619" s="12" t="s">
        <v>35</v>
      </c>
      <c r="C1619" s="12" t="s">
        <v>286</v>
      </c>
      <c r="D1619" s="12" t="str">
        <f aca="false">INDEX('Country Tiers'!$C$2:$C$37,MATCH(C1619,'Country Tiers'!$A$2:$A$37,0))</f>
        <v>Tier 1</v>
      </c>
      <c r="E1619" s="12" t="n">
        <f aca="false">INDEX('Country Tiers'!$D$2:$D$37,MATCH(C1619,'Country Tiers'!$A$2:$A$37,0))</f>
        <v>3</v>
      </c>
    </row>
    <row r="1620" customFormat="false" ht="15" hidden="false" customHeight="false" outlineLevel="0" collapsed="false">
      <c r="A1620" s="12" t="s">
        <v>102</v>
      </c>
      <c r="B1620" s="12" t="s">
        <v>35</v>
      </c>
      <c r="C1620" s="12" t="s">
        <v>287</v>
      </c>
      <c r="D1620" s="12" t="str">
        <f aca="false">INDEX('Country Tiers'!$C$2:$C$37,MATCH(C1620,'Country Tiers'!$A$2:$A$37,0))</f>
        <v>Tier 1</v>
      </c>
      <c r="E1620" s="12" t="n">
        <f aca="false">INDEX('Country Tiers'!$D$2:$D$37,MATCH(C1620,'Country Tiers'!$A$2:$A$37,0))</f>
        <v>3</v>
      </c>
    </row>
    <row r="1621" customFormat="false" ht="15" hidden="false" customHeight="false" outlineLevel="0" collapsed="false">
      <c r="A1621" s="12" t="s">
        <v>102</v>
      </c>
      <c r="B1621" s="12" t="s">
        <v>35</v>
      </c>
      <c r="C1621" s="12" t="s">
        <v>288</v>
      </c>
      <c r="D1621" s="12" t="str">
        <f aca="false">INDEX('Country Tiers'!$C$2:$C$37,MATCH(C1621,'Country Tiers'!$A$2:$A$37,0))</f>
        <v>Tier 3</v>
      </c>
      <c r="E1621" s="12" t="n">
        <f aca="false">INDEX('Country Tiers'!$D$2:$D$37,MATCH(C1621,'Country Tiers'!$A$2:$A$37,0))</f>
        <v>1</v>
      </c>
    </row>
    <row r="1622" customFormat="false" ht="15" hidden="false" customHeight="false" outlineLevel="0" collapsed="false">
      <c r="A1622" s="12" t="s">
        <v>102</v>
      </c>
      <c r="B1622" s="12" t="s">
        <v>35</v>
      </c>
      <c r="C1622" s="12" t="s">
        <v>289</v>
      </c>
      <c r="D1622" s="12" t="str">
        <f aca="false">INDEX('Country Tiers'!$C$2:$C$37,MATCH(C1622,'Country Tiers'!$A$2:$A$37,0))</f>
        <v>Tier 3</v>
      </c>
      <c r="E1622" s="12" t="n">
        <f aca="false">INDEX('Country Tiers'!$D$2:$D$37,MATCH(C1622,'Country Tiers'!$A$2:$A$37,0))</f>
        <v>1</v>
      </c>
    </row>
    <row r="1623" customFormat="false" ht="15" hidden="false" customHeight="false" outlineLevel="0" collapsed="false">
      <c r="A1623" s="12" t="s">
        <v>102</v>
      </c>
      <c r="B1623" s="12" t="s">
        <v>35</v>
      </c>
      <c r="C1623" s="12" t="s">
        <v>290</v>
      </c>
      <c r="D1623" s="12" t="str">
        <f aca="false">INDEX('Country Tiers'!$C$2:$C$37,MATCH(C1623,'Country Tiers'!$A$2:$A$37,0))</f>
        <v>Tier 3</v>
      </c>
      <c r="E1623" s="12" t="n">
        <f aca="false">INDEX('Country Tiers'!$D$2:$D$37,MATCH(C1623,'Country Tiers'!$A$2:$A$37,0))</f>
        <v>1</v>
      </c>
    </row>
    <row r="1624" customFormat="false" ht="15" hidden="false" customHeight="false" outlineLevel="0" collapsed="false">
      <c r="A1624" s="12" t="s">
        <v>102</v>
      </c>
      <c r="B1624" s="12" t="s">
        <v>35</v>
      </c>
      <c r="C1624" s="12" t="s">
        <v>291</v>
      </c>
      <c r="D1624" s="12" t="str">
        <f aca="false">INDEX('Country Tiers'!$C$2:$C$37,MATCH(C1624,'Country Tiers'!$A$2:$A$37,0))</f>
        <v>Tier 3</v>
      </c>
      <c r="E1624" s="12" t="n">
        <f aca="false">INDEX('Country Tiers'!$D$2:$D$37,MATCH(C1624,'Country Tiers'!$A$2:$A$37,0))</f>
        <v>1</v>
      </c>
    </row>
    <row r="1625" customFormat="false" ht="15" hidden="false" customHeight="false" outlineLevel="0" collapsed="false">
      <c r="A1625" s="12" t="s">
        <v>102</v>
      </c>
      <c r="B1625" s="12" t="s">
        <v>35</v>
      </c>
      <c r="C1625" s="12" t="s">
        <v>292</v>
      </c>
      <c r="D1625" s="12" t="str">
        <f aca="false">INDEX('Country Tiers'!$C$2:$C$37,MATCH(C1625,'Country Tiers'!$A$2:$A$37,0))</f>
        <v>Tier 2</v>
      </c>
      <c r="E1625" s="12" t="n">
        <f aca="false">INDEX('Country Tiers'!$D$2:$D$37,MATCH(C1625,'Country Tiers'!$A$2:$A$37,0))</f>
        <v>2</v>
      </c>
    </row>
    <row r="1626" customFormat="false" ht="15" hidden="false" customHeight="false" outlineLevel="0" collapsed="false">
      <c r="A1626" s="12" t="s">
        <v>102</v>
      </c>
      <c r="B1626" s="12" t="s">
        <v>35</v>
      </c>
      <c r="C1626" s="12" t="s">
        <v>293</v>
      </c>
      <c r="D1626" s="12" t="str">
        <f aca="false">INDEX('Country Tiers'!$C$2:$C$37,MATCH(C1626,'Country Tiers'!$A$2:$A$37,0))</f>
        <v>Tier 3</v>
      </c>
      <c r="E1626" s="12" t="n">
        <f aca="false">INDEX('Country Tiers'!$D$2:$D$37,MATCH(C1626,'Country Tiers'!$A$2:$A$37,0))</f>
        <v>1</v>
      </c>
    </row>
    <row r="1627" customFormat="false" ht="15" hidden="false" customHeight="false" outlineLevel="0" collapsed="false">
      <c r="A1627" s="12" t="s">
        <v>102</v>
      </c>
      <c r="B1627" s="12" t="s">
        <v>35</v>
      </c>
      <c r="C1627" s="12" t="s">
        <v>294</v>
      </c>
      <c r="D1627" s="12" t="str">
        <f aca="false">INDEX('Country Tiers'!$C$2:$C$37,MATCH(C1627,'Country Tiers'!$A$2:$A$37,0))</f>
        <v>Tier 3</v>
      </c>
      <c r="E1627" s="12" t="n">
        <f aca="false">INDEX('Country Tiers'!$D$2:$D$37,MATCH(C1627,'Country Tiers'!$A$2:$A$37,0))</f>
        <v>1</v>
      </c>
    </row>
    <row r="1628" customFormat="false" ht="15" hidden="false" customHeight="false" outlineLevel="0" collapsed="false">
      <c r="A1628" s="12" t="s">
        <v>102</v>
      </c>
      <c r="B1628" s="12" t="s">
        <v>35</v>
      </c>
      <c r="C1628" s="12" t="s">
        <v>295</v>
      </c>
      <c r="D1628" s="12" t="str">
        <f aca="false">INDEX('Country Tiers'!$C$2:$C$37,MATCH(C1628,'Country Tiers'!$A$2:$A$37,0))</f>
        <v>Tier 3</v>
      </c>
      <c r="E1628" s="12" t="n">
        <f aca="false">INDEX('Country Tiers'!$D$2:$D$37,MATCH(C1628,'Country Tiers'!$A$2:$A$37,0))</f>
        <v>1</v>
      </c>
    </row>
    <row r="1629" customFormat="false" ht="15" hidden="false" customHeight="false" outlineLevel="0" collapsed="false">
      <c r="A1629" s="12" t="s">
        <v>102</v>
      </c>
      <c r="B1629" s="12" t="s">
        <v>35</v>
      </c>
      <c r="C1629" s="12" t="s">
        <v>296</v>
      </c>
      <c r="D1629" s="12" t="str">
        <f aca="false">INDEX('Country Tiers'!$C$2:$C$37,MATCH(C1629,'Country Tiers'!$A$2:$A$37,0))</f>
        <v>Tier 3</v>
      </c>
      <c r="E1629" s="12" t="n">
        <f aca="false">INDEX('Country Tiers'!$D$2:$D$37,MATCH(C1629,'Country Tiers'!$A$2:$A$37,0))</f>
        <v>1</v>
      </c>
    </row>
    <row r="1630" customFormat="false" ht="15" hidden="false" customHeight="false" outlineLevel="0" collapsed="false">
      <c r="A1630" s="12" t="s">
        <v>102</v>
      </c>
      <c r="B1630" s="12" t="s">
        <v>35</v>
      </c>
      <c r="C1630" s="12" t="s">
        <v>297</v>
      </c>
      <c r="D1630" s="12" t="str">
        <f aca="false">INDEX('Country Tiers'!$C$2:$C$37,MATCH(C1630,'Country Tiers'!$A$2:$A$37,0))</f>
        <v>Tier 2</v>
      </c>
      <c r="E1630" s="12" t="n">
        <f aca="false">INDEX('Country Tiers'!$D$2:$D$37,MATCH(C1630,'Country Tiers'!$A$2:$A$37,0))</f>
        <v>2</v>
      </c>
    </row>
    <row r="1631" customFormat="false" ht="15" hidden="false" customHeight="false" outlineLevel="0" collapsed="false">
      <c r="A1631" s="12" t="s">
        <v>102</v>
      </c>
      <c r="B1631" s="12" t="s">
        <v>35</v>
      </c>
      <c r="C1631" s="12" t="s">
        <v>298</v>
      </c>
      <c r="D1631" s="12" t="str">
        <f aca="false">INDEX('Country Tiers'!$C$2:$C$37,MATCH(C1631,'Country Tiers'!$A$2:$A$37,0))</f>
        <v>Tier 1</v>
      </c>
      <c r="E1631" s="12" t="n">
        <f aca="false">INDEX('Country Tiers'!$D$2:$D$37,MATCH(C1631,'Country Tiers'!$A$2:$A$37,0))</f>
        <v>3</v>
      </c>
    </row>
    <row r="1632" customFormat="false" ht="15" hidden="false" customHeight="false" outlineLevel="0" collapsed="false">
      <c r="A1632" s="12" t="s">
        <v>102</v>
      </c>
      <c r="B1632" s="12" t="s">
        <v>35</v>
      </c>
      <c r="C1632" s="12" t="s">
        <v>299</v>
      </c>
      <c r="D1632" s="12" t="str">
        <f aca="false">INDEX('Country Tiers'!$C$2:$C$37,MATCH(C1632,'Country Tiers'!$A$2:$A$37,0))</f>
        <v>Tier 3</v>
      </c>
      <c r="E1632" s="12" t="n">
        <f aca="false">INDEX('Country Tiers'!$D$2:$D$37,MATCH(C1632,'Country Tiers'!$A$2:$A$37,0))</f>
        <v>1</v>
      </c>
    </row>
    <row r="1633" customFormat="false" ht="15" hidden="false" customHeight="false" outlineLevel="0" collapsed="false">
      <c r="A1633" s="12" t="s">
        <v>102</v>
      </c>
      <c r="B1633" s="12" t="s">
        <v>35</v>
      </c>
      <c r="C1633" s="12" t="s">
        <v>300</v>
      </c>
      <c r="D1633" s="12" t="str">
        <f aca="false">INDEX('Country Tiers'!$C$2:$C$37,MATCH(C1633,'Country Tiers'!$A$2:$A$37,0))</f>
        <v>Tier 3</v>
      </c>
      <c r="E1633" s="12" t="n">
        <f aca="false">INDEX('Country Tiers'!$D$2:$D$37,MATCH(C1633,'Country Tiers'!$A$2:$A$37,0))</f>
        <v>1</v>
      </c>
    </row>
    <row r="1634" customFormat="false" ht="15" hidden="false" customHeight="false" outlineLevel="0" collapsed="false">
      <c r="A1634" s="12" t="s">
        <v>102</v>
      </c>
      <c r="B1634" s="12" t="s">
        <v>35</v>
      </c>
      <c r="C1634" s="12" t="s">
        <v>301</v>
      </c>
      <c r="D1634" s="12" t="str">
        <f aca="false">INDEX('Country Tiers'!$C$2:$C$37,MATCH(C1634,'Country Tiers'!$A$2:$A$37,0))</f>
        <v>Tier 3</v>
      </c>
      <c r="E1634" s="12" t="n">
        <f aca="false">INDEX('Country Tiers'!$D$2:$D$37,MATCH(C1634,'Country Tiers'!$A$2:$A$37,0))</f>
        <v>1</v>
      </c>
    </row>
    <row r="1635" customFormat="false" ht="15" hidden="false" customHeight="false" outlineLevel="0" collapsed="false">
      <c r="A1635" s="12" t="s">
        <v>102</v>
      </c>
      <c r="B1635" s="12" t="s">
        <v>35</v>
      </c>
      <c r="C1635" s="12" t="s">
        <v>302</v>
      </c>
      <c r="D1635" s="12" t="str">
        <f aca="false">INDEX('Country Tiers'!$C$2:$C$37,MATCH(C1635,'Country Tiers'!$A$2:$A$37,0))</f>
        <v>Tier 3</v>
      </c>
      <c r="E1635" s="12" t="n">
        <f aca="false">INDEX('Country Tiers'!$D$2:$D$37,MATCH(C1635,'Country Tiers'!$A$2:$A$37,0))</f>
        <v>1</v>
      </c>
    </row>
    <row r="1636" customFormat="false" ht="15" hidden="false" customHeight="false" outlineLevel="0" collapsed="false">
      <c r="A1636" s="12" t="s">
        <v>102</v>
      </c>
      <c r="B1636" s="12" t="s">
        <v>35</v>
      </c>
      <c r="C1636" s="12" t="s">
        <v>305</v>
      </c>
      <c r="D1636" s="12" t="str">
        <f aca="false">INDEX('Country Tiers'!$C$2:$C$37,MATCH(C1636,'Country Tiers'!$A$2:$A$37,0))</f>
        <v>Tier 3</v>
      </c>
      <c r="E1636" s="12" t="n">
        <f aca="false">INDEX('Country Tiers'!$D$2:$D$37,MATCH(C1636,'Country Tiers'!$A$2:$A$37,0))</f>
        <v>1</v>
      </c>
    </row>
    <row r="1637" customFormat="false" ht="15" hidden="false" customHeight="false" outlineLevel="0" collapsed="false">
      <c r="A1637" s="12" t="s">
        <v>102</v>
      </c>
      <c r="B1637" s="12" t="s">
        <v>35</v>
      </c>
      <c r="C1637" s="12" t="s">
        <v>306</v>
      </c>
      <c r="D1637" s="12" t="str">
        <f aca="false">INDEX('Country Tiers'!$C$2:$C$37,MATCH(C1637,'Country Tiers'!$A$2:$A$37,0))</f>
        <v>Tier 3</v>
      </c>
      <c r="E1637" s="12" t="n">
        <f aca="false">INDEX('Country Tiers'!$D$2:$D$37,MATCH(C1637,'Country Tiers'!$A$2:$A$37,0))</f>
        <v>1</v>
      </c>
    </row>
    <row r="1638" customFormat="false" ht="15" hidden="false" customHeight="false" outlineLevel="0" collapsed="false">
      <c r="A1638" s="12" t="s">
        <v>102</v>
      </c>
      <c r="B1638" s="12" t="s">
        <v>35</v>
      </c>
      <c r="C1638" s="12" t="s">
        <v>307</v>
      </c>
      <c r="D1638" s="12" t="str">
        <f aca="false">INDEX('Country Tiers'!$C$2:$C$37,MATCH(C1638,'Country Tiers'!$A$2:$A$37,0))</f>
        <v>Tier 2</v>
      </c>
      <c r="E1638" s="12" t="n">
        <f aca="false">INDEX('Country Tiers'!$D$2:$D$37,MATCH(C1638,'Country Tiers'!$A$2:$A$37,0))</f>
        <v>2</v>
      </c>
    </row>
    <row r="1639" customFormat="false" ht="15" hidden="false" customHeight="false" outlineLevel="0" collapsed="false">
      <c r="A1639" s="12" t="s">
        <v>102</v>
      </c>
      <c r="B1639" s="12" t="s">
        <v>35</v>
      </c>
      <c r="C1639" s="12" t="s">
        <v>308</v>
      </c>
      <c r="D1639" s="12" t="str">
        <f aca="false">INDEX('Country Tiers'!$C$2:$C$37,MATCH(C1639,'Country Tiers'!$A$2:$A$37,0))</f>
        <v>Tier 3</v>
      </c>
      <c r="E1639" s="12" t="n">
        <f aca="false">INDEX('Country Tiers'!$D$2:$D$37,MATCH(C1639,'Country Tiers'!$A$2:$A$37,0))</f>
        <v>1</v>
      </c>
    </row>
    <row r="1640" customFormat="false" ht="15" hidden="false" customHeight="false" outlineLevel="0" collapsed="false">
      <c r="A1640" s="12" t="s">
        <v>102</v>
      </c>
      <c r="B1640" s="12" t="s">
        <v>35</v>
      </c>
      <c r="C1640" s="12" t="s">
        <v>313</v>
      </c>
      <c r="D1640" s="12" t="str">
        <f aca="false">INDEX('Country Tiers'!$C$2:$C$37,MATCH(C1640,'Country Tiers'!$A$2:$A$37,0))</f>
        <v>Tier 1</v>
      </c>
      <c r="E1640" s="12" t="n">
        <f aca="false">INDEX('Country Tiers'!$D$2:$D$37,MATCH(C1640,'Country Tiers'!$A$2:$A$37,0))</f>
        <v>3</v>
      </c>
    </row>
    <row r="1641" customFormat="false" ht="15" hidden="false" customHeight="false" outlineLevel="0" collapsed="false">
      <c r="A1641" s="12" t="s">
        <v>102</v>
      </c>
      <c r="B1641" s="12" t="s">
        <v>44</v>
      </c>
      <c r="C1641" s="12" t="s">
        <v>274</v>
      </c>
      <c r="D1641" s="12" t="str">
        <f aca="false">INDEX('Country Tiers'!$C$2:$C$37,MATCH(C1641,'Country Tiers'!$A$2:$A$37,0))</f>
        <v>Tier 3</v>
      </c>
      <c r="E1641" s="12" t="n">
        <f aca="false">INDEX('Country Tiers'!$D$2:$D$37,MATCH(C1641,'Country Tiers'!$A$2:$A$37,0))</f>
        <v>1</v>
      </c>
    </row>
    <row r="1642" customFormat="false" ht="15" hidden="false" customHeight="false" outlineLevel="0" collapsed="false">
      <c r="A1642" s="12" t="s">
        <v>102</v>
      </c>
      <c r="B1642" s="12" t="s">
        <v>44</v>
      </c>
      <c r="C1642" s="12" t="s">
        <v>277</v>
      </c>
      <c r="D1642" s="12" t="str">
        <f aca="false">INDEX('Country Tiers'!$C$2:$C$37,MATCH(C1642,'Country Tiers'!$A$2:$A$37,0))</f>
        <v>Tier 1</v>
      </c>
      <c r="E1642" s="12" t="n">
        <f aca="false">INDEX('Country Tiers'!$D$2:$D$37,MATCH(C1642,'Country Tiers'!$A$2:$A$37,0))</f>
        <v>3</v>
      </c>
    </row>
    <row r="1643" customFormat="false" ht="15" hidden="false" customHeight="false" outlineLevel="0" collapsed="false">
      <c r="A1643" s="12" t="s">
        <v>102</v>
      </c>
      <c r="B1643" s="12" t="s">
        <v>44</v>
      </c>
      <c r="C1643" s="12" t="s">
        <v>278</v>
      </c>
      <c r="D1643" s="12" t="str">
        <f aca="false">INDEX('Country Tiers'!$C$2:$C$37,MATCH(C1643,'Country Tiers'!$A$2:$A$37,0))</f>
        <v>Tier 3</v>
      </c>
      <c r="E1643" s="12" t="n">
        <f aca="false">INDEX('Country Tiers'!$D$2:$D$37,MATCH(C1643,'Country Tiers'!$A$2:$A$37,0))</f>
        <v>1</v>
      </c>
    </row>
    <row r="1644" customFormat="false" ht="15" hidden="false" customHeight="false" outlineLevel="0" collapsed="false">
      <c r="A1644" s="12" t="s">
        <v>102</v>
      </c>
      <c r="B1644" s="12" t="s">
        <v>44</v>
      </c>
      <c r="C1644" s="12" t="s">
        <v>280</v>
      </c>
      <c r="D1644" s="12" t="str">
        <f aca="false">INDEX('Country Tiers'!$C$2:$C$37,MATCH(C1644,'Country Tiers'!$A$2:$A$37,0))</f>
        <v>Tier 3</v>
      </c>
      <c r="E1644" s="12" t="n">
        <f aca="false">INDEX('Country Tiers'!$D$2:$D$37,MATCH(C1644,'Country Tiers'!$A$2:$A$37,0))</f>
        <v>1</v>
      </c>
    </row>
    <row r="1645" customFormat="false" ht="15" hidden="false" customHeight="false" outlineLevel="0" collapsed="false">
      <c r="A1645" s="12" t="s">
        <v>102</v>
      </c>
      <c r="B1645" s="12" t="s">
        <v>44</v>
      </c>
      <c r="C1645" s="12" t="s">
        <v>281</v>
      </c>
      <c r="D1645" s="12" t="str">
        <f aca="false">INDEX('Country Tiers'!$C$2:$C$37,MATCH(C1645,'Country Tiers'!$A$2:$A$37,0))</f>
        <v>Tier 3</v>
      </c>
      <c r="E1645" s="12" t="n">
        <f aca="false">INDEX('Country Tiers'!$D$2:$D$37,MATCH(C1645,'Country Tiers'!$A$2:$A$37,0))</f>
        <v>1</v>
      </c>
    </row>
    <row r="1646" customFormat="false" ht="15" hidden="false" customHeight="false" outlineLevel="0" collapsed="false">
      <c r="A1646" s="12" t="s">
        <v>102</v>
      </c>
      <c r="B1646" s="12" t="s">
        <v>44</v>
      </c>
      <c r="C1646" s="12" t="s">
        <v>282</v>
      </c>
      <c r="D1646" s="12" t="str">
        <f aca="false">INDEX('Country Tiers'!$C$2:$C$37,MATCH(C1646,'Country Tiers'!$A$2:$A$37,0))</f>
        <v>Tier 3</v>
      </c>
      <c r="E1646" s="12" t="n">
        <f aca="false">INDEX('Country Tiers'!$D$2:$D$37,MATCH(C1646,'Country Tiers'!$A$2:$A$37,0))</f>
        <v>1</v>
      </c>
    </row>
    <row r="1647" customFormat="false" ht="15" hidden="false" customHeight="false" outlineLevel="0" collapsed="false">
      <c r="A1647" s="12" t="s">
        <v>102</v>
      </c>
      <c r="B1647" s="12" t="s">
        <v>44</v>
      </c>
      <c r="C1647" s="12" t="s">
        <v>283</v>
      </c>
      <c r="D1647" s="12" t="str">
        <f aca="false">INDEX('Country Tiers'!$C$2:$C$37,MATCH(C1647,'Country Tiers'!$A$2:$A$37,0))</f>
        <v>Tier 3</v>
      </c>
      <c r="E1647" s="12" t="n">
        <f aca="false">INDEX('Country Tiers'!$D$2:$D$37,MATCH(C1647,'Country Tiers'!$A$2:$A$37,0))</f>
        <v>1</v>
      </c>
    </row>
    <row r="1648" customFormat="false" ht="15" hidden="false" customHeight="false" outlineLevel="0" collapsed="false">
      <c r="A1648" s="12" t="s">
        <v>102</v>
      </c>
      <c r="B1648" s="12" t="s">
        <v>44</v>
      </c>
      <c r="C1648" s="12" t="s">
        <v>284</v>
      </c>
      <c r="D1648" s="12" t="str">
        <f aca="false">INDEX('Country Tiers'!$C$2:$C$37,MATCH(C1648,'Country Tiers'!$A$2:$A$37,0))</f>
        <v>Tier 3</v>
      </c>
      <c r="E1648" s="12" t="n">
        <f aca="false">INDEX('Country Tiers'!$D$2:$D$37,MATCH(C1648,'Country Tiers'!$A$2:$A$37,0))</f>
        <v>1</v>
      </c>
    </row>
    <row r="1649" customFormat="false" ht="15" hidden="false" customHeight="false" outlineLevel="0" collapsed="false">
      <c r="A1649" s="12" t="s">
        <v>102</v>
      </c>
      <c r="B1649" s="12" t="s">
        <v>44</v>
      </c>
      <c r="C1649" s="12" t="s">
        <v>285</v>
      </c>
      <c r="D1649" s="12" t="str">
        <f aca="false">INDEX('Country Tiers'!$C$2:$C$37,MATCH(C1649,'Country Tiers'!$A$2:$A$37,0))</f>
        <v>Tier 3</v>
      </c>
      <c r="E1649" s="12" t="n">
        <f aca="false">INDEX('Country Tiers'!$D$2:$D$37,MATCH(C1649,'Country Tiers'!$A$2:$A$37,0))</f>
        <v>1</v>
      </c>
    </row>
    <row r="1650" customFormat="false" ht="15" hidden="false" customHeight="false" outlineLevel="0" collapsed="false">
      <c r="A1650" s="12" t="s">
        <v>102</v>
      </c>
      <c r="B1650" s="12" t="s">
        <v>44</v>
      </c>
      <c r="C1650" s="12" t="s">
        <v>286</v>
      </c>
      <c r="D1650" s="12" t="str">
        <f aca="false">INDEX('Country Tiers'!$C$2:$C$37,MATCH(C1650,'Country Tiers'!$A$2:$A$37,0))</f>
        <v>Tier 1</v>
      </c>
      <c r="E1650" s="12" t="n">
        <f aca="false">INDEX('Country Tiers'!$D$2:$D$37,MATCH(C1650,'Country Tiers'!$A$2:$A$37,0))</f>
        <v>3</v>
      </c>
    </row>
    <row r="1651" customFormat="false" ht="15" hidden="false" customHeight="false" outlineLevel="0" collapsed="false">
      <c r="A1651" s="12" t="s">
        <v>102</v>
      </c>
      <c r="B1651" s="12" t="s">
        <v>44</v>
      </c>
      <c r="C1651" s="12" t="s">
        <v>287</v>
      </c>
      <c r="D1651" s="12" t="str">
        <f aca="false">INDEX('Country Tiers'!$C$2:$C$37,MATCH(C1651,'Country Tiers'!$A$2:$A$37,0))</f>
        <v>Tier 1</v>
      </c>
      <c r="E1651" s="12" t="n">
        <f aca="false">INDEX('Country Tiers'!$D$2:$D$37,MATCH(C1651,'Country Tiers'!$A$2:$A$37,0))</f>
        <v>3</v>
      </c>
    </row>
    <row r="1652" customFormat="false" ht="15" hidden="false" customHeight="false" outlineLevel="0" collapsed="false">
      <c r="A1652" s="12" t="s">
        <v>102</v>
      </c>
      <c r="B1652" s="12" t="s">
        <v>44</v>
      </c>
      <c r="C1652" s="12" t="s">
        <v>288</v>
      </c>
      <c r="D1652" s="12" t="str">
        <f aca="false">INDEX('Country Tiers'!$C$2:$C$37,MATCH(C1652,'Country Tiers'!$A$2:$A$37,0))</f>
        <v>Tier 3</v>
      </c>
      <c r="E1652" s="12" t="n">
        <f aca="false">INDEX('Country Tiers'!$D$2:$D$37,MATCH(C1652,'Country Tiers'!$A$2:$A$37,0))</f>
        <v>1</v>
      </c>
    </row>
    <row r="1653" customFormat="false" ht="15" hidden="false" customHeight="false" outlineLevel="0" collapsed="false">
      <c r="A1653" s="12" t="s">
        <v>102</v>
      </c>
      <c r="B1653" s="12" t="s">
        <v>44</v>
      </c>
      <c r="C1653" s="12" t="s">
        <v>289</v>
      </c>
      <c r="D1653" s="12" t="str">
        <f aca="false">INDEX('Country Tiers'!$C$2:$C$37,MATCH(C1653,'Country Tiers'!$A$2:$A$37,0))</f>
        <v>Tier 3</v>
      </c>
      <c r="E1653" s="12" t="n">
        <f aca="false">INDEX('Country Tiers'!$D$2:$D$37,MATCH(C1653,'Country Tiers'!$A$2:$A$37,0))</f>
        <v>1</v>
      </c>
    </row>
    <row r="1654" customFormat="false" ht="15" hidden="false" customHeight="false" outlineLevel="0" collapsed="false">
      <c r="A1654" s="12" t="s">
        <v>102</v>
      </c>
      <c r="B1654" s="12" t="s">
        <v>44</v>
      </c>
      <c r="C1654" s="12" t="s">
        <v>290</v>
      </c>
      <c r="D1654" s="12" t="str">
        <f aca="false">INDEX('Country Tiers'!$C$2:$C$37,MATCH(C1654,'Country Tiers'!$A$2:$A$37,0))</f>
        <v>Tier 3</v>
      </c>
      <c r="E1654" s="12" t="n">
        <f aca="false">INDEX('Country Tiers'!$D$2:$D$37,MATCH(C1654,'Country Tiers'!$A$2:$A$37,0))</f>
        <v>1</v>
      </c>
    </row>
    <row r="1655" customFormat="false" ht="15" hidden="false" customHeight="false" outlineLevel="0" collapsed="false">
      <c r="A1655" s="12" t="s">
        <v>102</v>
      </c>
      <c r="B1655" s="12" t="s">
        <v>44</v>
      </c>
      <c r="C1655" s="12" t="s">
        <v>291</v>
      </c>
      <c r="D1655" s="12" t="str">
        <f aca="false">INDEX('Country Tiers'!$C$2:$C$37,MATCH(C1655,'Country Tiers'!$A$2:$A$37,0))</f>
        <v>Tier 3</v>
      </c>
      <c r="E1655" s="12" t="n">
        <f aca="false">INDEX('Country Tiers'!$D$2:$D$37,MATCH(C1655,'Country Tiers'!$A$2:$A$37,0))</f>
        <v>1</v>
      </c>
    </row>
    <row r="1656" customFormat="false" ht="15" hidden="false" customHeight="false" outlineLevel="0" collapsed="false">
      <c r="A1656" s="12" t="s">
        <v>102</v>
      </c>
      <c r="B1656" s="12" t="s">
        <v>44</v>
      </c>
      <c r="C1656" s="12" t="s">
        <v>292</v>
      </c>
      <c r="D1656" s="12" t="str">
        <f aca="false">INDEX('Country Tiers'!$C$2:$C$37,MATCH(C1656,'Country Tiers'!$A$2:$A$37,0))</f>
        <v>Tier 2</v>
      </c>
      <c r="E1656" s="12" t="n">
        <f aca="false">INDEX('Country Tiers'!$D$2:$D$37,MATCH(C1656,'Country Tiers'!$A$2:$A$37,0))</f>
        <v>2</v>
      </c>
    </row>
    <row r="1657" customFormat="false" ht="15" hidden="false" customHeight="false" outlineLevel="0" collapsed="false">
      <c r="A1657" s="12" t="s">
        <v>102</v>
      </c>
      <c r="B1657" s="12" t="s">
        <v>44</v>
      </c>
      <c r="C1657" s="12" t="s">
        <v>293</v>
      </c>
      <c r="D1657" s="12" t="str">
        <f aca="false">INDEX('Country Tiers'!$C$2:$C$37,MATCH(C1657,'Country Tiers'!$A$2:$A$37,0))</f>
        <v>Tier 3</v>
      </c>
      <c r="E1657" s="12" t="n">
        <f aca="false">INDEX('Country Tiers'!$D$2:$D$37,MATCH(C1657,'Country Tiers'!$A$2:$A$37,0))</f>
        <v>1</v>
      </c>
    </row>
    <row r="1658" customFormat="false" ht="15" hidden="false" customHeight="false" outlineLevel="0" collapsed="false">
      <c r="A1658" s="12" t="s">
        <v>102</v>
      </c>
      <c r="B1658" s="12" t="s">
        <v>44</v>
      </c>
      <c r="C1658" s="12" t="s">
        <v>294</v>
      </c>
      <c r="D1658" s="12" t="str">
        <f aca="false">INDEX('Country Tiers'!$C$2:$C$37,MATCH(C1658,'Country Tiers'!$A$2:$A$37,0))</f>
        <v>Tier 3</v>
      </c>
      <c r="E1658" s="12" t="n">
        <f aca="false">INDEX('Country Tiers'!$D$2:$D$37,MATCH(C1658,'Country Tiers'!$A$2:$A$37,0))</f>
        <v>1</v>
      </c>
    </row>
    <row r="1659" customFormat="false" ht="15" hidden="false" customHeight="false" outlineLevel="0" collapsed="false">
      <c r="A1659" s="12" t="s">
        <v>102</v>
      </c>
      <c r="B1659" s="12" t="s">
        <v>44</v>
      </c>
      <c r="C1659" s="12" t="s">
        <v>295</v>
      </c>
      <c r="D1659" s="12" t="str">
        <f aca="false">INDEX('Country Tiers'!$C$2:$C$37,MATCH(C1659,'Country Tiers'!$A$2:$A$37,0))</f>
        <v>Tier 3</v>
      </c>
      <c r="E1659" s="12" t="n">
        <f aca="false">INDEX('Country Tiers'!$D$2:$D$37,MATCH(C1659,'Country Tiers'!$A$2:$A$37,0))</f>
        <v>1</v>
      </c>
    </row>
    <row r="1660" customFormat="false" ht="15" hidden="false" customHeight="false" outlineLevel="0" collapsed="false">
      <c r="A1660" s="12" t="s">
        <v>102</v>
      </c>
      <c r="B1660" s="12" t="s">
        <v>44</v>
      </c>
      <c r="C1660" s="12" t="s">
        <v>296</v>
      </c>
      <c r="D1660" s="12" t="str">
        <f aca="false">INDEX('Country Tiers'!$C$2:$C$37,MATCH(C1660,'Country Tiers'!$A$2:$A$37,0))</f>
        <v>Tier 3</v>
      </c>
      <c r="E1660" s="12" t="n">
        <f aca="false">INDEX('Country Tiers'!$D$2:$D$37,MATCH(C1660,'Country Tiers'!$A$2:$A$37,0))</f>
        <v>1</v>
      </c>
    </row>
    <row r="1661" customFormat="false" ht="15" hidden="false" customHeight="false" outlineLevel="0" collapsed="false">
      <c r="A1661" s="12" t="s">
        <v>102</v>
      </c>
      <c r="B1661" s="12" t="s">
        <v>44</v>
      </c>
      <c r="C1661" s="12" t="s">
        <v>297</v>
      </c>
      <c r="D1661" s="12" t="str">
        <f aca="false">INDEX('Country Tiers'!$C$2:$C$37,MATCH(C1661,'Country Tiers'!$A$2:$A$37,0))</f>
        <v>Tier 2</v>
      </c>
      <c r="E1661" s="12" t="n">
        <f aca="false">INDEX('Country Tiers'!$D$2:$D$37,MATCH(C1661,'Country Tiers'!$A$2:$A$37,0))</f>
        <v>2</v>
      </c>
    </row>
    <row r="1662" customFormat="false" ht="15" hidden="false" customHeight="false" outlineLevel="0" collapsed="false">
      <c r="A1662" s="12" t="s">
        <v>102</v>
      </c>
      <c r="B1662" s="12" t="s">
        <v>44</v>
      </c>
      <c r="C1662" s="12" t="s">
        <v>298</v>
      </c>
      <c r="D1662" s="12" t="str">
        <f aca="false">INDEX('Country Tiers'!$C$2:$C$37,MATCH(C1662,'Country Tiers'!$A$2:$A$37,0))</f>
        <v>Tier 1</v>
      </c>
      <c r="E1662" s="12" t="n">
        <f aca="false">INDEX('Country Tiers'!$D$2:$D$37,MATCH(C1662,'Country Tiers'!$A$2:$A$37,0))</f>
        <v>3</v>
      </c>
    </row>
    <row r="1663" customFormat="false" ht="15" hidden="false" customHeight="false" outlineLevel="0" collapsed="false">
      <c r="A1663" s="12" t="s">
        <v>102</v>
      </c>
      <c r="B1663" s="12" t="s">
        <v>44</v>
      </c>
      <c r="C1663" s="12" t="s">
        <v>299</v>
      </c>
      <c r="D1663" s="12" t="str">
        <f aca="false">INDEX('Country Tiers'!$C$2:$C$37,MATCH(C1663,'Country Tiers'!$A$2:$A$37,0))</f>
        <v>Tier 3</v>
      </c>
      <c r="E1663" s="12" t="n">
        <f aca="false">INDEX('Country Tiers'!$D$2:$D$37,MATCH(C1663,'Country Tiers'!$A$2:$A$37,0))</f>
        <v>1</v>
      </c>
    </row>
    <row r="1664" customFormat="false" ht="15" hidden="false" customHeight="false" outlineLevel="0" collapsed="false">
      <c r="A1664" s="12" t="s">
        <v>102</v>
      </c>
      <c r="B1664" s="12" t="s">
        <v>44</v>
      </c>
      <c r="C1664" s="12" t="s">
        <v>300</v>
      </c>
      <c r="D1664" s="12" t="str">
        <f aca="false">INDEX('Country Tiers'!$C$2:$C$37,MATCH(C1664,'Country Tiers'!$A$2:$A$37,0))</f>
        <v>Tier 3</v>
      </c>
      <c r="E1664" s="12" t="n">
        <f aca="false">INDEX('Country Tiers'!$D$2:$D$37,MATCH(C1664,'Country Tiers'!$A$2:$A$37,0))</f>
        <v>1</v>
      </c>
    </row>
    <row r="1665" customFormat="false" ht="15" hidden="false" customHeight="false" outlineLevel="0" collapsed="false">
      <c r="A1665" s="12" t="s">
        <v>102</v>
      </c>
      <c r="B1665" s="12" t="s">
        <v>44</v>
      </c>
      <c r="C1665" s="12" t="s">
        <v>301</v>
      </c>
      <c r="D1665" s="12" t="str">
        <f aca="false">INDEX('Country Tiers'!$C$2:$C$37,MATCH(C1665,'Country Tiers'!$A$2:$A$37,0))</f>
        <v>Tier 3</v>
      </c>
      <c r="E1665" s="12" t="n">
        <f aca="false">INDEX('Country Tiers'!$D$2:$D$37,MATCH(C1665,'Country Tiers'!$A$2:$A$37,0))</f>
        <v>1</v>
      </c>
    </row>
    <row r="1666" customFormat="false" ht="15" hidden="false" customHeight="false" outlineLevel="0" collapsed="false">
      <c r="A1666" s="12" t="s">
        <v>102</v>
      </c>
      <c r="B1666" s="12" t="s">
        <v>44</v>
      </c>
      <c r="C1666" s="12" t="s">
        <v>302</v>
      </c>
      <c r="D1666" s="12" t="str">
        <f aca="false">INDEX('Country Tiers'!$C$2:$C$37,MATCH(C1666,'Country Tiers'!$A$2:$A$37,0))</f>
        <v>Tier 3</v>
      </c>
      <c r="E1666" s="12" t="n">
        <f aca="false">INDEX('Country Tiers'!$D$2:$D$37,MATCH(C1666,'Country Tiers'!$A$2:$A$37,0))</f>
        <v>1</v>
      </c>
    </row>
    <row r="1667" customFormat="false" ht="15" hidden="false" customHeight="false" outlineLevel="0" collapsed="false">
      <c r="A1667" s="12" t="s">
        <v>102</v>
      </c>
      <c r="B1667" s="12" t="s">
        <v>44</v>
      </c>
      <c r="C1667" s="12" t="s">
        <v>305</v>
      </c>
      <c r="D1667" s="12" t="str">
        <f aca="false">INDEX('Country Tiers'!$C$2:$C$37,MATCH(C1667,'Country Tiers'!$A$2:$A$37,0))</f>
        <v>Tier 3</v>
      </c>
      <c r="E1667" s="12" t="n">
        <f aca="false">INDEX('Country Tiers'!$D$2:$D$37,MATCH(C1667,'Country Tiers'!$A$2:$A$37,0))</f>
        <v>1</v>
      </c>
    </row>
    <row r="1668" customFormat="false" ht="15" hidden="false" customHeight="false" outlineLevel="0" collapsed="false">
      <c r="A1668" s="12" t="s">
        <v>102</v>
      </c>
      <c r="B1668" s="12" t="s">
        <v>44</v>
      </c>
      <c r="C1668" s="12" t="s">
        <v>306</v>
      </c>
      <c r="D1668" s="12" t="str">
        <f aca="false">INDEX('Country Tiers'!$C$2:$C$37,MATCH(C1668,'Country Tiers'!$A$2:$A$37,0))</f>
        <v>Tier 3</v>
      </c>
      <c r="E1668" s="12" t="n">
        <f aca="false">INDEX('Country Tiers'!$D$2:$D$37,MATCH(C1668,'Country Tiers'!$A$2:$A$37,0))</f>
        <v>1</v>
      </c>
    </row>
    <row r="1669" customFormat="false" ht="15" hidden="false" customHeight="false" outlineLevel="0" collapsed="false">
      <c r="A1669" s="12" t="s">
        <v>102</v>
      </c>
      <c r="B1669" s="12" t="s">
        <v>44</v>
      </c>
      <c r="C1669" s="12" t="s">
        <v>307</v>
      </c>
      <c r="D1669" s="12" t="str">
        <f aca="false">INDEX('Country Tiers'!$C$2:$C$37,MATCH(C1669,'Country Tiers'!$A$2:$A$37,0))</f>
        <v>Tier 2</v>
      </c>
      <c r="E1669" s="12" t="n">
        <f aca="false">INDEX('Country Tiers'!$D$2:$D$37,MATCH(C1669,'Country Tiers'!$A$2:$A$37,0))</f>
        <v>2</v>
      </c>
    </row>
    <row r="1670" customFormat="false" ht="15" hidden="false" customHeight="false" outlineLevel="0" collapsed="false">
      <c r="A1670" s="12" t="s">
        <v>102</v>
      </c>
      <c r="B1670" s="12" t="s">
        <v>44</v>
      </c>
      <c r="C1670" s="12" t="s">
        <v>308</v>
      </c>
      <c r="D1670" s="12" t="str">
        <f aca="false">INDEX('Country Tiers'!$C$2:$C$37,MATCH(C1670,'Country Tiers'!$A$2:$A$37,0))</f>
        <v>Tier 3</v>
      </c>
      <c r="E1670" s="12" t="n">
        <f aca="false">INDEX('Country Tiers'!$D$2:$D$37,MATCH(C1670,'Country Tiers'!$A$2:$A$37,0))</f>
        <v>1</v>
      </c>
    </row>
    <row r="1671" customFormat="false" ht="15" hidden="false" customHeight="false" outlineLevel="0" collapsed="false">
      <c r="A1671" s="12" t="s">
        <v>102</v>
      </c>
      <c r="B1671" s="12" t="s">
        <v>44</v>
      </c>
      <c r="C1671" s="12" t="s">
        <v>309</v>
      </c>
      <c r="D1671" s="12" t="str">
        <f aca="false">INDEX('Country Tiers'!$C$2:$C$37,MATCH(C1671,'Country Tiers'!$A$2:$A$37,0))</f>
        <v>Tier 1</v>
      </c>
      <c r="E1671" s="12" t="n">
        <f aca="false">INDEX('Country Tiers'!$D$2:$D$37,MATCH(C1671,'Country Tiers'!$A$2:$A$37,0))</f>
        <v>3</v>
      </c>
    </row>
    <row r="1672" customFormat="false" ht="15" hidden="false" customHeight="false" outlineLevel="0" collapsed="false">
      <c r="A1672" s="12" t="s">
        <v>102</v>
      </c>
      <c r="B1672" s="12" t="s">
        <v>44</v>
      </c>
      <c r="C1672" s="12" t="s">
        <v>313</v>
      </c>
      <c r="D1672" s="12" t="str">
        <f aca="false">INDEX('Country Tiers'!$C$2:$C$37,MATCH(C1672,'Country Tiers'!$A$2:$A$37,0))</f>
        <v>Tier 1</v>
      </c>
      <c r="E1672" s="12" t="n">
        <f aca="false">INDEX('Country Tiers'!$D$2:$D$37,MATCH(C1672,'Country Tiers'!$A$2:$A$37,0))</f>
        <v>3</v>
      </c>
    </row>
    <row r="1673" customFormat="false" ht="15" hidden="false" customHeight="false" outlineLevel="0" collapsed="false">
      <c r="A1673" s="12" t="s">
        <v>102</v>
      </c>
      <c r="B1673" s="12" t="s">
        <v>50</v>
      </c>
      <c r="C1673" s="12" t="s">
        <v>272</v>
      </c>
      <c r="D1673" s="12" t="str">
        <f aca="false">INDEX('Country Tiers'!$C$2:$C$37,MATCH(C1673,'Country Tiers'!$A$2:$A$37,0))</f>
        <v>Tier 2</v>
      </c>
      <c r="E1673" s="12" t="n">
        <f aca="false">INDEX('Country Tiers'!$D$2:$D$37,MATCH(C1673,'Country Tiers'!$A$2:$A$37,0))</f>
        <v>2</v>
      </c>
    </row>
    <row r="1674" customFormat="false" ht="15" hidden="false" customHeight="false" outlineLevel="0" collapsed="false">
      <c r="A1674" s="12" t="s">
        <v>102</v>
      </c>
      <c r="B1674" s="12" t="s">
        <v>50</v>
      </c>
      <c r="C1674" s="12" t="s">
        <v>274</v>
      </c>
      <c r="D1674" s="12" t="str">
        <f aca="false">INDEX('Country Tiers'!$C$2:$C$37,MATCH(C1674,'Country Tiers'!$A$2:$A$37,0))</f>
        <v>Tier 3</v>
      </c>
      <c r="E1674" s="12" t="n">
        <f aca="false">INDEX('Country Tiers'!$D$2:$D$37,MATCH(C1674,'Country Tiers'!$A$2:$A$37,0))</f>
        <v>1</v>
      </c>
    </row>
    <row r="1675" customFormat="false" ht="15" hidden="false" customHeight="false" outlineLevel="0" collapsed="false">
      <c r="A1675" s="12" t="s">
        <v>102</v>
      </c>
      <c r="B1675" s="12" t="s">
        <v>50</v>
      </c>
      <c r="C1675" s="12" t="s">
        <v>277</v>
      </c>
      <c r="D1675" s="12" t="str">
        <f aca="false">INDEX('Country Tiers'!$C$2:$C$37,MATCH(C1675,'Country Tiers'!$A$2:$A$37,0))</f>
        <v>Tier 1</v>
      </c>
      <c r="E1675" s="12" t="n">
        <f aca="false">INDEX('Country Tiers'!$D$2:$D$37,MATCH(C1675,'Country Tiers'!$A$2:$A$37,0))</f>
        <v>3</v>
      </c>
    </row>
    <row r="1676" customFormat="false" ht="15" hidden="false" customHeight="false" outlineLevel="0" collapsed="false">
      <c r="A1676" s="12" t="s">
        <v>102</v>
      </c>
      <c r="B1676" s="12" t="s">
        <v>50</v>
      </c>
      <c r="C1676" s="12" t="s">
        <v>278</v>
      </c>
      <c r="D1676" s="12" t="str">
        <f aca="false">INDEX('Country Tiers'!$C$2:$C$37,MATCH(C1676,'Country Tiers'!$A$2:$A$37,0))</f>
        <v>Tier 3</v>
      </c>
      <c r="E1676" s="12" t="n">
        <f aca="false">INDEX('Country Tiers'!$D$2:$D$37,MATCH(C1676,'Country Tiers'!$A$2:$A$37,0))</f>
        <v>1</v>
      </c>
    </row>
    <row r="1677" customFormat="false" ht="15" hidden="false" customHeight="false" outlineLevel="0" collapsed="false">
      <c r="A1677" s="12" t="s">
        <v>102</v>
      </c>
      <c r="B1677" s="12" t="s">
        <v>50</v>
      </c>
      <c r="C1677" s="12" t="s">
        <v>280</v>
      </c>
      <c r="D1677" s="12" t="str">
        <f aca="false">INDEX('Country Tiers'!$C$2:$C$37,MATCH(C1677,'Country Tiers'!$A$2:$A$37,0))</f>
        <v>Tier 3</v>
      </c>
      <c r="E1677" s="12" t="n">
        <f aca="false">INDEX('Country Tiers'!$D$2:$D$37,MATCH(C1677,'Country Tiers'!$A$2:$A$37,0))</f>
        <v>1</v>
      </c>
    </row>
    <row r="1678" customFormat="false" ht="15" hidden="false" customHeight="false" outlineLevel="0" collapsed="false">
      <c r="A1678" s="12" t="s">
        <v>102</v>
      </c>
      <c r="B1678" s="12" t="s">
        <v>50</v>
      </c>
      <c r="C1678" s="12" t="s">
        <v>281</v>
      </c>
      <c r="D1678" s="12" t="str">
        <f aca="false">INDEX('Country Tiers'!$C$2:$C$37,MATCH(C1678,'Country Tiers'!$A$2:$A$37,0))</f>
        <v>Tier 3</v>
      </c>
      <c r="E1678" s="12" t="n">
        <f aca="false">INDEX('Country Tiers'!$D$2:$D$37,MATCH(C1678,'Country Tiers'!$A$2:$A$37,0))</f>
        <v>1</v>
      </c>
    </row>
    <row r="1679" customFormat="false" ht="15" hidden="false" customHeight="false" outlineLevel="0" collapsed="false">
      <c r="A1679" s="12" t="s">
        <v>102</v>
      </c>
      <c r="B1679" s="12" t="s">
        <v>50</v>
      </c>
      <c r="C1679" s="12" t="s">
        <v>282</v>
      </c>
      <c r="D1679" s="12" t="str">
        <f aca="false">INDEX('Country Tiers'!$C$2:$C$37,MATCH(C1679,'Country Tiers'!$A$2:$A$37,0))</f>
        <v>Tier 3</v>
      </c>
      <c r="E1679" s="12" t="n">
        <f aca="false">INDEX('Country Tiers'!$D$2:$D$37,MATCH(C1679,'Country Tiers'!$A$2:$A$37,0))</f>
        <v>1</v>
      </c>
    </row>
    <row r="1680" customFormat="false" ht="15" hidden="false" customHeight="false" outlineLevel="0" collapsed="false">
      <c r="A1680" s="12" t="s">
        <v>102</v>
      </c>
      <c r="B1680" s="12" t="s">
        <v>50</v>
      </c>
      <c r="C1680" s="12" t="s">
        <v>283</v>
      </c>
      <c r="D1680" s="12" t="str">
        <f aca="false">INDEX('Country Tiers'!$C$2:$C$37,MATCH(C1680,'Country Tiers'!$A$2:$A$37,0))</f>
        <v>Tier 3</v>
      </c>
      <c r="E1680" s="12" t="n">
        <f aca="false">INDEX('Country Tiers'!$D$2:$D$37,MATCH(C1680,'Country Tiers'!$A$2:$A$37,0))</f>
        <v>1</v>
      </c>
    </row>
    <row r="1681" customFormat="false" ht="15" hidden="false" customHeight="false" outlineLevel="0" collapsed="false">
      <c r="A1681" s="12" t="s">
        <v>102</v>
      </c>
      <c r="B1681" s="12" t="s">
        <v>50</v>
      </c>
      <c r="C1681" s="12" t="s">
        <v>284</v>
      </c>
      <c r="D1681" s="12" t="str">
        <f aca="false">INDEX('Country Tiers'!$C$2:$C$37,MATCH(C1681,'Country Tiers'!$A$2:$A$37,0))</f>
        <v>Tier 3</v>
      </c>
      <c r="E1681" s="12" t="n">
        <f aca="false">INDEX('Country Tiers'!$D$2:$D$37,MATCH(C1681,'Country Tiers'!$A$2:$A$37,0))</f>
        <v>1</v>
      </c>
    </row>
    <row r="1682" customFormat="false" ht="15" hidden="false" customHeight="false" outlineLevel="0" collapsed="false">
      <c r="A1682" s="12" t="s">
        <v>102</v>
      </c>
      <c r="B1682" s="12" t="s">
        <v>50</v>
      </c>
      <c r="C1682" s="12" t="s">
        <v>285</v>
      </c>
      <c r="D1682" s="12" t="str">
        <f aca="false">INDEX('Country Tiers'!$C$2:$C$37,MATCH(C1682,'Country Tiers'!$A$2:$A$37,0))</f>
        <v>Tier 3</v>
      </c>
      <c r="E1682" s="12" t="n">
        <f aca="false">INDEX('Country Tiers'!$D$2:$D$37,MATCH(C1682,'Country Tiers'!$A$2:$A$37,0))</f>
        <v>1</v>
      </c>
    </row>
    <row r="1683" customFormat="false" ht="15" hidden="false" customHeight="false" outlineLevel="0" collapsed="false">
      <c r="A1683" s="12" t="s">
        <v>102</v>
      </c>
      <c r="B1683" s="12" t="s">
        <v>50</v>
      </c>
      <c r="C1683" s="12" t="s">
        <v>286</v>
      </c>
      <c r="D1683" s="12" t="str">
        <f aca="false">INDEX('Country Tiers'!$C$2:$C$37,MATCH(C1683,'Country Tiers'!$A$2:$A$37,0))</f>
        <v>Tier 1</v>
      </c>
      <c r="E1683" s="12" t="n">
        <f aca="false">INDEX('Country Tiers'!$D$2:$D$37,MATCH(C1683,'Country Tiers'!$A$2:$A$37,0))</f>
        <v>3</v>
      </c>
    </row>
    <row r="1684" customFormat="false" ht="15" hidden="false" customHeight="false" outlineLevel="0" collapsed="false">
      <c r="A1684" s="12" t="s">
        <v>102</v>
      </c>
      <c r="B1684" s="12" t="s">
        <v>50</v>
      </c>
      <c r="C1684" s="12" t="s">
        <v>287</v>
      </c>
      <c r="D1684" s="12" t="str">
        <f aca="false">INDEX('Country Tiers'!$C$2:$C$37,MATCH(C1684,'Country Tiers'!$A$2:$A$37,0))</f>
        <v>Tier 1</v>
      </c>
      <c r="E1684" s="12" t="n">
        <f aca="false">INDEX('Country Tiers'!$D$2:$D$37,MATCH(C1684,'Country Tiers'!$A$2:$A$37,0))</f>
        <v>3</v>
      </c>
    </row>
    <row r="1685" customFormat="false" ht="15" hidden="false" customHeight="false" outlineLevel="0" collapsed="false">
      <c r="A1685" s="12" t="s">
        <v>102</v>
      </c>
      <c r="B1685" s="12" t="s">
        <v>50</v>
      </c>
      <c r="C1685" s="12" t="s">
        <v>288</v>
      </c>
      <c r="D1685" s="12" t="str">
        <f aca="false">INDEX('Country Tiers'!$C$2:$C$37,MATCH(C1685,'Country Tiers'!$A$2:$A$37,0))</f>
        <v>Tier 3</v>
      </c>
      <c r="E1685" s="12" t="n">
        <f aca="false">INDEX('Country Tiers'!$D$2:$D$37,MATCH(C1685,'Country Tiers'!$A$2:$A$37,0))</f>
        <v>1</v>
      </c>
    </row>
    <row r="1686" customFormat="false" ht="15" hidden="false" customHeight="false" outlineLevel="0" collapsed="false">
      <c r="A1686" s="12" t="s">
        <v>102</v>
      </c>
      <c r="B1686" s="12" t="s">
        <v>50</v>
      </c>
      <c r="C1686" s="12" t="s">
        <v>289</v>
      </c>
      <c r="D1686" s="12" t="str">
        <f aca="false">INDEX('Country Tiers'!$C$2:$C$37,MATCH(C1686,'Country Tiers'!$A$2:$A$37,0))</f>
        <v>Tier 3</v>
      </c>
      <c r="E1686" s="12" t="n">
        <f aca="false">INDEX('Country Tiers'!$D$2:$D$37,MATCH(C1686,'Country Tiers'!$A$2:$A$37,0))</f>
        <v>1</v>
      </c>
    </row>
    <row r="1687" customFormat="false" ht="15" hidden="false" customHeight="false" outlineLevel="0" collapsed="false">
      <c r="A1687" s="12" t="s">
        <v>102</v>
      </c>
      <c r="B1687" s="12" t="s">
        <v>50</v>
      </c>
      <c r="C1687" s="12" t="s">
        <v>290</v>
      </c>
      <c r="D1687" s="12" t="str">
        <f aca="false">INDEX('Country Tiers'!$C$2:$C$37,MATCH(C1687,'Country Tiers'!$A$2:$A$37,0))</f>
        <v>Tier 3</v>
      </c>
      <c r="E1687" s="12" t="n">
        <f aca="false">INDEX('Country Tiers'!$D$2:$D$37,MATCH(C1687,'Country Tiers'!$A$2:$A$37,0))</f>
        <v>1</v>
      </c>
    </row>
    <row r="1688" customFormat="false" ht="15" hidden="false" customHeight="false" outlineLevel="0" collapsed="false">
      <c r="A1688" s="12" t="s">
        <v>102</v>
      </c>
      <c r="B1688" s="12" t="s">
        <v>50</v>
      </c>
      <c r="C1688" s="12" t="s">
        <v>291</v>
      </c>
      <c r="D1688" s="12" t="str">
        <f aca="false">INDEX('Country Tiers'!$C$2:$C$37,MATCH(C1688,'Country Tiers'!$A$2:$A$37,0))</f>
        <v>Tier 3</v>
      </c>
      <c r="E1688" s="12" t="n">
        <f aca="false">INDEX('Country Tiers'!$D$2:$D$37,MATCH(C1688,'Country Tiers'!$A$2:$A$37,0))</f>
        <v>1</v>
      </c>
    </row>
    <row r="1689" customFormat="false" ht="15" hidden="false" customHeight="false" outlineLevel="0" collapsed="false">
      <c r="A1689" s="12" t="s">
        <v>102</v>
      </c>
      <c r="B1689" s="12" t="s">
        <v>50</v>
      </c>
      <c r="C1689" s="12" t="s">
        <v>292</v>
      </c>
      <c r="D1689" s="12" t="str">
        <f aca="false">INDEX('Country Tiers'!$C$2:$C$37,MATCH(C1689,'Country Tiers'!$A$2:$A$37,0))</f>
        <v>Tier 2</v>
      </c>
      <c r="E1689" s="12" t="n">
        <f aca="false">INDEX('Country Tiers'!$D$2:$D$37,MATCH(C1689,'Country Tiers'!$A$2:$A$37,0))</f>
        <v>2</v>
      </c>
    </row>
    <row r="1690" customFormat="false" ht="15" hidden="false" customHeight="false" outlineLevel="0" collapsed="false">
      <c r="A1690" s="12" t="s">
        <v>102</v>
      </c>
      <c r="B1690" s="12" t="s">
        <v>50</v>
      </c>
      <c r="C1690" s="12" t="s">
        <v>293</v>
      </c>
      <c r="D1690" s="12" t="str">
        <f aca="false">INDEX('Country Tiers'!$C$2:$C$37,MATCH(C1690,'Country Tiers'!$A$2:$A$37,0))</f>
        <v>Tier 3</v>
      </c>
      <c r="E1690" s="12" t="n">
        <f aca="false">INDEX('Country Tiers'!$D$2:$D$37,MATCH(C1690,'Country Tiers'!$A$2:$A$37,0))</f>
        <v>1</v>
      </c>
    </row>
    <row r="1691" customFormat="false" ht="15" hidden="false" customHeight="false" outlineLevel="0" collapsed="false">
      <c r="A1691" s="12" t="s">
        <v>102</v>
      </c>
      <c r="B1691" s="12" t="s">
        <v>50</v>
      </c>
      <c r="C1691" s="12" t="s">
        <v>294</v>
      </c>
      <c r="D1691" s="12" t="str">
        <f aca="false">INDEX('Country Tiers'!$C$2:$C$37,MATCH(C1691,'Country Tiers'!$A$2:$A$37,0))</f>
        <v>Tier 3</v>
      </c>
      <c r="E1691" s="12" t="n">
        <f aca="false">INDEX('Country Tiers'!$D$2:$D$37,MATCH(C1691,'Country Tiers'!$A$2:$A$37,0))</f>
        <v>1</v>
      </c>
    </row>
    <row r="1692" customFormat="false" ht="15" hidden="false" customHeight="false" outlineLevel="0" collapsed="false">
      <c r="A1692" s="12" t="s">
        <v>102</v>
      </c>
      <c r="B1692" s="12" t="s">
        <v>50</v>
      </c>
      <c r="C1692" s="12" t="s">
        <v>295</v>
      </c>
      <c r="D1692" s="12" t="str">
        <f aca="false">INDEX('Country Tiers'!$C$2:$C$37,MATCH(C1692,'Country Tiers'!$A$2:$A$37,0))</f>
        <v>Tier 3</v>
      </c>
      <c r="E1692" s="12" t="n">
        <f aca="false">INDEX('Country Tiers'!$D$2:$D$37,MATCH(C1692,'Country Tiers'!$A$2:$A$37,0))</f>
        <v>1</v>
      </c>
    </row>
    <row r="1693" customFormat="false" ht="15" hidden="false" customHeight="false" outlineLevel="0" collapsed="false">
      <c r="A1693" s="12" t="s">
        <v>102</v>
      </c>
      <c r="B1693" s="12" t="s">
        <v>50</v>
      </c>
      <c r="C1693" s="12" t="s">
        <v>296</v>
      </c>
      <c r="D1693" s="12" t="str">
        <f aca="false">INDEX('Country Tiers'!$C$2:$C$37,MATCH(C1693,'Country Tiers'!$A$2:$A$37,0))</f>
        <v>Tier 3</v>
      </c>
      <c r="E1693" s="12" t="n">
        <f aca="false">INDEX('Country Tiers'!$D$2:$D$37,MATCH(C1693,'Country Tiers'!$A$2:$A$37,0))</f>
        <v>1</v>
      </c>
    </row>
    <row r="1694" customFormat="false" ht="15" hidden="false" customHeight="false" outlineLevel="0" collapsed="false">
      <c r="A1694" s="12" t="s">
        <v>102</v>
      </c>
      <c r="B1694" s="12" t="s">
        <v>50</v>
      </c>
      <c r="C1694" s="12" t="s">
        <v>297</v>
      </c>
      <c r="D1694" s="12" t="str">
        <f aca="false">INDEX('Country Tiers'!$C$2:$C$37,MATCH(C1694,'Country Tiers'!$A$2:$A$37,0))</f>
        <v>Tier 2</v>
      </c>
      <c r="E1694" s="12" t="n">
        <f aca="false">INDEX('Country Tiers'!$D$2:$D$37,MATCH(C1694,'Country Tiers'!$A$2:$A$37,0))</f>
        <v>2</v>
      </c>
    </row>
    <row r="1695" customFormat="false" ht="15" hidden="false" customHeight="false" outlineLevel="0" collapsed="false">
      <c r="A1695" s="12" t="s">
        <v>102</v>
      </c>
      <c r="B1695" s="12" t="s">
        <v>50</v>
      </c>
      <c r="C1695" s="12" t="s">
        <v>298</v>
      </c>
      <c r="D1695" s="12" t="str">
        <f aca="false">INDEX('Country Tiers'!$C$2:$C$37,MATCH(C1695,'Country Tiers'!$A$2:$A$37,0))</f>
        <v>Tier 1</v>
      </c>
      <c r="E1695" s="12" t="n">
        <f aca="false">INDEX('Country Tiers'!$D$2:$D$37,MATCH(C1695,'Country Tiers'!$A$2:$A$37,0))</f>
        <v>3</v>
      </c>
    </row>
    <row r="1696" customFormat="false" ht="15" hidden="false" customHeight="false" outlineLevel="0" collapsed="false">
      <c r="A1696" s="12" t="s">
        <v>102</v>
      </c>
      <c r="B1696" s="12" t="s">
        <v>50</v>
      </c>
      <c r="C1696" s="12" t="s">
        <v>299</v>
      </c>
      <c r="D1696" s="12" t="str">
        <f aca="false">INDEX('Country Tiers'!$C$2:$C$37,MATCH(C1696,'Country Tiers'!$A$2:$A$37,0))</f>
        <v>Tier 3</v>
      </c>
      <c r="E1696" s="12" t="n">
        <f aca="false">INDEX('Country Tiers'!$D$2:$D$37,MATCH(C1696,'Country Tiers'!$A$2:$A$37,0))</f>
        <v>1</v>
      </c>
    </row>
    <row r="1697" customFormat="false" ht="15" hidden="false" customHeight="false" outlineLevel="0" collapsed="false">
      <c r="A1697" s="12" t="s">
        <v>102</v>
      </c>
      <c r="B1697" s="12" t="s">
        <v>50</v>
      </c>
      <c r="C1697" s="12" t="s">
        <v>300</v>
      </c>
      <c r="D1697" s="12" t="str">
        <f aca="false">INDEX('Country Tiers'!$C$2:$C$37,MATCH(C1697,'Country Tiers'!$A$2:$A$37,0))</f>
        <v>Tier 3</v>
      </c>
      <c r="E1697" s="12" t="n">
        <f aca="false">INDEX('Country Tiers'!$D$2:$D$37,MATCH(C1697,'Country Tiers'!$A$2:$A$37,0))</f>
        <v>1</v>
      </c>
    </row>
    <row r="1698" customFormat="false" ht="15" hidden="false" customHeight="false" outlineLevel="0" collapsed="false">
      <c r="A1698" s="12" t="s">
        <v>102</v>
      </c>
      <c r="B1698" s="12" t="s">
        <v>50</v>
      </c>
      <c r="C1698" s="12" t="s">
        <v>301</v>
      </c>
      <c r="D1698" s="12" t="str">
        <f aca="false">INDEX('Country Tiers'!$C$2:$C$37,MATCH(C1698,'Country Tiers'!$A$2:$A$37,0))</f>
        <v>Tier 3</v>
      </c>
      <c r="E1698" s="12" t="n">
        <f aca="false">INDEX('Country Tiers'!$D$2:$D$37,MATCH(C1698,'Country Tiers'!$A$2:$A$37,0))</f>
        <v>1</v>
      </c>
    </row>
    <row r="1699" customFormat="false" ht="15" hidden="false" customHeight="false" outlineLevel="0" collapsed="false">
      <c r="A1699" s="12" t="s">
        <v>102</v>
      </c>
      <c r="B1699" s="12" t="s">
        <v>50</v>
      </c>
      <c r="C1699" s="12" t="s">
        <v>302</v>
      </c>
      <c r="D1699" s="12" t="str">
        <f aca="false">INDEX('Country Tiers'!$C$2:$C$37,MATCH(C1699,'Country Tiers'!$A$2:$A$37,0))</f>
        <v>Tier 3</v>
      </c>
      <c r="E1699" s="12" t="n">
        <f aca="false">INDEX('Country Tiers'!$D$2:$D$37,MATCH(C1699,'Country Tiers'!$A$2:$A$37,0))</f>
        <v>1</v>
      </c>
    </row>
    <row r="1700" customFormat="false" ht="15" hidden="false" customHeight="false" outlineLevel="0" collapsed="false">
      <c r="A1700" s="12" t="s">
        <v>102</v>
      </c>
      <c r="B1700" s="12" t="s">
        <v>50</v>
      </c>
      <c r="C1700" s="12" t="s">
        <v>305</v>
      </c>
      <c r="D1700" s="12" t="str">
        <f aca="false">INDEX('Country Tiers'!$C$2:$C$37,MATCH(C1700,'Country Tiers'!$A$2:$A$37,0))</f>
        <v>Tier 3</v>
      </c>
      <c r="E1700" s="12" t="n">
        <f aca="false">INDEX('Country Tiers'!$D$2:$D$37,MATCH(C1700,'Country Tiers'!$A$2:$A$37,0))</f>
        <v>1</v>
      </c>
    </row>
    <row r="1701" customFormat="false" ht="15" hidden="false" customHeight="false" outlineLevel="0" collapsed="false">
      <c r="A1701" s="12" t="s">
        <v>102</v>
      </c>
      <c r="B1701" s="12" t="s">
        <v>50</v>
      </c>
      <c r="C1701" s="12" t="s">
        <v>306</v>
      </c>
      <c r="D1701" s="12" t="str">
        <f aca="false">INDEX('Country Tiers'!$C$2:$C$37,MATCH(C1701,'Country Tiers'!$A$2:$A$37,0))</f>
        <v>Tier 3</v>
      </c>
      <c r="E1701" s="12" t="n">
        <f aca="false">INDEX('Country Tiers'!$D$2:$D$37,MATCH(C1701,'Country Tiers'!$A$2:$A$37,0))</f>
        <v>1</v>
      </c>
    </row>
    <row r="1702" customFormat="false" ht="15" hidden="false" customHeight="false" outlineLevel="0" collapsed="false">
      <c r="A1702" s="12" t="s">
        <v>102</v>
      </c>
      <c r="B1702" s="12" t="s">
        <v>50</v>
      </c>
      <c r="C1702" s="12" t="s">
        <v>307</v>
      </c>
      <c r="D1702" s="12" t="str">
        <f aca="false">INDEX('Country Tiers'!$C$2:$C$37,MATCH(C1702,'Country Tiers'!$A$2:$A$37,0))</f>
        <v>Tier 2</v>
      </c>
      <c r="E1702" s="12" t="n">
        <f aca="false">INDEX('Country Tiers'!$D$2:$D$37,MATCH(C1702,'Country Tiers'!$A$2:$A$37,0))</f>
        <v>2</v>
      </c>
    </row>
    <row r="1703" customFormat="false" ht="15" hidden="false" customHeight="false" outlineLevel="0" collapsed="false">
      <c r="A1703" s="12" t="s">
        <v>102</v>
      </c>
      <c r="B1703" s="12" t="s">
        <v>50</v>
      </c>
      <c r="C1703" s="12" t="s">
        <v>308</v>
      </c>
      <c r="D1703" s="12" t="str">
        <f aca="false">INDEX('Country Tiers'!$C$2:$C$37,MATCH(C1703,'Country Tiers'!$A$2:$A$37,0))</f>
        <v>Tier 3</v>
      </c>
      <c r="E1703" s="12" t="n">
        <f aca="false">INDEX('Country Tiers'!$D$2:$D$37,MATCH(C1703,'Country Tiers'!$A$2:$A$37,0))</f>
        <v>1</v>
      </c>
    </row>
    <row r="1704" customFormat="false" ht="15" hidden="false" customHeight="false" outlineLevel="0" collapsed="false">
      <c r="A1704" s="12" t="s">
        <v>102</v>
      </c>
      <c r="B1704" s="12" t="s">
        <v>50</v>
      </c>
      <c r="C1704" s="12" t="s">
        <v>313</v>
      </c>
      <c r="D1704" s="12" t="str">
        <f aca="false">INDEX('Country Tiers'!$C$2:$C$37,MATCH(C1704,'Country Tiers'!$A$2:$A$37,0))</f>
        <v>Tier 1</v>
      </c>
      <c r="E1704" s="12" t="n">
        <f aca="false">INDEX('Country Tiers'!$D$2:$D$37,MATCH(C1704,'Country Tiers'!$A$2:$A$37,0))</f>
        <v>3</v>
      </c>
    </row>
    <row r="1705" customFormat="false" ht="15" hidden="false" customHeight="false" outlineLevel="0" collapsed="false">
      <c r="A1705" s="12" t="s">
        <v>103</v>
      </c>
      <c r="B1705" s="12" t="s">
        <v>36</v>
      </c>
      <c r="C1705" s="12" t="s">
        <v>311</v>
      </c>
      <c r="D1705" s="12" t="str">
        <f aca="false">INDEX('Country Tiers'!$C$2:$C$37,MATCH(C1705,'Country Tiers'!$A$2:$A$37,0))</f>
        <v>Tier 1</v>
      </c>
      <c r="E1705" s="12" t="n">
        <f aca="false">INDEX('Country Tiers'!$D$2:$D$37,MATCH(C1705,'Country Tiers'!$A$2:$A$37,0))</f>
        <v>3</v>
      </c>
    </row>
    <row r="1706" customFormat="false" ht="15" hidden="false" customHeight="false" outlineLevel="0" collapsed="false">
      <c r="A1706" s="12" t="s">
        <v>104</v>
      </c>
      <c r="B1706" s="12" t="s">
        <v>41</v>
      </c>
      <c r="C1706" s="12" t="s">
        <v>274</v>
      </c>
      <c r="D1706" s="12" t="str">
        <f aca="false">INDEX('Country Tiers'!$C$2:$C$37,MATCH(C1706,'Country Tiers'!$A$2:$A$37,0))</f>
        <v>Tier 3</v>
      </c>
      <c r="E1706" s="12" t="n">
        <f aca="false">INDEX('Country Tiers'!$D$2:$D$37,MATCH(C1706,'Country Tiers'!$A$2:$A$37,0))</f>
        <v>1</v>
      </c>
    </row>
    <row r="1707" customFormat="false" ht="15" hidden="false" customHeight="false" outlineLevel="0" collapsed="false">
      <c r="A1707" s="12" t="s">
        <v>104</v>
      </c>
      <c r="B1707" s="12" t="s">
        <v>41</v>
      </c>
      <c r="C1707" s="12" t="s">
        <v>277</v>
      </c>
      <c r="D1707" s="12" t="str">
        <f aca="false">INDEX('Country Tiers'!$C$2:$C$37,MATCH(C1707,'Country Tiers'!$A$2:$A$37,0))</f>
        <v>Tier 1</v>
      </c>
      <c r="E1707" s="12" t="n">
        <f aca="false">INDEX('Country Tiers'!$D$2:$D$37,MATCH(C1707,'Country Tiers'!$A$2:$A$37,0))</f>
        <v>3</v>
      </c>
    </row>
    <row r="1708" customFormat="false" ht="15" hidden="false" customHeight="false" outlineLevel="0" collapsed="false">
      <c r="A1708" s="12" t="s">
        <v>104</v>
      </c>
      <c r="B1708" s="12" t="s">
        <v>41</v>
      </c>
      <c r="C1708" s="12" t="s">
        <v>280</v>
      </c>
      <c r="D1708" s="12" t="str">
        <f aca="false">INDEX('Country Tiers'!$C$2:$C$37,MATCH(C1708,'Country Tiers'!$A$2:$A$37,0))</f>
        <v>Tier 3</v>
      </c>
      <c r="E1708" s="12" t="n">
        <f aca="false">INDEX('Country Tiers'!$D$2:$D$37,MATCH(C1708,'Country Tiers'!$A$2:$A$37,0))</f>
        <v>1</v>
      </c>
    </row>
    <row r="1709" customFormat="false" ht="15" hidden="false" customHeight="false" outlineLevel="0" collapsed="false">
      <c r="A1709" s="12" t="s">
        <v>104</v>
      </c>
      <c r="B1709" s="12" t="s">
        <v>41</v>
      </c>
      <c r="C1709" s="12" t="s">
        <v>282</v>
      </c>
      <c r="D1709" s="12" t="str">
        <f aca="false">INDEX('Country Tiers'!$C$2:$C$37,MATCH(C1709,'Country Tiers'!$A$2:$A$37,0))</f>
        <v>Tier 3</v>
      </c>
      <c r="E1709" s="12" t="n">
        <f aca="false">INDEX('Country Tiers'!$D$2:$D$37,MATCH(C1709,'Country Tiers'!$A$2:$A$37,0))</f>
        <v>1</v>
      </c>
    </row>
    <row r="1710" customFormat="false" ht="15" hidden="false" customHeight="false" outlineLevel="0" collapsed="false">
      <c r="A1710" s="12" t="s">
        <v>104</v>
      </c>
      <c r="B1710" s="12" t="s">
        <v>41</v>
      </c>
      <c r="C1710" s="12" t="s">
        <v>286</v>
      </c>
      <c r="D1710" s="12" t="str">
        <f aca="false">INDEX('Country Tiers'!$C$2:$C$37,MATCH(C1710,'Country Tiers'!$A$2:$A$37,0))</f>
        <v>Tier 1</v>
      </c>
      <c r="E1710" s="12" t="n">
        <f aca="false">INDEX('Country Tiers'!$D$2:$D$37,MATCH(C1710,'Country Tiers'!$A$2:$A$37,0))</f>
        <v>3</v>
      </c>
    </row>
    <row r="1711" customFormat="false" ht="15" hidden="false" customHeight="false" outlineLevel="0" collapsed="false">
      <c r="A1711" s="12" t="s">
        <v>104</v>
      </c>
      <c r="B1711" s="12" t="s">
        <v>41</v>
      </c>
      <c r="C1711" s="12" t="s">
        <v>287</v>
      </c>
      <c r="D1711" s="12" t="str">
        <f aca="false">INDEX('Country Tiers'!$C$2:$C$37,MATCH(C1711,'Country Tiers'!$A$2:$A$37,0))</f>
        <v>Tier 1</v>
      </c>
      <c r="E1711" s="12" t="n">
        <f aca="false">INDEX('Country Tiers'!$D$2:$D$37,MATCH(C1711,'Country Tiers'!$A$2:$A$37,0))</f>
        <v>3</v>
      </c>
    </row>
    <row r="1712" customFormat="false" ht="15" hidden="false" customHeight="false" outlineLevel="0" collapsed="false">
      <c r="A1712" s="12" t="s">
        <v>104</v>
      </c>
      <c r="B1712" s="12" t="s">
        <v>41</v>
      </c>
      <c r="C1712" s="12" t="s">
        <v>289</v>
      </c>
      <c r="D1712" s="12" t="str">
        <f aca="false">INDEX('Country Tiers'!$C$2:$C$37,MATCH(C1712,'Country Tiers'!$A$2:$A$37,0))</f>
        <v>Tier 3</v>
      </c>
      <c r="E1712" s="12" t="n">
        <f aca="false">INDEX('Country Tiers'!$D$2:$D$37,MATCH(C1712,'Country Tiers'!$A$2:$A$37,0))</f>
        <v>1</v>
      </c>
    </row>
    <row r="1713" customFormat="false" ht="15" hidden="false" customHeight="false" outlineLevel="0" collapsed="false">
      <c r="A1713" s="12" t="s">
        <v>104</v>
      </c>
      <c r="B1713" s="12" t="s">
        <v>41</v>
      </c>
      <c r="C1713" s="12" t="s">
        <v>295</v>
      </c>
      <c r="D1713" s="12" t="str">
        <f aca="false">INDEX('Country Tiers'!$C$2:$C$37,MATCH(C1713,'Country Tiers'!$A$2:$A$37,0))</f>
        <v>Tier 3</v>
      </c>
      <c r="E1713" s="12" t="n">
        <f aca="false">INDEX('Country Tiers'!$D$2:$D$37,MATCH(C1713,'Country Tiers'!$A$2:$A$37,0))</f>
        <v>1</v>
      </c>
    </row>
    <row r="1714" customFormat="false" ht="15" hidden="false" customHeight="false" outlineLevel="0" collapsed="false">
      <c r="A1714" s="12" t="s">
        <v>104</v>
      </c>
      <c r="B1714" s="12" t="s">
        <v>41</v>
      </c>
      <c r="C1714" s="12" t="s">
        <v>296</v>
      </c>
      <c r="D1714" s="12" t="str">
        <f aca="false">INDEX('Country Tiers'!$C$2:$C$37,MATCH(C1714,'Country Tiers'!$A$2:$A$37,0))</f>
        <v>Tier 3</v>
      </c>
      <c r="E1714" s="12" t="n">
        <f aca="false">INDEX('Country Tiers'!$D$2:$D$37,MATCH(C1714,'Country Tiers'!$A$2:$A$37,0))</f>
        <v>1</v>
      </c>
    </row>
    <row r="1715" customFormat="false" ht="15" hidden="false" customHeight="false" outlineLevel="0" collapsed="false">
      <c r="A1715" s="12" t="s">
        <v>104</v>
      </c>
      <c r="B1715" s="12" t="s">
        <v>41</v>
      </c>
      <c r="C1715" s="12" t="s">
        <v>298</v>
      </c>
      <c r="D1715" s="12" t="str">
        <f aca="false">INDEX('Country Tiers'!$C$2:$C$37,MATCH(C1715,'Country Tiers'!$A$2:$A$37,0))</f>
        <v>Tier 1</v>
      </c>
      <c r="E1715" s="12" t="n">
        <f aca="false">INDEX('Country Tiers'!$D$2:$D$37,MATCH(C1715,'Country Tiers'!$A$2:$A$37,0))</f>
        <v>3</v>
      </c>
    </row>
    <row r="1716" customFormat="false" ht="15" hidden="false" customHeight="false" outlineLevel="0" collapsed="false">
      <c r="A1716" s="12" t="s">
        <v>104</v>
      </c>
      <c r="B1716" s="12" t="s">
        <v>41</v>
      </c>
      <c r="C1716" s="12" t="s">
        <v>300</v>
      </c>
      <c r="D1716" s="12" t="str">
        <f aca="false">INDEX('Country Tiers'!$C$2:$C$37,MATCH(C1716,'Country Tiers'!$A$2:$A$37,0))</f>
        <v>Tier 3</v>
      </c>
      <c r="E1716" s="12" t="n">
        <f aca="false">INDEX('Country Tiers'!$D$2:$D$37,MATCH(C1716,'Country Tiers'!$A$2:$A$37,0))</f>
        <v>1</v>
      </c>
    </row>
    <row r="1717" customFormat="false" ht="15" hidden="false" customHeight="false" outlineLevel="0" collapsed="false">
      <c r="A1717" s="12" t="s">
        <v>104</v>
      </c>
      <c r="B1717" s="12" t="s">
        <v>41</v>
      </c>
      <c r="C1717" s="12" t="s">
        <v>301</v>
      </c>
      <c r="D1717" s="12" t="str">
        <f aca="false">INDEX('Country Tiers'!$C$2:$C$37,MATCH(C1717,'Country Tiers'!$A$2:$A$37,0))</f>
        <v>Tier 3</v>
      </c>
      <c r="E1717" s="12" t="n">
        <f aca="false">INDEX('Country Tiers'!$D$2:$D$37,MATCH(C1717,'Country Tiers'!$A$2:$A$37,0))</f>
        <v>1</v>
      </c>
    </row>
    <row r="1718" customFormat="false" ht="15" hidden="false" customHeight="false" outlineLevel="0" collapsed="false">
      <c r="A1718" s="12" t="s">
        <v>104</v>
      </c>
      <c r="B1718" s="12" t="s">
        <v>41</v>
      </c>
      <c r="C1718" s="12" t="s">
        <v>302</v>
      </c>
      <c r="D1718" s="12" t="str">
        <f aca="false">INDEX('Country Tiers'!$C$2:$C$37,MATCH(C1718,'Country Tiers'!$A$2:$A$37,0))</f>
        <v>Tier 3</v>
      </c>
      <c r="E1718" s="12" t="n">
        <f aca="false">INDEX('Country Tiers'!$D$2:$D$37,MATCH(C1718,'Country Tiers'!$A$2:$A$37,0))</f>
        <v>1</v>
      </c>
    </row>
    <row r="1719" customFormat="false" ht="15" hidden="false" customHeight="false" outlineLevel="0" collapsed="false">
      <c r="A1719" s="12" t="s">
        <v>104</v>
      </c>
      <c r="B1719" s="12" t="s">
        <v>41</v>
      </c>
      <c r="C1719" s="12" t="s">
        <v>303</v>
      </c>
      <c r="D1719" s="12" t="str">
        <f aca="false">INDEX('Country Tiers'!$C$2:$C$37,MATCH(C1719,'Country Tiers'!$A$2:$A$37,0))</f>
        <v>Tier 2</v>
      </c>
      <c r="E1719" s="12" t="n">
        <f aca="false">INDEX('Country Tiers'!$D$2:$D$37,MATCH(C1719,'Country Tiers'!$A$2:$A$37,0))</f>
        <v>2</v>
      </c>
    </row>
    <row r="1720" customFormat="false" ht="15" hidden="false" customHeight="false" outlineLevel="0" collapsed="false">
      <c r="A1720" s="12" t="s">
        <v>104</v>
      </c>
      <c r="B1720" s="12" t="s">
        <v>41</v>
      </c>
      <c r="C1720" s="12" t="s">
        <v>307</v>
      </c>
      <c r="D1720" s="12" t="str">
        <f aca="false">INDEX('Country Tiers'!$C$2:$C$37,MATCH(C1720,'Country Tiers'!$A$2:$A$37,0))</f>
        <v>Tier 2</v>
      </c>
      <c r="E1720" s="12" t="n">
        <f aca="false">INDEX('Country Tiers'!$D$2:$D$37,MATCH(C1720,'Country Tiers'!$A$2:$A$37,0))</f>
        <v>2</v>
      </c>
    </row>
    <row r="1721" customFormat="false" ht="15" hidden="false" customHeight="false" outlineLevel="0" collapsed="false">
      <c r="A1721" s="12" t="s">
        <v>104</v>
      </c>
      <c r="B1721" s="12" t="s">
        <v>41</v>
      </c>
      <c r="C1721" s="12" t="s">
        <v>313</v>
      </c>
      <c r="D1721" s="12" t="str">
        <f aca="false">INDEX('Country Tiers'!$C$2:$C$37,MATCH(C1721,'Country Tiers'!$A$2:$A$37,0))</f>
        <v>Tier 1</v>
      </c>
      <c r="E1721" s="12" t="n">
        <f aca="false">INDEX('Country Tiers'!$D$2:$D$37,MATCH(C1721,'Country Tiers'!$A$2:$A$37,0))</f>
        <v>3</v>
      </c>
    </row>
    <row r="1722" customFormat="false" ht="15" hidden="false" customHeight="false" outlineLevel="0" collapsed="false">
      <c r="A1722" s="12" t="s">
        <v>104</v>
      </c>
      <c r="B1722" s="12" t="s">
        <v>36</v>
      </c>
      <c r="C1722" s="12" t="s">
        <v>311</v>
      </c>
      <c r="D1722" s="12" t="str">
        <f aca="false">INDEX('Country Tiers'!$C$2:$C$37,MATCH(C1722,'Country Tiers'!$A$2:$A$37,0))</f>
        <v>Tier 1</v>
      </c>
      <c r="E1722" s="12" t="n">
        <f aca="false">INDEX('Country Tiers'!$D$2:$D$37,MATCH(C1722,'Country Tiers'!$A$2:$A$37,0))</f>
        <v>3</v>
      </c>
    </row>
    <row r="1723" customFormat="false" ht="15" hidden="false" customHeight="false" outlineLevel="0" collapsed="false">
      <c r="A1723" s="12" t="s">
        <v>105</v>
      </c>
      <c r="B1723" s="12" t="s">
        <v>40</v>
      </c>
      <c r="C1723" s="12" t="s">
        <v>311</v>
      </c>
      <c r="D1723" s="12" t="str">
        <f aca="false">INDEX('Country Tiers'!$C$2:$C$37,MATCH(C1723,'Country Tiers'!$A$2:$A$37,0))</f>
        <v>Tier 1</v>
      </c>
      <c r="E1723" s="12" t="n">
        <f aca="false">INDEX('Country Tiers'!$D$2:$D$37,MATCH(C1723,'Country Tiers'!$A$2:$A$37,0))</f>
        <v>3</v>
      </c>
    </row>
    <row r="1724" customFormat="false" ht="15" hidden="false" customHeight="false" outlineLevel="0" collapsed="false">
      <c r="A1724" s="12" t="s">
        <v>106</v>
      </c>
      <c r="B1724" s="12" t="s">
        <v>40</v>
      </c>
      <c r="C1724" s="12" t="s">
        <v>272</v>
      </c>
      <c r="D1724" s="12" t="str">
        <f aca="false">INDEX('Country Tiers'!$C$2:$C$37,MATCH(C1724,'Country Tiers'!$A$2:$A$37,0))</f>
        <v>Tier 2</v>
      </c>
      <c r="E1724" s="12" t="n">
        <f aca="false">INDEX('Country Tiers'!$D$2:$D$37,MATCH(C1724,'Country Tiers'!$A$2:$A$37,0))</f>
        <v>2</v>
      </c>
    </row>
    <row r="1725" customFormat="false" ht="15" hidden="false" customHeight="false" outlineLevel="0" collapsed="false">
      <c r="A1725" s="12" t="s">
        <v>106</v>
      </c>
      <c r="B1725" s="12" t="s">
        <v>41</v>
      </c>
      <c r="C1725" s="12" t="s">
        <v>303</v>
      </c>
      <c r="D1725" s="12" t="str">
        <f aca="false">INDEX('Country Tiers'!$C$2:$C$37,MATCH(C1725,'Country Tiers'!$A$2:$A$37,0))</f>
        <v>Tier 2</v>
      </c>
      <c r="E1725" s="12" t="n">
        <f aca="false">INDEX('Country Tiers'!$D$2:$D$37,MATCH(C1725,'Country Tiers'!$A$2:$A$37,0))</f>
        <v>2</v>
      </c>
    </row>
    <row r="1726" customFormat="false" ht="15" hidden="false" customHeight="false" outlineLevel="0" collapsed="false">
      <c r="A1726" s="12" t="s">
        <v>107</v>
      </c>
      <c r="B1726" s="12" t="s">
        <v>55</v>
      </c>
      <c r="C1726" s="12" t="s">
        <v>272</v>
      </c>
      <c r="D1726" s="12" t="str">
        <f aca="false">INDEX('Country Tiers'!$C$2:$C$37,MATCH(C1726,'Country Tiers'!$A$2:$A$37,0))</f>
        <v>Tier 2</v>
      </c>
      <c r="E1726" s="12" t="n">
        <f aca="false">INDEX('Country Tiers'!$D$2:$D$37,MATCH(C1726,'Country Tiers'!$A$2:$A$37,0))</f>
        <v>2</v>
      </c>
    </row>
    <row r="1727" customFormat="false" ht="15" hidden="false" customHeight="false" outlineLevel="0" collapsed="false">
      <c r="A1727" s="12" t="s">
        <v>108</v>
      </c>
      <c r="B1727" s="12" t="s">
        <v>47</v>
      </c>
      <c r="C1727" s="12" t="s">
        <v>272</v>
      </c>
      <c r="D1727" s="12" t="str">
        <f aca="false">INDEX('Country Tiers'!$C$2:$C$37,MATCH(C1727,'Country Tiers'!$A$2:$A$37,0))</f>
        <v>Tier 2</v>
      </c>
      <c r="E1727" s="12" t="n">
        <f aca="false">INDEX('Country Tiers'!$D$2:$D$37,MATCH(C1727,'Country Tiers'!$A$2:$A$37,0))</f>
        <v>2</v>
      </c>
    </row>
    <row r="1728" customFormat="false" ht="15" hidden="false" customHeight="false" outlineLevel="0" collapsed="false">
      <c r="A1728" s="12" t="s">
        <v>108</v>
      </c>
      <c r="B1728" s="12" t="s">
        <v>44</v>
      </c>
      <c r="C1728" s="12" t="s">
        <v>274</v>
      </c>
      <c r="D1728" s="12" t="str">
        <f aca="false">INDEX('Country Tiers'!$C$2:$C$37,MATCH(C1728,'Country Tiers'!$A$2:$A$37,0))</f>
        <v>Tier 3</v>
      </c>
      <c r="E1728" s="12" t="n">
        <f aca="false">INDEX('Country Tiers'!$D$2:$D$37,MATCH(C1728,'Country Tiers'!$A$2:$A$37,0))</f>
        <v>1</v>
      </c>
    </row>
    <row r="1729" customFormat="false" ht="15" hidden="false" customHeight="false" outlineLevel="0" collapsed="false">
      <c r="A1729" s="12" t="s">
        <v>108</v>
      </c>
      <c r="B1729" s="12" t="s">
        <v>44</v>
      </c>
      <c r="C1729" s="12" t="s">
        <v>277</v>
      </c>
      <c r="D1729" s="12" t="str">
        <f aca="false">INDEX('Country Tiers'!$C$2:$C$37,MATCH(C1729,'Country Tiers'!$A$2:$A$37,0))</f>
        <v>Tier 1</v>
      </c>
      <c r="E1729" s="12" t="n">
        <f aca="false">INDEX('Country Tiers'!$D$2:$D$37,MATCH(C1729,'Country Tiers'!$A$2:$A$37,0))</f>
        <v>3</v>
      </c>
    </row>
    <row r="1730" customFormat="false" ht="15" hidden="false" customHeight="false" outlineLevel="0" collapsed="false">
      <c r="A1730" s="12" t="s">
        <v>108</v>
      </c>
      <c r="B1730" s="12" t="s">
        <v>44</v>
      </c>
      <c r="C1730" s="12" t="s">
        <v>280</v>
      </c>
      <c r="D1730" s="12" t="str">
        <f aca="false">INDEX('Country Tiers'!$C$2:$C$37,MATCH(C1730,'Country Tiers'!$A$2:$A$37,0))</f>
        <v>Tier 3</v>
      </c>
      <c r="E1730" s="12" t="n">
        <f aca="false">INDEX('Country Tiers'!$D$2:$D$37,MATCH(C1730,'Country Tiers'!$A$2:$A$37,0))</f>
        <v>1</v>
      </c>
    </row>
    <row r="1731" customFormat="false" ht="15" hidden="false" customHeight="false" outlineLevel="0" collapsed="false">
      <c r="A1731" s="12" t="s">
        <v>108</v>
      </c>
      <c r="B1731" s="12" t="s">
        <v>44</v>
      </c>
      <c r="C1731" s="12" t="s">
        <v>282</v>
      </c>
      <c r="D1731" s="12" t="str">
        <f aca="false">INDEX('Country Tiers'!$C$2:$C$37,MATCH(C1731,'Country Tiers'!$A$2:$A$37,0))</f>
        <v>Tier 3</v>
      </c>
      <c r="E1731" s="12" t="n">
        <f aca="false">INDEX('Country Tiers'!$D$2:$D$37,MATCH(C1731,'Country Tiers'!$A$2:$A$37,0))</f>
        <v>1</v>
      </c>
    </row>
    <row r="1732" customFormat="false" ht="15" hidden="false" customHeight="false" outlineLevel="0" collapsed="false">
      <c r="A1732" s="12" t="s">
        <v>108</v>
      </c>
      <c r="B1732" s="12" t="s">
        <v>44</v>
      </c>
      <c r="C1732" s="12" t="s">
        <v>283</v>
      </c>
      <c r="D1732" s="12" t="str">
        <f aca="false">INDEX('Country Tiers'!$C$2:$C$37,MATCH(C1732,'Country Tiers'!$A$2:$A$37,0))</f>
        <v>Tier 3</v>
      </c>
      <c r="E1732" s="12" t="n">
        <f aca="false">INDEX('Country Tiers'!$D$2:$D$37,MATCH(C1732,'Country Tiers'!$A$2:$A$37,0))</f>
        <v>1</v>
      </c>
    </row>
    <row r="1733" customFormat="false" ht="15" hidden="false" customHeight="false" outlineLevel="0" collapsed="false">
      <c r="A1733" s="12" t="s">
        <v>108</v>
      </c>
      <c r="B1733" s="12" t="s">
        <v>44</v>
      </c>
      <c r="C1733" s="12" t="s">
        <v>284</v>
      </c>
      <c r="D1733" s="12" t="str">
        <f aca="false">INDEX('Country Tiers'!$C$2:$C$37,MATCH(C1733,'Country Tiers'!$A$2:$A$37,0))</f>
        <v>Tier 3</v>
      </c>
      <c r="E1733" s="12" t="n">
        <f aca="false">INDEX('Country Tiers'!$D$2:$D$37,MATCH(C1733,'Country Tiers'!$A$2:$A$37,0))</f>
        <v>1</v>
      </c>
    </row>
    <row r="1734" customFormat="false" ht="15" hidden="false" customHeight="false" outlineLevel="0" collapsed="false">
      <c r="A1734" s="12" t="s">
        <v>108</v>
      </c>
      <c r="B1734" s="12" t="s">
        <v>44</v>
      </c>
      <c r="C1734" s="12" t="s">
        <v>285</v>
      </c>
      <c r="D1734" s="12" t="str">
        <f aca="false">INDEX('Country Tiers'!$C$2:$C$37,MATCH(C1734,'Country Tiers'!$A$2:$A$37,0))</f>
        <v>Tier 3</v>
      </c>
      <c r="E1734" s="12" t="n">
        <f aca="false">INDEX('Country Tiers'!$D$2:$D$37,MATCH(C1734,'Country Tiers'!$A$2:$A$37,0))</f>
        <v>1</v>
      </c>
    </row>
    <row r="1735" customFormat="false" ht="15" hidden="false" customHeight="false" outlineLevel="0" collapsed="false">
      <c r="A1735" s="12" t="s">
        <v>108</v>
      </c>
      <c r="B1735" s="12" t="s">
        <v>44</v>
      </c>
      <c r="C1735" s="12" t="s">
        <v>286</v>
      </c>
      <c r="D1735" s="12" t="str">
        <f aca="false">INDEX('Country Tiers'!$C$2:$C$37,MATCH(C1735,'Country Tiers'!$A$2:$A$37,0))</f>
        <v>Tier 1</v>
      </c>
      <c r="E1735" s="12" t="n">
        <f aca="false">INDEX('Country Tiers'!$D$2:$D$37,MATCH(C1735,'Country Tiers'!$A$2:$A$37,0))</f>
        <v>3</v>
      </c>
    </row>
    <row r="1736" customFormat="false" ht="15" hidden="false" customHeight="false" outlineLevel="0" collapsed="false">
      <c r="A1736" s="12" t="s">
        <v>108</v>
      </c>
      <c r="B1736" s="12" t="s">
        <v>44</v>
      </c>
      <c r="C1736" s="12" t="s">
        <v>287</v>
      </c>
      <c r="D1736" s="12" t="str">
        <f aca="false">INDEX('Country Tiers'!$C$2:$C$37,MATCH(C1736,'Country Tiers'!$A$2:$A$37,0))</f>
        <v>Tier 1</v>
      </c>
      <c r="E1736" s="12" t="n">
        <f aca="false">INDEX('Country Tiers'!$D$2:$D$37,MATCH(C1736,'Country Tiers'!$A$2:$A$37,0))</f>
        <v>3</v>
      </c>
    </row>
    <row r="1737" customFormat="false" ht="15" hidden="false" customHeight="false" outlineLevel="0" collapsed="false">
      <c r="A1737" s="12" t="s">
        <v>108</v>
      </c>
      <c r="B1737" s="12" t="s">
        <v>44</v>
      </c>
      <c r="C1737" s="12" t="s">
        <v>288</v>
      </c>
      <c r="D1737" s="12" t="str">
        <f aca="false">INDEX('Country Tiers'!$C$2:$C$37,MATCH(C1737,'Country Tiers'!$A$2:$A$37,0))</f>
        <v>Tier 3</v>
      </c>
      <c r="E1737" s="12" t="n">
        <f aca="false">INDEX('Country Tiers'!$D$2:$D$37,MATCH(C1737,'Country Tiers'!$A$2:$A$37,0))</f>
        <v>1</v>
      </c>
    </row>
    <row r="1738" customFormat="false" ht="15" hidden="false" customHeight="false" outlineLevel="0" collapsed="false">
      <c r="A1738" s="12" t="s">
        <v>108</v>
      </c>
      <c r="B1738" s="12" t="s">
        <v>44</v>
      </c>
      <c r="C1738" s="12" t="s">
        <v>290</v>
      </c>
      <c r="D1738" s="12" t="str">
        <f aca="false">INDEX('Country Tiers'!$C$2:$C$37,MATCH(C1738,'Country Tiers'!$A$2:$A$37,0))</f>
        <v>Tier 3</v>
      </c>
      <c r="E1738" s="12" t="n">
        <f aca="false">INDEX('Country Tiers'!$D$2:$D$37,MATCH(C1738,'Country Tiers'!$A$2:$A$37,0))</f>
        <v>1</v>
      </c>
    </row>
    <row r="1739" customFormat="false" ht="15" hidden="false" customHeight="false" outlineLevel="0" collapsed="false">
      <c r="A1739" s="12" t="s">
        <v>108</v>
      </c>
      <c r="B1739" s="12" t="s">
        <v>44</v>
      </c>
      <c r="C1739" s="12" t="s">
        <v>291</v>
      </c>
      <c r="D1739" s="12" t="str">
        <f aca="false">INDEX('Country Tiers'!$C$2:$C$37,MATCH(C1739,'Country Tiers'!$A$2:$A$37,0))</f>
        <v>Tier 3</v>
      </c>
      <c r="E1739" s="12" t="n">
        <f aca="false">INDEX('Country Tiers'!$D$2:$D$37,MATCH(C1739,'Country Tiers'!$A$2:$A$37,0))</f>
        <v>1</v>
      </c>
    </row>
    <row r="1740" customFormat="false" ht="15" hidden="false" customHeight="false" outlineLevel="0" collapsed="false">
      <c r="A1740" s="12" t="s">
        <v>108</v>
      </c>
      <c r="B1740" s="12" t="s">
        <v>44</v>
      </c>
      <c r="C1740" s="12" t="s">
        <v>296</v>
      </c>
      <c r="D1740" s="12" t="str">
        <f aca="false">INDEX('Country Tiers'!$C$2:$C$37,MATCH(C1740,'Country Tiers'!$A$2:$A$37,0))</f>
        <v>Tier 3</v>
      </c>
      <c r="E1740" s="12" t="n">
        <f aca="false">INDEX('Country Tiers'!$D$2:$D$37,MATCH(C1740,'Country Tiers'!$A$2:$A$37,0))</f>
        <v>1</v>
      </c>
    </row>
    <row r="1741" customFormat="false" ht="15" hidden="false" customHeight="false" outlineLevel="0" collapsed="false">
      <c r="A1741" s="12" t="s">
        <v>108</v>
      </c>
      <c r="B1741" s="12" t="s">
        <v>44</v>
      </c>
      <c r="C1741" s="12" t="s">
        <v>297</v>
      </c>
      <c r="D1741" s="12" t="str">
        <f aca="false">INDEX('Country Tiers'!$C$2:$C$37,MATCH(C1741,'Country Tiers'!$A$2:$A$37,0))</f>
        <v>Tier 2</v>
      </c>
      <c r="E1741" s="12" t="n">
        <f aca="false">INDEX('Country Tiers'!$D$2:$D$37,MATCH(C1741,'Country Tiers'!$A$2:$A$37,0))</f>
        <v>2</v>
      </c>
    </row>
    <row r="1742" customFormat="false" ht="15" hidden="false" customHeight="false" outlineLevel="0" collapsed="false">
      <c r="A1742" s="12" t="s">
        <v>108</v>
      </c>
      <c r="B1742" s="12" t="s">
        <v>44</v>
      </c>
      <c r="C1742" s="12" t="s">
        <v>298</v>
      </c>
      <c r="D1742" s="12" t="str">
        <f aca="false">INDEX('Country Tiers'!$C$2:$C$37,MATCH(C1742,'Country Tiers'!$A$2:$A$37,0))</f>
        <v>Tier 1</v>
      </c>
      <c r="E1742" s="12" t="n">
        <f aca="false">INDEX('Country Tiers'!$D$2:$D$37,MATCH(C1742,'Country Tiers'!$A$2:$A$37,0))</f>
        <v>3</v>
      </c>
    </row>
    <row r="1743" customFormat="false" ht="15" hidden="false" customHeight="false" outlineLevel="0" collapsed="false">
      <c r="A1743" s="12" t="s">
        <v>108</v>
      </c>
      <c r="B1743" s="12" t="s">
        <v>44</v>
      </c>
      <c r="C1743" s="12" t="s">
        <v>299</v>
      </c>
      <c r="D1743" s="12" t="str">
        <f aca="false">INDEX('Country Tiers'!$C$2:$C$37,MATCH(C1743,'Country Tiers'!$A$2:$A$37,0))</f>
        <v>Tier 3</v>
      </c>
      <c r="E1743" s="12" t="n">
        <f aca="false">INDEX('Country Tiers'!$D$2:$D$37,MATCH(C1743,'Country Tiers'!$A$2:$A$37,0))</f>
        <v>1</v>
      </c>
    </row>
    <row r="1744" customFormat="false" ht="15" hidden="false" customHeight="false" outlineLevel="0" collapsed="false">
      <c r="A1744" s="12" t="s">
        <v>108</v>
      </c>
      <c r="B1744" s="12" t="s">
        <v>44</v>
      </c>
      <c r="C1744" s="12" t="s">
        <v>301</v>
      </c>
      <c r="D1744" s="12" t="str">
        <f aca="false">INDEX('Country Tiers'!$C$2:$C$37,MATCH(C1744,'Country Tiers'!$A$2:$A$37,0))</f>
        <v>Tier 3</v>
      </c>
      <c r="E1744" s="12" t="n">
        <f aca="false">INDEX('Country Tiers'!$D$2:$D$37,MATCH(C1744,'Country Tiers'!$A$2:$A$37,0))</f>
        <v>1</v>
      </c>
    </row>
    <row r="1745" customFormat="false" ht="15" hidden="false" customHeight="false" outlineLevel="0" collapsed="false">
      <c r="A1745" s="12" t="s">
        <v>108</v>
      </c>
      <c r="B1745" s="12" t="s">
        <v>44</v>
      </c>
      <c r="C1745" s="12" t="s">
        <v>306</v>
      </c>
      <c r="D1745" s="12" t="str">
        <f aca="false">INDEX('Country Tiers'!$C$2:$C$37,MATCH(C1745,'Country Tiers'!$A$2:$A$37,0))</f>
        <v>Tier 3</v>
      </c>
      <c r="E1745" s="12" t="n">
        <f aca="false">INDEX('Country Tiers'!$D$2:$D$37,MATCH(C1745,'Country Tiers'!$A$2:$A$37,0))</f>
        <v>1</v>
      </c>
    </row>
    <row r="1746" customFormat="false" ht="15" hidden="false" customHeight="false" outlineLevel="0" collapsed="false">
      <c r="A1746" s="12" t="s">
        <v>108</v>
      </c>
      <c r="B1746" s="12" t="s">
        <v>44</v>
      </c>
      <c r="C1746" s="12" t="s">
        <v>308</v>
      </c>
      <c r="D1746" s="12" t="str">
        <f aca="false">INDEX('Country Tiers'!$C$2:$C$37,MATCH(C1746,'Country Tiers'!$A$2:$A$37,0))</f>
        <v>Tier 3</v>
      </c>
      <c r="E1746" s="12" t="n">
        <f aca="false">INDEX('Country Tiers'!$D$2:$D$37,MATCH(C1746,'Country Tiers'!$A$2:$A$37,0))</f>
        <v>1</v>
      </c>
    </row>
    <row r="1747" customFormat="false" ht="15" hidden="false" customHeight="false" outlineLevel="0" collapsed="false">
      <c r="A1747" s="12" t="s">
        <v>108</v>
      </c>
      <c r="B1747" s="12" t="s">
        <v>44</v>
      </c>
      <c r="C1747" s="12" t="s">
        <v>313</v>
      </c>
      <c r="D1747" s="12" t="str">
        <f aca="false">INDEX('Country Tiers'!$C$2:$C$37,MATCH(C1747,'Country Tiers'!$A$2:$A$37,0))</f>
        <v>Tier 1</v>
      </c>
      <c r="E1747" s="12" t="n">
        <f aca="false">INDEX('Country Tiers'!$D$2:$D$37,MATCH(C1747,'Country Tiers'!$A$2:$A$37,0))</f>
        <v>3</v>
      </c>
    </row>
    <row r="1748" customFormat="false" ht="15" hidden="false" customHeight="false" outlineLevel="0" collapsed="false">
      <c r="A1748" s="12" t="s">
        <v>109</v>
      </c>
      <c r="B1748" s="12" t="s">
        <v>44</v>
      </c>
      <c r="C1748" s="12" t="s">
        <v>274</v>
      </c>
      <c r="D1748" s="12" t="str">
        <f aca="false">INDEX('Country Tiers'!$C$2:$C$37,MATCH(C1748,'Country Tiers'!$A$2:$A$37,0))</f>
        <v>Tier 3</v>
      </c>
      <c r="E1748" s="12" t="n">
        <f aca="false">INDEX('Country Tiers'!$D$2:$D$37,MATCH(C1748,'Country Tiers'!$A$2:$A$37,0))</f>
        <v>1</v>
      </c>
    </row>
    <row r="1749" customFormat="false" ht="15" hidden="false" customHeight="false" outlineLevel="0" collapsed="false">
      <c r="A1749" s="12" t="s">
        <v>109</v>
      </c>
      <c r="B1749" s="12" t="s">
        <v>44</v>
      </c>
      <c r="C1749" s="12" t="s">
        <v>277</v>
      </c>
      <c r="D1749" s="12" t="str">
        <f aca="false">INDEX('Country Tiers'!$C$2:$C$37,MATCH(C1749,'Country Tiers'!$A$2:$A$37,0))</f>
        <v>Tier 1</v>
      </c>
      <c r="E1749" s="12" t="n">
        <f aca="false">INDEX('Country Tiers'!$D$2:$D$37,MATCH(C1749,'Country Tiers'!$A$2:$A$37,0))</f>
        <v>3</v>
      </c>
    </row>
    <row r="1750" customFormat="false" ht="15" hidden="false" customHeight="false" outlineLevel="0" collapsed="false">
      <c r="A1750" s="12" t="s">
        <v>109</v>
      </c>
      <c r="B1750" s="12" t="s">
        <v>44</v>
      </c>
      <c r="C1750" s="12" t="s">
        <v>278</v>
      </c>
      <c r="D1750" s="12" t="str">
        <f aca="false">INDEX('Country Tiers'!$C$2:$C$37,MATCH(C1750,'Country Tiers'!$A$2:$A$37,0))</f>
        <v>Tier 3</v>
      </c>
      <c r="E1750" s="12" t="n">
        <f aca="false">INDEX('Country Tiers'!$D$2:$D$37,MATCH(C1750,'Country Tiers'!$A$2:$A$37,0))</f>
        <v>1</v>
      </c>
    </row>
    <row r="1751" customFormat="false" ht="15" hidden="false" customHeight="false" outlineLevel="0" collapsed="false">
      <c r="A1751" s="12" t="s">
        <v>109</v>
      </c>
      <c r="B1751" s="12" t="s">
        <v>44</v>
      </c>
      <c r="C1751" s="12" t="s">
        <v>280</v>
      </c>
      <c r="D1751" s="12" t="str">
        <f aca="false">INDEX('Country Tiers'!$C$2:$C$37,MATCH(C1751,'Country Tiers'!$A$2:$A$37,0))</f>
        <v>Tier 3</v>
      </c>
      <c r="E1751" s="12" t="n">
        <f aca="false">INDEX('Country Tiers'!$D$2:$D$37,MATCH(C1751,'Country Tiers'!$A$2:$A$37,0))</f>
        <v>1</v>
      </c>
    </row>
    <row r="1752" customFormat="false" ht="15" hidden="false" customHeight="false" outlineLevel="0" collapsed="false">
      <c r="A1752" s="12" t="s">
        <v>109</v>
      </c>
      <c r="B1752" s="12" t="s">
        <v>44</v>
      </c>
      <c r="C1752" s="12" t="s">
        <v>281</v>
      </c>
      <c r="D1752" s="12" t="str">
        <f aca="false">INDEX('Country Tiers'!$C$2:$C$37,MATCH(C1752,'Country Tiers'!$A$2:$A$37,0))</f>
        <v>Tier 3</v>
      </c>
      <c r="E1752" s="12" t="n">
        <f aca="false">INDEX('Country Tiers'!$D$2:$D$37,MATCH(C1752,'Country Tiers'!$A$2:$A$37,0))</f>
        <v>1</v>
      </c>
    </row>
    <row r="1753" customFormat="false" ht="15" hidden="false" customHeight="false" outlineLevel="0" collapsed="false">
      <c r="A1753" s="12" t="s">
        <v>109</v>
      </c>
      <c r="B1753" s="12" t="s">
        <v>44</v>
      </c>
      <c r="C1753" s="12" t="s">
        <v>282</v>
      </c>
      <c r="D1753" s="12" t="str">
        <f aca="false">INDEX('Country Tiers'!$C$2:$C$37,MATCH(C1753,'Country Tiers'!$A$2:$A$37,0))</f>
        <v>Tier 3</v>
      </c>
      <c r="E1753" s="12" t="n">
        <f aca="false">INDEX('Country Tiers'!$D$2:$D$37,MATCH(C1753,'Country Tiers'!$A$2:$A$37,0))</f>
        <v>1</v>
      </c>
    </row>
    <row r="1754" customFormat="false" ht="15" hidden="false" customHeight="false" outlineLevel="0" collapsed="false">
      <c r="A1754" s="12" t="s">
        <v>109</v>
      </c>
      <c r="B1754" s="12" t="s">
        <v>44</v>
      </c>
      <c r="C1754" s="12" t="s">
        <v>283</v>
      </c>
      <c r="D1754" s="12" t="str">
        <f aca="false">INDEX('Country Tiers'!$C$2:$C$37,MATCH(C1754,'Country Tiers'!$A$2:$A$37,0))</f>
        <v>Tier 3</v>
      </c>
      <c r="E1754" s="12" t="n">
        <f aca="false">INDEX('Country Tiers'!$D$2:$D$37,MATCH(C1754,'Country Tiers'!$A$2:$A$37,0))</f>
        <v>1</v>
      </c>
    </row>
    <row r="1755" customFormat="false" ht="15" hidden="false" customHeight="false" outlineLevel="0" collapsed="false">
      <c r="A1755" s="12" t="s">
        <v>109</v>
      </c>
      <c r="B1755" s="12" t="s">
        <v>44</v>
      </c>
      <c r="C1755" s="12" t="s">
        <v>284</v>
      </c>
      <c r="D1755" s="12" t="str">
        <f aca="false">INDEX('Country Tiers'!$C$2:$C$37,MATCH(C1755,'Country Tiers'!$A$2:$A$37,0))</f>
        <v>Tier 3</v>
      </c>
      <c r="E1755" s="12" t="n">
        <f aca="false">INDEX('Country Tiers'!$D$2:$D$37,MATCH(C1755,'Country Tiers'!$A$2:$A$37,0))</f>
        <v>1</v>
      </c>
    </row>
    <row r="1756" customFormat="false" ht="15" hidden="false" customHeight="false" outlineLevel="0" collapsed="false">
      <c r="A1756" s="12" t="s">
        <v>109</v>
      </c>
      <c r="B1756" s="12" t="s">
        <v>44</v>
      </c>
      <c r="C1756" s="12" t="s">
        <v>285</v>
      </c>
      <c r="D1756" s="12" t="str">
        <f aca="false">INDEX('Country Tiers'!$C$2:$C$37,MATCH(C1756,'Country Tiers'!$A$2:$A$37,0))</f>
        <v>Tier 3</v>
      </c>
      <c r="E1756" s="12" t="n">
        <f aca="false">INDEX('Country Tiers'!$D$2:$D$37,MATCH(C1756,'Country Tiers'!$A$2:$A$37,0))</f>
        <v>1</v>
      </c>
    </row>
    <row r="1757" customFormat="false" ht="15" hidden="false" customHeight="false" outlineLevel="0" collapsed="false">
      <c r="A1757" s="12" t="s">
        <v>109</v>
      </c>
      <c r="B1757" s="12" t="s">
        <v>44</v>
      </c>
      <c r="C1757" s="12" t="s">
        <v>286</v>
      </c>
      <c r="D1757" s="12" t="str">
        <f aca="false">INDEX('Country Tiers'!$C$2:$C$37,MATCH(C1757,'Country Tiers'!$A$2:$A$37,0))</f>
        <v>Tier 1</v>
      </c>
      <c r="E1757" s="12" t="n">
        <f aca="false">INDEX('Country Tiers'!$D$2:$D$37,MATCH(C1757,'Country Tiers'!$A$2:$A$37,0))</f>
        <v>3</v>
      </c>
    </row>
    <row r="1758" customFormat="false" ht="15" hidden="false" customHeight="false" outlineLevel="0" collapsed="false">
      <c r="A1758" s="12" t="s">
        <v>109</v>
      </c>
      <c r="B1758" s="12" t="s">
        <v>44</v>
      </c>
      <c r="C1758" s="12" t="s">
        <v>287</v>
      </c>
      <c r="D1758" s="12" t="str">
        <f aca="false">INDEX('Country Tiers'!$C$2:$C$37,MATCH(C1758,'Country Tiers'!$A$2:$A$37,0))</f>
        <v>Tier 1</v>
      </c>
      <c r="E1758" s="12" t="n">
        <f aca="false">INDEX('Country Tiers'!$D$2:$D$37,MATCH(C1758,'Country Tiers'!$A$2:$A$37,0))</f>
        <v>3</v>
      </c>
    </row>
    <row r="1759" customFormat="false" ht="15" hidden="false" customHeight="false" outlineLevel="0" collapsed="false">
      <c r="A1759" s="12" t="s">
        <v>109</v>
      </c>
      <c r="B1759" s="12" t="s">
        <v>44</v>
      </c>
      <c r="C1759" s="12" t="s">
        <v>288</v>
      </c>
      <c r="D1759" s="12" t="str">
        <f aca="false">INDEX('Country Tiers'!$C$2:$C$37,MATCH(C1759,'Country Tiers'!$A$2:$A$37,0))</f>
        <v>Tier 3</v>
      </c>
      <c r="E1759" s="12" t="n">
        <f aca="false">INDEX('Country Tiers'!$D$2:$D$37,MATCH(C1759,'Country Tiers'!$A$2:$A$37,0))</f>
        <v>1</v>
      </c>
    </row>
    <row r="1760" customFormat="false" ht="15" hidden="false" customHeight="false" outlineLevel="0" collapsed="false">
      <c r="A1760" s="12" t="s">
        <v>109</v>
      </c>
      <c r="B1760" s="12" t="s">
        <v>44</v>
      </c>
      <c r="C1760" s="12" t="s">
        <v>289</v>
      </c>
      <c r="D1760" s="12" t="str">
        <f aca="false">INDEX('Country Tiers'!$C$2:$C$37,MATCH(C1760,'Country Tiers'!$A$2:$A$37,0))</f>
        <v>Tier 3</v>
      </c>
      <c r="E1760" s="12" t="n">
        <f aca="false">INDEX('Country Tiers'!$D$2:$D$37,MATCH(C1760,'Country Tiers'!$A$2:$A$37,0))</f>
        <v>1</v>
      </c>
    </row>
    <row r="1761" customFormat="false" ht="15" hidden="false" customHeight="false" outlineLevel="0" collapsed="false">
      <c r="A1761" s="12" t="s">
        <v>109</v>
      </c>
      <c r="B1761" s="12" t="s">
        <v>44</v>
      </c>
      <c r="C1761" s="12" t="s">
        <v>290</v>
      </c>
      <c r="D1761" s="12" t="str">
        <f aca="false">INDEX('Country Tiers'!$C$2:$C$37,MATCH(C1761,'Country Tiers'!$A$2:$A$37,0))</f>
        <v>Tier 3</v>
      </c>
      <c r="E1761" s="12" t="n">
        <f aca="false">INDEX('Country Tiers'!$D$2:$D$37,MATCH(C1761,'Country Tiers'!$A$2:$A$37,0))</f>
        <v>1</v>
      </c>
    </row>
    <row r="1762" customFormat="false" ht="15" hidden="false" customHeight="false" outlineLevel="0" collapsed="false">
      <c r="A1762" s="12" t="s">
        <v>109</v>
      </c>
      <c r="B1762" s="12" t="s">
        <v>44</v>
      </c>
      <c r="C1762" s="12" t="s">
        <v>291</v>
      </c>
      <c r="D1762" s="12" t="str">
        <f aca="false">INDEX('Country Tiers'!$C$2:$C$37,MATCH(C1762,'Country Tiers'!$A$2:$A$37,0))</f>
        <v>Tier 3</v>
      </c>
      <c r="E1762" s="12" t="n">
        <f aca="false">INDEX('Country Tiers'!$D$2:$D$37,MATCH(C1762,'Country Tiers'!$A$2:$A$37,0))</f>
        <v>1</v>
      </c>
    </row>
    <row r="1763" customFormat="false" ht="15" hidden="false" customHeight="false" outlineLevel="0" collapsed="false">
      <c r="A1763" s="12" t="s">
        <v>109</v>
      </c>
      <c r="B1763" s="12" t="s">
        <v>44</v>
      </c>
      <c r="C1763" s="12" t="s">
        <v>292</v>
      </c>
      <c r="D1763" s="12" t="str">
        <f aca="false">INDEX('Country Tiers'!$C$2:$C$37,MATCH(C1763,'Country Tiers'!$A$2:$A$37,0))</f>
        <v>Tier 2</v>
      </c>
      <c r="E1763" s="12" t="n">
        <f aca="false">INDEX('Country Tiers'!$D$2:$D$37,MATCH(C1763,'Country Tiers'!$A$2:$A$37,0))</f>
        <v>2</v>
      </c>
    </row>
    <row r="1764" customFormat="false" ht="15" hidden="false" customHeight="false" outlineLevel="0" collapsed="false">
      <c r="A1764" s="12" t="s">
        <v>109</v>
      </c>
      <c r="B1764" s="12" t="s">
        <v>44</v>
      </c>
      <c r="C1764" s="12" t="s">
        <v>293</v>
      </c>
      <c r="D1764" s="12" t="str">
        <f aca="false">INDEX('Country Tiers'!$C$2:$C$37,MATCH(C1764,'Country Tiers'!$A$2:$A$37,0))</f>
        <v>Tier 3</v>
      </c>
      <c r="E1764" s="12" t="n">
        <f aca="false">INDEX('Country Tiers'!$D$2:$D$37,MATCH(C1764,'Country Tiers'!$A$2:$A$37,0))</f>
        <v>1</v>
      </c>
    </row>
    <row r="1765" customFormat="false" ht="15" hidden="false" customHeight="false" outlineLevel="0" collapsed="false">
      <c r="A1765" s="12" t="s">
        <v>109</v>
      </c>
      <c r="B1765" s="12" t="s">
        <v>44</v>
      </c>
      <c r="C1765" s="12" t="s">
        <v>295</v>
      </c>
      <c r="D1765" s="12" t="str">
        <f aca="false">INDEX('Country Tiers'!$C$2:$C$37,MATCH(C1765,'Country Tiers'!$A$2:$A$37,0))</f>
        <v>Tier 3</v>
      </c>
      <c r="E1765" s="12" t="n">
        <f aca="false">INDEX('Country Tiers'!$D$2:$D$37,MATCH(C1765,'Country Tiers'!$A$2:$A$37,0))</f>
        <v>1</v>
      </c>
    </row>
    <row r="1766" customFormat="false" ht="15" hidden="false" customHeight="false" outlineLevel="0" collapsed="false">
      <c r="A1766" s="12" t="s">
        <v>109</v>
      </c>
      <c r="B1766" s="12" t="s">
        <v>44</v>
      </c>
      <c r="C1766" s="12" t="s">
        <v>296</v>
      </c>
      <c r="D1766" s="12" t="str">
        <f aca="false">INDEX('Country Tiers'!$C$2:$C$37,MATCH(C1766,'Country Tiers'!$A$2:$A$37,0))</f>
        <v>Tier 3</v>
      </c>
      <c r="E1766" s="12" t="n">
        <f aca="false">INDEX('Country Tiers'!$D$2:$D$37,MATCH(C1766,'Country Tiers'!$A$2:$A$37,0))</f>
        <v>1</v>
      </c>
    </row>
    <row r="1767" customFormat="false" ht="15" hidden="false" customHeight="false" outlineLevel="0" collapsed="false">
      <c r="A1767" s="12" t="s">
        <v>109</v>
      </c>
      <c r="B1767" s="12" t="s">
        <v>44</v>
      </c>
      <c r="C1767" s="12" t="s">
        <v>297</v>
      </c>
      <c r="D1767" s="12" t="str">
        <f aca="false">INDEX('Country Tiers'!$C$2:$C$37,MATCH(C1767,'Country Tiers'!$A$2:$A$37,0))</f>
        <v>Tier 2</v>
      </c>
      <c r="E1767" s="12" t="n">
        <f aca="false">INDEX('Country Tiers'!$D$2:$D$37,MATCH(C1767,'Country Tiers'!$A$2:$A$37,0))</f>
        <v>2</v>
      </c>
    </row>
    <row r="1768" customFormat="false" ht="15" hidden="false" customHeight="false" outlineLevel="0" collapsed="false">
      <c r="A1768" s="12" t="s">
        <v>109</v>
      </c>
      <c r="B1768" s="12" t="s">
        <v>44</v>
      </c>
      <c r="C1768" s="12" t="s">
        <v>298</v>
      </c>
      <c r="D1768" s="12" t="str">
        <f aca="false">INDEX('Country Tiers'!$C$2:$C$37,MATCH(C1768,'Country Tiers'!$A$2:$A$37,0))</f>
        <v>Tier 1</v>
      </c>
      <c r="E1768" s="12" t="n">
        <f aca="false">INDEX('Country Tiers'!$D$2:$D$37,MATCH(C1768,'Country Tiers'!$A$2:$A$37,0))</f>
        <v>3</v>
      </c>
    </row>
    <row r="1769" customFormat="false" ht="15" hidden="false" customHeight="false" outlineLevel="0" collapsed="false">
      <c r="A1769" s="12" t="s">
        <v>109</v>
      </c>
      <c r="B1769" s="12" t="s">
        <v>44</v>
      </c>
      <c r="C1769" s="12" t="s">
        <v>299</v>
      </c>
      <c r="D1769" s="12" t="str">
        <f aca="false">INDEX('Country Tiers'!$C$2:$C$37,MATCH(C1769,'Country Tiers'!$A$2:$A$37,0))</f>
        <v>Tier 3</v>
      </c>
      <c r="E1769" s="12" t="n">
        <f aca="false">INDEX('Country Tiers'!$D$2:$D$37,MATCH(C1769,'Country Tiers'!$A$2:$A$37,0))</f>
        <v>1</v>
      </c>
    </row>
    <row r="1770" customFormat="false" ht="15" hidden="false" customHeight="false" outlineLevel="0" collapsed="false">
      <c r="A1770" s="12" t="s">
        <v>109</v>
      </c>
      <c r="B1770" s="12" t="s">
        <v>44</v>
      </c>
      <c r="C1770" s="12" t="s">
        <v>300</v>
      </c>
      <c r="D1770" s="12" t="str">
        <f aca="false">INDEX('Country Tiers'!$C$2:$C$37,MATCH(C1770,'Country Tiers'!$A$2:$A$37,0))</f>
        <v>Tier 3</v>
      </c>
      <c r="E1770" s="12" t="n">
        <f aca="false">INDEX('Country Tiers'!$D$2:$D$37,MATCH(C1770,'Country Tiers'!$A$2:$A$37,0))</f>
        <v>1</v>
      </c>
    </row>
    <row r="1771" customFormat="false" ht="15" hidden="false" customHeight="false" outlineLevel="0" collapsed="false">
      <c r="A1771" s="12" t="s">
        <v>109</v>
      </c>
      <c r="B1771" s="12" t="s">
        <v>44</v>
      </c>
      <c r="C1771" s="12" t="s">
        <v>301</v>
      </c>
      <c r="D1771" s="12" t="str">
        <f aca="false">INDEX('Country Tiers'!$C$2:$C$37,MATCH(C1771,'Country Tiers'!$A$2:$A$37,0))</f>
        <v>Tier 3</v>
      </c>
      <c r="E1771" s="12" t="n">
        <f aca="false">INDEX('Country Tiers'!$D$2:$D$37,MATCH(C1771,'Country Tiers'!$A$2:$A$37,0))</f>
        <v>1</v>
      </c>
    </row>
    <row r="1772" customFormat="false" ht="15" hidden="false" customHeight="false" outlineLevel="0" collapsed="false">
      <c r="A1772" s="12" t="s">
        <v>109</v>
      </c>
      <c r="B1772" s="12" t="s">
        <v>44</v>
      </c>
      <c r="C1772" s="12" t="s">
        <v>302</v>
      </c>
      <c r="D1772" s="12" t="str">
        <f aca="false">INDEX('Country Tiers'!$C$2:$C$37,MATCH(C1772,'Country Tiers'!$A$2:$A$37,0))</f>
        <v>Tier 3</v>
      </c>
      <c r="E1772" s="12" t="n">
        <f aca="false">INDEX('Country Tiers'!$D$2:$D$37,MATCH(C1772,'Country Tiers'!$A$2:$A$37,0))</f>
        <v>1</v>
      </c>
    </row>
    <row r="1773" customFormat="false" ht="15" hidden="false" customHeight="false" outlineLevel="0" collapsed="false">
      <c r="A1773" s="12" t="s">
        <v>109</v>
      </c>
      <c r="B1773" s="12" t="s">
        <v>44</v>
      </c>
      <c r="C1773" s="12" t="s">
        <v>305</v>
      </c>
      <c r="D1773" s="12" t="str">
        <f aca="false">INDEX('Country Tiers'!$C$2:$C$37,MATCH(C1773,'Country Tiers'!$A$2:$A$37,0))</f>
        <v>Tier 3</v>
      </c>
      <c r="E1773" s="12" t="n">
        <f aca="false">INDEX('Country Tiers'!$D$2:$D$37,MATCH(C1773,'Country Tiers'!$A$2:$A$37,0))</f>
        <v>1</v>
      </c>
    </row>
    <row r="1774" customFormat="false" ht="15" hidden="false" customHeight="false" outlineLevel="0" collapsed="false">
      <c r="A1774" s="12" t="s">
        <v>109</v>
      </c>
      <c r="B1774" s="12" t="s">
        <v>44</v>
      </c>
      <c r="C1774" s="12" t="s">
        <v>306</v>
      </c>
      <c r="D1774" s="12" t="str">
        <f aca="false">INDEX('Country Tiers'!$C$2:$C$37,MATCH(C1774,'Country Tiers'!$A$2:$A$37,0))</f>
        <v>Tier 3</v>
      </c>
      <c r="E1774" s="12" t="n">
        <f aca="false">INDEX('Country Tiers'!$D$2:$D$37,MATCH(C1774,'Country Tiers'!$A$2:$A$37,0))</f>
        <v>1</v>
      </c>
    </row>
    <row r="1775" customFormat="false" ht="15" hidden="false" customHeight="false" outlineLevel="0" collapsed="false">
      <c r="A1775" s="12" t="s">
        <v>109</v>
      </c>
      <c r="B1775" s="12" t="s">
        <v>44</v>
      </c>
      <c r="C1775" s="12" t="s">
        <v>307</v>
      </c>
      <c r="D1775" s="12" t="str">
        <f aca="false">INDEX('Country Tiers'!$C$2:$C$37,MATCH(C1775,'Country Tiers'!$A$2:$A$37,0))</f>
        <v>Tier 2</v>
      </c>
      <c r="E1775" s="12" t="n">
        <f aca="false">INDEX('Country Tiers'!$D$2:$D$37,MATCH(C1775,'Country Tiers'!$A$2:$A$37,0))</f>
        <v>2</v>
      </c>
    </row>
    <row r="1776" customFormat="false" ht="15" hidden="false" customHeight="false" outlineLevel="0" collapsed="false">
      <c r="A1776" s="12" t="s">
        <v>109</v>
      </c>
      <c r="B1776" s="12" t="s">
        <v>44</v>
      </c>
      <c r="C1776" s="12" t="s">
        <v>308</v>
      </c>
      <c r="D1776" s="12" t="str">
        <f aca="false">INDEX('Country Tiers'!$C$2:$C$37,MATCH(C1776,'Country Tiers'!$A$2:$A$37,0))</f>
        <v>Tier 3</v>
      </c>
      <c r="E1776" s="12" t="n">
        <f aca="false">INDEX('Country Tiers'!$D$2:$D$37,MATCH(C1776,'Country Tiers'!$A$2:$A$37,0))</f>
        <v>1</v>
      </c>
    </row>
    <row r="1777" customFormat="false" ht="15" hidden="false" customHeight="false" outlineLevel="0" collapsed="false">
      <c r="A1777" s="12" t="s">
        <v>109</v>
      </c>
      <c r="B1777" s="12" t="s">
        <v>44</v>
      </c>
      <c r="C1777" s="12" t="s">
        <v>309</v>
      </c>
      <c r="D1777" s="12" t="str">
        <f aca="false">INDEX('Country Tiers'!$C$2:$C$37,MATCH(C1777,'Country Tiers'!$A$2:$A$37,0))</f>
        <v>Tier 1</v>
      </c>
      <c r="E1777" s="12" t="n">
        <f aca="false">INDEX('Country Tiers'!$D$2:$D$37,MATCH(C1777,'Country Tiers'!$A$2:$A$37,0))</f>
        <v>3</v>
      </c>
    </row>
    <row r="1778" customFormat="false" ht="15" hidden="false" customHeight="false" outlineLevel="0" collapsed="false">
      <c r="A1778" s="12" t="s">
        <v>109</v>
      </c>
      <c r="B1778" s="12" t="s">
        <v>44</v>
      </c>
      <c r="C1778" s="12" t="s">
        <v>313</v>
      </c>
      <c r="D1778" s="12" t="str">
        <f aca="false">INDEX('Country Tiers'!$C$2:$C$37,MATCH(C1778,'Country Tiers'!$A$2:$A$37,0))</f>
        <v>Tier 1</v>
      </c>
      <c r="E1778" s="12" t="n">
        <f aca="false">INDEX('Country Tiers'!$D$2:$D$37,MATCH(C1778,'Country Tiers'!$A$2:$A$37,0))</f>
        <v>3</v>
      </c>
    </row>
    <row r="1779" customFormat="false" ht="15" hidden="false" customHeight="false" outlineLevel="0" collapsed="false">
      <c r="A1779" s="12" t="s">
        <v>110</v>
      </c>
      <c r="B1779" s="12" t="s">
        <v>36</v>
      </c>
      <c r="C1779" s="12" t="s">
        <v>311</v>
      </c>
      <c r="D1779" s="12" t="str">
        <f aca="false">INDEX('Country Tiers'!$C$2:$C$37,MATCH(C1779,'Country Tiers'!$A$2:$A$37,0))</f>
        <v>Tier 1</v>
      </c>
      <c r="E1779" s="12" t="n">
        <f aca="false">INDEX('Country Tiers'!$D$2:$D$37,MATCH(C1779,'Country Tiers'!$A$2:$A$37,0))</f>
        <v>3</v>
      </c>
    </row>
    <row r="1780" customFormat="false" ht="15" hidden="false" customHeight="false" outlineLevel="0" collapsed="false">
      <c r="A1780" s="12" t="s">
        <v>111</v>
      </c>
      <c r="B1780" s="12" t="s">
        <v>47</v>
      </c>
      <c r="C1780" s="12" t="s">
        <v>311</v>
      </c>
      <c r="D1780" s="12" t="str">
        <f aca="false">INDEX('Country Tiers'!$C$2:$C$37,MATCH(C1780,'Country Tiers'!$A$2:$A$37,0))</f>
        <v>Tier 1</v>
      </c>
      <c r="E1780" s="12" t="n">
        <f aca="false">INDEX('Country Tiers'!$D$2:$D$37,MATCH(C1780,'Country Tiers'!$A$2:$A$37,0))</f>
        <v>3</v>
      </c>
    </row>
    <row r="1781" customFormat="false" ht="15" hidden="false" customHeight="false" outlineLevel="0" collapsed="false">
      <c r="A1781" s="12" t="s">
        <v>111</v>
      </c>
      <c r="B1781" s="12" t="s">
        <v>44</v>
      </c>
      <c r="C1781" s="12" t="s">
        <v>279</v>
      </c>
      <c r="D1781" s="12" t="str">
        <f aca="false">INDEX('Country Tiers'!$C$2:$C$37,MATCH(C1781,'Country Tiers'!$A$2:$A$37,0))</f>
        <v>Tier 1</v>
      </c>
      <c r="E1781" s="12" t="n">
        <f aca="false">INDEX('Country Tiers'!$D$2:$D$37,MATCH(C1781,'Country Tiers'!$A$2:$A$37,0))</f>
        <v>3</v>
      </c>
    </row>
    <row r="1782" customFormat="false" ht="15" hidden="false" customHeight="false" outlineLevel="0" collapsed="false">
      <c r="A1782" s="12" t="s">
        <v>111</v>
      </c>
      <c r="B1782" s="12" t="s">
        <v>44</v>
      </c>
      <c r="C1782" s="12" t="s">
        <v>309</v>
      </c>
      <c r="D1782" s="12" t="str">
        <f aca="false">INDEX('Country Tiers'!$C$2:$C$37,MATCH(C1782,'Country Tiers'!$A$2:$A$37,0))</f>
        <v>Tier 1</v>
      </c>
      <c r="E1782" s="12" t="n">
        <f aca="false">INDEX('Country Tiers'!$D$2:$D$37,MATCH(C1782,'Country Tiers'!$A$2:$A$37,0))</f>
        <v>3</v>
      </c>
    </row>
    <row r="1783" customFormat="false" ht="15" hidden="false" customHeight="false" outlineLevel="0" collapsed="false">
      <c r="A1783" s="12" t="s">
        <v>112</v>
      </c>
      <c r="B1783" s="12" t="s">
        <v>47</v>
      </c>
      <c r="C1783" s="12" t="s">
        <v>311</v>
      </c>
      <c r="D1783" s="12" t="str">
        <f aca="false">INDEX('Country Tiers'!$C$2:$C$37,MATCH(C1783,'Country Tiers'!$A$2:$A$37,0))</f>
        <v>Tier 1</v>
      </c>
      <c r="E1783" s="12" t="n">
        <f aca="false">INDEX('Country Tiers'!$D$2:$D$37,MATCH(C1783,'Country Tiers'!$A$2:$A$37,0))</f>
        <v>3</v>
      </c>
    </row>
    <row r="1784" customFormat="false" ht="15" hidden="false" customHeight="false" outlineLevel="0" collapsed="false">
      <c r="A1784" s="12" t="s">
        <v>112</v>
      </c>
      <c r="B1784" s="12" t="s">
        <v>63</v>
      </c>
      <c r="C1784" s="12" t="s">
        <v>311</v>
      </c>
      <c r="D1784" s="12" t="str">
        <f aca="false">INDEX('Country Tiers'!$C$2:$C$37,MATCH(C1784,'Country Tiers'!$A$2:$A$37,0))</f>
        <v>Tier 1</v>
      </c>
      <c r="E1784" s="12" t="n">
        <f aca="false">INDEX('Country Tiers'!$D$2:$D$37,MATCH(C1784,'Country Tiers'!$A$2:$A$37,0))</f>
        <v>3</v>
      </c>
    </row>
    <row r="1785" customFormat="false" ht="15" hidden="false" customHeight="false" outlineLevel="0" collapsed="false">
      <c r="A1785" s="12" t="s">
        <v>113</v>
      </c>
      <c r="B1785" s="12" t="s">
        <v>47</v>
      </c>
      <c r="C1785" s="12" t="s">
        <v>274</v>
      </c>
      <c r="D1785" s="12" t="str">
        <f aca="false">INDEX('Country Tiers'!$C$2:$C$37,MATCH(C1785,'Country Tiers'!$A$2:$A$37,0))</f>
        <v>Tier 3</v>
      </c>
      <c r="E1785" s="12" t="n">
        <f aca="false">INDEX('Country Tiers'!$D$2:$D$37,MATCH(C1785,'Country Tiers'!$A$2:$A$37,0))</f>
        <v>1</v>
      </c>
    </row>
    <row r="1786" customFormat="false" ht="15" hidden="false" customHeight="false" outlineLevel="0" collapsed="false">
      <c r="A1786" s="12" t="s">
        <v>113</v>
      </c>
      <c r="B1786" s="12" t="s">
        <v>47</v>
      </c>
      <c r="C1786" s="12" t="s">
        <v>277</v>
      </c>
      <c r="D1786" s="12" t="str">
        <f aca="false">INDEX('Country Tiers'!$C$2:$C$37,MATCH(C1786,'Country Tiers'!$A$2:$A$37,0))</f>
        <v>Tier 1</v>
      </c>
      <c r="E1786" s="12" t="n">
        <f aca="false">INDEX('Country Tiers'!$D$2:$D$37,MATCH(C1786,'Country Tiers'!$A$2:$A$37,0))</f>
        <v>3</v>
      </c>
    </row>
    <row r="1787" customFormat="false" ht="15" hidden="false" customHeight="false" outlineLevel="0" collapsed="false">
      <c r="A1787" s="12" t="s">
        <v>113</v>
      </c>
      <c r="B1787" s="12" t="s">
        <v>47</v>
      </c>
      <c r="C1787" s="12" t="s">
        <v>278</v>
      </c>
      <c r="D1787" s="12" t="str">
        <f aca="false">INDEX('Country Tiers'!$C$2:$C$37,MATCH(C1787,'Country Tiers'!$A$2:$A$37,0))</f>
        <v>Tier 3</v>
      </c>
      <c r="E1787" s="12" t="n">
        <f aca="false">INDEX('Country Tiers'!$D$2:$D$37,MATCH(C1787,'Country Tiers'!$A$2:$A$37,0))</f>
        <v>1</v>
      </c>
    </row>
    <row r="1788" customFormat="false" ht="15" hidden="false" customHeight="false" outlineLevel="0" collapsed="false">
      <c r="A1788" s="12" t="s">
        <v>113</v>
      </c>
      <c r="B1788" s="12" t="s">
        <v>47</v>
      </c>
      <c r="C1788" s="12" t="s">
        <v>280</v>
      </c>
      <c r="D1788" s="12" t="str">
        <f aca="false">INDEX('Country Tiers'!$C$2:$C$37,MATCH(C1788,'Country Tiers'!$A$2:$A$37,0))</f>
        <v>Tier 3</v>
      </c>
      <c r="E1788" s="12" t="n">
        <f aca="false">INDEX('Country Tiers'!$D$2:$D$37,MATCH(C1788,'Country Tiers'!$A$2:$A$37,0))</f>
        <v>1</v>
      </c>
    </row>
    <row r="1789" customFormat="false" ht="15" hidden="false" customHeight="false" outlineLevel="0" collapsed="false">
      <c r="A1789" s="12" t="s">
        <v>113</v>
      </c>
      <c r="B1789" s="12" t="s">
        <v>47</v>
      </c>
      <c r="C1789" s="12" t="s">
        <v>282</v>
      </c>
      <c r="D1789" s="12" t="str">
        <f aca="false">INDEX('Country Tiers'!$C$2:$C$37,MATCH(C1789,'Country Tiers'!$A$2:$A$37,0))</f>
        <v>Tier 3</v>
      </c>
      <c r="E1789" s="12" t="n">
        <f aca="false">INDEX('Country Tiers'!$D$2:$D$37,MATCH(C1789,'Country Tiers'!$A$2:$A$37,0))</f>
        <v>1</v>
      </c>
    </row>
    <row r="1790" customFormat="false" ht="15" hidden="false" customHeight="false" outlineLevel="0" collapsed="false">
      <c r="A1790" s="12" t="s">
        <v>113</v>
      </c>
      <c r="B1790" s="12" t="s">
        <v>47</v>
      </c>
      <c r="C1790" s="12" t="s">
        <v>283</v>
      </c>
      <c r="D1790" s="12" t="str">
        <f aca="false">INDEX('Country Tiers'!$C$2:$C$37,MATCH(C1790,'Country Tiers'!$A$2:$A$37,0))</f>
        <v>Tier 3</v>
      </c>
      <c r="E1790" s="12" t="n">
        <f aca="false">INDEX('Country Tiers'!$D$2:$D$37,MATCH(C1790,'Country Tiers'!$A$2:$A$37,0))</f>
        <v>1</v>
      </c>
    </row>
    <row r="1791" customFormat="false" ht="15" hidden="false" customHeight="false" outlineLevel="0" collapsed="false">
      <c r="A1791" s="12" t="s">
        <v>113</v>
      </c>
      <c r="B1791" s="12" t="s">
        <v>47</v>
      </c>
      <c r="C1791" s="12" t="s">
        <v>285</v>
      </c>
      <c r="D1791" s="12" t="str">
        <f aca="false">INDEX('Country Tiers'!$C$2:$C$37,MATCH(C1791,'Country Tiers'!$A$2:$A$37,0))</f>
        <v>Tier 3</v>
      </c>
      <c r="E1791" s="12" t="n">
        <f aca="false">INDEX('Country Tiers'!$D$2:$D$37,MATCH(C1791,'Country Tiers'!$A$2:$A$37,0))</f>
        <v>1</v>
      </c>
    </row>
    <row r="1792" customFormat="false" ht="15" hidden="false" customHeight="false" outlineLevel="0" collapsed="false">
      <c r="A1792" s="12" t="s">
        <v>113</v>
      </c>
      <c r="B1792" s="12" t="s">
        <v>47</v>
      </c>
      <c r="C1792" s="12" t="s">
        <v>286</v>
      </c>
      <c r="D1792" s="12" t="str">
        <f aca="false">INDEX('Country Tiers'!$C$2:$C$37,MATCH(C1792,'Country Tiers'!$A$2:$A$37,0))</f>
        <v>Tier 1</v>
      </c>
      <c r="E1792" s="12" t="n">
        <f aca="false">INDEX('Country Tiers'!$D$2:$D$37,MATCH(C1792,'Country Tiers'!$A$2:$A$37,0))</f>
        <v>3</v>
      </c>
    </row>
    <row r="1793" customFormat="false" ht="15" hidden="false" customHeight="false" outlineLevel="0" collapsed="false">
      <c r="A1793" s="12" t="s">
        <v>113</v>
      </c>
      <c r="B1793" s="12" t="s">
        <v>47</v>
      </c>
      <c r="C1793" s="12" t="s">
        <v>287</v>
      </c>
      <c r="D1793" s="12" t="str">
        <f aca="false">INDEX('Country Tiers'!$C$2:$C$37,MATCH(C1793,'Country Tiers'!$A$2:$A$37,0))</f>
        <v>Tier 1</v>
      </c>
      <c r="E1793" s="12" t="n">
        <f aca="false">INDEX('Country Tiers'!$D$2:$D$37,MATCH(C1793,'Country Tiers'!$A$2:$A$37,0))</f>
        <v>3</v>
      </c>
    </row>
    <row r="1794" customFormat="false" ht="15" hidden="false" customHeight="false" outlineLevel="0" collapsed="false">
      <c r="A1794" s="12" t="s">
        <v>113</v>
      </c>
      <c r="B1794" s="12" t="s">
        <v>47</v>
      </c>
      <c r="C1794" s="12" t="s">
        <v>289</v>
      </c>
      <c r="D1794" s="12" t="str">
        <f aca="false">INDEX('Country Tiers'!$C$2:$C$37,MATCH(C1794,'Country Tiers'!$A$2:$A$37,0))</f>
        <v>Tier 3</v>
      </c>
      <c r="E1794" s="12" t="n">
        <f aca="false">INDEX('Country Tiers'!$D$2:$D$37,MATCH(C1794,'Country Tiers'!$A$2:$A$37,0))</f>
        <v>1</v>
      </c>
    </row>
    <row r="1795" customFormat="false" ht="15" hidden="false" customHeight="false" outlineLevel="0" collapsed="false">
      <c r="A1795" s="12" t="s">
        <v>113</v>
      </c>
      <c r="B1795" s="12" t="s">
        <v>47</v>
      </c>
      <c r="C1795" s="12" t="s">
        <v>291</v>
      </c>
      <c r="D1795" s="12" t="str">
        <f aca="false">INDEX('Country Tiers'!$C$2:$C$37,MATCH(C1795,'Country Tiers'!$A$2:$A$37,0))</f>
        <v>Tier 3</v>
      </c>
      <c r="E1795" s="12" t="n">
        <f aca="false">INDEX('Country Tiers'!$D$2:$D$37,MATCH(C1795,'Country Tiers'!$A$2:$A$37,0))</f>
        <v>1</v>
      </c>
    </row>
    <row r="1796" customFormat="false" ht="15" hidden="false" customHeight="false" outlineLevel="0" collapsed="false">
      <c r="A1796" s="12" t="s">
        <v>113</v>
      </c>
      <c r="B1796" s="12" t="s">
        <v>47</v>
      </c>
      <c r="C1796" s="12" t="s">
        <v>293</v>
      </c>
      <c r="D1796" s="12" t="str">
        <f aca="false">INDEX('Country Tiers'!$C$2:$C$37,MATCH(C1796,'Country Tiers'!$A$2:$A$37,0))</f>
        <v>Tier 3</v>
      </c>
      <c r="E1796" s="12" t="n">
        <f aca="false">INDEX('Country Tiers'!$D$2:$D$37,MATCH(C1796,'Country Tiers'!$A$2:$A$37,0))</f>
        <v>1</v>
      </c>
    </row>
    <row r="1797" customFormat="false" ht="15" hidden="false" customHeight="false" outlineLevel="0" collapsed="false">
      <c r="A1797" s="12" t="s">
        <v>113</v>
      </c>
      <c r="B1797" s="12" t="s">
        <v>47</v>
      </c>
      <c r="C1797" s="12" t="s">
        <v>295</v>
      </c>
      <c r="D1797" s="12" t="str">
        <f aca="false">INDEX('Country Tiers'!$C$2:$C$37,MATCH(C1797,'Country Tiers'!$A$2:$A$37,0))</f>
        <v>Tier 3</v>
      </c>
      <c r="E1797" s="12" t="n">
        <f aca="false">INDEX('Country Tiers'!$D$2:$D$37,MATCH(C1797,'Country Tiers'!$A$2:$A$37,0))</f>
        <v>1</v>
      </c>
    </row>
    <row r="1798" customFormat="false" ht="15" hidden="false" customHeight="false" outlineLevel="0" collapsed="false">
      <c r="A1798" s="12" t="s">
        <v>113</v>
      </c>
      <c r="B1798" s="12" t="s">
        <v>47</v>
      </c>
      <c r="C1798" s="12" t="s">
        <v>296</v>
      </c>
      <c r="D1798" s="12" t="str">
        <f aca="false">INDEX('Country Tiers'!$C$2:$C$37,MATCH(C1798,'Country Tiers'!$A$2:$A$37,0))</f>
        <v>Tier 3</v>
      </c>
      <c r="E1798" s="12" t="n">
        <f aca="false">INDEX('Country Tiers'!$D$2:$D$37,MATCH(C1798,'Country Tiers'!$A$2:$A$37,0))</f>
        <v>1</v>
      </c>
    </row>
    <row r="1799" customFormat="false" ht="15" hidden="false" customHeight="false" outlineLevel="0" collapsed="false">
      <c r="A1799" s="12" t="s">
        <v>113</v>
      </c>
      <c r="B1799" s="12" t="s">
        <v>47</v>
      </c>
      <c r="C1799" s="12" t="s">
        <v>298</v>
      </c>
      <c r="D1799" s="12" t="str">
        <f aca="false">INDEX('Country Tiers'!$C$2:$C$37,MATCH(C1799,'Country Tiers'!$A$2:$A$37,0))</f>
        <v>Tier 1</v>
      </c>
      <c r="E1799" s="12" t="n">
        <f aca="false">INDEX('Country Tiers'!$D$2:$D$37,MATCH(C1799,'Country Tiers'!$A$2:$A$37,0))</f>
        <v>3</v>
      </c>
    </row>
    <row r="1800" customFormat="false" ht="15" hidden="false" customHeight="false" outlineLevel="0" collapsed="false">
      <c r="A1800" s="12" t="s">
        <v>113</v>
      </c>
      <c r="B1800" s="12" t="s">
        <v>47</v>
      </c>
      <c r="C1800" s="12" t="s">
        <v>299</v>
      </c>
      <c r="D1800" s="12" t="str">
        <f aca="false">INDEX('Country Tiers'!$C$2:$C$37,MATCH(C1800,'Country Tiers'!$A$2:$A$37,0))</f>
        <v>Tier 3</v>
      </c>
      <c r="E1800" s="12" t="n">
        <f aca="false">INDEX('Country Tiers'!$D$2:$D$37,MATCH(C1800,'Country Tiers'!$A$2:$A$37,0))</f>
        <v>1</v>
      </c>
    </row>
    <row r="1801" customFormat="false" ht="15" hidden="false" customHeight="false" outlineLevel="0" collapsed="false">
      <c r="A1801" s="12" t="s">
        <v>113</v>
      </c>
      <c r="B1801" s="12" t="s">
        <v>47</v>
      </c>
      <c r="C1801" s="12" t="s">
        <v>300</v>
      </c>
      <c r="D1801" s="12" t="str">
        <f aca="false">INDEX('Country Tiers'!$C$2:$C$37,MATCH(C1801,'Country Tiers'!$A$2:$A$37,0))</f>
        <v>Tier 3</v>
      </c>
      <c r="E1801" s="12" t="n">
        <f aca="false">INDEX('Country Tiers'!$D$2:$D$37,MATCH(C1801,'Country Tiers'!$A$2:$A$37,0))</f>
        <v>1</v>
      </c>
    </row>
    <row r="1802" customFormat="false" ht="15" hidden="false" customHeight="false" outlineLevel="0" collapsed="false">
      <c r="A1802" s="12" t="s">
        <v>113</v>
      </c>
      <c r="B1802" s="12" t="s">
        <v>47</v>
      </c>
      <c r="C1802" s="12" t="s">
        <v>301</v>
      </c>
      <c r="D1802" s="12" t="str">
        <f aca="false">INDEX('Country Tiers'!$C$2:$C$37,MATCH(C1802,'Country Tiers'!$A$2:$A$37,0))</f>
        <v>Tier 3</v>
      </c>
      <c r="E1802" s="12" t="n">
        <f aca="false">INDEX('Country Tiers'!$D$2:$D$37,MATCH(C1802,'Country Tiers'!$A$2:$A$37,0))</f>
        <v>1</v>
      </c>
    </row>
    <row r="1803" customFormat="false" ht="15" hidden="false" customHeight="false" outlineLevel="0" collapsed="false">
      <c r="A1803" s="12" t="s">
        <v>113</v>
      </c>
      <c r="B1803" s="12" t="s">
        <v>47</v>
      </c>
      <c r="C1803" s="12" t="s">
        <v>302</v>
      </c>
      <c r="D1803" s="12" t="str">
        <f aca="false">INDEX('Country Tiers'!$C$2:$C$37,MATCH(C1803,'Country Tiers'!$A$2:$A$37,0))</f>
        <v>Tier 3</v>
      </c>
      <c r="E1803" s="12" t="n">
        <f aca="false">INDEX('Country Tiers'!$D$2:$D$37,MATCH(C1803,'Country Tiers'!$A$2:$A$37,0))</f>
        <v>1</v>
      </c>
    </row>
    <row r="1804" customFormat="false" ht="15" hidden="false" customHeight="false" outlineLevel="0" collapsed="false">
      <c r="A1804" s="12" t="s">
        <v>113</v>
      </c>
      <c r="B1804" s="12" t="s">
        <v>47</v>
      </c>
      <c r="C1804" s="12" t="s">
        <v>306</v>
      </c>
      <c r="D1804" s="12" t="str">
        <f aca="false">INDEX('Country Tiers'!$C$2:$C$37,MATCH(C1804,'Country Tiers'!$A$2:$A$37,0))</f>
        <v>Tier 3</v>
      </c>
      <c r="E1804" s="12" t="n">
        <f aca="false">INDEX('Country Tiers'!$D$2:$D$37,MATCH(C1804,'Country Tiers'!$A$2:$A$37,0))</f>
        <v>1</v>
      </c>
    </row>
    <row r="1805" customFormat="false" ht="15" hidden="false" customHeight="false" outlineLevel="0" collapsed="false">
      <c r="A1805" s="12" t="s">
        <v>113</v>
      </c>
      <c r="B1805" s="12" t="s">
        <v>47</v>
      </c>
      <c r="C1805" s="12" t="s">
        <v>307</v>
      </c>
      <c r="D1805" s="12" t="str">
        <f aca="false">INDEX('Country Tiers'!$C$2:$C$37,MATCH(C1805,'Country Tiers'!$A$2:$A$37,0))</f>
        <v>Tier 2</v>
      </c>
      <c r="E1805" s="12" t="n">
        <f aca="false">INDEX('Country Tiers'!$D$2:$D$37,MATCH(C1805,'Country Tiers'!$A$2:$A$37,0))</f>
        <v>2</v>
      </c>
    </row>
    <row r="1806" customFormat="false" ht="15" hidden="false" customHeight="false" outlineLevel="0" collapsed="false">
      <c r="A1806" s="12" t="s">
        <v>113</v>
      </c>
      <c r="B1806" s="12" t="s">
        <v>47</v>
      </c>
      <c r="C1806" s="12" t="s">
        <v>308</v>
      </c>
      <c r="D1806" s="12" t="str">
        <f aca="false">INDEX('Country Tiers'!$C$2:$C$37,MATCH(C1806,'Country Tiers'!$A$2:$A$37,0))</f>
        <v>Tier 3</v>
      </c>
      <c r="E1806" s="12" t="n">
        <f aca="false">INDEX('Country Tiers'!$D$2:$D$37,MATCH(C1806,'Country Tiers'!$A$2:$A$37,0))</f>
        <v>1</v>
      </c>
    </row>
    <row r="1807" customFormat="false" ht="15" hidden="false" customHeight="false" outlineLevel="0" collapsed="false">
      <c r="A1807" s="12" t="s">
        <v>113</v>
      </c>
      <c r="B1807" s="12" t="s">
        <v>47</v>
      </c>
      <c r="C1807" s="12" t="s">
        <v>313</v>
      </c>
      <c r="D1807" s="12" t="str">
        <f aca="false">INDEX('Country Tiers'!$C$2:$C$37,MATCH(C1807,'Country Tiers'!$A$2:$A$37,0))</f>
        <v>Tier 1</v>
      </c>
      <c r="E1807" s="12" t="n">
        <f aca="false">INDEX('Country Tiers'!$D$2:$D$37,MATCH(C1807,'Country Tiers'!$A$2:$A$37,0))</f>
        <v>3</v>
      </c>
    </row>
    <row r="1808" customFormat="false" ht="15" hidden="false" customHeight="false" outlineLevel="0" collapsed="false">
      <c r="A1808" s="12" t="s">
        <v>114</v>
      </c>
      <c r="B1808" s="12" t="s">
        <v>70</v>
      </c>
      <c r="C1808" s="12" t="s">
        <v>311</v>
      </c>
      <c r="D1808" s="12" t="str">
        <f aca="false">INDEX('Country Tiers'!$C$2:$C$37,MATCH(C1808,'Country Tiers'!$A$2:$A$37,0))</f>
        <v>Tier 1</v>
      </c>
      <c r="E1808" s="12" t="n">
        <f aca="false">INDEX('Country Tiers'!$D$2:$D$37,MATCH(C1808,'Country Tiers'!$A$2:$A$37,0))</f>
        <v>3</v>
      </c>
    </row>
    <row r="1809" customFormat="false" ht="15" hidden="false" customHeight="false" outlineLevel="0" collapsed="false">
      <c r="A1809" s="12" t="s">
        <v>114</v>
      </c>
      <c r="B1809" s="12" t="s">
        <v>47</v>
      </c>
      <c r="C1809" s="12" t="s">
        <v>272</v>
      </c>
      <c r="D1809" s="12" t="str">
        <f aca="false">INDEX('Country Tiers'!$C$2:$C$37,MATCH(C1809,'Country Tiers'!$A$2:$A$37,0))</f>
        <v>Tier 2</v>
      </c>
      <c r="E1809" s="12" t="n">
        <f aca="false">INDEX('Country Tiers'!$D$2:$D$37,MATCH(C1809,'Country Tiers'!$A$2:$A$37,0))</f>
        <v>2</v>
      </c>
    </row>
    <row r="1810" customFormat="false" ht="15" hidden="false" customHeight="false" outlineLevel="0" collapsed="false">
      <c r="A1810" s="12" t="s">
        <v>114</v>
      </c>
      <c r="B1810" s="12" t="s">
        <v>47</v>
      </c>
      <c r="C1810" s="12" t="s">
        <v>274</v>
      </c>
      <c r="D1810" s="12" t="str">
        <f aca="false">INDEX('Country Tiers'!$C$2:$C$37,MATCH(C1810,'Country Tiers'!$A$2:$A$37,0))</f>
        <v>Tier 3</v>
      </c>
      <c r="E1810" s="12" t="n">
        <f aca="false">INDEX('Country Tiers'!$D$2:$D$37,MATCH(C1810,'Country Tiers'!$A$2:$A$37,0))</f>
        <v>1</v>
      </c>
    </row>
    <row r="1811" customFormat="false" ht="15" hidden="false" customHeight="false" outlineLevel="0" collapsed="false">
      <c r="A1811" s="12" t="s">
        <v>114</v>
      </c>
      <c r="B1811" s="12" t="s">
        <v>47</v>
      </c>
      <c r="C1811" s="12" t="s">
        <v>277</v>
      </c>
      <c r="D1811" s="12" t="str">
        <f aca="false">INDEX('Country Tiers'!$C$2:$C$37,MATCH(C1811,'Country Tiers'!$A$2:$A$37,0))</f>
        <v>Tier 1</v>
      </c>
      <c r="E1811" s="12" t="n">
        <f aca="false">INDEX('Country Tiers'!$D$2:$D$37,MATCH(C1811,'Country Tiers'!$A$2:$A$37,0))</f>
        <v>3</v>
      </c>
    </row>
    <row r="1812" customFormat="false" ht="15" hidden="false" customHeight="false" outlineLevel="0" collapsed="false">
      <c r="A1812" s="12" t="s">
        <v>114</v>
      </c>
      <c r="B1812" s="12" t="s">
        <v>47</v>
      </c>
      <c r="C1812" s="12" t="s">
        <v>278</v>
      </c>
      <c r="D1812" s="12" t="str">
        <f aca="false">INDEX('Country Tiers'!$C$2:$C$37,MATCH(C1812,'Country Tiers'!$A$2:$A$37,0))</f>
        <v>Tier 3</v>
      </c>
      <c r="E1812" s="12" t="n">
        <f aca="false">INDEX('Country Tiers'!$D$2:$D$37,MATCH(C1812,'Country Tiers'!$A$2:$A$37,0))</f>
        <v>1</v>
      </c>
    </row>
    <row r="1813" customFormat="false" ht="15" hidden="false" customHeight="false" outlineLevel="0" collapsed="false">
      <c r="A1813" s="12" t="s">
        <v>114</v>
      </c>
      <c r="B1813" s="12" t="s">
        <v>47</v>
      </c>
      <c r="C1813" s="12" t="s">
        <v>280</v>
      </c>
      <c r="D1813" s="12" t="str">
        <f aca="false">INDEX('Country Tiers'!$C$2:$C$37,MATCH(C1813,'Country Tiers'!$A$2:$A$37,0))</f>
        <v>Tier 3</v>
      </c>
      <c r="E1813" s="12" t="n">
        <f aca="false">INDEX('Country Tiers'!$D$2:$D$37,MATCH(C1813,'Country Tiers'!$A$2:$A$37,0))</f>
        <v>1</v>
      </c>
    </row>
    <row r="1814" customFormat="false" ht="15" hidden="false" customHeight="false" outlineLevel="0" collapsed="false">
      <c r="A1814" s="12" t="s">
        <v>114</v>
      </c>
      <c r="B1814" s="12" t="s">
        <v>47</v>
      </c>
      <c r="C1814" s="12" t="s">
        <v>281</v>
      </c>
      <c r="D1814" s="12" t="str">
        <f aca="false">INDEX('Country Tiers'!$C$2:$C$37,MATCH(C1814,'Country Tiers'!$A$2:$A$37,0))</f>
        <v>Tier 3</v>
      </c>
      <c r="E1814" s="12" t="n">
        <f aca="false">INDEX('Country Tiers'!$D$2:$D$37,MATCH(C1814,'Country Tiers'!$A$2:$A$37,0))</f>
        <v>1</v>
      </c>
    </row>
    <row r="1815" customFormat="false" ht="15" hidden="false" customHeight="false" outlineLevel="0" collapsed="false">
      <c r="A1815" s="12" t="s">
        <v>114</v>
      </c>
      <c r="B1815" s="12" t="s">
        <v>47</v>
      </c>
      <c r="C1815" s="12" t="s">
        <v>282</v>
      </c>
      <c r="D1815" s="12" t="str">
        <f aca="false">INDEX('Country Tiers'!$C$2:$C$37,MATCH(C1815,'Country Tiers'!$A$2:$A$37,0))</f>
        <v>Tier 3</v>
      </c>
      <c r="E1815" s="12" t="n">
        <f aca="false">INDEX('Country Tiers'!$D$2:$D$37,MATCH(C1815,'Country Tiers'!$A$2:$A$37,0))</f>
        <v>1</v>
      </c>
    </row>
    <row r="1816" customFormat="false" ht="15" hidden="false" customHeight="false" outlineLevel="0" collapsed="false">
      <c r="A1816" s="12" t="s">
        <v>114</v>
      </c>
      <c r="B1816" s="12" t="s">
        <v>47</v>
      </c>
      <c r="C1816" s="12" t="s">
        <v>283</v>
      </c>
      <c r="D1816" s="12" t="str">
        <f aca="false">INDEX('Country Tiers'!$C$2:$C$37,MATCH(C1816,'Country Tiers'!$A$2:$A$37,0))</f>
        <v>Tier 3</v>
      </c>
      <c r="E1816" s="12" t="n">
        <f aca="false">INDEX('Country Tiers'!$D$2:$D$37,MATCH(C1816,'Country Tiers'!$A$2:$A$37,0))</f>
        <v>1</v>
      </c>
    </row>
    <row r="1817" customFormat="false" ht="15" hidden="false" customHeight="false" outlineLevel="0" collapsed="false">
      <c r="A1817" s="12" t="s">
        <v>114</v>
      </c>
      <c r="B1817" s="12" t="s">
        <v>47</v>
      </c>
      <c r="C1817" s="12" t="s">
        <v>284</v>
      </c>
      <c r="D1817" s="12" t="str">
        <f aca="false">INDEX('Country Tiers'!$C$2:$C$37,MATCH(C1817,'Country Tiers'!$A$2:$A$37,0))</f>
        <v>Tier 3</v>
      </c>
      <c r="E1817" s="12" t="n">
        <f aca="false">INDEX('Country Tiers'!$D$2:$D$37,MATCH(C1817,'Country Tiers'!$A$2:$A$37,0))</f>
        <v>1</v>
      </c>
    </row>
    <row r="1818" customFormat="false" ht="15" hidden="false" customHeight="false" outlineLevel="0" collapsed="false">
      <c r="A1818" s="12" t="s">
        <v>114</v>
      </c>
      <c r="B1818" s="12" t="s">
        <v>47</v>
      </c>
      <c r="C1818" s="12" t="s">
        <v>285</v>
      </c>
      <c r="D1818" s="12" t="str">
        <f aca="false">INDEX('Country Tiers'!$C$2:$C$37,MATCH(C1818,'Country Tiers'!$A$2:$A$37,0))</f>
        <v>Tier 3</v>
      </c>
      <c r="E1818" s="12" t="n">
        <f aca="false">INDEX('Country Tiers'!$D$2:$D$37,MATCH(C1818,'Country Tiers'!$A$2:$A$37,0))</f>
        <v>1</v>
      </c>
    </row>
    <row r="1819" customFormat="false" ht="15" hidden="false" customHeight="false" outlineLevel="0" collapsed="false">
      <c r="A1819" s="12" t="s">
        <v>114</v>
      </c>
      <c r="B1819" s="12" t="s">
        <v>47</v>
      </c>
      <c r="C1819" s="12" t="s">
        <v>286</v>
      </c>
      <c r="D1819" s="12" t="str">
        <f aca="false">INDEX('Country Tiers'!$C$2:$C$37,MATCH(C1819,'Country Tiers'!$A$2:$A$37,0))</f>
        <v>Tier 1</v>
      </c>
      <c r="E1819" s="12" t="n">
        <f aca="false">INDEX('Country Tiers'!$D$2:$D$37,MATCH(C1819,'Country Tiers'!$A$2:$A$37,0))</f>
        <v>3</v>
      </c>
    </row>
    <row r="1820" customFormat="false" ht="15" hidden="false" customHeight="false" outlineLevel="0" collapsed="false">
      <c r="A1820" s="12" t="s">
        <v>114</v>
      </c>
      <c r="B1820" s="12" t="s">
        <v>47</v>
      </c>
      <c r="C1820" s="12" t="s">
        <v>287</v>
      </c>
      <c r="D1820" s="12" t="str">
        <f aca="false">INDEX('Country Tiers'!$C$2:$C$37,MATCH(C1820,'Country Tiers'!$A$2:$A$37,0))</f>
        <v>Tier 1</v>
      </c>
      <c r="E1820" s="12" t="n">
        <f aca="false">INDEX('Country Tiers'!$D$2:$D$37,MATCH(C1820,'Country Tiers'!$A$2:$A$37,0))</f>
        <v>3</v>
      </c>
    </row>
    <row r="1821" customFormat="false" ht="15" hidden="false" customHeight="false" outlineLevel="0" collapsed="false">
      <c r="A1821" s="12" t="s">
        <v>114</v>
      </c>
      <c r="B1821" s="12" t="s">
        <v>47</v>
      </c>
      <c r="C1821" s="12" t="s">
        <v>288</v>
      </c>
      <c r="D1821" s="12" t="str">
        <f aca="false">INDEX('Country Tiers'!$C$2:$C$37,MATCH(C1821,'Country Tiers'!$A$2:$A$37,0))</f>
        <v>Tier 3</v>
      </c>
      <c r="E1821" s="12" t="n">
        <f aca="false">INDEX('Country Tiers'!$D$2:$D$37,MATCH(C1821,'Country Tiers'!$A$2:$A$37,0))</f>
        <v>1</v>
      </c>
    </row>
    <row r="1822" customFormat="false" ht="15" hidden="false" customHeight="false" outlineLevel="0" collapsed="false">
      <c r="A1822" s="12" t="s">
        <v>114</v>
      </c>
      <c r="B1822" s="12" t="s">
        <v>47</v>
      </c>
      <c r="C1822" s="12" t="s">
        <v>289</v>
      </c>
      <c r="D1822" s="12" t="str">
        <f aca="false">INDEX('Country Tiers'!$C$2:$C$37,MATCH(C1822,'Country Tiers'!$A$2:$A$37,0))</f>
        <v>Tier 3</v>
      </c>
      <c r="E1822" s="12" t="n">
        <f aca="false">INDEX('Country Tiers'!$D$2:$D$37,MATCH(C1822,'Country Tiers'!$A$2:$A$37,0))</f>
        <v>1</v>
      </c>
    </row>
    <row r="1823" customFormat="false" ht="15" hidden="false" customHeight="false" outlineLevel="0" collapsed="false">
      <c r="A1823" s="12" t="s">
        <v>114</v>
      </c>
      <c r="B1823" s="12" t="s">
        <v>47</v>
      </c>
      <c r="C1823" s="12" t="s">
        <v>290</v>
      </c>
      <c r="D1823" s="12" t="str">
        <f aca="false">INDEX('Country Tiers'!$C$2:$C$37,MATCH(C1823,'Country Tiers'!$A$2:$A$37,0))</f>
        <v>Tier 3</v>
      </c>
      <c r="E1823" s="12" t="n">
        <f aca="false">INDEX('Country Tiers'!$D$2:$D$37,MATCH(C1823,'Country Tiers'!$A$2:$A$37,0))</f>
        <v>1</v>
      </c>
    </row>
    <row r="1824" customFormat="false" ht="15" hidden="false" customHeight="false" outlineLevel="0" collapsed="false">
      <c r="A1824" s="12" t="s">
        <v>114</v>
      </c>
      <c r="B1824" s="12" t="s">
        <v>47</v>
      </c>
      <c r="C1824" s="12" t="s">
        <v>291</v>
      </c>
      <c r="D1824" s="12" t="str">
        <f aca="false">INDEX('Country Tiers'!$C$2:$C$37,MATCH(C1824,'Country Tiers'!$A$2:$A$37,0))</f>
        <v>Tier 3</v>
      </c>
      <c r="E1824" s="12" t="n">
        <f aca="false">INDEX('Country Tiers'!$D$2:$D$37,MATCH(C1824,'Country Tiers'!$A$2:$A$37,0))</f>
        <v>1</v>
      </c>
    </row>
    <row r="1825" customFormat="false" ht="15" hidden="false" customHeight="false" outlineLevel="0" collapsed="false">
      <c r="A1825" s="12" t="s">
        <v>114</v>
      </c>
      <c r="B1825" s="12" t="s">
        <v>47</v>
      </c>
      <c r="C1825" s="12" t="s">
        <v>292</v>
      </c>
      <c r="D1825" s="12" t="str">
        <f aca="false">INDEX('Country Tiers'!$C$2:$C$37,MATCH(C1825,'Country Tiers'!$A$2:$A$37,0))</f>
        <v>Tier 2</v>
      </c>
      <c r="E1825" s="12" t="n">
        <f aca="false">INDEX('Country Tiers'!$D$2:$D$37,MATCH(C1825,'Country Tiers'!$A$2:$A$37,0))</f>
        <v>2</v>
      </c>
    </row>
    <row r="1826" customFormat="false" ht="15" hidden="false" customHeight="false" outlineLevel="0" collapsed="false">
      <c r="A1826" s="12" t="s">
        <v>114</v>
      </c>
      <c r="B1826" s="12" t="s">
        <v>47</v>
      </c>
      <c r="C1826" s="12" t="s">
        <v>293</v>
      </c>
      <c r="D1826" s="12" t="str">
        <f aca="false">INDEX('Country Tiers'!$C$2:$C$37,MATCH(C1826,'Country Tiers'!$A$2:$A$37,0))</f>
        <v>Tier 3</v>
      </c>
      <c r="E1826" s="12" t="n">
        <f aca="false">INDEX('Country Tiers'!$D$2:$D$37,MATCH(C1826,'Country Tiers'!$A$2:$A$37,0))</f>
        <v>1</v>
      </c>
    </row>
    <row r="1827" customFormat="false" ht="15" hidden="false" customHeight="false" outlineLevel="0" collapsed="false">
      <c r="A1827" s="12" t="s">
        <v>114</v>
      </c>
      <c r="B1827" s="12" t="s">
        <v>47</v>
      </c>
      <c r="C1827" s="12" t="s">
        <v>294</v>
      </c>
      <c r="D1827" s="12" t="str">
        <f aca="false">INDEX('Country Tiers'!$C$2:$C$37,MATCH(C1827,'Country Tiers'!$A$2:$A$37,0))</f>
        <v>Tier 3</v>
      </c>
      <c r="E1827" s="12" t="n">
        <f aca="false">INDEX('Country Tiers'!$D$2:$D$37,MATCH(C1827,'Country Tiers'!$A$2:$A$37,0))</f>
        <v>1</v>
      </c>
    </row>
    <row r="1828" customFormat="false" ht="15" hidden="false" customHeight="false" outlineLevel="0" collapsed="false">
      <c r="A1828" s="12" t="s">
        <v>114</v>
      </c>
      <c r="B1828" s="12" t="s">
        <v>47</v>
      </c>
      <c r="C1828" s="12" t="s">
        <v>295</v>
      </c>
      <c r="D1828" s="12" t="str">
        <f aca="false">INDEX('Country Tiers'!$C$2:$C$37,MATCH(C1828,'Country Tiers'!$A$2:$A$37,0))</f>
        <v>Tier 3</v>
      </c>
      <c r="E1828" s="12" t="n">
        <f aca="false">INDEX('Country Tiers'!$D$2:$D$37,MATCH(C1828,'Country Tiers'!$A$2:$A$37,0))</f>
        <v>1</v>
      </c>
    </row>
    <row r="1829" customFormat="false" ht="15" hidden="false" customHeight="false" outlineLevel="0" collapsed="false">
      <c r="A1829" s="12" t="s">
        <v>114</v>
      </c>
      <c r="B1829" s="12" t="s">
        <v>47</v>
      </c>
      <c r="C1829" s="12" t="s">
        <v>296</v>
      </c>
      <c r="D1829" s="12" t="str">
        <f aca="false">INDEX('Country Tiers'!$C$2:$C$37,MATCH(C1829,'Country Tiers'!$A$2:$A$37,0))</f>
        <v>Tier 3</v>
      </c>
      <c r="E1829" s="12" t="n">
        <f aca="false">INDEX('Country Tiers'!$D$2:$D$37,MATCH(C1829,'Country Tiers'!$A$2:$A$37,0))</f>
        <v>1</v>
      </c>
    </row>
    <row r="1830" customFormat="false" ht="15" hidden="false" customHeight="false" outlineLevel="0" collapsed="false">
      <c r="A1830" s="12" t="s">
        <v>114</v>
      </c>
      <c r="B1830" s="12" t="s">
        <v>47</v>
      </c>
      <c r="C1830" s="12" t="s">
        <v>297</v>
      </c>
      <c r="D1830" s="12" t="str">
        <f aca="false">INDEX('Country Tiers'!$C$2:$C$37,MATCH(C1830,'Country Tiers'!$A$2:$A$37,0))</f>
        <v>Tier 2</v>
      </c>
      <c r="E1830" s="12" t="n">
        <f aca="false">INDEX('Country Tiers'!$D$2:$D$37,MATCH(C1830,'Country Tiers'!$A$2:$A$37,0))</f>
        <v>2</v>
      </c>
    </row>
    <row r="1831" customFormat="false" ht="15" hidden="false" customHeight="false" outlineLevel="0" collapsed="false">
      <c r="A1831" s="12" t="s">
        <v>114</v>
      </c>
      <c r="B1831" s="12" t="s">
        <v>47</v>
      </c>
      <c r="C1831" s="12" t="s">
        <v>298</v>
      </c>
      <c r="D1831" s="12" t="str">
        <f aca="false">INDEX('Country Tiers'!$C$2:$C$37,MATCH(C1831,'Country Tiers'!$A$2:$A$37,0))</f>
        <v>Tier 1</v>
      </c>
      <c r="E1831" s="12" t="n">
        <f aca="false">INDEX('Country Tiers'!$D$2:$D$37,MATCH(C1831,'Country Tiers'!$A$2:$A$37,0))</f>
        <v>3</v>
      </c>
    </row>
    <row r="1832" customFormat="false" ht="15" hidden="false" customHeight="false" outlineLevel="0" collapsed="false">
      <c r="A1832" s="12" t="s">
        <v>114</v>
      </c>
      <c r="B1832" s="12" t="s">
        <v>47</v>
      </c>
      <c r="C1832" s="12" t="s">
        <v>299</v>
      </c>
      <c r="D1832" s="12" t="str">
        <f aca="false">INDEX('Country Tiers'!$C$2:$C$37,MATCH(C1832,'Country Tiers'!$A$2:$A$37,0))</f>
        <v>Tier 3</v>
      </c>
      <c r="E1832" s="12" t="n">
        <f aca="false">INDEX('Country Tiers'!$D$2:$D$37,MATCH(C1832,'Country Tiers'!$A$2:$A$37,0))</f>
        <v>1</v>
      </c>
    </row>
    <row r="1833" customFormat="false" ht="15" hidden="false" customHeight="false" outlineLevel="0" collapsed="false">
      <c r="A1833" s="12" t="s">
        <v>114</v>
      </c>
      <c r="B1833" s="12" t="s">
        <v>47</v>
      </c>
      <c r="C1833" s="12" t="s">
        <v>300</v>
      </c>
      <c r="D1833" s="12" t="str">
        <f aca="false">INDEX('Country Tiers'!$C$2:$C$37,MATCH(C1833,'Country Tiers'!$A$2:$A$37,0))</f>
        <v>Tier 3</v>
      </c>
      <c r="E1833" s="12" t="n">
        <f aca="false">INDEX('Country Tiers'!$D$2:$D$37,MATCH(C1833,'Country Tiers'!$A$2:$A$37,0))</f>
        <v>1</v>
      </c>
    </row>
    <row r="1834" customFormat="false" ht="15" hidden="false" customHeight="false" outlineLevel="0" collapsed="false">
      <c r="A1834" s="12" t="s">
        <v>114</v>
      </c>
      <c r="B1834" s="12" t="s">
        <v>47</v>
      </c>
      <c r="C1834" s="12" t="s">
        <v>301</v>
      </c>
      <c r="D1834" s="12" t="str">
        <f aca="false">INDEX('Country Tiers'!$C$2:$C$37,MATCH(C1834,'Country Tiers'!$A$2:$A$37,0))</f>
        <v>Tier 3</v>
      </c>
      <c r="E1834" s="12" t="n">
        <f aca="false">INDEX('Country Tiers'!$D$2:$D$37,MATCH(C1834,'Country Tiers'!$A$2:$A$37,0))</f>
        <v>1</v>
      </c>
    </row>
    <row r="1835" customFormat="false" ht="15" hidden="false" customHeight="false" outlineLevel="0" collapsed="false">
      <c r="A1835" s="12" t="s">
        <v>114</v>
      </c>
      <c r="B1835" s="12" t="s">
        <v>47</v>
      </c>
      <c r="C1835" s="12" t="s">
        <v>302</v>
      </c>
      <c r="D1835" s="12" t="str">
        <f aca="false">INDEX('Country Tiers'!$C$2:$C$37,MATCH(C1835,'Country Tiers'!$A$2:$A$37,0))</f>
        <v>Tier 3</v>
      </c>
      <c r="E1835" s="12" t="n">
        <f aca="false">INDEX('Country Tiers'!$D$2:$D$37,MATCH(C1835,'Country Tiers'!$A$2:$A$37,0))</f>
        <v>1</v>
      </c>
    </row>
    <row r="1836" customFormat="false" ht="15" hidden="false" customHeight="false" outlineLevel="0" collapsed="false">
      <c r="A1836" s="12" t="s">
        <v>114</v>
      </c>
      <c r="B1836" s="12" t="s">
        <v>47</v>
      </c>
      <c r="C1836" s="12" t="s">
        <v>305</v>
      </c>
      <c r="D1836" s="12" t="str">
        <f aca="false">INDEX('Country Tiers'!$C$2:$C$37,MATCH(C1836,'Country Tiers'!$A$2:$A$37,0))</f>
        <v>Tier 3</v>
      </c>
      <c r="E1836" s="12" t="n">
        <f aca="false">INDEX('Country Tiers'!$D$2:$D$37,MATCH(C1836,'Country Tiers'!$A$2:$A$37,0))</f>
        <v>1</v>
      </c>
    </row>
    <row r="1837" customFormat="false" ht="15" hidden="false" customHeight="false" outlineLevel="0" collapsed="false">
      <c r="A1837" s="12" t="s">
        <v>114</v>
      </c>
      <c r="B1837" s="12" t="s">
        <v>47</v>
      </c>
      <c r="C1837" s="12" t="s">
        <v>306</v>
      </c>
      <c r="D1837" s="12" t="str">
        <f aca="false">INDEX('Country Tiers'!$C$2:$C$37,MATCH(C1837,'Country Tiers'!$A$2:$A$37,0))</f>
        <v>Tier 3</v>
      </c>
      <c r="E1837" s="12" t="n">
        <f aca="false">INDEX('Country Tiers'!$D$2:$D$37,MATCH(C1837,'Country Tiers'!$A$2:$A$37,0))</f>
        <v>1</v>
      </c>
    </row>
    <row r="1838" customFormat="false" ht="15" hidden="false" customHeight="false" outlineLevel="0" collapsed="false">
      <c r="A1838" s="12" t="s">
        <v>114</v>
      </c>
      <c r="B1838" s="12" t="s">
        <v>47</v>
      </c>
      <c r="C1838" s="12" t="s">
        <v>307</v>
      </c>
      <c r="D1838" s="12" t="str">
        <f aca="false">INDEX('Country Tiers'!$C$2:$C$37,MATCH(C1838,'Country Tiers'!$A$2:$A$37,0))</f>
        <v>Tier 2</v>
      </c>
      <c r="E1838" s="12" t="n">
        <f aca="false">INDEX('Country Tiers'!$D$2:$D$37,MATCH(C1838,'Country Tiers'!$A$2:$A$37,0))</f>
        <v>2</v>
      </c>
    </row>
    <row r="1839" customFormat="false" ht="15" hidden="false" customHeight="false" outlineLevel="0" collapsed="false">
      <c r="A1839" s="12" t="s">
        <v>114</v>
      </c>
      <c r="B1839" s="12" t="s">
        <v>47</v>
      </c>
      <c r="C1839" s="12" t="s">
        <v>308</v>
      </c>
      <c r="D1839" s="12" t="str">
        <f aca="false">INDEX('Country Tiers'!$C$2:$C$37,MATCH(C1839,'Country Tiers'!$A$2:$A$37,0))</f>
        <v>Tier 3</v>
      </c>
      <c r="E1839" s="12" t="n">
        <f aca="false">INDEX('Country Tiers'!$D$2:$D$37,MATCH(C1839,'Country Tiers'!$A$2:$A$37,0))</f>
        <v>1</v>
      </c>
    </row>
    <row r="1840" customFormat="false" ht="15" hidden="false" customHeight="false" outlineLevel="0" collapsed="false">
      <c r="A1840" s="12" t="s">
        <v>114</v>
      </c>
      <c r="B1840" s="12" t="s">
        <v>47</v>
      </c>
      <c r="C1840" s="12" t="s">
        <v>309</v>
      </c>
      <c r="D1840" s="12" t="str">
        <f aca="false">INDEX('Country Tiers'!$C$2:$C$37,MATCH(C1840,'Country Tiers'!$A$2:$A$37,0))</f>
        <v>Tier 1</v>
      </c>
      <c r="E1840" s="12" t="n">
        <f aca="false">INDEX('Country Tiers'!$D$2:$D$37,MATCH(C1840,'Country Tiers'!$A$2:$A$37,0))</f>
        <v>3</v>
      </c>
    </row>
    <row r="1841" customFormat="false" ht="15" hidden="false" customHeight="false" outlineLevel="0" collapsed="false">
      <c r="A1841" s="12" t="s">
        <v>114</v>
      </c>
      <c r="B1841" s="12" t="s">
        <v>47</v>
      </c>
      <c r="C1841" s="12" t="s">
        <v>313</v>
      </c>
      <c r="D1841" s="12" t="str">
        <f aca="false">INDEX('Country Tiers'!$C$2:$C$37,MATCH(C1841,'Country Tiers'!$A$2:$A$37,0))</f>
        <v>Tier 1</v>
      </c>
      <c r="E1841" s="12" t="n">
        <f aca="false">INDEX('Country Tiers'!$D$2:$D$37,MATCH(C1841,'Country Tiers'!$A$2:$A$37,0))</f>
        <v>3</v>
      </c>
    </row>
    <row r="1842" customFormat="false" ht="15" hidden="false" customHeight="false" outlineLevel="0" collapsed="false">
      <c r="A1842" s="12" t="s">
        <v>114</v>
      </c>
      <c r="B1842" s="12" t="s">
        <v>54</v>
      </c>
      <c r="C1842" s="12" t="s">
        <v>274</v>
      </c>
      <c r="D1842" s="12" t="str">
        <f aca="false">INDEX('Country Tiers'!$C$2:$C$37,MATCH(C1842,'Country Tiers'!$A$2:$A$37,0))</f>
        <v>Tier 3</v>
      </c>
      <c r="E1842" s="12" t="n">
        <f aca="false">INDEX('Country Tiers'!$D$2:$D$37,MATCH(C1842,'Country Tiers'!$A$2:$A$37,0))</f>
        <v>1</v>
      </c>
    </row>
    <row r="1843" customFormat="false" ht="15" hidden="false" customHeight="false" outlineLevel="0" collapsed="false">
      <c r="A1843" s="12" t="s">
        <v>114</v>
      </c>
      <c r="B1843" s="12" t="s">
        <v>54</v>
      </c>
      <c r="C1843" s="12" t="s">
        <v>277</v>
      </c>
      <c r="D1843" s="12" t="str">
        <f aca="false">INDEX('Country Tiers'!$C$2:$C$37,MATCH(C1843,'Country Tiers'!$A$2:$A$37,0))</f>
        <v>Tier 1</v>
      </c>
      <c r="E1843" s="12" t="n">
        <f aca="false">INDEX('Country Tiers'!$D$2:$D$37,MATCH(C1843,'Country Tiers'!$A$2:$A$37,0))</f>
        <v>3</v>
      </c>
    </row>
    <row r="1844" customFormat="false" ht="15" hidden="false" customHeight="false" outlineLevel="0" collapsed="false">
      <c r="A1844" s="12" t="s">
        <v>114</v>
      </c>
      <c r="B1844" s="12" t="s">
        <v>54</v>
      </c>
      <c r="C1844" s="12" t="s">
        <v>278</v>
      </c>
      <c r="D1844" s="12" t="str">
        <f aca="false">INDEX('Country Tiers'!$C$2:$C$37,MATCH(C1844,'Country Tiers'!$A$2:$A$37,0))</f>
        <v>Tier 3</v>
      </c>
      <c r="E1844" s="12" t="n">
        <f aca="false">INDEX('Country Tiers'!$D$2:$D$37,MATCH(C1844,'Country Tiers'!$A$2:$A$37,0))</f>
        <v>1</v>
      </c>
    </row>
    <row r="1845" customFormat="false" ht="15" hidden="false" customHeight="false" outlineLevel="0" collapsed="false">
      <c r="A1845" s="12" t="s">
        <v>114</v>
      </c>
      <c r="B1845" s="12" t="s">
        <v>54</v>
      </c>
      <c r="C1845" s="12" t="s">
        <v>280</v>
      </c>
      <c r="D1845" s="12" t="str">
        <f aca="false">INDEX('Country Tiers'!$C$2:$C$37,MATCH(C1845,'Country Tiers'!$A$2:$A$37,0))</f>
        <v>Tier 3</v>
      </c>
      <c r="E1845" s="12" t="n">
        <f aca="false">INDEX('Country Tiers'!$D$2:$D$37,MATCH(C1845,'Country Tiers'!$A$2:$A$37,0))</f>
        <v>1</v>
      </c>
    </row>
    <row r="1846" customFormat="false" ht="15" hidden="false" customHeight="false" outlineLevel="0" collapsed="false">
      <c r="A1846" s="12" t="s">
        <v>114</v>
      </c>
      <c r="B1846" s="12" t="s">
        <v>54</v>
      </c>
      <c r="C1846" s="12" t="s">
        <v>281</v>
      </c>
      <c r="D1846" s="12" t="str">
        <f aca="false">INDEX('Country Tiers'!$C$2:$C$37,MATCH(C1846,'Country Tiers'!$A$2:$A$37,0))</f>
        <v>Tier 3</v>
      </c>
      <c r="E1846" s="12" t="n">
        <f aca="false">INDEX('Country Tiers'!$D$2:$D$37,MATCH(C1846,'Country Tiers'!$A$2:$A$37,0))</f>
        <v>1</v>
      </c>
    </row>
    <row r="1847" customFormat="false" ht="15" hidden="false" customHeight="false" outlineLevel="0" collapsed="false">
      <c r="A1847" s="12" t="s">
        <v>114</v>
      </c>
      <c r="B1847" s="12" t="s">
        <v>54</v>
      </c>
      <c r="C1847" s="12" t="s">
        <v>282</v>
      </c>
      <c r="D1847" s="12" t="str">
        <f aca="false">INDEX('Country Tiers'!$C$2:$C$37,MATCH(C1847,'Country Tiers'!$A$2:$A$37,0))</f>
        <v>Tier 3</v>
      </c>
      <c r="E1847" s="12" t="n">
        <f aca="false">INDEX('Country Tiers'!$D$2:$D$37,MATCH(C1847,'Country Tiers'!$A$2:$A$37,0))</f>
        <v>1</v>
      </c>
    </row>
    <row r="1848" customFormat="false" ht="15" hidden="false" customHeight="false" outlineLevel="0" collapsed="false">
      <c r="A1848" s="12" t="s">
        <v>114</v>
      </c>
      <c r="B1848" s="12" t="s">
        <v>54</v>
      </c>
      <c r="C1848" s="12" t="s">
        <v>283</v>
      </c>
      <c r="D1848" s="12" t="str">
        <f aca="false">INDEX('Country Tiers'!$C$2:$C$37,MATCH(C1848,'Country Tiers'!$A$2:$A$37,0))</f>
        <v>Tier 3</v>
      </c>
      <c r="E1848" s="12" t="n">
        <f aca="false">INDEX('Country Tiers'!$D$2:$D$37,MATCH(C1848,'Country Tiers'!$A$2:$A$37,0))</f>
        <v>1</v>
      </c>
    </row>
    <row r="1849" customFormat="false" ht="15" hidden="false" customHeight="false" outlineLevel="0" collapsed="false">
      <c r="A1849" s="12" t="s">
        <v>114</v>
      </c>
      <c r="B1849" s="12" t="s">
        <v>54</v>
      </c>
      <c r="C1849" s="12" t="s">
        <v>284</v>
      </c>
      <c r="D1849" s="12" t="str">
        <f aca="false">INDEX('Country Tiers'!$C$2:$C$37,MATCH(C1849,'Country Tiers'!$A$2:$A$37,0))</f>
        <v>Tier 3</v>
      </c>
      <c r="E1849" s="12" t="n">
        <f aca="false">INDEX('Country Tiers'!$D$2:$D$37,MATCH(C1849,'Country Tiers'!$A$2:$A$37,0))</f>
        <v>1</v>
      </c>
    </row>
    <row r="1850" customFormat="false" ht="15" hidden="false" customHeight="false" outlineLevel="0" collapsed="false">
      <c r="A1850" s="12" t="s">
        <v>114</v>
      </c>
      <c r="B1850" s="12" t="s">
        <v>54</v>
      </c>
      <c r="C1850" s="12" t="s">
        <v>285</v>
      </c>
      <c r="D1850" s="12" t="str">
        <f aca="false">INDEX('Country Tiers'!$C$2:$C$37,MATCH(C1850,'Country Tiers'!$A$2:$A$37,0))</f>
        <v>Tier 3</v>
      </c>
      <c r="E1850" s="12" t="n">
        <f aca="false">INDEX('Country Tiers'!$D$2:$D$37,MATCH(C1850,'Country Tiers'!$A$2:$A$37,0))</f>
        <v>1</v>
      </c>
    </row>
    <row r="1851" customFormat="false" ht="15" hidden="false" customHeight="false" outlineLevel="0" collapsed="false">
      <c r="A1851" s="12" t="s">
        <v>114</v>
      </c>
      <c r="B1851" s="12" t="s">
        <v>54</v>
      </c>
      <c r="C1851" s="12" t="s">
        <v>286</v>
      </c>
      <c r="D1851" s="12" t="str">
        <f aca="false">INDEX('Country Tiers'!$C$2:$C$37,MATCH(C1851,'Country Tiers'!$A$2:$A$37,0))</f>
        <v>Tier 1</v>
      </c>
      <c r="E1851" s="12" t="n">
        <f aca="false">INDEX('Country Tiers'!$D$2:$D$37,MATCH(C1851,'Country Tiers'!$A$2:$A$37,0))</f>
        <v>3</v>
      </c>
    </row>
    <row r="1852" customFormat="false" ht="15" hidden="false" customHeight="false" outlineLevel="0" collapsed="false">
      <c r="A1852" s="12" t="s">
        <v>114</v>
      </c>
      <c r="B1852" s="12" t="s">
        <v>54</v>
      </c>
      <c r="C1852" s="12" t="s">
        <v>287</v>
      </c>
      <c r="D1852" s="12" t="str">
        <f aca="false">INDEX('Country Tiers'!$C$2:$C$37,MATCH(C1852,'Country Tiers'!$A$2:$A$37,0))</f>
        <v>Tier 1</v>
      </c>
      <c r="E1852" s="12" t="n">
        <f aca="false">INDEX('Country Tiers'!$D$2:$D$37,MATCH(C1852,'Country Tiers'!$A$2:$A$37,0))</f>
        <v>3</v>
      </c>
    </row>
    <row r="1853" customFormat="false" ht="15" hidden="false" customHeight="false" outlineLevel="0" collapsed="false">
      <c r="A1853" s="12" t="s">
        <v>114</v>
      </c>
      <c r="B1853" s="12" t="s">
        <v>54</v>
      </c>
      <c r="C1853" s="12" t="s">
        <v>288</v>
      </c>
      <c r="D1853" s="12" t="str">
        <f aca="false">INDEX('Country Tiers'!$C$2:$C$37,MATCH(C1853,'Country Tiers'!$A$2:$A$37,0))</f>
        <v>Tier 3</v>
      </c>
      <c r="E1853" s="12" t="n">
        <f aca="false">INDEX('Country Tiers'!$D$2:$D$37,MATCH(C1853,'Country Tiers'!$A$2:$A$37,0))</f>
        <v>1</v>
      </c>
    </row>
    <row r="1854" customFormat="false" ht="15" hidden="false" customHeight="false" outlineLevel="0" collapsed="false">
      <c r="A1854" s="12" t="s">
        <v>114</v>
      </c>
      <c r="B1854" s="12" t="s">
        <v>54</v>
      </c>
      <c r="C1854" s="12" t="s">
        <v>289</v>
      </c>
      <c r="D1854" s="12" t="str">
        <f aca="false">INDEX('Country Tiers'!$C$2:$C$37,MATCH(C1854,'Country Tiers'!$A$2:$A$37,0))</f>
        <v>Tier 3</v>
      </c>
      <c r="E1854" s="12" t="n">
        <f aca="false">INDEX('Country Tiers'!$D$2:$D$37,MATCH(C1854,'Country Tiers'!$A$2:$A$37,0))</f>
        <v>1</v>
      </c>
    </row>
    <row r="1855" customFormat="false" ht="15" hidden="false" customHeight="false" outlineLevel="0" collapsed="false">
      <c r="A1855" s="12" t="s">
        <v>114</v>
      </c>
      <c r="B1855" s="12" t="s">
        <v>54</v>
      </c>
      <c r="C1855" s="12" t="s">
        <v>290</v>
      </c>
      <c r="D1855" s="12" t="str">
        <f aca="false">INDEX('Country Tiers'!$C$2:$C$37,MATCH(C1855,'Country Tiers'!$A$2:$A$37,0))</f>
        <v>Tier 3</v>
      </c>
      <c r="E1855" s="12" t="n">
        <f aca="false">INDEX('Country Tiers'!$D$2:$D$37,MATCH(C1855,'Country Tiers'!$A$2:$A$37,0))</f>
        <v>1</v>
      </c>
    </row>
    <row r="1856" customFormat="false" ht="15" hidden="false" customHeight="false" outlineLevel="0" collapsed="false">
      <c r="A1856" s="12" t="s">
        <v>114</v>
      </c>
      <c r="B1856" s="12" t="s">
        <v>54</v>
      </c>
      <c r="C1856" s="12" t="s">
        <v>291</v>
      </c>
      <c r="D1856" s="12" t="str">
        <f aca="false">INDEX('Country Tiers'!$C$2:$C$37,MATCH(C1856,'Country Tiers'!$A$2:$A$37,0))</f>
        <v>Tier 3</v>
      </c>
      <c r="E1856" s="12" t="n">
        <f aca="false">INDEX('Country Tiers'!$D$2:$D$37,MATCH(C1856,'Country Tiers'!$A$2:$A$37,0))</f>
        <v>1</v>
      </c>
    </row>
    <row r="1857" customFormat="false" ht="15" hidden="false" customHeight="false" outlineLevel="0" collapsed="false">
      <c r="A1857" s="12" t="s">
        <v>114</v>
      </c>
      <c r="B1857" s="12" t="s">
        <v>54</v>
      </c>
      <c r="C1857" s="12" t="s">
        <v>292</v>
      </c>
      <c r="D1857" s="12" t="str">
        <f aca="false">INDEX('Country Tiers'!$C$2:$C$37,MATCH(C1857,'Country Tiers'!$A$2:$A$37,0))</f>
        <v>Tier 2</v>
      </c>
      <c r="E1857" s="12" t="n">
        <f aca="false">INDEX('Country Tiers'!$D$2:$D$37,MATCH(C1857,'Country Tiers'!$A$2:$A$37,0))</f>
        <v>2</v>
      </c>
    </row>
    <row r="1858" customFormat="false" ht="15" hidden="false" customHeight="false" outlineLevel="0" collapsed="false">
      <c r="A1858" s="12" t="s">
        <v>114</v>
      </c>
      <c r="B1858" s="12" t="s">
        <v>54</v>
      </c>
      <c r="C1858" s="12" t="s">
        <v>293</v>
      </c>
      <c r="D1858" s="12" t="str">
        <f aca="false">INDEX('Country Tiers'!$C$2:$C$37,MATCH(C1858,'Country Tiers'!$A$2:$A$37,0))</f>
        <v>Tier 3</v>
      </c>
      <c r="E1858" s="12" t="n">
        <f aca="false">INDEX('Country Tiers'!$D$2:$D$37,MATCH(C1858,'Country Tiers'!$A$2:$A$37,0))</f>
        <v>1</v>
      </c>
    </row>
    <row r="1859" customFormat="false" ht="15" hidden="false" customHeight="false" outlineLevel="0" collapsed="false">
      <c r="A1859" s="12" t="s">
        <v>114</v>
      </c>
      <c r="B1859" s="12" t="s">
        <v>54</v>
      </c>
      <c r="C1859" s="12" t="s">
        <v>294</v>
      </c>
      <c r="D1859" s="12" t="str">
        <f aca="false">INDEX('Country Tiers'!$C$2:$C$37,MATCH(C1859,'Country Tiers'!$A$2:$A$37,0))</f>
        <v>Tier 3</v>
      </c>
      <c r="E1859" s="12" t="n">
        <f aca="false">INDEX('Country Tiers'!$D$2:$D$37,MATCH(C1859,'Country Tiers'!$A$2:$A$37,0))</f>
        <v>1</v>
      </c>
    </row>
    <row r="1860" customFormat="false" ht="15" hidden="false" customHeight="false" outlineLevel="0" collapsed="false">
      <c r="A1860" s="12" t="s">
        <v>114</v>
      </c>
      <c r="B1860" s="12" t="s">
        <v>54</v>
      </c>
      <c r="C1860" s="12" t="s">
        <v>295</v>
      </c>
      <c r="D1860" s="12" t="str">
        <f aca="false">INDEX('Country Tiers'!$C$2:$C$37,MATCH(C1860,'Country Tiers'!$A$2:$A$37,0))</f>
        <v>Tier 3</v>
      </c>
      <c r="E1860" s="12" t="n">
        <f aca="false">INDEX('Country Tiers'!$D$2:$D$37,MATCH(C1860,'Country Tiers'!$A$2:$A$37,0))</f>
        <v>1</v>
      </c>
    </row>
    <row r="1861" customFormat="false" ht="15" hidden="false" customHeight="false" outlineLevel="0" collapsed="false">
      <c r="A1861" s="12" t="s">
        <v>114</v>
      </c>
      <c r="B1861" s="12" t="s">
        <v>54</v>
      </c>
      <c r="C1861" s="12" t="s">
        <v>296</v>
      </c>
      <c r="D1861" s="12" t="str">
        <f aca="false">INDEX('Country Tiers'!$C$2:$C$37,MATCH(C1861,'Country Tiers'!$A$2:$A$37,0))</f>
        <v>Tier 3</v>
      </c>
      <c r="E1861" s="12" t="n">
        <f aca="false">INDEX('Country Tiers'!$D$2:$D$37,MATCH(C1861,'Country Tiers'!$A$2:$A$37,0))</f>
        <v>1</v>
      </c>
    </row>
    <row r="1862" customFormat="false" ht="15" hidden="false" customHeight="false" outlineLevel="0" collapsed="false">
      <c r="A1862" s="12" t="s">
        <v>114</v>
      </c>
      <c r="B1862" s="12" t="s">
        <v>54</v>
      </c>
      <c r="C1862" s="12" t="s">
        <v>297</v>
      </c>
      <c r="D1862" s="12" t="str">
        <f aca="false">INDEX('Country Tiers'!$C$2:$C$37,MATCH(C1862,'Country Tiers'!$A$2:$A$37,0))</f>
        <v>Tier 2</v>
      </c>
      <c r="E1862" s="12" t="n">
        <f aca="false">INDEX('Country Tiers'!$D$2:$D$37,MATCH(C1862,'Country Tiers'!$A$2:$A$37,0))</f>
        <v>2</v>
      </c>
    </row>
    <row r="1863" customFormat="false" ht="15" hidden="false" customHeight="false" outlineLevel="0" collapsed="false">
      <c r="A1863" s="12" t="s">
        <v>114</v>
      </c>
      <c r="B1863" s="12" t="s">
        <v>54</v>
      </c>
      <c r="C1863" s="12" t="s">
        <v>298</v>
      </c>
      <c r="D1863" s="12" t="str">
        <f aca="false">INDEX('Country Tiers'!$C$2:$C$37,MATCH(C1863,'Country Tiers'!$A$2:$A$37,0))</f>
        <v>Tier 1</v>
      </c>
      <c r="E1863" s="12" t="n">
        <f aca="false">INDEX('Country Tiers'!$D$2:$D$37,MATCH(C1863,'Country Tiers'!$A$2:$A$37,0))</f>
        <v>3</v>
      </c>
    </row>
    <row r="1864" customFormat="false" ht="15" hidden="false" customHeight="false" outlineLevel="0" collapsed="false">
      <c r="A1864" s="12" t="s">
        <v>114</v>
      </c>
      <c r="B1864" s="12" t="s">
        <v>54</v>
      </c>
      <c r="C1864" s="12" t="s">
        <v>299</v>
      </c>
      <c r="D1864" s="12" t="str">
        <f aca="false">INDEX('Country Tiers'!$C$2:$C$37,MATCH(C1864,'Country Tiers'!$A$2:$A$37,0))</f>
        <v>Tier 3</v>
      </c>
      <c r="E1864" s="12" t="n">
        <f aca="false">INDEX('Country Tiers'!$D$2:$D$37,MATCH(C1864,'Country Tiers'!$A$2:$A$37,0))</f>
        <v>1</v>
      </c>
    </row>
    <row r="1865" customFormat="false" ht="15" hidden="false" customHeight="false" outlineLevel="0" collapsed="false">
      <c r="A1865" s="12" t="s">
        <v>114</v>
      </c>
      <c r="B1865" s="12" t="s">
        <v>54</v>
      </c>
      <c r="C1865" s="12" t="s">
        <v>300</v>
      </c>
      <c r="D1865" s="12" t="str">
        <f aca="false">INDEX('Country Tiers'!$C$2:$C$37,MATCH(C1865,'Country Tiers'!$A$2:$A$37,0))</f>
        <v>Tier 3</v>
      </c>
      <c r="E1865" s="12" t="n">
        <f aca="false">INDEX('Country Tiers'!$D$2:$D$37,MATCH(C1865,'Country Tiers'!$A$2:$A$37,0))</f>
        <v>1</v>
      </c>
    </row>
    <row r="1866" customFormat="false" ht="15" hidden="false" customHeight="false" outlineLevel="0" collapsed="false">
      <c r="A1866" s="12" t="s">
        <v>114</v>
      </c>
      <c r="B1866" s="12" t="s">
        <v>54</v>
      </c>
      <c r="C1866" s="12" t="s">
        <v>301</v>
      </c>
      <c r="D1866" s="12" t="str">
        <f aca="false">INDEX('Country Tiers'!$C$2:$C$37,MATCH(C1866,'Country Tiers'!$A$2:$A$37,0))</f>
        <v>Tier 3</v>
      </c>
      <c r="E1866" s="12" t="n">
        <f aca="false">INDEX('Country Tiers'!$D$2:$D$37,MATCH(C1866,'Country Tiers'!$A$2:$A$37,0))</f>
        <v>1</v>
      </c>
    </row>
    <row r="1867" customFormat="false" ht="15" hidden="false" customHeight="false" outlineLevel="0" collapsed="false">
      <c r="A1867" s="12" t="s">
        <v>114</v>
      </c>
      <c r="B1867" s="12" t="s">
        <v>54</v>
      </c>
      <c r="C1867" s="12" t="s">
        <v>302</v>
      </c>
      <c r="D1867" s="12" t="str">
        <f aca="false">INDEX('Country Tiers'!$C$2:$C$37,MATCH(C1867,'Country Tiers'!$A$2:$A$37,0))</f>
        <v>Tier 3</v>
      </c>
      <c r="E1867" s="12" t="n">
        <f aca="false">INDEX('Country Tiers'!$D$2:$D$37,MATCH(C1867,'Country Tiers'!$A$2:$A$37,0))</f>
        <v>1</v>
      </c>
    </row>
    <row r="1868" customFormat="false" ht="15" hidden="false" customHeight="false" outlineLevel="0" collapsed="false">
      <c r="A1868" s="12" t="s">
        <v>114</v>
      </c>
      <c r="B1868" s="12" t="s">
        <v>54</v>
      </c>
      <c r="C1868" s="12" t="s">
        <v>305</v>
      </c>
      <c r="D1868" s="12" t="str">
        <f aca="false">INDEX('Country Tiers'!$C$2:$C$37,MATCH(C1868,'Country Tiers'!$A$2:$A$37,0))</f>
        <v>Tier 3</v>
      </c>
      <c r="E1868" s="12" t="n">
        <f aca="false">INDEX('Country Tiers'!$D$2:$D$37,MATCH(C1868,'Country Tiers'!$A$2:$A$37,0))</f>
        <v>1</v>
      </c>
    </row>
    <row r="1869" customFormat="false" ht="15" hidden="false" customHeight="false" outlineLevel="0" collapsed="false">
      <c r="A1869" s="12" t="s">
        <v>114</v>
      </c>
      <c r="B1869" s="12" t="s">
        <v>54</v>
      </c>
      <c r="C1869" s="12" t="s">
        <v>306</v>
      </c>
      <c r="D1869" s="12" t="str">
        <f aca="false">INDEX('Country Tiers'!$C$2:$C$37,MATCH(C1869,'Country Tiers'!$A$2:$A$37,0))</f>
        <v>Tier 3</v>
      </c>
      <c r="E1869" s="12" t="n">
        <f aca="false">INDEX('Country Tiers'!$D$2:$D$37,MATCH(C1869,'Country Tiers'!$A$2:$A$37,0))</f>
        <v>1</v>
      </c>
    </row>
    <row r="1870" customFormat="false" ht="15" hidden="false" customHeight="false" outlineLevel="0" collapsed="false">
      <c r="A1870" s="12" t="s">
        <v>114</v>
      </c>
      <c r="B1870" s="12" t="s">
        <v>54</v>
      </c>
      <c r="C1870" s="12" t="s">
        <v>307</v>
      </c>
      <c r="D1870" s="12" t="str">
        <f aca="false">INDEX('Country Tiers'!$C$2:$C$37,MATCH(C1870,'Country Tiers'!$A$2:$A$37,0))</f>
        <v>Tier 2</v>
      </c>
      <c r="E1870" s="12" t="n">
        <f aca="false">INDEX('Country Tiers'!$D$2:$D$37,MATCH(C1870,'Country Tiers'!$A$2:$A$37,0))</f>
        <v>2</v>
      </c>
    </row>
    <row r="1871" customFormat="false" ht="15" hidden="false" customHeight="false" outlineLevel="0" collapsed="false">
      <c r="A1871" s="12" t="s">
        <v>114</v>
      </c>
      <c r="B1871" s="12" t="s">
        <v>54</v>
      </c>
      <c r="C1871" s="12" t="s">
        <v>308</v>
      </c>
      <c r="D1871" s="12" t="str">
        <f aca="false">INDEX('Country Tiers'!$C$2:$C$37,MATCH(C1871,'Country Tiers'!$A$2:$A$37,0))</f>
        <v>Tier 3</v>
      </c>
      <c r="E1871" s="12" t="n">
        <f aca="false">INDEX('Country Tiers'!$D$2:$D$37,MATCH(C1871,'Country Tiers'!$A$2:$A$37,0))</f>
        <v>1</v>
      </c>
    </row>
    <row r="1872" customFormat="false" ht="15" hidden="false" customHeight="false" outlineLevel="0" collapsed="false">
      <c r="A1872" s="12" t="s">
        <v>114</v>
      </c>
      <c r="B1872" s="12" t="s">
        <v>54</v>
      </c>
      <c r="C1872" s="12" t="s">
        <v>313</v>
      </c>
      <c r="D1872" s="12" t="str">
        <f aca="false">INDEX('Country Tiers'!$C$2:$C$37,MATCH(C1872,'Country Tiers'!$A$2:$A$37,0))</f>
        <v>Tier 1</v>
      </c>
      <c r="E1872" s="12" t="n">
        <f aca="false">INDEX('Country Tiers'!$D$2:$D$37,MATCH(C1872,'Country Tiers'!$A$2:$A$37,0))</f>
        <v>3</v>
      </c>
    </row>
    <row r="1873" customFormat="false" ht="15" hidden="false" customHeight="false" outlineLevel="0" collapsed="false">
      <c r="A1873" s="12" t="s">
        <v>114</v>
      </c>
      <c r="B1873" s="12" t="s">
        <v>55</v>
      </c>
      <c r="C1873" s="12" t="s">
        <v>274</v>
      </c>
      <c r="D1873" s="12" t="str">
        <f aca="false">INDEX('Country Tiers'!$C$2:$C$37,MATCH(C1873,'Country Tiers'!$A$2:$A$37,0))</f>
        <v>Tier 3</v>
      </c>
      <c r="E1873" s="12" t="n">
        <f aca="false">INDEX('Country Tiers'!$D$2:$D$37,MATCH(C1873,'Country Tiers'!$A$2:$A$37,0))</f>
        <v>1</v>
      </c>
    </row>
    <row r="1874" customFormat="false" ht="15" hidden="false" customHeight="false" outlineLevel="0" collapsed="false">
      <c r="A1874" s="12" t="s">
        <v>114</v>
      </c>
      <c r="B1874" s="12" t="s">
        <v>55</v>
      </c>
      <c r="C1874" s="12" t="s">
        <v>277</v>
      </c>
      <c r="D1874" s="12" t="str">
        <f aca="false">INDEX('Country Tiers'!$C$2:$C$37,MATCH(C1874,'Country Tiers'!$A$2:$A$37,0))</f>
        <v>Tier 1</v>
      </c>
      <c r="E1874" s="12" t="n">
        <f aca="false">INDEX('Country Tiers'!$D$2:$D$37,MATCH(C1874,'Country Tiers'!$A$2:$A$37,0))</f>
        <v>3</v>
      </c>
    </row>
    <row r="1875" customFormat="false" ht="15" hidden="false" customHeight="false" outlineLevel="0" collapsed="false">
      <c r="A1875" s="12" t="s">
        <v>114</v>
      </c>
      <c r="B1875" s="12" t="s">
        <v>55</v>
      </c>
      <c r="C1875" s="12" t="s">
        <v>278</v>
      </c>
      <c r="D1875" s="12" t="str">
        <f aca="false">INDEX('Country Tiers'!$C$2:$C$37,MATCH(C1875,'Country Tiers'!$A$2:$A$37,0))</f>
        <v>Tier 3</v>
      </c>
      <c r="E1875" s="12" t="n">
        <f aca="false">INDEX('Country Tiers'!$D$2:$D$37,MATCH(C1875,'Country Tiers'!$A$2:$A$37,0))</f>
        <v>1</v>
      </c>
    </row>
    <row r="1876" customFormat="false" ht="15" hidden="false" customHeight="false" outlineLevel="0" collapsed="false">
      <c r="A1876" s="12" t="s">
        <v>114</v>
      </c>
      <c r="B1876" s="12" t="s">
        <v>55</v>
      </c>
      <c r="C1876" s="12" t="s">
        <v>280</v>
      </c>
      <c r="D1876" s="12" t="str">
        <f aca="false">INDEX('Country Tiers'!$C$2:$C$37,MATCH(C1876,'Country Tiers'!$A$2:$A$37,0))</f>
        <v>Tier 3</v>
      </c>
      <c r="E1876" s="12" t="n">
        <f aca="false">INDEX('Country Tiers'!$D$2:$D$37,MATCH(C1876,'Country Tiers'!$A$2:$A$37,0))</f>
        <v>1</v>
      </c>
    </row>
    <row r="1877" customFormat="false" ht="15" hidden="false" customHeight="false" outlineLevel="0" collapsed="false">
      <c r="A1877" s="12" t="s">
        <v>114</v>
      </c>
      <c r="B1877" s="12" t="s">
        <v>55</v>
      </c>
      <c r="C1877" s="12" t="s">
        <v>281</v>
      </c>
      <c r="D1877" s="12" t="str">
        <f aca="false">INDEX('Country Tiers'!$C$2:$C$37,MATCH(C1877,'Country Tiers'!$A$2:$A$37,0))</f>
        <v>Tier 3</v>
      </c>
      <c r="E1877" s="12" t="n">
        <f aca="false">INDEX('Country Tiers'!$D$2:$D$37,MATCH(C1877,'Country Tiers'!$A$2:$A$37,0))</f>
        <v>1</v>
      </c>
    </row>
    <row r="1878" customFormat="false" ht="15" hidden="false" customHeight="false" outlineLevel="0" collapsed="false">
      <c r="A1878" s="12" t="s">
        <v>114</v>
      </c>
      <c r="B1878" s="12" t="s">
        <v>55</v>
      </c>
      <c r="C1878" s="12" t="s">
        <v>282</v>
      </c>
      <c r="D1878" s="12" t="str">
        <f aca="false">INDEX('Country Tiers'!$C$2:$C$37,MATCH(C1878,'Country Tiers'!$A$2:$A$37,0))</f>
        <v>Tier 3</v>
      </c>
      <c r="E1878" s="12" t="n">
        <f aca="false">INDEX('Country Tiers'!$D$2:$D$37,MATCH(C1878,'Country Tiers'!$A$2:$A$37,0))</f>
        <v>1</v>
      </c>
    </row>
    <row r="1879" customFormat="false" ht="15" hidden="false" customHeight="false" outlineLevel="0" collapsed="false">
      <c r="A1879" s="12" t="s">
        <v>114</v>
      </c>
      <c r="B1879" s="12" t="s">
        <v>55</v>
      </c>
      <c r="C1879" s="12" t="s">
        <v>283</v>
      </c>
      <c r="D1879" s="12" t="str">
        <f aca="false">INDEX('Country Tiers'!$C$2:$C$37,MATCH(C1879,'Country Tiers'!$A$2:$A$37,0))</f>
        <v>Tier 3</v>
      </c>
      <c r="E1879" s="12" t="n">
        <f aca="false">INDEX('Country Tiers'!$D$2:$D$37,MATCH(C1879,'Country Tiers'!$A$2:$A$37,0))</f>
        <v>1</v>
      </c>
    </row>
    <row r="1880" customFormat="false" ht="15" hidden="false" customHeight="false" outlineLevel="0" collapsed="false">
      <c r="A1880" s="12" t="s">
        <v>114</v>
      </c>
      <c r="B1880" s="12" t="s">
        <v>55</v>
      </c>
      <c r="C1880" s="12" t="s">
        <v>284</v>
      </c>
      <c r="D1880" s="12" t="str">
        <f aca="false">INDEX('Country Tiers'!$C$2:$C$37,MATCH(C1880,'Country Tiers'!$A$2:$A$37,0))</f>
        <v>Tier 3</v>
      </c>
      <c r="E1880" s="12" t="n">
        <f aca="false">INDEX('Country Tiers'!$D$2:$D$37,MATCH(C1880,'Country Tiers'!$A$2:$A$37,0))</f>
        <v>1</v>
      </c>
    </row>
    <row r="1881" customFormat="false" ht="15" hidden="false" customHeight="false" outlineLevel="0" collapsed="false">
      <c r="A1881" s="12" t="s">
        <v>114</v>
      </c>
      <c r="B1881" s="12" t="s">
        <v>55</v>
      </c>
      <c r="C1881" s="12" t="s">
        <v>285</v>
      </c>
      <c r="D1881" s="12" t="str">
        <f aca="false">INDEX('Country Tiers'!$C$2:$C$37,MATCH(C1881,'Country Tiers'!$A$2:$A$37,0))</f>
        <v>Tier 3</v>
      </c>
      <c r="E1881" s="12" t="n">
        <f aca="false">INDEX('Country Tiers'!$D$2:$D$37,MATCH(C1881,'Country Tiers'!$A$2:$A$37,0))</f>
        <v>1</v>
      </c>
    </row>
    <row r="1882" customFormat="false" ht="15" hidden="false" customHeight="false" outlineLevel="0" collapsed="false">
      <c r="A1882" s="12" t="s">
        <v>114</v>
      </c>
      <c r="B1882" s="12" t="s">
        <v>55</v>
      </c>
      <c r="C1882" s="12" t="s">
        <v>286</v>
      </c>
      <c r="D1882" s="12" t="str">
        <f aca="false">INDEX('Country Tiers'!$C$2:$C$37,MATCH(C1882,'Country Tiers'!$A$2:$A$37,0))</f>
        <v>Tier 1</v>
      </c>
      <c r="E1882" s="12" t="n">
        <f aca="false">INDEX('Country Tiers'!$D$2:$D$37,MATCH(C1882,'Country Tiers'!$A$2:$A$37,0))</f>
        <v>3</v>
      </c>
    </row>
    <row r="1883" customFormat="false" ht="15" hidden="false" customHeight="false" outlineLevel="0" collapsed="false">
      <c r="A1883" s="12" t="s">
        <v>114</v>
      </c>
      <c r="B1883" s="12" t="s">
        <v>55</v>
      </c>
      <c r="C1883" s="12" t="s">
        <v>287</v>
      </c>
      <c r="D1883" s="12" t="str">
        <f aca="false">INDEX('Country Tiers'!$C$2:$C$37,MATCH(C1883,'Country Tiers'!$A$2:$A$37,0))</f>
        <v>Tier 1</v>
      </c>
      <c r="E1883" s="12" t="n">
        <f aca="false">INDEX('Country Tiers'!$D$2:$D$37,MATCH(C1883,'Country Tiers'!$A$2:$A$37,0))</f>
        <v>3</v>
      </c>
    </row>
    <row r="1884" customFormat="false" ht="15" hidden="false" customHeight="false" outlineLevel="0" collapsed="false">
      <c r="A1884" s="12" t="s">
        <v>114</v>
      </c>
      <c r="B1884" s="12" t="s">
        <v>55</v>
      </c>
      <c r="C1884" s="12" t="s">
        <v>288</v>
      </c>
      <c r="D1884" s="12" t="str">
        <f aca="false">INDEX('Country Tiers'!$C$2:$C$37,MATCH(C1884,'Country Tiers'!$A$2:$A$37,0))</f>
        <v>Tier 3</v>
      </c>
      <c r="E1884" s="12" t="n">
        <f aca="false">INDEX('Country Tiers'!$D$2:$D$37,MATCH(C1884,'Country Tiers'!$A$2:$A$37,0))</f>
        <v>1</v>
      </c>
    </row>
    <row r="1885" customFormat="false" ht="15" hidden="false" customHeight="false" outlineLevel="0" collapsed="false">
      <c r="A1885" s="12" t="s">
        <v>114</v>
      </c>
      <c r="B1885" s="12" t="s">
        <v>55</v>
      </c>
      <c r="C1885" s="12" t="s">
        <v>289</v>
      </c>
      <c r="D1885" s="12" t="str">
        <f aca="false">INDEX('Country Tiers'!$C$2:$C$37,MATCH(C1885,'Country Tiers'!$A$2:$A$37,0))</f>
        <v>Tier 3</v>
      </c>
      <c r="E1885" s="12" t="n">
        <f aca="false">INDEX('Country Tiers'!$D$2:$D$37,MATCH(C1885,'Country Tiers'!$A$2:$A$37,0))</f>
        <v>1</v>
      </c>
    </row>
    <row r="1886" customFormat="false" ht="15" hidden="false" customHeight="false" outlineLevel="0" collapsed="false">
      <c r="A1886" s="12" t="s">
        <v>114</v>
      </c>
      <c r="B1886" s="12" t="s">
        <v>55</v>
      </c>
      <c r="C1886" s="12" t="s">
        <v>290</v>
      </c>
      <c r="D1886" s="12" t="str">
        <f aca="false">INDEX('Country Tiers'!$C$2:$C$37,MATCH(C1886,'Country Tiers'!$A$2:$A$37,0))</f>
        <v>Tier 3</v>
      </c>
      <c r="E1886" s="12" t="n">
        <f aca="false">INDEX('Country Tiers'!$D$2:$D$37,MATCH(C1886,'Country Tiers'!$A$2:$A$37,0))</f>
        <v>1</v>
      </c>
    </row>
    <row r="1887" customFormat="false" ht="15" hidden="false" customHeight="false" outlineLevel="0" collapsed="false">
      <c r="A1887" s="12" t="s">
        <v>114</v>
      </c>
      <c r="B1887" s="12" t="s">
        <v>55</v>
      </c>
      <c r="C1887" s="12" t="s">
        <v>291</v>
      </c>
      <c r="D1887" s="12" t="str">
        <f aca="false">INDEX('Country Tiers'!$C$2:$C$37,MATCH(C1887,'Country Tiers'!$A$2:$A$37,0))</f>
        <v>Tier 3</v>
      </c>
      <c r="E1887" s="12" t="n">
        <f aca="false">INDEX('Country Tiers'!$D$2:$D$37,MATCH(C1887,'Country Tiers'!$A$2:$A$37,0))</f>
        <v>1</v>
      </c>
    </row>
    <row r="1888" customFormat="false" ht="15" hidden="false" customHeight="false" outlineLevel="0" collapsed="false">
      <c r="A1888" s="12" t="s">
        <v>114</v>
      </c>
      <c r="B1888" s="12" t="s">
        <v>55</v>
      </c>
      <c r="C1888" s="12" t="s">
        <v>292</v>
      </c>
      <c r="D1888" s="12" t="str">
        <f aca="false">INDEX('Country Tiers'!$C$2:$C$37,MATCH(C1888,'Country Tiers'!$A$2:$A$37,0))</f>
        <v>Tier 2</v>
      </c>
      <c r="E1888" s="12" t="n">
        <f aca="false">INDEX('Country Tiers'!$D$2:$D$37,MATCH(C1888,'Country Tiers'!$A$2:$A$37,0))</f>
        <v>2</v>
      </c>
    </row>
    <row r="1889" customFormat="false" ht="15" hidden="false" customHeight="false" outlineLevel="0" collapsed="false">
      <c r="A1889" s="12" t="s">
        <v>114</v>
      </c>
      <c r="B1889" s="12" t="s">
        <v>55</v>
      </c>
      <c r="C1889" s="12" t="s">
        <v>293</v>
      </c>
      <c r="D1889" s="12" t="str">
        <f aca="false">INDEX('Country Tiers'!$C$2:$C$37,MATCH(C1889,'Country Tiers'!$A$2:$A$37,0))</f>
        <v>Tier 3</v>
      </c>
      <c r="E1889" s="12" t="n">
        <f aca="false">INDEX('Country Tiers'!$D$2:$D$37,MATCH(C1889,'Country Tiers'!$A$2:$A$37,0))</f>
        <v>1</v>
      </c>
    </row>
    <row r="1890" customFormat="false" ht="15" hidden="false" customHeight="false" outlineLevel="0" collapsed="false">
      <c r="A1890" s="12" t="s">
        <v>114</v>
      </c>
      <c r="B1890" s="12" t="s">
        <v>55</v>
      </c>
      <c r="C1890" s="12" t="s">
        <v>294</v>
      </c>
      <c r="D1890" s="12" t="str">
        <f aca="false">INDEX('Country Tiers'!$C$2:$C$37,MATCH(C1890,'Country Tiers'!$A$2:$A$37,0))</f>
        <v>Tier 3</v>
      </c>
      <c r="E1890" s="12" t="n">
        <f aca="false">INDEX('Country Tiers'!$D$2:$D$37,MATCH(C1890,'Country Tiers'!$A$2:$A$37,0))</f>
        <v>1</v>
      </c>
    </row>
    <row r="1891" customFormat="false" ht="15" hidden="false" customHeight="false" outlineLevel="0" collapsed="false">
      <c r="A1891" s="12" t="s">
        <v>114</v>
      </c>
      <c r="B1891" s="12" t="s">
        <v>55</v>
      </c>
      <c r="C1891" s="12" t="s">
        <v>295</v>
      </c>
      <c r="D1891" s="12" t="str">
        <f aca="false">INDEX('Country Tiers'!$C$2:$C$37,MATCH(C1891,'Country Tiers'!$A$2:$A$37,0))</f>
        <v>Tier 3</v>
      </c>
      <c r="E1891" s="12" t="n">
        <f aca="false">INDEX('Country Tiers'!$D$2:$D$37,MATCH(C1891,'Country Tiers'!$A$2:$A$37,0))</f>
        <v>1</v>
      </c>
    </row>
    <row r="1892" customFormat="false" ht="15" hidden="false" customHeight="false" outlineLevel="0" collapsed="false">
      <c r="A1892" s="12" t="s">
        <v>114</v>
      </c>
      <c r="B1892" s="12" t="s">
        <v>55</v>
      </c>
      <c r="C1892" s="12" t="s">
        <v>296</v>
      </c>
      <c r="D1892" s="12" t="str">
        <f aca="false">INDEX('Country Tiers'!$C$2:$C$37,MATCH(C1892,'Country Tiers'!$A$2:$A$37,0))</f>
        <v>Tier 3</v>
      </c>
      <c r="E1892" s="12" t="n">
        <f aca="false">INDEX('Country Tiers'!$D$2:$D$37,MATCH(C1892,'Country Tiers'!$A$2:$A$37,0))</f>
        <v>1</v>
      </c>
    </row>
    <row r="1893" customFormat="false" ht="15" hidden="false" customHeight="false" outlineLevel="0" collapsed="false">
      <c r="A1893" s="12" t="s">
        <v>114</v>
      </c>
      <c r="B1893" s="12" t="s">
        <v>55</v>
      </c>
      <c r="C1893" s="12" t="s">
        <v>297</v>
      </c>
      <c r="D1893" s="12" t="str">
        <f aca="false">INDEX('Country Tiers'!$C$2:$C$37,MATCH(C1893,'Country Tiers'!$A$2:$A$37,0))</f>
        <v>Tier 2</v>
      </c>
      <c r="E1893" s="12" t="n">
        <f aca="false">INDEX('Country Tiers'!$D$2:$D$37,MATCH(C1893,'Country Tiers'!$A$2:$A$37,0))</f>
        <v>2</v>
      </c>
    </row>
    <row r="1894" customFormat="false" ht="15" hidden="false" customHeight="false" outlineLevel="0" collapsed="false">
      <c r="A1894" s="12" t="s">
        <v>114</v>
      </c>
      <c r="B1894" s="12" t="s">
        <v>55</v>
      </c>
      <c r="C1894" s="12" t="s">
        <v>298</v>
      </c>
      <c r="D1894" s="12" t="str">
        <f aca="false">INDEX('Country Tiers'!$C$2:$C$37,MATCH(C1894,'Country Tiers'!$A$2:$A$37,0))</f>
        <v>Tier 1</v>
      </c>
      <c r="E1894" s="12" t="n">
        <f aca="false">INDEX('Country Tiers'!$D$2:$D$37,MATCH(C1894,'Country Tiers'!$A$2:$A$37,0))</f>
        <v>3</v>
      </c>
    </row>
    <row r="1895" customFormat="false" ht="15" hidden="false" customHeight="false" outlineLevel="0" collapsed="false">
      <c r="A1895" s="12" t="s">
        <v>114</v>
      </c>
      <c r="B1895" s="12" t="s">
        <v>55</v>
      </c>
      <c r="C1895" s="12" t="s">
        <v>299</v>
      </c>
      <c r="D1895" s="12" t="str">
        <f aca="false">INDEX('Country Tiers'!$C$2:$C$37,MATCH(C1895,'Country Tiers'!$A$2:$A$37,0))</f>
        <v>Tier 3</v>
      </c>
      <c r="E1895" s="12" t="n">
        <f aca="false">INDEX('Country Tiers'!$D$2:$D$37,MATCH(C1895,'Country Tiers'!$A$2:$A$37,0))</f>
        <v>1</v>
      </c>
    </row>
    <row r="1896" customFormat="false" ht="15" hidden="false" customHeight="false" outlineLevel="0" collapsed="false">
      <c r="A1896" s="12" t="s">
        <v>114</v>
      </c>
      <c r="B1896" s="12" t="s">
        <v>55</v>
      </c>
      <c r="C1896" s="12" t="s">
        <v>300</v>
      </c>
      <c r="D1896" s="12" t="str">
        <f aca="false">INDEX('Country Tiers'!$C$2:$C$37,MATCH(C1896,'Country Tiers'!$A$2:$A$37,0))</f>
        <v>Tier 3</v>
      </c>
      <c r="E1896" s="12" t="n">
        <f aca="false">INDEX('Country Tiers'!$D$2:$D$37,MATCH(C1896,'Country Tiers'!$A$2:$A$37,0))</f>
        <v>1</v>
      </c>
    </row>
    <row r="1897" customFormat="false" ht="15" hidden="false" customHeight="false" outlineLevel="0" collapsed="false">
      <c r="A1897" s="12" t="s">
        <v>114</v>
      </c>
      <c r="B1897" s="12" t="s">
        <v>55</v>
      </c>
      <c r="C1897" s="12" t="s">
        <v>301</v>
      </c>
      <c r="D1897" s="12" t="str">
        <f aca="false">INDEX('Country Tiers'!$C$2:$C$37,MATCH(C1897,'Country Tiers'!$A$2:$A$37,0))</f>
        <v>Tier 3</v>
      </c>
      <c r="E1897" s="12" t="n">
        <f aca="false">INDEX('Country Tiers'!$D$2:$D$37,MATCH(C1897,'Country Tiers'!$A$2:$A$37,0))</f>
        <v>1</v>
      </c>
    </row>
    <row r="1898" customFormat="false" ht="15" hidden="false" customHeight="false" outlineLevel="0" collapsed="false">
      <c r="A1898" s="12" t="s">
        <v>114</v>
      </c>
      <c r="B1898" s="12" t="s">
        <v>55</v>
      </c>
      <c r="C1898" s="12" t="s">
        <v>302</v>
      </c>
      <c r="D1898" s="12" t="str">
        <f aca="false">INDEX('Country Tiers'!$C$2:$C$37,MATCH(C1898,'Country Tiers'!$A$2:$A$37,0))</f>
        <v>Tier 3</v>
      </c>
      <c r="E1898" s="12" t="n">
        <f aca="false">INDEX('Country Tiers'!$D$2:$D$37,MATCH(C1898,'Country Tiers'!$A$2:$A$37,0))</f>
        <v>1</v>
      </c>
    </row>
    <row r="1899" customFormat="false" ht="15" hidden="false" customHeight="false" outlineLevel="0" collapsed="false">
      <c r="A1899" s="12" t="s">
        <v>114</v>
      </c>
      <c r="B1899" s="12" t="s">
        <v>55</v>
      </c>
      <c r="C1899" s="12" t="s">
        <v>303</v>
      </c>
      <c r="D1899" s="12" t="str">
        <f aca="false">INDEX('Country Tiers'!$C$2:$C$37,MATCH(C1899,'Country Tiers'!$A$2:$A$37,0))</f>
        <v>Tier 2</v>
      </c>
      <c r="E1899" s="12" t="n">
        <f aca="false">INDEX('Country Tiers'!$D$2:$D$37,MATCH(C1899,'Country Tiers'!$A$2:$A$37,0))</f>
        <v>2</v>
      </c>
    </row>
    <row r="1900" customFormat="false" ht="15" hidden="false" customHeight="false" outlineLevel="0" collapsed="false">
      <c r="A1900" s="12" t="s">
        <v>114</v>
      </c>
      <c r="B1900" s="12" t="s">
        <v>55</v>
      </c>
      <c r="C1900" s="12" t="s">
        <v>305</v>
      </c>
      <c r="D1900" s="12" t="str">
        <f aca="false">INDEX('Country Tiers'!$C$2:$C$37,MATCH(C1900,'Country Tiers'!$A$2:$A$37,0))</f>
        <v>Tier 3</v>
      </c>
      <c r="E1900" s="12" t="n">
        <f aca="false">INDEX('Country Tiers'!$D$2:$D$37,MATCH(C1900,'Country Tiers'!$A$2:$A$37,0))</f>
        <v>1</v>
      </c>
    </row>
    <row r="1901" customFormat="false" ht="15" hidden="false" customHeight="false" outlineLevel="0" collapsed="false">
      <c r="A1901" s="12" t="s">
        <v>114</v>
      </c>
      <c r="B1901" s="12" t="s">
        <v>55</v>
      </c>
      <c r="C1901" s="12" t="s">
        <v>306</v>
      </c>
      <c r="D1901" s="12" t="str">
        <f aca="false">INDEX('Country Tiers'!$C$2:$C$37,MATCH(C1901,'Country Tiers'!$A$2:$A$37,0))</f>
        <v>Tier 3</v>
      </c>
      <c r="E1901" s="12" t="n">
        <f aca="false">INDEX('Country Tiers'!$D$2:$D$37,MATCH(C1901,'Country Tiers'!$A$2:$A$37,0))</f>
        <v>1</v>
      </c>
    </row>
    <row r="1902" customFormat="false" ht="15" hidden="false" customHeight="false" outlineLevel="0" collapsed="false">
      <c r="A1902" s="12" t="s">
        <v>114</v>
      </c>
      <c r="B1902" s="12" t="s">
        <v>55</v>
      </c>
      <c r="C1902" s="12" t="s">
        <v>307</v>
      </c>
      <c r="D1902" s="12" t="str">
        <f aca="false">INDEX('Country Tiers'!$C$2:$C$37,MATCH(C1902,'Country Tiers'!$A$2:$A$37,0))</f>
        <v>Tier 2</v>
      </c>
      <c r="E1902" s="12" t="n">
        <f aca="false">INDEX('Country Tiers'!$D$2:$D$37,MATCH(C1902,'Country Tiers'!$A$2:$A$37,0))</f>
        <v>2</v>
      </c>
    </row>
    <row r="1903" customFormat="false" ht="15" hidden="false" customHeight="false" outlineLevel="0" collapsed="false">
      <c r="A1903" s="12" t="s">
        <v>114</v>
      </c>
      <c r="B1903" s="12" t="s">
        <v>55</v>
      </c>
      <c r="C1903" s="12" t="s">
        <v>308</v>
      </c>
      <c r="D1903" s="12" t="str">
        <f aca="false">INDEX('Country Tiers'!$C$2:$C$37,MATCH(C1903,'Country Tiers'!$A$2:$A$37,0))</f>
        <v>Tier 3</v>
      </c>
      <c r="E1903" s="12" t="n">
        <f aca="false">INDEX('Country Tiers'!$D$2:$D$37,MATCH(C1903,'Country Tiers'!$A$2:$A$37,0))</f>
        <v>1</v>
      </c>
    </row>
    <row r="1904" customFormat="false" ht="15" hidden="false" customHeight="false" outlineLevel="0" collapsed="false">
      <c r="A1904" s="12" t="s">
        <v>114</v>
      </c>
      <c r="B1904" s="12" t="s">
        <v>55</v>
      </c>
      <c r="C1904" s="12" t="s">
        <v>309</v>
      </c>
      <c r="D1904" s="12" t="str">
        <f aca="false">INDEX('Country Tiers'!$C$2:$C$37,MATCH(C1904,'Country Tiers'!$A$2:$A$37,0))</f>
        <v>Tier 1</v>
      </c>
      <c r="E1904" s="12" t="n">
        <f aca="false">INDEX('Country Tiers'!$D$2:$D$37,MATCH(C1904,'Country Tiers'!$A$2:$A$37,0))</f>
        <v>3</v>
      </c>
    </row>
    <row r="1905" customFormat="false" ht="15" hidden="false" customHeight="false" outlineLevel="0" collapsed="false">
      <c r="A1905" s="12" t="s">
        <v>114</v>
      </c>
      <c r="B1905" s="12" t="s">
        <v>55</v>
      </c>
      <c r="C1905" s="12" t="s">
        <v>311</v>
      </c>
      <c r="D1905" s="12" t="str">
        <f aca="false">INDEX('Country Tiers'!$C$2:$C$37,MATCH(C1905,'Country Tiers'!$A$2:$A$37,0))</f>
        <v>Tier 1</v>
      </c>
      <c r="E1905" s="12" t="n">
        <f aca="false">INDEX('Country Tiers'!$D$2:$D$37,MATCH(C1905,'Country Tiers'!$A$2:$A$37,0))</f>
        <v>3</v>
      </c>
    </row>
    <row r="1906" customFormat="false" ht="15" hidden="false" customHeight="false" outlineLevel="0" collapsed="false">
      <c r="A1906" s="12" t="s">
        <v>114</v>
      </c>
      <c r="B1906" s="12" t="s">
        <v>55</v>
      </c>
      <c r="C1906" s="12" t="s">
        <v>313</v>
      </c>
      <c r="D1906" s="12" t="str">
        <f aca="false">INDEX('Country Tiers'!$C$2:$C$37,MATCH(C1906,'Country Tiers'!$A$2:$A$37,0))</f>
        <v>Tier 1</v>
      </c>
      <c r="E1906" s="12" t="n">
        <f aca="false">INDEX('Country Tiers'!$D$2:$D$37,MATCH(C1906,'Country Tiers'!$A$2:$A$37,0))</f>
        <v>3</v>
      </c>
    </row>
    <row r="1907" customFormat="false" ht="15" hidden="false" customHeight="false" outlineLevel="0" collapsed="false">
      <c r="A1907" s="12" t="s">
        <v>114</v>
      </c>
      <c r="B1907" s="12" t="s">
        <v>56</v>
      </c>
      <c r="C1907" s="12" t="s">
        <v>274</v>
      </c>
      <c r="D1907" s="12" t="str">
        <f aca="false">INDEX('Country Tiers'!$C$2:$C$37,MATCH(C1907,'Country Tiers'!$A$2:$A$37,0))</f>
        <v>Tier 3</v>
      </c>
      <c r="E1907" s="12" t="n">
        <f aca="false">INDEX('Country Tiers'!$D$2:$D$37,MATCH(C1907,'Country Tiers'!$A$2:$A$37,0))</f>
        <v>1</v>
      </c>
    </row>
    <row r="1908" customFormat="false" ht="15" hidden="false" customHeight="false" outlineLevel="0" collapsed="false">
      <c r="A1908" s="12" t="s">
        <v>114</v>
      </c>
      <c r="B1908" s="12" t="s">
        <v>56</v>
      </c>
      <c r="C1908" s="12" t="s">
        <v>277</v>
      </c>
      <c r="D1908" s="12" t="str">
        <f aca="false">INDEX('Country Tiers'!$C$2:$C$37,MATCH(C1908,'Country Tiers'!$A$2:$A$37,0))</f>
        <v>Tier 1</v>
      </c>
      <c r="E1908" s="12" t="n">
        <f aca="false">INDEX('Country Tiers'!$D$2:$D$37,MATCH(C1908,'Country Tiers'!$A$2:$A$37,0))</f>
        <v>3</v>
      </c>
    </row>
    <row r="1909" customFormat="false" ht="15" hidden="false" customHeight="false" outlineLevel="0" collapsed="false">
      <c r="A1909" s="12" t="s">
        <v>114</v>
      </c>
      <c r="B1909" s="12" t="s">
        <v>56</v>
      </c>
      <c r="C1909" s="12" t="s">
        <v>278</v>
      </c>
      <c r="D1909" s="12" t="str">
        <f aca="false">INDEX('Country Tiers'!$C$2:$C$37,MATCH(C1909,'Country Tiers'!$A$2:$A$37,0))</f>
        <v>Tier 3</v>
      </c>
      <c r="E1909" s="12" t="n">
        <f aca="false">INDEX('Country Tiers'!$D$2:$D$37,MATCH(C1909,'Country Tiers'!$A$2:$A$37,0))</f>
        <v>1</v>
      </c>
    </row>
    <row r="1910" customFormat="false" ht="15" hidden="false" customHeight="false" outlineLevel="0" collapsed="false">
      <c r="A1910" s="12" t="s">
        <v>114</v>
      </c>
      <c r="B1910" s="12" t="s">
        <v>56</v>
      </c>
      <c r="C1910" s="12" t="s">
        <v>280</v>
      </c>
      <c r="D1910" s="12" t="str">
        <f aca="false">INDEX('Country Tiers'!$C$2:$C$37,MATCH(C1910,'Country Tiers'!$A$2:$A$37,0))</f>
        <v>Tier 3</v>
      </c>
      <c r="E1910" s="12" t="n">
        <f aca="false">INDEX('Country Tiers'!$D$2:$D$37,MATCH(C1910,'Country Tiers'!$A$2:$A$37,0))</f>
        <v>1</v>
      </c>
    </row>
    <row r="1911" customFormat="false" ht="15" hidden="false" customHeight="false" outlineLevel="0" collapsed="false">
      <c r="A1911" s="12" t="s">
        <v>114</v>
      </c>
      <c r="B1911" s="12" t="s">
        <v>56</v>
      </c>
      <c r="C1911" s="12" t="s">
        <v>281</v>
      </c>
      <c r="D1911" s="12" t="str">
        <f aca="false">INDEX('Country Tiers'!$C$2:$C$37,MATCH(C1911,'Country Tiers'!$A$2:$A$37,0))</f>
        <v>Tier 3</v>
      </c>
      <c r="E1911" s="12" t="n">
        <f aca="false">INDEX('Country Tiers'!$D$2:$D$37,MATCH(C1911,'Country Tiers'!$A$2:$A$37,0))</f>
        <v>1</v>
      </c>
    </row>
    <row r="1912" customFormat="false" ht="15" hidden="false" customHeight="false" outlineLevel="0" collapsed="false">
      <c r="A1912" s="12" t="s">
        <v>114</v>
      </c>
      <c r="B1912" s="12" t="s">
        <v>56</v>
      </c>
      <c r="C1912" s="12" t="s">
        <v>282</v>
      </c>
      <c r="D1912" s="12" t="str">
        <f aca="false">INDEX('Country Tiers'!$C$2:$C$37,MATCH(C1912,'Country Tiers'!$A$2:$A$37,0))</f>
        <v>Tier 3</v>
      </c>
      <c r="E1912" s="12" t="n">
        <f aca="false">INDEX('Country Tiers'!$D$2:$D$37,MATCH(C1912,'Country Tiers'!$A$2:$A$37,0))</f>
        <v>1</v>
      </c>
    </row>
    <row r="1913" customFormat="false" ht="15" hidden="false" customHeight="false" outlineLevel="0" collapsed="false">
      <c r="A1913" s="12" t="s">
        <v>114</v>
      </c>
      <c r="B1913" s="12" t="s">
        <v>56</v>
      </c>
      <c r="C1913" s="12" t="s">
        <v>283</v>
      </c>
      <c r="D1913" s="12" t="str">
        <f aca="false">INDEX('Country Tiers'!$C$2:$C$37,MATCH(C1913,'Country Tiers'!$A$2:$A$37,0))</f>
        <v>Tier 3</v>
      </c>
      <c r="E1913" s="12" t="n">
        <f aca="false">INDEX('Country Tiers'!$D$2:$D$37,MATCH(C1913,'Country Tiers'!$A$2:$A$37,0))</f>
        <v>1</v>
      </c>
    </row>
    <row r="1914" customFormat="false" ht="15" hidden="false" customHeight="false" outlineLevel="0" collapsed="false">
      <c r="A1914" s="12" t="s">
        <v>114</v>
      </c>
      <c r="B1914" s="12" t="s">
        <v>56</v>
      </c>
      <c r="C1914" s="12" t="s">
        <v>284</v>
      </c>
      <c r="D1914" s="12" t="str">
        <f aca="false">INDEX('Country Tiers'!$C$2:$C$37,MATCH(C1914,'Country Tiers'!$A$2:$A$37,0))</f>
        <v>Tier 3</v>
      </c>
      <c r="E1914" s="12" t="n">
        <f aca="false">INDEX('Country Tiers'!$D$2:$D$37,MATCH(C1914,'Country Tiers'!$A$2:$A$37,0))</f>
        <v>1</v>
      </c>
    </row>
    <row r="1915" customFormat="false" ht="15" hidden="false" customHeight="false" outlineLevel="0" collapsed="false">
      <c r="A1915" s="12" t="s">
        <v>114</v>
      </c>
      <c r="B1915" s="12" t="s">
        <v>56</v>
      </c>
      <c r="C1915" s="12" t="s">
        <v>285</v>
      </c>
      <c r="D1915" s="12" t="str">
        <f aca="false">INDEX('Country Tiers'!$C$2:$C$37,MATCH(C1915,'Country Tiers'!$A$2:$A$37,0))</f>
        <v>Tier 3</v>
      </c>
      <c r="E1915" s="12" t="n">
        <f aca="false">INDEX('Country Tiers'!$D$2:$D$37,MATCH(C1915,'Country Tiers'!$A$2:$A$37,0))</f>
        <v>1</v>
      </c>
    </row>
    <row r="1916" customFormat="false" ht="15" hidden="false" customHeight="false" outlineLevel="0" collapsed="false">
      <c r="A1916" s="12" t="s">
        <v>114</v>
      </c>
      <c r="B1916" s="12" t="s">
        <v>56</v>
      </c>
      <c r="C1916" s="12" t="s">
        <v>286</v>
      </c>
      <c r="D1916" s="12" t="str">
        <f aca="false">INDEX('Country Tiers'!$C$2:$C$37,MATCH(C1916,'Country Tiers'!$A$2:$A$37,0))</f>
        <v>Tier 1</v>
      </c>
      <c r="E1916" s="12" t="n">
        <f aca="false">INDEX('Country Tiers'!$D$2:$D$37,MATCH(C1916,'Country Tiers'!$A$2:$A$37,0))</f>
        <v>3</v>
      </c>
    </row>
    <row r="1917" customFormat="false" ht="15" hidden="false" customHeight="false" outlineLevel="0" collapsed="false">
      <c r="A1917" s="12" t="s">
        <v>114</v>
      </c>
      <c r="B1917" s="12" t="s">
        <v>56</v>
      </c>
      <c r="C1917" s="12" t="s">
        <v>287</v>
      </c>
      <c r="D1917" s="12" t="str">
        <f aca="false">INDEX('Country Tiers'!$C$2:$C$37,MATCH(C1917,'Country Tiers'!$A$2:$A$37,0))</f>
        <v>Tier 1</v>
      </c>
      <c r="E1917" s="12" t="n">
        <f aca="false">INDEX('Country Tiers'!$D$2:$D$37,MATCH(C1917,'Country Tiers'!$A$2:$A$37,0))</f>
        <v>3</v>
      </c>
    </row>
    <row r="1918" customFormat="false" ht="15" hidden="false" customHeight="false" outlineLevel="0" collapsed="false">
      <c r="A1918" s="12" t="s">
        <v>114</v>
      </c>
      <c r="B1918" s="12" t="s">
        <v>56</v>
      </c>
      <c r="C1918" s="12" t="s">
        <v>288</v>
      </c>
      <c r="D1918" s="12" t="str">
        <f aca="false">INDEX('Country Tiers'!$C$2:$C$37,MATCH(C1918,'Country Tiers'!$A$2:$A$37,0))</f>
        <v>Tier 3</v>
      </c>
      <c r="E1918" s="12" t="n">
        <f aca="false">INDEX('Country Tiers'!$D$2:$D$37,MATCH(C1918,'Country Tiers'!$A$2:$A$37,0))</f>
        <v>1</v>
      </c>
    </row>
    <row r="1919" customFormat="false" ht="15" hidden="false" customHeight="false" outlineLevel="0" collapsed="false">
      <c r="A1919" s="12" t="s">
        <v>114</v>
      </c>
      <c r="B1919" s="12" t="s">
        <v>56</v>
      </c>
      <c r="C1919" s="12" t="s">
        <v>289</v>
      </c>
      <c r="D1919" s="12" t="str">
        <f aca="false">INDEX('Country Tiers'!$C$2:$C$37,MATCH(C1919,'Country Tiers'!$A$2:$A$37,0))</f>
        <v>Tier 3</v>
      </c>
      <c r="E1919" s="12" t="n">
        <f aca="false">INDEX('Country Tiers'!$D$2:$D$37,MATCH(C1919,'Country Tiers'!$A$2:$A$37,0))</f>
        <v>1</v>
      </c>
    </row>
    <row r="1920" customFormat="false" ht="15" hidden="false" customHeight="false" outlineLevel="0" collapsed="false">
      <c r="A1920" s="12" t="s">
        <v>114</v>
      </c>
      <c r="B1920" s="12" t="s">
        <v>56</v>
      </c>
      <c r="C1920" s="12" t="s">
        <v>290</v>
      </c>
      <c r="D1920" s="12" t="str">
        <f aca="false">INDEX('Country Tiers'!$C$2:$C$37,MATCH(C1920,'Country Tiers'!$A$2:$A$37,0))</f>
        <v>Tier 3</v>
      </c>
      <c r="E1920" s="12" t="n">
        <f aca="false">INDEX('Country Tiers'!$D$2:$D$37,MATCH(C1920,'Country Tiers'!$A$2:$A$37,0))</f>
        <v>1</v>
      </c>
    </row>
    <row r="1921" customFormat="false" ht="15" hidden="false" customHeight="false" outlineLevel="0" collapsed="false">
      <c r="A1921" s="12" t="s">
        <v>114</v>
      </c>
      <c r="B1921" s="12" t="s">
        <v>56</v>
      </c>
      <c r="C1921" s="12" t="s">
        <v>291</v>
      </c>
      <c r="D1921" s="12" t="str">
        <f aca="false">INDEX('Country Tiers'!$C$2:$C$37,MATCH(C1921,'Country Tiers'!$A$2:$A$37,0))</f>
        <v>Tier 3</v>
      </c>
      <c r="E1921" s="12" t="n">
        <f aca="false">INDEX('Country Tiers'!$D$2:$D$37,MATCH(C1921,'Country Tiers'!$A$2:$A$37,0))</f>
        <v>1</v>
      </c>
    </row>
    <row r="1922" customFormat="false" ht="15" hidden="false" customHeight="false" outlineLevel="0" collapsed="false">
      <c r="A1922" s="12" t="s">
        <v>114</v>
      </c>
      <c r="B1922" s="12" t="s">
        <v>56</v>
      </c>
      <c r="C1922" s="12" t="s">
        <v>292</v>
      </c>
      <c r="D1922" s="12" t="str">
        <f aca="false">INDEX('Country Tiers'!$C$2:$C$37,MATCH(C1922,'Country Tiers'!$A$2:$A$37,0))</f>
        <v>Tier 2</v>
      </c>
      <c r="E1922" s="12" t="n">
        <f aca="false">INDEX('Country Tiers'!$D$2:$D$37,MATCH(C1922,'Country Tiers'!$A$2:$A$37,0))</f>
        <v>2</v>
      </c>
    </row>
    <row r="1923" customFormat="false" ht="15" hidden="false" customHeight="false" outlineLevel="0" collapsed="false">
      <c r="A1923" s="12" t="s">
        <v>114</v>
      </c>
      <c r="B1923" s="12" t="s">
        <v>56</v>
      </c>
      <c r="C1923" s="12" t="s">
        <v>293</v>
      </c>
      <c r="D1923" s="12" t="str">
        <f aca="false">INDEX('Country Tiers'!$C$2:$C$37,MATCH(C1923,'Country Tiers'!$A$2:$A$37,0))</f>
        <v>Tier 3</v>
      </c>
      <c r="E1923" s="12" t="n">
        <f aca="false">INDEX('Country Tiers'!$D$2:$D$37,MATCH(C1923,'Country Tiers'!$A$2:$A$37,0))</f>
        <v>1</v>
      </c>
    </row>
    <row r="1924" customFormat="false" ht="15" hidden="false" customHeight="false" outlineLevel="0" collapsed="false">
      <c r="A1924" s="12" t="s">
        <v>114</v>
      </c>
      <c r="B1924" s="12" t="s">
        <v>56</v>
      </c>
      <c r="C1924" s="12" t="s">
        <v>294</v>
      </c>
      <c r="D1924" s="12" t="str">
        <f aca="false">INDEX('Country Tiers'!$C$2:$C$37,MATCH(C1924,'Country Tiers'!$A$2:$A$37,0))</f>
        <v>Tier 3</v>
      </c>
      <c r="E1924" s="12" t="n">
        <f aca="false">INDEX('Country Tiers'!$D$2:$D$37,MATCH(C1924,'Country Tiers'!$A$2:$A$37,0))</f>
        <v>1</v>
      </c>
    </row>
    <row r="1925" customFormat="false" ht="15" hidden="false" customHeight="false" outlineLevel="0" collapsed="false">
      <c r="A1925" s="12" t="s">
        <v>114</v>
      </c>
      <c r="B1925" s="12" t="s">
        <v>56</v>
      </c>
      <c r="C1925" s="12" t="s">
        <v>295</v>
      </c>
      <c r="D1925" s="12" t="str">
        <f aca="false">INDEX('Country Tiers'!$C$2:$C$37,MATCH(C1925,'Country Tiers'!$A$2:$A$37,0))</f>
        <v>Tier 3</v>
      </c>
      <c r="E1925" s="12" t="n">
        <f aca="false">INDEX('Country Tiers'!$D$2:$D$37,MATCH(C1925,'Country Tiers'!$A$2:$A$37,0))</f>
        <v>1</v>
      </c>
    </row>
    <row r="1926" customFormat="false" ht="15" hidden="false" customHeight="false" outlineLevel="0" collapsed="false">
      <c r="A1926" s="12" t="s">
        <v>114</v>
      </c>
      <c r="B1926" s="12" t="s">
        <v>56</v>
      </c>
      <c r="C1926" s="12" t="s">
        <v>296</v>
      </c>
      <c r="D1926" s="12" t="str">
        <f aca="false">INDEX('Country Tiers'!$C$2:$C$37,MATCH(C1926,'Country Tiers'!$A$2:$A$37,0))</f>
        <v>Tier 3</v>
      </c>
      <c r="E1926" s="12" t="n">
        <f aca="false">INDEX('Country Tiers'!$D$2:$D$37,MATCH(C1926,'Country Tiers'!$A$2:$A$37,0))</f>
        <v>1</v>
      </c>
    </row>
    <row r="1927" customFormat="false" ht="15" hidden="false" customHeight="false" outlineLevel="0" collapsed="false">
      <c r="A1927" s="12" t="s">
        <v>114</v>
      </c>
      <c r="B1927" s="12" t="s">
        <v>56</v>
      </c>
      <c r="C1927" s="12" t="s">
        <v>297</v>
      </c>
      <c r="D1927" s="12" t="str">
        <f aca="false">INDEX('Country Tiers'!$C$2:$C$37,MATCH(C1927,'Country Tiers'!$A$2:$A$37,0))</f>
        <v>Tier 2</v>
      </c>
      <c r="E1927" s="12" t="n">
        <f aca="false">INDEX('Country Tiers'!$D$2:$D$37,MATCH(C1927,'Country Tiers'!$A$2:$A$37,0))</f>
        <v>2</v>
      </c>
    </row>
    <row r="1928" customFormat="false" ht="15" hidden="false" customHeight="false" outlineLevel="0" collapsed="false">
      <c r="A1928" s="12" t="s">
        <v>114</v>
      </c>
      <c r="B1928" s="12" t="s">
        <v>56</v>
      </c>
      <c r="C1928" s="12" t="s">
        <v>298</v>
      </c>
      <c r="D1928" s="12" t="str">
        <f aca="false">INDEX('Country Tiers'!$C$2:$C$37,MATCH(C1928,'Country Tiers'!$A$2:$A$37,0))</f>
        <v>Tier 1</v>
      </c>
      <c r="E1928" s="12" t="n">
        <f aca="false">INDEX('Country Tiers'!$D$2:$D$37,MATCH(C1928,'Country Tiers'!$A$2:$A$37,0))</f>
        <v>3</v>
      </c>
    </row>
    <row r="1929" customFormat="false" ht="15" hidden="false" customHeight="false" outlineLevel="0" collapsed="false">
      <c r="A1929" s="12" t="s">
        <v>114</v>
      </c>
      <c r="B1929" s="12" t="s">
        <v>56</v>
      </c>
      <c r="C1929" s="12" t="s">
        <v>299</v>
      </c>
      <c r="D1929" s="12" t="str">
        <f aca="false">INDEX('Country Tiers'!$C$2:$C$37,MATCH(C1929,'Country Tiers'!$A$2:$A$37,0))</f>
        <v>Tier 3</v>
      </c>
      <c r="E1929" s="12" t="n">
        <f aca="false">INDEX('Country Tiers'!$D$2:$D$37,MATCH(C1929,'Country Tiers'!$A$2:$A$37,0))</f>
        <v>1</v>
      </c>
    </row>
    <row r="1930" customFormat="false" ht="15" hidden="false" customHeight="false" outlineLevel="0" collapsed="false">
      <c r="A1930" s="12" t="s">
        <v>114</v>
      </c>
      <c r="B1930" s="12" t="s">
        <v>56</v>
      </c>
      <c r="C1930" s="12" t="s">
        <v>300</v>
      </c>
      <c r="D1930" s="12" t="str">
        <f aca="false">INDEX('Country Tiers'!$C$2:$C$37,MATCH(C1930,'Country Tiers'!$A$2:$A$37,0))</f>
        <v>Tier 3</v>
      </c>
      <c r="E1930" s="12" t="n">
        <f aca="false">INDEX('Country Tiers'!$D$2:$D$37,MATCH(C1930,'Country Tiers'!$A$2:$A$37,0))</f>
        <v>1</v>
      </c>
    </row>
    <row r="1931" customFormat="false" ht="15" hidden="false" customHeight="false" outlineLevel="0" collapsed="false">
      <c r="A1931" s="12" t="s">
        <v>114</v>
      </c>
      <c r="B1931" s="12" t="s">
        <v>56</v>
      </c>
      <c r="C1931" s="12" t="s">
        <v>301</v>
      </c>
      <c r="D1931" s="12" t="str">
        <f aca="false">INDEX('Country Tiers'!$C$2:$C$37,MATCH(C1931,'Country Tiers'!$A$2:$A$37,0))</f>
        <v>Tier 3</v>
      </c>
      <c r="E1931" s="12" t="n">
        <f aca="false">INDEX('Country Tiers'!$D$2:$D$37,MATCH(C1931,'Country Tiers'!$A$2:$A$37,0))</f>
        <v>1</v>
      </c>
    </row>
    <row r="1932" customFormat="false" ht="15" hidden="false" customHeight="false" outlineLevel="0" collapsed="false">
      <c r="A1932" s="12" t="s">
        <v>114</v>
      </c>
      <c r="B1932" s="12" t="s">
        <v>56</v>
      </c>
      <c r="C1932" s="12" t="s">
        <v>302</v>
      </c>
      <c r="D1932" s="12" t="str">
        <f aca="false">INDEX('Country Tiers'!$C$2:$C$37,MATCH(C1932,'Country Tiers'!$A$2:$A$37,0))</f>
        <v>Tier 3</v>
      </c>
      <c r="E1932" s="12" t="n">
        <f aca="false">INDEX('Country Tiers'!$D$2:$D$37,MATCH(C1932,'Country Tiers'!$A$2:$A$37,0))</f>
        <v>1</v>
      </c>
    </row>
    <row r="1933" customFormat="false" ht="15" hidden="false" customHeight="false" outlineLevel="0" collapsed="false">
      <c r="A1933" s="12" t="s">
        <v>114</v>
      </c>
      <c r="B1933" s="12" t="s">
        <v>56</v>
      </c>
      <c r="C1933" s="12" t="s">
        <v>305</v>
      </c>
      <c r="D1933" s="12" t="str">
        <f aca="false">INDEX('Country Tiers'!$C$2:$C$37,MATCH(C1933,'Country Tiers'!$A$2:$A$37,0))</f>
        <v>Tier 3</v>
      </c>
      <c r="E1933" s="12" t="n">
        <f aca="false">INDEX('Country Tiers'!$D$2:$D$37,MATCH(C1933,'Country Tiers'!$A$2:$A$37,0))</f>
        <v>1</v>
      </c>
    </row>
    <row r="1934" customFormat="false" ht="15" hidden="false" customHeight="false" outlineLevel="0" collapsed="false">
      <c r="A1934" s="12" t="s">
        <v>114</v>
      </c>
      <c r="B1934" s="12" t="s">
        <v>56</v>
      </c>
      <c r="C1934" s="12" t="s">
        <v>306</v>
      </c>
      <c r="D1934" s="12" t="str">
        <f aca="false">INDEX('Country Tiers'!$C$2:$C$37,MATCH(C1934,'Country Tiers'!$A$2:$A$37,0))</f>
        <v>Tier 3</v>
      </c>
      <c r="E1934" s="12" t="n">
        <f aca="false">INDEX('Country Tiers'!$D$2:$D$37,MATCH(C1934,'Country Tiers'!$A$2:$A$37,0))</f>
        <v>1</v>
      </c>
    </row>
    <row r="1935" customFormat="false" ht="15" hidden="false" customHeight="false" outlineLevel="0" collapsed="false">
      <c r="A1935" s="12" t="s">
        <v>114</v>
      </c>
      <c r="B1935" s="12" t="s">
        <v>56</v>
      </c>
      <c r="C1935" s="12" t="s">
        <v>307</v>
      </c>
      <c r="D1935" s="12" t="str">
        <f aca="false">INDEX('Country Tiers'!$C$2:$C$37,MATCH(C1935,'Country Tiers'!$A$2:$A$37,0))</f>
        <v>Tier 2</v>
      </c>
      <c r="E1935" s="12" t="n">
        <f aca="false">INDEX('Country Tiers'!$D$2:$D$37,MATCH(C1935,'Country Tiers'!$A$2:$A$37,0))</f>
        <v>2</v>
      </c>
    </row>
    <row r="1936" customFormat="false" ht="15" hidden="false" customHeight="false" outlineLevel="0" collapsed="false">
      <c r="A1936" s="12" t="s">
        <v>114</v>
      </c>
      <c r="B1936" s="12" t="s">
        <v>56</v>
      </c>
      <c r="C1936" s="12" t="s">
        <v>308</v>
      </c>
      <c r="D1936" s="12" t="str">
        <f aca="false">INDEX('Country Tiers'!$C$2:$C$37,MATCH(C1936,'Country Tiers'!$A$2:$A$37,0))</f>
        <v>Tier 3</v>
      </c>
      <c r="E1936" s="12" t="n">
        <f aca="false">INDEX('Country Tiers'!$D$2:$D$37,MATCH(C1936,'Country Tiers'!$A$2:$A$37,0))</f>
        <v>1</v>
      </c>
    </row>
    <row r="1937" customFormat="false" ht="15" hidden="false" customHeight="false" outlineLevel="0" collapsed="false">
      <c r="A1937" s="12" t="s">
        <v>114</v>
      </c>
      <c r="B1937" s="12" t="s">
        <v>56</v>
      </c>
      <c r="C1937" s="12" t="s">
        <v>309</v>
      </c>
      <c r="D1937" s="12" t="str">
        <f aca="false">INDEX('Country Tiers'!$C$2:$C$37,MATCH(C1937,'Country Tiers'!$A$2:$A$37,0))</f>
        <v>Tier 1</v>
      </c>
      <c r="E1937" s="12" t="n">
        <f aca="false">INDEX('Country Tiers'!$D$2:$D$37,MATCH(C1937,'Country Tiers'!$A$2:$A$37,0))</f>
        <v>3</v>
      </c>
    </row>
    <row r="1938" customFormat="false" ht="15" hidden="false" customHeight="false" outlineLevel="0" collapsed="false">
      <c r="A1938" s="12" t="s">
        <v>114</v>
      </c>
      <c r="B1938" s="12" t="s">
        <v>56</v>
      </c>
      <c r="C1938" s="12" t="s">
        <v>311</v>
      </c>
      <c r="D1938" s="12" t="str">
        <f aca="false">INDEX('Country Tiers'!$C$2:$C$37,MATCH(C1938,'Country Tiers'!$A$2:$A$37,0))</f>
        <v>Tier 1</v>
      </c>
      <c r="E1938" s="12" t="n">
        <f aca="false">INDEX('Country Tiers'!$D$2:$D$37,MATCH(C1938,'Country Tiers'!$A$2:$A$37,0))</f>
        <v>3</v>
      </c>
    </row>
    <row r="1939" customFormat="false" ht="15" hidden="false" customHeight="false" outlineLevel="0" collapsed="false">
      <c r="A1939" s="12" t="s">
        <v>114</v>
      </c>
      <c r="B1939" s="12" t="s">
        <v>56</v>
      </c>
      <c r="C1939" s="12" t="s">
        <v>313</v>
      </c>
      <c r="D1939" s="12" t="str">
        <f aca="false">INDEX('Country Tiers'!$C$2:$C$37,MATCH(C1939,'Country Tiers'!$A$2:$A$37,0))</f>
        <v>Tier 1</v>
      </c>
      <c r="E1939" s="12" t="n">
        <f aca="false">INDEX('Country Tiers'!$D$2:$D$37,MATCH(C1939,'Country Tiers'!$A$2:$A$37,0))</f>
        <v>3</v>
      </c>
    </row>
    <row r="1940" customFormat="false" ht="15" hidden="false" customHeight="false" outlineLevel="0" collapsed="false">
      <c r="A1940" s="12" t="s">
        <v>114</v>
      </c>
      <c r="B1940" s="12" t="s">
        <v>44</v>
      </c>
      <c r="C1940" s="12" t="s">
        <v>272</v>
      </c>
      <c r="D1940" s="12" t="str">
        <f aca="false">INDEX('Country Tiers'!$C$2:$C$37,MATCH(C1940,'Country Tiers'!$A$2:$A$37,0))</f>
        <v>Tier 2</v>
      </c>
      <c r="E1940" s="12" t="n">
        <f aca="false">INDEX('Country Tiers'!$D$2:$D$37,MATCH(C1940,'Country Tiers'!$A$2:$A$37,0))</f>
        <v>2</v>
      </c>
    </row>
    <row r="1941" customFormat="false" ht="15" hidden="false" customHeight="false" outlineLevel="0" collapsed="false">
      <c r="A1941" s="12" t="s">
        <v>114</v>
      </c>
      <c r="B1941" s="12" t="s">
        <v>44</v>
      </c>
      <c r="C1941" s="12" t="s">
        <v>274</v>
      </c>
      <c r="D1941" s="12" t="str">
        <f aca="false">INDEX('Country Tiers'!$C$2:$C$37,MATCH(C1941,'Country Tiers'!$A$2:$A$37,0))</f>
        <v>Tier 3</v>
      </c>
      <c r="E1941" s="12" t="n">
        <f aca="false">INDEX('Country Tiers'!$D$2:$D$37,MATCH(C1941,'Country Tiers'!$A$2:$A$37,0))</f>
        <v>1</v>
      </c>
    </row>
    <row r="1942" customFormat="false" ht="15" hidden="false" customHeight="false" outlineLevel="0" collapsed="false">
      <c r="A1942" s="12" t="s">
        <v>114</v>
      </c>
      <c r="B1942" s="12" t="s">
        <v>44</v>
      </c>
      <c r="C1942" s="12" t="s">
        <v>277</v>
      </c>
      <c r="D1942" s="12" t="str">
        <f aca="false">INDEX('Country Tiers'!$C$2:$C$37,MATCH(C1942,'Country Tiers'!$A$2:$A$37,0))</f>
        <v>Tier 1</v>
      </c>
      <c r="E1942" s="12" t="n">
        <f aca="false">INDEX('Country Tiers'!$D$2:$D$37,MATCH(C1942,'Country Tiers'!$A$2:$A$37,0))</f>
        <v>3</v>
      </c>
    </row>
    <row r="1943" customFormat="false" ht="15" hidden="false" customHeight="false" outlineLevel="0" collapsed="false">
      <c r="A1943" s="12" t="s">
        <v>114</v>
      </c>
      <c r="B1943" s="12" t="s">
        <v>44</v>
      </c>
      <c r="C1943" s="12" t="s">
        <v>278</v>
      </c>
      <c r="D1943" s="12" t="str">
        <f aca="false">INDEX('Country Tiers'!$C$2:$C$37,MATCH(C1943,'Country Tiers'!$A$2:$A$37,0))</f>
        <v>Tier 3</v>
      </c>
      <c r="E1943" s="12" t="n">
        <f aca="false">INDEX('Country Tiers'!$D$2:$D$37,MATCH(C1943,'Country Tiers'!$A$2:$A$37,0))</f>
        <v>1</v>
      </c>
    </row>
    <row r="1944" customFormat="false" ht="15" hidden="false" customHeight="false" outlineLevel="0" collapsed="false">
      <c r="A1944" s="12" t="s">
        <v>114</v>
      </c>
      <c r="B1944" s="12" t="s">
        <v>44</v>
      </c>
      <c r="C1944" s="12" t="s">
        <v>280</v>
      </c>
      <c r="D1944" s="12" t="str">
        <f aca="false">INDEX('Country Tiers'!$C$2:$C$37,MATCH(C1944,'Country Tiers'!$A$2:$A$37,0))</f>
        <v>Tier 3</v>
      </c>
      <c r="E1944" s="12" t="n">
        <f aca="false">INDEX('Country Tiers'!$D$2:$D$37,MATCH(C1944,'Country Tiers'!$A$2:$A$37,0))</f>
        <v>1</v>
      </c>
    </row>
    <row r="1945" customFormat="false" ht="15" hidden="false" customHeight="false" outlineLevel="0" collapsed="false">
      <c r="A1945" s="12" t="s">
        <v>114</v>
      </c>
      <c r="B1945" s="12" t="s">
        <v>44</v>
      </c>
      <c r="C1945" s="12" t="s">
        <v>281</v>
      </c>
      <c r="D1945" s="12" t="str">
        <f aca="false">INDEX('Country Tiers'!$C$2:$C$37,MATCH(C1945,'Country Tiers'!$A$2:$A$37,0))</f>
        <v>Tier 3</v>
      </c>
      <c r="E1945" s="12" t="n">
        <f aca="false">INDEX('Country Tiers'!$D$2:$D$37,MATCH(C1945,'Country Tiers'!$A$2:$A$37,0))</f>
        <v>1</v>
      </c>
    </row>
    <row r="1946" customFormat="false" ht="15" hidden="false" customHeight="false" outlineLevel="0" collapsed="false">
      <c r="A1946" s="12" t="s">
        <v>114</v>
      </c>
      <c r="B1946" s="12" t="s">
        <v>44</v>
      </c>
      <c r="C1946" s="12" t="s">
        <v>282</v>
      </c>
      <c r="D1946" s="12" t="str">
        <f aca="false">INDEX('Country Tiers'!$C$2:$C$37,MATCH(C1946,'Country Tiers'!$A$2:$A$37,0))</f>
        <v>Tier 3</v>
      </c>
      <c r="E1946" s="12" t="n">
        <f aca="false">INDEX('Country Tiers'!$D$2:$D$37,MATCH(C1946,'Country Tiers'!$A$2:$A$37,0))</f>
        <v>1</v>
      </c>
    </row>
    <row r="1947" customFormat="false" ht="15" hidden="false" customHeight="false" outlineLevel="0" collapsed="false">
      <c r="A1947" s="12" t="s">
        <v>114</v>
      </c>
      <c r="B1947" s="12" t="s">
        <v>44</v>
      </c>
      <c r="C1947" s="12" t="s">
        <v>283</v>
      </c>
      <c r="D1947" s="12" t="str">
        <f aca="false">INDEX('Country Tiers'!$C$2:$C$37,MATCH(C1947,'Country Tiers'!$A$2:$A$37,0))</f>
        <v>Tier 3</v>
      </c>
      <c r="E1947" s="12" t="n">
        <f aca="false">INDEX('Country Tiers'!$D$2:$D$37,MATCH(C1947,'Country Tiers'!$A$2:$A$37,0))</f>
        <v>1</v>
      </c>
    </row>
    <row r="1948" customFormat="false" ht="15" hidden="false" customHeight="false" outlineLevel="0" collapsed="false">
      <c r="A1948" s="12" t="s">
        <v>114</v>
      </c>
      <c r="B1948" s="12" t="s">
        <v>44</v>
      </c>
      <c r="C1948" s="12" t="s">
        <v>284</v>
      </c>
      <c r="D1948" s="12" t="str">
        <f aca="false">INDEX('Country Tiers'!$C$2:$C$37,MATCH(C1948,'Country Tiers'!$A$2:$A$37,0))</f>
        <v>Tier 3</v>
      </c>
      <c r="E1948" s="12" t="n">
        <f aca="false">INDEX('Country Tiers'!$D$2:$D$37,MATCH(C1948,'Country Tiers'!$A$2:$A$37,0))</f>
        <v>1</v>
      </c>
    </row>
    <row r="1949" customFormat="false" ht="15" hidden="false" customHeight="false" outlineLevel="0" collapsed="false">
      <c r="A1949" s="12" t="s">
        <v>114</v>
      </c>
      <c r="B1949" s="12" t="s">
        <v>44</v>
      </c>
      <c r="C1949" s="12" t="s">
        <v>285</v>
      </c>
      <c r="D1949" s="12" t="str">
        <f aca="false">INDEX('Country Tiers'!$C$2:$C$37,MATCH(C1949,'Country Tiers'!$A$2:$A$37,0))</f>
        <v>Tier 3</v>
      </c>
      <c r="E1949" s="12" t="n">
        <f aca="false">INDEX('Country Tiers'!$D$2:$D$37,MATCH(C1949,'Country Tiers'!$A$2:$A$37,0))</f>
        <v>1</v>
      </c>
    </row>
    <row r="1950" customFormat="false" ht="15" hidden="false" customHeight="false" outlineLevel="0" collapsed="false">
      <c r="A1950" s="12" t="s">
        <v>114</v>
      </c>
      <c r="B1950" s="12" t="s">
        <v>44</v>
      </c>
      <c r="C1950" s="12" t="s">
        <v>286</v>
      </c>
      <c r="D1950" s="12" t="str">
        <f aca="false">INDEX('Country Tiers'!$C$2:$C$37,MATCH(C1950,'Country Tiers'!$A$2:$A$37,0))</f>
        <v>Tier 1</v>
      </c>
      <c r="E1950" s="12" t="n">
        <f aca="false">INDEX('Country Tiers'!$D$2:$D$37,MATCH(C1950,'Country Tiers'!$A$2:$A$37,0))</f>
        <v>3</v>
      </c>
    </row>
    <row r="1951" customFormat="false" ht="15" hidden="false" customHeight="false" outlineLevel="0" collapsed="false">
      <c r="A1951" s="12" t="s">
        <v>114</v>
      </c>
      <c r="B1951" s="12" t="s">
        <v>44</v>
      </c>
      <c r="C1951" s="12" t="s">
        <v>287</v>
      </c>
      <c r="D1951" s="12" t="str">
        <f aca="false">INDEX('Country Tiers'!$C$2:$C$37,MATCH(C1951,'Country Tiers'!$A$2:$A$37,0))</f>
        <v>Tier 1</v>
      </c>
      <c r="E1951" s="12" t="n">
        <f aca="false">INDEX('Country Tiers'!$D$2:$D$37,MATCH(C1951,'Country Tiers'!$A$2:$A$37,0))</f>
        <v>3</v>
      </c>
    </row>
    <row r="1952" customFormat="false" ht="15" hidden="false" customHeight="false" outlineLevel="0" collapsed="false">
      <c r="A1952" s="12" t="s">
        <v>114</v>
      </c>
      <c r="B1952" s="12" t="s">
        <v>44</v>
      </c>
      <c r="C1952" s="12" t="s">
        <v>288</v>
      </c>
      <c r="D1952" s="12" t="str">
        <f aca="false">INDEX('Country Tiers'!$C$2:$C$37,MATCH(C1952,'Country Tiers'!$A$2:$A$37,0))</f>
        <v>Tier 3</v>
      </c>
      <c r="E1952" s="12" t="n">
        <f aca="false">INDEX('Country Tiers'!$D$2:$D$37,MATCH(C1952,'Country Tiers'!$A$2:$A$37,0))</f>
        <v>1</v>
      </c>
    </row>
    <row r="1953" customFormat="false" ht="15" hidden="false" customHeight="false" outlineLevel="0" collapsed="false">
      <c r="A1953" s="12" t="s">
        <v>114</v>
      </c>
      <c r="B1953" s="12" t="s">
        <v>44</v>
      </c>
      <c r="C1953" s="12" t="s">
        <v>289</v>
      </c>
      <c r="D1953" s="12" t="str">
        <f aca="false">INDEX('Country Tiers'!$C$2:$C$37,MATCH(C1953,'Country Tiers'!$A$2:$A$37,0))</f>
        <v>Tier 3</v>
      </c>
      <c r="E1953" s="12" t="n">
        <f aca="false">INDEX('Country Tiers'!$D$2:$D$37,MATCH(C1953,'Country Tiers'!$A$2:$A$37,0))</f>
        <v>1</v>
      </c>
    </row>
    <row r="1954" customFormat="false" ht="15" hidden="false" customHeight="false" outlineLevel="0" collapsed="false">
      <c r="A1954" s="12" t="s">
        <v>114</v>
      </c>
      <c r="B1954" s="12" t="s">
        <v>44</v>
      </c>
      <c r="C1954" s="12" t="s">
        <v>290</v>
      </c>
      <c r="D1954" s="12" t="str">
        <f aca="false">INDEX('Country Tiers'!$C$2:$C$37,MATCH(C1954,'Country Tiers'!$A$2:$A$37,0))</f>
        <v>Tier 3</v>
      </c>
      <c r="E1954" s="12" t="n">
        <f aca="false">INDEX('Country Tiers'!$D$2:$D$37,MATCH(C1954,'Country Tiers'!$A$2:$A$37,0))</f>
        <v>1</v>
      </c>
    </row>
    <row r="1955" customFormat="false" ht="15" hidden="false" customHeight="false" outlineLevel="0" collapsed="false">
      <c r="A1955" s="12" t="s">
        <v>114</v>
      </c>
      <c r="B1955" s="12" t="s">
        <v>44</v>
      </c>
      <c r="C1955" s="12" t="s">
        <v>291</v>
      </c>
      <c r="D1955" s="12" t="str">
        <f aca="false">INDEX('Country Tiers'!$C$2:$C$37,MATCH(C1955,'Country Tiers'!$A$2:$A$37,0))</f>
        <v>Tier 3</v>
      </c>
      <c r="E1955" s="12" t="n">
        <f aca="false">INDEX('Country Tiers'!$D$2:$D$37,MATCH(C1955,'Country Tiers'!$A$2:$A$37,0))</f>
        <v>1</v>
      </c>
    </row>
    <row r="1956" customFormat="false" ht="15" hidden="false" customHeight="false" outlineLevel="0" collapsed="false">
      <c r="A1956" s="12" t="s">
        <v>114</v>
      </c>
      <c r="B1956" s="12" t="s">
        <v>44</v>
      </c>
      <c r="C1956" s="12" t="s">
        <v>292</v>
      </c>
      <c r="D1956" s="12" t="str">
        <f aca="false">INDEX('Country Tiers'!$C$2:$C$37,MATCH(C1956,'Country Tiers'!$A$2:$A$37,0))</f>
        <v>Tier 2</v>
      </c>
      <c r="E1956" s="12" t="n">
        <f aca="false">INDEX('Country Tiers'!$D$2:$D$37,MATCH(C1956,'Country Tiers'!$A$2:$A$37,0))</f>
        <v>2</v>
      </c>
    </row>
    <row r="1957" customFormat="false" ht="15" hidden="false" customHeight="false" outlineLevel="0" collapsed="false">
      <c r="A1957" s="12" t="s">
        <v>114</v>
      </c>
      <c r="B1957" s="12" t="s">
        <v>44</v>
      </c>
      <c r="C1957" s="12" t="s">
        <v>293</v>
      </c>
      <c r="D1957" s="12" t="str">
        <f aca="false">INDEX('Country Tiers'!$C$2:$C$37,MATCH(C1957,'Country Tiers'!$A$2:$A$37,0))</f>
        <v>Tier 3</v>
      </c>
      <c r="E1957" s="12" t="n">
        <f aca="false">INDEX('Country Tiers'!$D$2:$D$37,MATCH(C1957,'Country Tiers'!$A$2:$A$37,0))</f>
        <v>1</v>
      </c>
    </row>
    <row r="1958" customFormat="false" ht="15" hidden="false" customHeight="false" outlineLevel="0" collapsed="false">
      <c r="A1958" s="12" t="s">
        <v>114</v>
      </c>
      <c r="B1958" s="12" t="s">
        <v>44</v>
      </c>
      <c r="C1958" s="12" t="s">
        <v>294</v>
      </c>
      <c r="D1958" s="12" t="str">
        <f aca="false">INDEX('Country Tiers'!$C$2:$C$37,MATCH(C1958,'Country Tiers'!$A$2:$A$37,0))</f>
        <v>Tier 3</v>
      </c>
      <c r="E1958" s="12" t="n">
        <f aca="false">INDEX('Country Tiers'!$D$2:$D$37,MATCH(C1958,'Country Tiers'!$A$2:$A$37,0))</f>
        <v>1</v>
      </c>
    </row>
    <row r="1959" customFormat="false" ht="15" hidden="false" customHeight="false" outlineLevel="0" collapsed="false">
      <c r="A1959" s="12" t="s">
        <v>114</v>
      </c>
      <c r="B1959" s="12" t="s">
        <v>44</v>
      </c>
      <c r="C1959" s="12" t="s">
        <v>295</v>
      </c>
      <c r="D1959" s="12" t="str">
        <f aca="false">INDEX('Country Tiers'!$C$2:$C$37,MATCH(C1959,'Country Tiers'!$A$2:$A$37,0))</f>
        <v>Tier 3</v>
      </c>
      <c r="E1959" s="12" t="n">
        <f aca="false">INDEX('Country Tiers'!$D$2:$D$37,MATCH(C1959,'Country Tiers'!$A$2:$A$37,0))</f>
        <v>1</v>
      </c>
    </row>
    <row r="1960" customFormat="false" ht="15" hidden="false" customHeight="false" outlineLevel="0" collapsed="false">
      <c r="A1960" s="12" t="s">
        <v>114</v>
      </c>
      <c r="B1960" s="12" t="s">
        <v>44</v>
      </c>
      <c r="C1960" s="12" t="s">
        <v>296</v>
      </c>
      <c r="D1960" s="12" t="str">
        <f aca="false">INDEX('Country Tiers'!$C$2:$C$37,MATCH(C1960,'Country Tiers'!$A$2:$A$37,0))</f>
        <v>Tier 3</v>
      </c>
      <c r="E1960" s="12" t="n">
        <f aca="false">INDEX('Country Tiers'!$D$2:$D$37,MATCH(C1960,'Country Tiers'!$A$2:$A$37,0))</f>
        <v>1</v>
      </c>
    </row>
    <row r="1961" customFormat="false" ht="15" hidden="false" customHeight="false" outlineLevel="0" collapsed="false">
      <c r="A1961" s="12" t="s">
        <v>114</v>
      </c>
      <c r="B1961" s="12" t="s">
        <v>44</v>
      </c>
      <c r="C1961" s="12" t="s">
        <v>297</v>
      </c>
      <c r="D1961" s="12" t="str">
        <f aca="false">INDEX('Country Tiers'!$C$2:$C$37,MATCH(C1961,'Country Tiers'!$A$2:$A$37,0))</f>
        <v>Tier 2</v>
      </c>
      <c r="E1961" s="12" t="n">
        <f aca="false">INDEX('Country Tiers'!$D$2:$D$37,MATCH(C1961,'Country Tiers'!$A$2:$A$37,0))</f>
        <v>2</v>
      </c>
    </row>
    <row r="1962" customFormat="false" ht="15" hidden="false" customHeight="false" outlineLevel="0" collapsed="false">
      <c r="A1962" s="12" t="s">
        <v>114</v>
      </c>
      <c r="B1962" s="12" t="s">
        <v>44</v>
      </c>
      <c r="C1962" s="12" t="s">
        <v>298</v>
      </c>
      <c r="D1962" s="12" t="str">
        <f aca="false">INDEX('Country Tiers'!$C$2:$C$37,MATCH(C1962,'Country Tiers'!$A$2:$A$37,0))</f>
        <v>Tier 1</v>
      </c>
      <c r="E1962" s="12" t="n">
        <f aca="false">INDEX('Country Tiers'!$D$2:$D$37,MATCH(C1962,'Country Tiers'!$A$2:$A$37,0))</f>
        <v>3</v>
      </c>
    </row>
    <row r="1963" customFormat="false" ht="15" hidden="false" customHeight="false" outlineLevel="0" collapsed="false">
      <c r="A1963" s="12" t="s">
        <v>114</v>
      </c>
      <c r="B1963" s="12" t="s">
        <v>44</v>
      </c>
      <c r="C1963" s="12" t="s">
        <v>299</v>
      </c>
      <c r="D1963" s="12" t="str">
        <f aca="false">INDEX('Country Tiers'!$C$2:$C$37,MATCH(C1963,'Country Tiers'!$A$2:$A$37,0))</f>
        <v>Tier 3</v>
      </c>
      <c r="E1963" s="12" t="n">
        <f aca="false">INDEX('Country Tiers'!$D$2:$D$37,MATCH(C1963,'Country Tiers'!$A$2:$A$37,0))</f>
        <v>1</v>
      </c>
    </row>
    <row r="1964" customFormat="false" ht="15" hidden="false" customHeight="false" outlineLevel="0" collapsed="false">
      <c r="A1964" s="12" t="s">
        <v>114</v>
      </c>
      <c r="B1964" s="12" t="s">
        <v>44</v>
      </c>
      <c r="C1964" s="12" t="s">
        <v>300</v>
      </c>
      <c r="D1964" s="12" t="str">
        <f aca="false">INDEX('Country Tiers'!$C$2:$C$37,MATCH(C1964,'Country Tiers'!$A$2:$A$37,0))</f>
        <v>Tier 3</v>
      </c>
      <c r="E1964" s="12" t="n">
        <f aca="false">INDEX('Country Tiers'!$D$2:$D$37,MATCH(C1964,'Country Tiers'!$A$2:$A$37,0))</f>
        <v>1</v>
      </c>
    </row>
    <row r="1965" customFormat="false" ht="15" hidden="false" customHeight="false" outlineLevel="0" collapsed="false">
      <c r="A1965" s="12" t="s">
        <v>114</v>
      </c>
      <c r="B1965" s="12" t="s">
        <v>44</v>
      </c>
      <c r="C1965" s="12" t="s">
        <v>301</v>
      </c>
      <c r="D1965" s="12" t="str">
        <f aca="false">INDEX('Country Tiers'!$C$2:$C$37,MATCH(C1965,'Country Tiers'!$A$2:$A$37,0))</f>
        <v>Tier 3</v>
      </c>
      <c r="E1965" s="12" t="n">
        <f aca="false">INDEX('Country Tiers'!$D$2:$D$37,MATCH(C1965,'Country Tiers'!$A$2:$A$37,0))</f>
        <v>1</v>
      </c>
    </row>
    <row r="1966" customFormat="false" ht="15" hidden="false" customHeight="false" outlineLevel="0" collapsed="false">
      <c r="A1966" s="12" t="s">
        <v>114</v>
      </c>
      <c r="B1966" s="12" t="s">
        <v>44</v>
      </c>
      <c r="C1966" s="12" t="s">
        <v>302</v>
      </c>
      <c r="D1966" s="12" t="str">
        <f aca="false">INDEX('Country Tiers'!$C$2:$C$37,MATCH(C1966,'Country Tiers'!$A$2:$A$37,0))</f>
        <v>Tier 3</v>
      </c>
      <c r="E1966" s="12" t="n">
        <f aca="false">INDEX('Country Tiers'!$D$2:$D$37,MATCH(C1966,'Country Tiers'!$A$2:$A$37,0))</f>
        <v>1</v>
      </c>
    </row>
    <row r="1967" customFormat="false" ht="15" hidden="false" customHeight="false" outlineLevel="0" collapsed="false">
      <c r="A1967" s="12" t="s">
        <v>114</v>
      </c>
      <c r="B1967" s="12" t="s">
        <v>44</v>
      </c>
      <c r="C1967" s="12" t="s">
        <v>303</v>
      </c>
      <c r="D1967" s="12" t="str">
        <f aca="false">INDEX('Country Tiers'!$C$2:$C$37,MATCH(C1967,'Country Tiers'!$A$2:$A$37,0))</f>
        <v>Tier 2</v>
      </c>
      <c r="E1967" s="12" t="n">
        <f aca="false">INDEX('Country Tiers'!$D$2:$D$37,MATCH(C1967,'Country Tiers'!$A$2:$A$37,0))</f>
        <v>2</v>
      </c>
    </row>
    <row r="1968" customFormat="false" ht="15" hidden="false" customHeight="false" outlineLevel="0" collapsed="false">
      <c r="A1968" s="12" t="s">
        <v>114</v>
      </c>
      <c r="B1968" s="12" t="s">
        <v>44</v>
      </c>
      <c r="C1968" s="12" t="s">
        <v>305</v>
      </c>
      <c r="D1968" s="12" t="str">
        <f aca="false">INDEX('Country Tiers'!$C$2:$C$37,MATCH(C1968,'Country Tiers'!$A$2:$A$37,0))</f>
        <v>Tier 3</v>
      </c>
      <c r="E1968" s="12" t="n">
        <f aca="false">INDEX('Country Tiers'!$D$2:$D$37,MATCH(C1968,'Country Tiers'!$A$2:$A$37,0))</f>
        <v>1</v>
      </c>
    </row>
    <row r="1969" customFormat="false" ht="15" hidden="false" customHeight="false" outlineLevel="0" collapsed="false">
      <c r="A1969" s="12" t="s">
        <v>114</v>
      </c>
      <c r="B1969" s="12" t="s">
        <v>44</v>
      </c>
      <c r="C1969" s="12" t="s">
        <v>306</v>
      </c>
      <c r="D1969" s="12" t="str">
        <f aca="false">INDEX('Country Tiers'!$C$2:$C$37,MATCH(C1969,'Country Tiers'!$A$2:$A$37,0))</f>
        <v>Tier 3</v>
      </c>
      <c r="E1969" s="12" t="n">
        <f aca="false">INDEX('Country Tiers'!$D$2:$D$37,MATCH(C1969,'Country Tiers'!$A$2:$A$37,0))</f>
        <v>1</v>
      </c>
    </row>
    <row r="1970" customFormat="false" ht="15" hidden="false" customHeight="false" outlineLevel="0" collapsed="false">
      <c r="A1970" s="12" t="s">
        <v>114</v>
      </c>
      <c r="B1970" s="12" t="s">
        <v>44</v>
      </c>
      <c r="C1970" s="12" t="s">
        <v>307</v>
      </c>
      <c r="D1970" s="12" t="str">
        <f aca="false">INDEX('Country Tiers'!$C$2:$C$37,MATCH(C1970,'Country Tiers'!$A$2:$A$37,0))</f>
        <v>Tier 2</v>
      </c>
      <c r="E1970" s="12" t="n">
        <f aca="false">INDEX('Country Tiers'!$D$2:$D$37,MATCH(C1970,'Country Tiers'!$A$2:$A$37,0))</f>
        <v>2</v>
      </c>
    </row>
    <row r="1971" customFormat="false" ht="15" hidden="false" customHeight="false" outlineLevel="0" collapsed="false">
      <c r="A1971" s="12" t="s">
        <v>114</v>
      </c>
      <c r="B1971" s="12" t="s">
        <v>44</v>
      </c>
      <c r="C1971" s="12" t="s">
        <v>308</v>
      </c>
      <c r="D1971" s="12" t="str">
        <f aca="false">INDEX('Country Tiers'!$C$2:$C$37,MATCH(C1971,'Country Tiers'!$A$2:$A$37,0))</f>
        <v>Tier 3</v>
      </c>
      <c r="E1971" s="12" t="n">
        <f aca="false">INDEX('Country Tiers'!$D$2:$D$37,MATCH(C1971,'Country Tiers'!$A$2:$A$37,0))</f>
        <v>1</v>
      </c>
    </row>
    <row r="1972" customFormat="false" ht="15" hidden="false" customHeight="false" outlineLevel="0" collapsed="false">
      <c r="A1972" s="12" t="s">
        <v>114</v>
      </c>
      <c r="B1972" s="12" t="s">
        <v>44</v>
      </c>
      <c r="C1972" s="12" t="s">
        <v>309</v>
      </c>
      <c r="D1972" s="12" t="str">
        <f aca="false">INDEX('Country Tiers'!$C$2:$C$37,MATCH(C1972,'Country Tiers'!$A$2:$A$37,0))</f>
        <v>Tier 1</v>
      </c>
      <c r="E1972" s="12" t="n">
        <f aca="false">INDEX('Country Tiers'!$D$2:$D$37,MATCH(C1972,'Country Tiers'!$A$2:$A$37,0))</f>
        <v>3</v>
      </c>
    </row>
    <row r="1973" customFormat="false" ht="15" hidden="false" customHeight="false" outlineLevel="0" collapsed="false">
      <c r="A1973" s="12" t="s">
        <v>114</v>
      </c>
      <c r="B1973" s="12" t="s">
        <v>44</v>
      </c>
      <c r="C1973" s="12" t="s">
        <v>311</v>
      </c>
      <c r="D1973" s="12" t="str">
        <f aca="false">INDEX('Country Tiers'!$C$2:$C$37,MATCH(C1973,'Country Tiers'!$A$2:$A$37,0))</f>
        <v>Tier 1</v>
      </c>
      <c r="E1973" s="12" t="n">
        <f aca="false">INDEX('Country Tiers'!$D$2:$D$37,MATCH(C1973,'Country Tiers'!$A$2:$A$37,0))</f>
        <v>3</v>
      </c>
    </row>
    <row r="1974" customFormat="false" ht="15" hidden="false" customHeight="false" outlineLevel="0" collapsed="false">
      <c r="A1974" s="12" t="s">
        <v>114</v>
      </c>
      <c r="B1974" s="12" t="s">
        <v>44</v>
      </c>
      <c r="C1974" s="12" t="s">
        <v>313</v>
      </c>
      <c r="D1974" s="12" t="str">
        <f aca="false">INDEX('Country Tiers'!$C$2:$C$37,MATCH(C1974,'Country Tiers'!$A$2:$A$37,0))</f>
        <v>Tier 1</v>
      </c>
      <c r="E1974" s="12" t="n">
        <f aca="false">INDEX('Country Tiers'!$D$2:$D$37,MATCH(C1974,'Country Tiers'!$A$2:$A$37,0))</f>
        <v>3</v>
      </c>
    </row>
    <row r="1975" customFormat="false" ht="15" hidden="false" customHeight="false" outlineLevel="0" collapsed="false">
      <c r="A1975" s="12" t="s">
        <v>114</v>
      </c>
      <c r="B1975" s="12" t="s">
        <v>50</v>
      </c>
      <c r="C1975" s="12" t="s">
        <v>274</v>
      </c>
      <c r="D1975" s="12" t="str">
        <f aca="false">INDEX('Country Tiers'!$C$2:$C$37,MATCH(C1975,'Country Tiers'!$A$2:$A$37,0))</f>
        <v>Tier 3</v>
      </c>
      <c r="E1975" s="12" t="n">
        <f aca="false">INDEX('Country Tiers'!$D$2:$D$37,MATCH(C1975,'Country Tiers'!$A$2:$A$37,0))</f>
        <v>1</v>
      </c>
    </row>
    <row r="1976" customFormat="false" ht="15" hidden="false" customHeight="false" outlineLevel="0" collapsed="false">
      <c r="A1976" s="12" t="s">
        <v>114</v>
      </c>
      <c r="B1976" s="12" t="s">
        <v>50</v>
      </c>
      <c r="C1976" s="12" t="s">
        <v>277</v>
      </c>
      <c r="D1976" s="12" t="str">
        <f aca="false">INDEX('Country Tiers'!$C$2:$C$37,MATCH(C1976,'Country Tiers'!$A$2:$A$37,0))</f>
        <v>Tier 1</v>
      </c>
      <c r="E1976" s="12" t="n">
        <f aca="false">INDEX('Country Tiers'!$D$2:$D$37,MATCH(C1976,'Country Tiers'!$A$2:$A$37,0))</f>
        <v>3</v>
      </c>
    </row>
    <row r="1977" customFormat="false" ht="15" hidden="false" customHeight="false" outlineLevel="0" collapsed="false">
      <c r="A1977" s="12" t="s">
        <v>114</v>
      </c>
      <c r="B1977" s="12" t="s">
        <v>50</v>
      </c>
      <c r="C1977" s="12" t="s">
        <v>278</v>
      </c>
      <c r="D1977" s="12" t="str">
        <f aca="false">INDEX('Country Tiers'!$C$2:$C$37,MATCH(C1977,'Country Tiers'!$A$2:$A$37,0))</f>
        <v>Tier 3</v>
      </c>
      <c r="E1977" s="12" t="n">
        <f aca="false">INDEX('Country Tiers'!$D$2:$D$37,MATCH(C1977,'Country Tiers'!$A$2:$A$37,0))</f>
        <v>1</v>
      </c>
    </row>
    <row r="1978" customFormat="false" ht="15" hidden="false" customHeight="false" outlineLevel="0" collapsed="false">
      <c r="A1978" s="12" t="s">
        <v>114</v>
      </c>
      <c r="B1978" s="12" t="s">
        <v>50</v>
      </c>
      <c r="C1978" s="12" t="s">
        <v>280</v>
      </c>
      <c r="D1978" s="12" t="str">
        <f aca="false">INDEX('Country Tiers'!$C$2:$C$37,MATCH(C1978,'Country Tiers'!$A$2:$A$37,0))</f>
        <v>Tier 3</v>
      </c>
      <c r="E1978" s="12" t="n">
        <f aca="false">INDEX('Country Tiers'!$D$2:$D$37,MATCH(C1978,'Country Tiers'!$A$2:$A$37,0))</f>
        <v>1</v>
      </c>
    </row>
    <row r="1979" customFormat="false" ht="15" hidden="false" customHeight="false" outlineLevel="0" collapsed="false">
      <c r="A1979" s="12" t="s">
        <v>114</v>
      </c>
      <c r="B1979" s="12" t="s">
        <v>50</v>
      </c>
      <c r="C1979" s="12" t="s">
        <v>281</v>
      </c>
      <c r="D1979" s="12" t="str">
        <f aca="false">INDEX('Country Tiers'!$C$2:$C$37,MATCH(C1979,'Country Tiers'!$A$2:$A$37,0))</f>
        <v>Tier 3</v>
      </c>
      <c r="E1979" s="12" t="n">
        <f aca="false">INDEX('Country Tiers'!$D$2:$D$37,MATCH(C1979,'Country Tiers'!$A$2:$A$37,0))</f>
        <v>1</v>
      </c>
    </row>
    <row r="1980" customFormat="false" ht="15" hidden="false" customHeight="false" outlineLevel="0" collapsed="false">
      <c r="A1980" s="12" t="s">
        <v>114</v>
      </c>
      <c r="B1980" s="12" t="s">
        <v>50</v>
      </c>
      <c r="C1980" s="12" t="s">
        <v>282</v>
      </c>
      <c r="D1980" s="12" t="str">
        <f aca="false">INDEX('Country Tiers'!$C$2:$C$37,MATCH(C1980,'Country Tiers'!$A$2:$A$37,0))</f>
        <v>Tier 3</v>
      </c>
      <c r="E1980" s="12" t="n">
        <f aca="false">INDEX('Country Tiers'!$D$2:$D$37,MATCH(C1980,'Country Tiers'!$A$2:$A$37,0))</f>
        <v>1</v>
      </c>
    </row>
    <row r="1981" customFormat="false" ht="15" hidden="false" customHeight="false" outlineLevel="0" collapsed="false">
      <c r="A1981" s="12" t="s">
        <v>114</v>
      </c>
      <c r="B1981" s="12" t="s">
        <v>50</v>
      </c>
      <c r="C1981" s="12" t="s">
        <v>283</v>
      </c>
      <c r="D1981" s="12" t="str">
        <f aca="false">INDEX('Country Tiers'!$C$2:$C$37,MATCH(C1981,'Country Tiers'!$A$2:$A$37,0))</f>
        <v>Tier 3</v>
      </c>
      <c r="E1981" s="12" t="n">
        <f aca="false">INDEX('Country Tiers'!$D$2:$D$37,MATCH(C1981,'Country Tiers'!$A$2:$A$37,0))</f>
        <v>1</v>
      </c>
    </row>
    <row r="1982" customFormat="false" ht="15" hidden="false" customHeight="false" outlineLevel="0" collapsed="false">
      <c r="A1982" s="12" t="s">
        <v>114</v>
      </c>
      <c r="B1982" s="12" t="s">
        <v>50</v>
      </c>
      <c r="C1982" s="12" t="s">
        <v>284</v>
      </c>
      <c r="D1982" s="12" t="str">
        <f aca="false">INDEX('Country Tiers'!$C$2:$C$37,MATCH(C1982,'Country Tiers'!$A$2:$A$37,0))</f>
        <v>Tier 3</v>
      </c>
      <c r="E1982" s="12" t="n">
        <f aca="false">INDEX('Country Tiers'!$D$2:$D$37,MATCH(C1982,'Country Tiers'!$A$2:$A$37,0))</f>
        <v>1</v>
      </c>
    </row>
    <row r="1983" customFormat="false" ht="15" hidden="false" customHeight="false" outlineLevel="0" collapsed="false">
      <c r="A1983" s="12" t="s">
        <v>114</v>
      </c>
      <c r="B1983" s="12" t="s">
        <v>50</v>
      </c>
      <c r="C1983" s="12" t="s">
        <v>285</v>
      </c>
      <c r="D1983" s="12" t="str">
        <f aca="false">INDEX('Country Tiers'!$C$2:$C$37,MATCH(C1983,'Country Tiers'!$A$2:$A$37,0))</f>
        <v>Tier 3</v>
      </c>
      <c r="E1983" s="12" t="n">
        <f aca="false">INDEX('Country Tiers'!$D$2:$D$37,MATCH(C1983,'Country Tiers'!$A$2:$A$37,0))</f>
        <v>1</v>
      </c>
    </row>
    <row r="1984" customFormat="false" ht="15" hidden="false" customHeight="false" outlineLevel="0" collapsed="false">
      <c r="A1984" s="12" t="s">
        <v>114</v>
      </c>
      <c r="B1984" s="12" t="s">
        <v>50</v>
      </c>
      <c r="C1984" s="12" t="s">
        <v>286</v>
      </c>
      <c r="D1984" s="12" t="str">
        <f aca="false">INDEX('Country Tiers'!$C$2:$C$37,MATCH(C1984,'Country Tiers'!$A$2:$A$37,0))</f>
        <v>Tier 1</v>
      </c>
      <c r="E1984" s="12" t="n">
        <f aca="false">INDEX('Country Tiers'!$D$2:$D$37,MATCH(C1984,'Country Tiers'!$A$2:$A$37,0))</f>
        <v>3</v>
      </c>
    </row>
    <row r="1985" customFormat="false" ht="15" hidden="false" customHeight="false" outlineLevel="0" collapsed="false">
      <c r="A1985" s="12" t="s">
        <v>114</v>
      </c>
      <c r="B1985" s="12" t="s">
        <v>50</v>
      </c>
      <c r="C1985" s="12" t="s">
        <v>287</v>
      </c>
      <c r="D1985" s="12" t="str">
        <f aca="false">INDEX('Country Tiers'!$C$2:$C$37,MATCH(C1985,'Country Tiers'!$A$2:$A$37,0))</f>
        <v>Tier 1</v>
      </c>
      <c r="E1985" s="12" t="n">
        <f aca="false">INDEX('Country Tiers'!$D$2:$D$37,MATCH(C1985,'Country Tiers'!$A$2:$A$37,0))</f>
        <v>3</v>
      </c>
    </row>
    <row r="1986" customFormat="false" ht="15" hidden="false" customHeight="false" outlineLevel="0" collapsed="false">
      <c r="A1986" s="12" t="s">
        <v>114</v>
      </c>
      <c r="B1986" s="12" t="s">
        <v>50</v>
      </c>
      <c r="C1986" s="12" t="s">
        <v>288</v>
      </c>
      <c r="D1986" s="12" t="str">
        <f aca="false">INDEX('Country Tiers'!$C$2:$C$37,MATCH(C1986,'Country Tiers'!$A$2:$A$37,0))</f>
        <v>Tier 3</v>
      </c>
      <c r="E1986" s="12" t="n">
        <f aca="false">INDEX('Country Tiers'!$D$2:$D$37,MATCH(C1986,'Country Tiers'!$A$2:$A$37,0))</f>
        <v>1</v>
      </c>
    </row>
    <row r="1987" customFormat="false" ht="15" hidden="false" customHeight="false" outlineLevel="0" collapsed="false">
      <c r="A1987" s="12" t="s">
        <v>114</v>
      </c>
      <c r="B1987" s="12" t="s">
        <v>50</v>
      </c>
      <c r="C1987" s="12" t="s">
        <v>289</v>
      </c>
      <c r="D1987" s="12" t="str">
        <f aca="false">INDEX('Country Tiers'!$C$2:$C$37,MATCH(C1987,'Country Tiers'!$A$2:$A$37,0))</f>
        <v>Tier 3</v>
      </c>
      <c r="E1987" s="12" t="n">
        <f aca="false">INDEX('Country Tiers'!$D$2:$D$37,MATCH(C1987,'Country Tiers'!$A$2:$A$37,0))</f>
        <v>1</v>
      </c>
    </row>
    <row r="1988" customFormat="false" ht="15" hidden="false" customHeight="false" outlineLevel="0" collapsed="false">
      <c r="A1988" s="12" t="s">
        <v>114</v>
      </c>
      <c r="B1988" s="12" t="s">
        <v>50</v>
      </c>
      <c r="C1988" s="12" t="s">
        <v>290</v>
      </c>
      <c r="D1988" s="12" t="str">
        <f aca="false">INDEX('Country Tiers'!$C$2:$C$37,MATCH(C1988,'Country Tiers'!$A$2:$A$37,0))</f>
        <v>Tier 3</v>
      </c>
      <c r="E1988" s="12" t="n">
        <f aca="false">INDEX('Country Tiers'!$D$2:$D$37,MATCH(C1988,'Country Tiers'!$A$2:$A$37,0))</f>
        <v>1</v>
      </c>
    </row>
    <row r="1989" customFormat="false" ht="15" hidden="false" customHeight="false" outlineLevel="0" collapsed="false">
      <c r="A1989" s="12" t="s">
        <v>114</v>
      </c>
      <c r="B1989" s="12" t="s">
        <v>50</v>
      </c>
      <c r="C1989" s="12" t="s">
        <v>291</v>
      </c>
      <c r="D1989" s="12" t="str">
        <f aca="false">INDEX('Country Tiers'!$C$2:$C$37,MATCH(C1989,'Country Tiers'!$A$2:$A$37,0))</f>
        <v>Tier 3</v>
      </c>
      <c r="E1989" s="12" t="n">
        <f aca="false">INDEX('Country Tiers'!$D$2:$D$37,MATCH(C1989,'Country Tiers'!$A$2:$A$37,0))</f>
        <v>1</v>
      </c>
    </row>
    <row r="1990" customFormat="false" ht="15" hidden="false" customHeight="false" outlineLevel="0" collapsed="false">
      <c r="A1990" s="12" t="s">
        <v>114</v>
      </c>
      <c r="B1990" s="12" t="s">
        <v>50</v>
      </c>
      <c r="C1990" s="12" t="s">
        <v>292</v>
      </c>
      <c r="D1990" s="12" t="str">
        <f aca="false">INDEX('Country Tiers'!$C$2:$C$37,MATCH(C1990,'Country Tiers'!$A$2:$A$37,0))</f>
        <v>Tier 2</v>
      </c>
      <c r="E1990" s="12" t="n">
        <f aca="false">INDEX('Country Tiers'!$D$2:$D$37,MATCH(C1990,'Country Tiers'!$A$2:$A$37,0))</f>
        <v>2</v>
      </c>
    </row>
    <row r="1991" customFormat="false" ht="15" hidden="false" customHeight="false" outlineLevel="0" collapsed="false">
      <c r="A1991" s="12" t="s">
        <v>114</v>
      </c>
      <c r="B1991" s="12" t="s">
        <v>50</v>
      </c>
      <c r="C1991" s="12" t="s">
        <v>293</v>
      </c>
      <c r="D1991" s="12" t="str">
        <f aca="false">INDEX('Country Tiers'!$C$2:$C$37,MATCH(C1991,'Country Tiers'!$A$2:$A$37,0))</f>
        <v>Tier 3</v>
      </c>
      <c r="E1991" s="12" t="n">
        <f aca="false">INDEX('Country Tiers'!$D$2:$D$37,MATCH(C1991,'Country Tiers'!$A$2:$A$37,0))</f>
        <v>1</v>
      </c>
    </row>
    <row r="1992" customFormat="false" ht="15" hidden="false" customHeight="false" outlineLevel="0" collapsed="false">
      <c r="A1992" s="12" t="s">
        <v>114</v>
      </c>
      <c r="B1992" s="12" t="s">
        <v>50</v>
      </c>
      <c r="C1992" s="12" t="s">
        <v>294</v>
      </c>
      <c r="D1992" s="12" t="str">
        <f aca="false">INDEX('Country Tiers'!$C$2:$C$37,MATCH(C1992,'Country Tiers'!$A$2:$A$37,0))</f>
        <v>Tier 3</v>
      </c>
      <c r="E1992" s="12" t="n">
        <f aca="false">INDEX('Country Tiers'!$D$2:$D$37,MATCH(C1992,'Country Tiers'!$A$2:$A$37,0))</f>
        <v>1</v>
      </c>
    </row>
    <row r="1993" customFormat="false" ht="15" hidden="false" customHeight="false" outlineLevel="0" collapsed="false">
      <c r="A1993" s="12" t="s">
        <v>114</v>
      </c>
      <c r="B1993" s="12" t="s">
        <v>50</v>
      </c>
      <c r="C1993" s="12" t="s">
        <v>295</v>
      </c>
      <c r="D1993" s="12" t="str">
        <f aca="false">INDEX('Country Tiers'!$C$2:$C$37,MATCH(C1993,'Country Tiers'!$A$2:$A$37,0))</f>
        <v>Tier 3</v>
      </c>
      <c r="E1993" s="12" t="n">
        <f aca="false">INDEX('Country Tiers'!$D$2:$D$37,MATCH(C1993,'Country Tiers'!$A$2:$A$37,0))</f>
        <v>1</v>
      </c>
    </row>
    <row r="1994" customFormat="false" ht="15" hidden="false" customHeight="false" outlineLevel="0" collapsed="false">
      <c r="A1994" s="12" t="s">
        <v>114</v>
      </c>
      <c r="B1994" s="12" t="s">
        <v>50</v>
      </c>
      <c r="C1994" s="12" t="s">
        <v>296</v>
      </c>
      <c r="D1994" s="12" t="str">
        <f aca="false">INDEX('Country Tiers'!$C$2:$C$37,MATCH(C1994,'Country Tiers'!$A$2:$A$37,0))</f>
        <v>Tier 3</v>
      </c>
      <c r="E1994" s="12" t="n">
        <f aca="false">INDEX('Country Tiers'!$D$2:$D$37,MATCH(C1994,'Country Tiers'!$A$2:$A$37,0))</f>
        <v>1</v>
      </c>
    </row>
    <row r="1995" customFormat="false" ht="15" hidden="false" customHeight="false" outlineLevel="0" collapsed="false">
      <c r="A1995" s="12" t="s">
        <v>114</v>
      </c>
      <c r="B1995" s="12" t="s">
        <v>50</v>
      </c>
      <c r="C1995" s="12" t="s">
        <v>297</v>
      </c>
      <c r="D1995" s="12" t="str">
        <f aca="false">INDEX('Country Tiers'!$C$2:$C$37,MATCH(C1995,'Country Tiers'!$A$2:$A$37,0))</f>
        <v>Tier 2</v>
      </c>
      <c r="E1995" s="12" t="n">
        <f aca="false">INDEX('Country Tiers'!$D$2:$D$37,MATCH(C1995,'Country Tiers'!$A$2:$A$37,0))</f>
        <v>2</v>
      </c>
    </row>
    <row r="1996" customFormat="false" ht="15" hidden="false" customHeight="false" outlineLevel="0" collapsed="false">
      <c r="A1996" s="12" t="s">
        <v>114</v>
      </c>
      <c r="B1996" s="12" t="s">
        <v>50</v>
      </c>
      <c r="C1996" s="12" t="s">
        <v>298</v>
      </c>
      <c r="D1996" s="12" t="str">
        <f aca="false">INDEX('Country Tiers'!$C$2:$C$37,MATCH(C1996,'Country Tiers'!$A$2:$A$37,0))</f>
        <v>Tier 1</v>
      </c>
      <c r="E1996" s="12" t="n">
        <f aca="false">INDEX('Country Tiers'!$D$2:$D$37,MATCH(C1996,'Country Tiers'!$A$2:$A$37,0))</f>
        <v>3</v>
      </c>
    </row>
    <row r="1997" customFormat="false" ht="15" hidden="false" customHeight="false" outlineLevel="0" collapsed="false">
      <c r="A1997" s="12" t="s">
        <v>114</v>
      </c>
      <c r="B1997" s="12" t="s">
        <v>50</v>
      </c>
      <c r="C1997" s="12" t="s">
        <v>299</v>
      </c>
      <c r="D1997" s="12" t="str">
        <f aca="false">INDEX('Country Tiers'!$C$2:$C$37,MATCH(C1997,'Country Tiers'!$A$2:$A$37,0))</f>
        <v>Tier 3</v>
      </c>
      <c r="E1997" s="12" t="n">
        <f aca="false">INDEX('Country Tiers'!$D$2:$D$37,MATCH(C1997,'Country Tiers'!$A$2:$A$37,0))</f>
        <v>1</v>
      </c>
    </row>
    <row r="1998" customFormat="false" ht="15" hidden="false" customHeight="false" outlineLevel="0" collapsed="false">
      <c r="A1998" s="12" t="s">
        <v>114</v>
      </c>
      <c r="B1998" s="12" t="s">
        <v>50</v>
      </c>
      <c r="C1998" s="12" t="s">
        <v>300</v>
      </c>
      <c r="D1998" s="12" t="str">
        <f aca="false">INDEX('Country Tiers'!$C$2:$C$37,MATCH(C1998,'Country Tiers'!$A$2:$A$37,0))</f>
        <v>Tier 3</v>
      </c>
      <c r="E1998" s="12" t="n">
        <f aca="false">INDEX('Country Tiers'!$D$2:$D$37,MATCH(C1998,'Country Tiers'!$A$2:$A$37,0))</f>
        <v>1</v>
      </c>
    </row>
    <row r="1999" customFormat="false" ht="15" hidden="false" customHeight="false" outlineLevel="0" collapsed="false">
      <c r="A1999" s="12" t="s">
        <v>114</v>
      </c>
      <c r="B1999" s="12" t="s">
        <v>50</v>
      </c>
      <c r="C1999" s="12" t="s">
        <v>301</v>
      </c>
      <c r="D1999" s="12" t="str">
        <f aca="false">INDEX('Country Tiers'!$C$2:$C$37,MATCH(C1999,'Country Tiers'!$A$2:$A$37,0))</f>
        <v>Tier 3</v>
      </c>
      <c r="E1999" s="12" t="n">
        <f aca="false">INDEX('Country Tiers'!$D$2:$D$37,MATCH(C1999,'Country Tiers'!$A$2:$A$37,0))</f>
        <v>1</v>
      </c>
    </row>
    <row r="2000" customFormat="false" ht="15" hidden="false" customHeight="false" outlineLevel="0" collapsed="false">
      <c r="A2000" s="12" t="s">
        <v>114</v>
      </c>
      <c r="B2000" s="12" t="s">
        <v>50</v>
      </c>
      <c r="C2000" s="12" t="s">
        <v>302</v>
      </c>
      <c r="D2000" s="12" t="str">
        <f aca="false">INDEX('Country Tiers'!$C$2:$C$37,MATCH(C2000,'Country Tiers'!$A$2:$A$37,0))</f>
        <v>Tier 3</v>
      </c>
      <c r="E2000" s="12" t="n">
        <f aca="false">INDEX('Country Tiers'!$D$2:$D$37,MATCH(C2000,'Country Tiers'!$A$2:$A$37,0))</f>
        <v>1</v>
      </c>
    </row>
    <row r="2001" customFormat="false" ht="15" hidden="false" customHeight="false" outlineLevel="0" collapsed="false">
      <c r="A2001" s="12" t="s">
        <v>114</v>
      </c>
      <c r="B2001" s="12" t="s">
        <v>50</v>
      </c>
      <c r="C2001" s="12" t="s">
        <v>305</v>
      </c>
      <c r="D2001" s="12" t="str">
        <f aca="false">INDEX('Country Tiers'!$C$2:$C$37,MATCH(C2001,'Country Tiers'!$A$2:$A$37,0))</f>
        <v>Tier 3</v>
      </c>
      <c r="E2001" s="12" t="n">
        <f aca="false">INDEX('Country Tiers'!$D$2:$D$37,MATCH(C2001,'Country Tiers'!$A$2:$A$37,0))</f>
        <v>1</v>
      </c>
    </row>
    <row r="2002" customFormat="false" ht="15" hidden="false" customHeight="false" outlineLevel="0" collapsed="false">
      <c r="A2002" s="12" t="s">
        <v>114</v>
      </c>
      <c r="B2002" s="12" t="s">
        <v>50</v>
      </c>
      <c r="C2002" s="12" t="s">
        <v>306</v>
      </c>
      <c r="D2002" s="12" t="str">
        <f aca="false">INDEX('Country Tiers'!$C$2:$C$37,MATCH(C2002,'Country Tiers'!$A$2:$A$37,0))</f>
        <v>Tier 3</v>
      </c>
      <c r="E2002" s="12" t="n">
        <f aca="false">INDEX('Country Tiers'!$D$2:$D$37,MATCH(C2002,'Country Tiers'!$A$2:$A$37,0))</f>
        <v>1</v>
      </c>
    </row>
    <row r="2003" customFormat="false" ht="15" hidden="false" customHeight="false" outlineLevel="0" collapsed="false">
      <c r="A2003" s="12" t="s">
        <v>114</v>
      </c>
      <c r="B2003" s="12" t="s">
        <v>50</v>
      </c>
      <c r="C2003" s="12" t="s">
        <v>307</v>
      </c>
      <c r="D2003" s="12" t="str">
        <f aca="false">INDEX('Country Tiers'!$C$2:$C$37,MATCH(C2003,'Country Tiers'!$A$2:$A$37,0))</f>
        <v>Tier 2</v>
      </c>
      <c r="E2003" s="12" t="n">
        <f aca="false">INDEX('Country Tiers'!$D$2:$D$37,MATCH(C2003,'Country Tiers'!$A$2:$A$37,0))</f>
        <v>2</v>
      </c>
    </row>
    <row r="2004" customFormat="false" ht="15" hidden="false" customHeight="false" outlineLevel="0" collapsed="false">
      <c r="A2004" s="12" t="s">
        <v>114</v>
      </c>
      <c r="B2004" s="12" t="s">
        <v>50</v>
      </c>
      <c r="C2004" s="12" t="s">
        <v>308</v>
      </c>
      <c r="D2004" s="12" t="str">
        <f aca="false">INDEX('Country Tiers'!$C$2:$C$37,MATCH(C2004,'Country Tiers'!$A$2:$A$37,0))</f>
        <v>Tier 3</v>
      </c>
      <c r="E2004" s="12" t="n">
        <f aca="false">INDEX('Country Tiers'!$D$2:$D$37,MATCH(C2004,'Country Tiers'!$A$2:$A$37,0))</f>
        <v>1</v>
      </c>
    </row>
    <row r="2005" customFormat="false" ht="15" hidden="false" customHeight="false" outlineLevel="0" collapsed="false">
      <c r="A2005" s="12" t="s">
        <v>114</v>
      </c>
      <c r="B2005" s="12" t="s">
        <v>50</v>
      </c>
      <c r="C2005" s="12" t="s">
        <v>309</v>
      </c>
      <c r="D2005" s="12" t="str">
        <f aca="false">INDEX('Country Tiers'!$C$2:$C$37,MATCH(C2005,'Country Tiers'!$A$2:$A$37,0))</f>
        <v>Tier 1</v>
      </c>
      <c r="E2005" s="12" t="n">
        <f aca="false">INDEX('Country Tiers'!$D$2:$D$37,MATCH(C2005,'Country Tiers'!$A$2:$A$37,0))</f>
        <v>3</v>
      </c>
    </row>
    <row r="2006" customFormat="false" ht="15" hidden="false" customHeight="false" outlineLevel="0" collapsed="false">
      <c r="A2006" s="12" t="s">
        <v>114</v>
      </c>
      <c r="B2006" s="12" t="s">
        <v>50</v>
      </c>
      <c r="C2006" s="12" t="s">
        <v>313</v>
      </c>
      <c r="D2006" s="12" t="str">
        <f aca="false">INDEX('Country Tiers'!$C$2:$C$37,MATCH(C2006,'Country Tiers'!$A$2:$A$37,0))</f>
        <v>Tier 1</v>
      </c>
      <c r="E2006" s="12" t="n">
        <f aca="false">INDEX('Country Tiers'!$D$2:$D$37,MATCH(C2006,'Country Tiers'!$A$2:$A$37,0))</f>
        <v>3</v>
      </c>
    </row>
    <row r="2007" customFormat="false" ht="15" hidden="false" customHeight="false" outlineLevel="0" collapsed="false">
      <c r="A2007" s="12" t="s">
        <v>114</v>
      </c>
      <c r="B2007" s="12" t="s">
        <v>115</v>
      </c>
      <c r="C2007" s="12" t="s">
        <v>274</v>
      </c>
      <c r="D2007" s="12" t="str">
        <f aca="false">INDEX('Country Tiers'!$C$2:$C$37,MATCH(C2007,'Country Tiers'!$A$2:$A$37,0))</f>
        <v>Tier 3</v>
      </c>
      <c r="E2007" s="12" t="n">
        <f aca="false">INDEX('Country Tiers'!$D$2:$D$37,MATCH(C2007,'Country Tiers'!$A$2:$A$37,0))</f>
        <v>1</v>
      </c>
    </row>
    <row r="2008" customFormat="false" ht="15" hidden="false" customHeight="false" outlineLevel="0" collapsed="false">
      <c r="A2008" s="12" t="s">
        <v>114</v>
      </c>
      <c r="B2008" s="12" t="s">
        <v>115</v>
      </c>
      <c r="C2008" s="12" t="s">
        <v>277</v>
      </c>
      <c r="D2008" s="12" t="str">
        <f aca="false">INDEX('Country Tiers'!$C$2:$C$37,MATCH(C2008,'Country Tiers'!$A$2:$A$37,0))</f>
        <v>Tier 1</v>
      </c>
      <c r="E2008" s="12" t="n">
        <f aca="false">INDEX('Country Tiers'!$D$2:$D$37,MATCH(C2008,'Country Tiers'!$A$2:$A$37,0))</f>
        <v>3</v>
      </c>
    </row>
    <row r="2009" customFormat="false" ht="15" hidden="false" customHeight="false" outlineLevel="0" collapsed="false">
      <c r="A2009" s="12" t="s">
        <v>114</v>
      </c>
      <c r="B2009" s="12" t="s">
        <v>115</v>
      </c>
      <c r="C2009" s="12" t="s">
        <v>278</v>
      </c>
      <c r="D2009" s="12" t="str">
        <f aca="false">INDEX('Country Tiers'!$C$2:$C$37,MATCH(C2009,'Country Tiers'!$A$2:$A$37,0))</f>
        <v>Tier 3</v>
      </c>
      <c r="E2009" s="12" t="n">
        <f aca="false">INDEX('Country Tiers'!$D$2:$D$37,MATCH(C2009,'Country Tiers'!$A$2:$A$37,0))</f>
        <v>1</v>
      </c>
    </row>
    <row r="2010" customFormat="false" ht="15" hidden="false" customHeight="false" outlineLevel="0" collapsed="false">
      <c r="A2010" s="12" t="s">
        <v>114</v>
      </c>
      <c r="B2010" s="12" t="s">
        <v>115</v>
      </c>
      <c r="C2010" s="12" t="s">
        <v>280</v>
      </c>
      <c r="D2010" s="12" t="str">
        <f aca="false">INDEX('Country Tiers'!$C$2:$C$37,MATCH(C2010,'Country Tiers'!$A$2:$A$37,0))</f>
        <v>Tier 3</v>
      </c>
      <c r="E2010" s="12" t="n">
        <f aca="false">INDEX('Country Tiers'!$D$2:$D$37,MATCH(C2010,'Country Tiers'!$A$2:$A$37,0))</f>
        <v>1</v>
      </c>
    </row>
    <row r="2011" customFormat="false" ht="15" hidden="false" customHeight="false" outlineLevel="0" collapsed="false">
      <c r="A2011" s="12" t="s">
        <v>114</v>
      </c>
      <c r="B2011" s="12" t="s">
        <v>115</v>
      </c>
      <c r="C2011" s="12" t="s">
        <v>281</v>
      </c>
      <c r="D2011" s="12" t="str">
        <f aca="false">INDEX('Country Tiers'!$C$2:$C$37,MATCH(C2011,'Country Tiers'!$A$2:$A$37,0))</f>
        <v>Tier 3</v>
      </c>
      <c r="E2011" s="12" t="n">
        <f aca="false">INDEX('Country Tiers'!$D$2:$D$37,MATCH(C2011,'Country Tiers'!$A$2:$A$37,0))</f>
        <v>1</v>
      </c>
    </row>
    <row r="2012" customFormat="false" ht="15" hidden="false" customHeight="false" outlineLevel="0" collapsed="false">
      <c r="A2012" s="12" t="s">
        <v>114</v>
      </c>
      <c r="B2012" s="12" t="s">
        <v>115</v>
      </c>
      <c r="C2012" s="12" t="s">
        <v>282</v>
      </c>
      <c r="D2012" s="12" t="str">
        <f aca="false">INDEX('Country Tiers'!$C$2:$C$37,MATCH(C2012,'Country Tiers'!$A$2:$A$37,0))</f>
        <v>Tier 3</v>
      </c>
      <c r="E2012" s="12" t="n">
        <f aca="false">INDEX('Country Tiers'!$D$2:$D$37,MATCH(C2012,'Country Tiers'!$A$2:$A$37,0))</f>
        <v>1</v>
      </c>
    </row>
    <row r="2013" customFormat="false" ht="15" hidden="false" customHeight="false" outlineLevel="0" collapsed="false">
      <c r="A2013" s="12" t="s">
        <v>114</v>
      </c>
      <c r="B2013" s="12" t="s">
        <v>115</v>
      </c>
      <c r="C2013" s="12" t="s">
        <v>283</v>
      </c>
      <c r="D2013" s="12" t="str">
        <f aca="false">INDEX('Country Tiers'!$C$2:$C$37,MATCH(C2013,'Country Tiers'!$A$2:$A$37,0))</f>
        <v>Tier 3</v>
      </c>
      <c r="E2013" s="12" t="n">
        <f aca="false">INDEX('Country Tiers'!$D$2:$D$37,MATCH(C2013,'Country Tiers'!$A$2:$A$37,0))</f>
        <v>1</v>
      </c>
    </row>
    <row r="2014" customFormat="false" ht="15" hidden="false" customHeight="false" outlineLevel="0" collapsed="false">
      <c r="A2014" s="12" t="s">
        <v>114</v>
      </c>
      <c r="B2014" s="12" t="s">
        <v>115</v>
      </c>
      <c r="C2014" s="12" t="s">
        <v>284</v>
      </c>
      <c r="D2014" s="12" t="str">
        <f aca="false">INDEX('Country Tiers'!$C$2:$C$37,MATCH(C2014,'Country Tiers'!$A$2:$A$37,0))</f>
        <v>Tier 3</v>
      </c>
      <c r="E2014" s="12" t="n">
        <f aca="false">INDEX('Country Tiers'!$D$2:$D$37,MATCH(C2014,'Country Tiers'!$A$2:$A$37,0))</f>
        <v>1</v>
      </c>
    </row>
    <row r="2015" customFormat="false" ht="15" hidden="false" customHeight="false" outlineLevel="0" collapsed="false">
      <c r="A2015" s="12" t="s">
        <v>114</v>
      </c>
      <c r="B2015" s="12" t="s">
        <v>115</v>
      </c>
      <c r="C2015" s="12" t="s">
        <v>285</v>
      </c>
      <c r="D2015" s="12" t="str">
        <f aca="false">INDEX('Country Tiers'!$C$2:$C$37,MATCH(C2015,'Country Tiers'!$A$2:$A$37,0))</f>
        <v>Tier 3</v>
      </c>
      <c r="E2015" s="12" t="n">
        <f aca="false">INDEX('Country Tiers'!$D$2:$D$37,MATCH(C2015,'Country Tiers'!$A$2:$A$37,0))</f>
        <v>1</v>
      </c>
    </row>
    <row r="2016" customFormat="false" ht="15" hidden="false" customHeight="false" outlineLevel="0" collapsed="false">
      <c r="A2016" s="12" t="s">
        <v>114</v>
      </c>
      <c r="B2016" s="12" t="s">
        <v>115</v>
      </c>
      <c r="C2016" s="12" t="s">
        <v>286</v>
      </c>
      <c r="D2016" s="12" t="str">
        <f aca="false">INDEX('Country Tiers'!$C$2:$C$37,MATCH(C2016,'Country Tiers'!$A$2:$A$37,0))</f>
        <v>Tier 1</v>
      </c>
      <c r="E2016" s="12" t="n">
        <f aca="false">INDEX('Country Tiers'!$D$2:$D$37,MATCH(C2016,'Country Tiers'!$A$2:$A$37,0))</f>
        <v>3</v>
      </c>
    </row>
    <row r="2017" customFormat="false" ht="15" hidden="false" customHeight="false" outlineLevel="0" collapsed="false">
      <c r="A2017" s="12" t="s">
        <v>114</v>
      </c>
      <c r="B2017" s="12" t="s">
        <v>115</v>
      </c>
      <c r="C2017" s="12" t="s">
        <v>287</v>
      </c>
      <c r="D2017" s="12" t="str">
        <f aca="false">INDEX('Country Tiers'!$C$2:$C$37,MATCH(C2017,'Country Tiers'!$A$2:$A$37,0))</f>
        <v>Tier 1</v>
      </c>
      <c r="E2017" s="12" t="n">
        <f aca="false">INDEX('Country Tiers'!$D$2:$D$37,MATCH(C2017,'Country Tiers'!$A$2:$A$37,0))</f>
        <v>3</v>
      </c>
    </row>
    <row r="2018" customFormat="false" ht="15" hidden="false" customHeight="false" outlineLevel="0" collapsed="false">
      <c r="A2018" s="12" t="s">
        <v>114</v>
      </c>
      <c r="B2018" s="12" t="s">
        <v>115</v>
      </c>
      <c r="C2018" s="12" t="s">
        <v>288</v>
      </c>
      <c r="D2018" s="12" t="str">
        <f aca="false">INDEX('Country Tiers'!$C$2:$C$37,MATCH(C2018,'Country Tiers'!$A$2:$A$37,0))</f>
        <v>Tier 3</v>
      </c>
      <c r="E2018" s="12" t="n">
        <f aca="false">INDEX('Country Tiers'!$D$2:$D$37,MATCH(C2018,'Country Tiers'!$A$2:$A$37,0))</f>
        <v>1</v>
      </c>
    </row>
    <row r="2019" customFormat="false" ht="15" hidden="false" customHeight="false" outlineLevel="0" collapsed="false">
      <c r="A2019" s="12" t="s">
        <v>114</v>
      </c>
      <c r="B2019" s="12" t="s">
        <v>115</v>
      </c>
      <c r="C2019" s="12" t="s">
        <v>289</v>
      </c>
      <c r="D2019" s="12" t="str">
        <f aca="false">INDEX('Country Tiers'!$C$2:$C$37,MATCH(C2019,'Country Tiers'!$A$2:$A$37,0))</f>
        <v>Tier 3</v>
      </c>
      <c r="E2019" s="12" t="n">
        <f aca="false">INDEX('Country Tiers'!$D$2:$D$37,MATCH(C2019,'Country Tiers'!$A$2:$A$37,0))</f>
        <v>1</v>
      </c>
    </row>
    <row r="2020" customFormat="false" ht="15" hidden="false" customHeight="false" outlineLevel="0" collapsed="false">
      <c r="A2020" s="12" t="s">
        <v>114</v>
      </c>
      <c r="B2020" s="12" t="s">
        <v>115</v>
      </c>
      <c r="C2020" s="12" t="s">
        <v>290</v>
      </c>
      <c r="D2020" s="12" t="str">
        <f aca="false">INDEX('Country Tiers'!$C$2:$C$37,MATCH(C2020,'Country Tiers'!$A$2:$A$37,0))</f>
        <v>Tier 3</v>
      </c>
      <c r="E2020" s="12" t="n">
        <f aca="false">INDEX('Country Tiers'!$D$2:$D$37,MATCH(C2020,'Country Tiers'!$A$2:$A$37,0))</f>
        <v>1</v>
      </c>
    </row>
    <row r="2021" customFormat="false" ht="15" hidden="false" customHeight="false" outlineLevel="0" collapsed="false">
      <c r="A2021" s="12" t="s">
        <v>114</v>
      </c>
      <c r="B2021" s="12" t="s">
        <v>115</v>
      </c>
      <c r="C2021" s="12" t="s">
        <v>291</v>
      </c>
      <c r="D2021" s="12" t="str">
        <f aca="false">INDEX('Country Tiers'!$C$2:$C$37,MATCH(C2021,'Country Tiers'!$A$2:$A$37,0))</f>
        <v>Tier 3</v>
      </c>
      <c r="E2021" s="12" t="n">
        <f aca="false">INDEX('Country Tiers'!$D$2:$D$37,MATCH(C2021,'Country Tiers'!$A$2:$A$37,0))</f>
        <v>1</v>
      </c>
    </row>
    <row r="2022" customFormat="false" ht="15" hidden="false" customHeight="false" outlineLevel="0" collapsed="false">
      <c r="A2022" s="12" t="s">
        <v>114</v>
      </c>
      <c r="B2022" s="12" t="s">
        <v>115</v>
      </c>
      <c r="C2022" s="12" t="s">
        <v>292</v>
      </c>
      <c r="D2022" s="12" t="str">
        <f aca="false">INDEX('Country Tiers'!$C$2:$C$37,MATCH(C2022,'Country Tiers'!$A$2:$A$37,0))</f>
        <v>Tier 2</v>
      </c>
      <c r="E2022" s="12" t="n">
        <f aca="false">INDEX('Country Tiers'!$D$2:$D$37,MATCH(C2022,'Country Tiers'!$A$2:$A$37,0))</f>
        <v>2</v>
      </c>
    </row>
    <row r="2023" customFormat="false" ht="15" hidden="false" customHeight="false" outlineLevel="0" collapsed="false">
      <c r="A2023" s="12" t="s">
        <v>114</v>
      </c>
      <c r="B2023" s="12" t="s">
        <v>115</v>
      </c>
      <c r="C2023" s="12" t="s">
        <v>293</v>
      </c>
      <c r="D2023" s="12" t="str">
        <f aca="false">INDEX('Country Tiers'!$C$2:$C$37,MATCH(C2023,'Country Tiers'!$A$2:$A$37,0))</f>
        <v>Tier 3</v>
      </c>
      <c r="E2023" s="12" t="n">
        <f aca="false">INDEX('Country Tiers'!$D$2:$D$37,MATCH(C2023,'Country Tiers'!$A$2:$A$37,0))</f>
        <v>1</v>
      </c>
    </row>
    <row r="2024" customFormat="false" ht="15" hidden="false" customHeight="false" outlineLevel="0" collapsed="false">
      <c r="A2024" s="12" t="s">
        <v>114</v>
      </c>
      <c r="B2024" s="12" t="s">
        <v>115</v>
      </c>
      <c r="C2024" s="12" t="s">
        <v>294</v>
      </c>
      <c r="D2024" s="12" t="str">
        <f aca="false">INDEX('Country Tiers'!$C$2:$C$37,MATCH(C2024,'Country Tiers'!$A$2:$A$37,0))</f>
        <v>Tier 3</v>
      </c>
      <c r="E2024" s="12" t="n">
        <f aca="false">INDEX('Country Tiers'!$D$2:$D$37,MATCH(C2024,'Country Tiers'!$A$2:$A$37,0))</f>
        <v>1</v>
      </c>
    </row>
    <row r="2025" customFormat="false" ht="15" hidden="false" customHeight="false" outlineLevel="0" collapsed="false">
      <c r="A2025" s="12" t="s">
        <v>114</v>
      </c>
      <c r="B2025" s="12" t="s">
        <v>115</v>
      </c>
      <c r="C2025" s="12" t="s">
        <v>295</v>
      </c>
      <c r="D2025" s="12" t="str">
        <f aca="false">INDEX('Country Tiers'!$C$2:$C$37,MATCH(C2025,'Country Tiers'!$A$2:$A$37,0))</f>
        <v>Tier 3</v>
      </c>
      <c r="E2025" s="12" t="n">
        <f aca="false">INDEX('Country Tiers'!$D$2:$D$37,MATCH(C2025,'Country Tiers'!$A$2:$A$37,0))</f>
        <v>1</v>
      </c>
    </row>
    <row r="2026" customFormat="false" ht="15" hidden="false" customHeight="false" outlineLevel="0" collapsed="false">
      <c r="A2026" s="12" t="s">
        <v>114</v>
      </c>
      <c r="B2026" s="12" t="s">
        <v>115</v>
      </c>
      <c r="C2026" s="12" t="s">
        <v>296</v>
      </c>
      <c r="D2026" s="12" t="str">
        <f aca="false">INDEX('Country Tiers'!$C$2:$C$37,MATCH(C2026,'Country Tiers'!$A$2:$A$37,0))</f>
        <v>Tier 3</v>
      </c>
      <c r="E2026" s="12" t="n">
        <f aca="false">INDEX('Country Tiers'!$D$2:$D$37,MATCH(C2026,'Country Tiers'!$A$2:$A$37,0))</f>
        <v>1</v>
      </c>
    </row>
    <row r="2027" customFormat="false" ht="15" hidden="false" customHeight="false" outlineLevel="0" collapsed="false">
      <c r="A2027" s="12" t="s">
        <v>114</v>
      </c>
      <c r="B2027" s="12" t="s">
        <v>115</v>
      </c>
      <c r="C2027" s="12" t="s">
        <v>297</v>
      </c>
      <c r="D2027" s="12" t="str">
        <f aca="false">INDEX('Country Tiers'!$C$2:$C$37,MATCH(C2027,'Country Tiers'!$A$2:$A$37,0))</f>
        <v>Tier 2</v>
      </c>
      <c r="E2027" s="12" t="n">
        <f aca="false">INDEX('Country Tiers'!$D$2:$D$37,MATCH(C2027,'Country Tiers'!$A$2:$A$37,0))</f>
        <v>2</v>
      </c>
    </row>
    <row r="2028" customFormat="false" ht="15" hidden="false" customHeight="false" outlineLevel="0" collapsed="false">
      <c r="A2028" s="12" t="s">
        <v>114</v>
      </c>
      <c r="B2028" s="12" t="s">
        <v>115</v>
      </c>
      <c r="C2028" s="12" t="s">
        <v>298</v>
      </c>
      <c r="D2028" s="12" t="str">
        <f aca="false">INDEX('Country Tiers'!$C$2:$C$37,MATCH(C2028,'Country Tiers'!$A$2:$A$37,0))</f>
        <v>Tier 1</v>
      </c>
      <c r="E2028" s="12" t="n">
        <f aca="false">INDEX('Country Tiers'!$D$2:$D$37,MATCH(C2028,'Country Tiers'!$A$2:$A$37,0))</f>
        <v>3</v>
      </c>
    </row>
    <row r="2029" customFormat="false" ht="15" hidden="false" customHeight="false" outlineLevel="0" collapsed="false">
      <c r="A2029" s="12" t="s">
        <v>114</v>
      </c>
      <c r="B2029" s="12" t="s">
        <v>115</v>
      </c>
      <c r="C2029" s="12" t="s">
        <v>299</v>
      </c>
      <c r="D2029" s="12" t="str">
        <f aca="false">INDEX('Country Tiers'!$C$2:$C$37,MATCH(C2029,'Country Tiers'!$A$2:$A$37,0))</f>
        <v>Tier 3</v>
      </c>
      <c r="E2029" s="12" t="n">
        <f aca="false">INDEX('Country Tiers'!$D$2:$D$37,MATCH(C2029,'Country Tiers'!$A$2:$A$37,0))</f>
        <v>1</v>
      </c>
    </row>
    <row r="2030" customFormat="false" ht="15" hidden="false" customHeight="false" outlineLevel="0" collapsed="false">
      <c r="A2030" s="12" t="s">
        <v>114</v>
      </c>
      <c r="B2030" s="12" t="s">
        <v>115</v>
      </c>
      <c r="C2030" s="12" t="s">
        <v>300</v>
      </c>
      <c r="D2030" s="12" t="str">
        <f aca="false">INDEX('Country Tiers'!$C$2:$C$37,MATCH(C2030,'Country Tiers'!$A$2:$A$37,0))</f>
        <v>Tier 3</v>
      </c>
      <c r="E2030" s="12" t="n">
        <f aca="false">INDEX('Country Tiers'!$D$2:$D$37,MATCH(C2030,'Country Tiers'!$A$2:$A$37,0))</f>
        <v>1</v>
      </c>
    </row>
    <row r="2031" customFormat="false" ht="15" hidden="false" customHeight="false" outlineLevel="0" collapsed="false">
      <c r="A2031" s="12" t="s">
        <v>114</v>
      </c>
      <c r="B2031" s="12" t="s">
        <v>115</v>
      </c>
      <c r="C2031" s="12" t="s">
        <v>301</v>
      </c>
      <c r="D2031" s="12" t="str">
        <f aca="false">INDEX('Country Tiers'!$C$2:$C$37,MATCH(C2031,'Country Tiers'!$A$2:$A$37,0))</f>
        <v>Tier 3</v>
      </c>
      <c r="E2031" s="12" t="n">
        <f aca="false">INDEX('Country Tiers'!$D$2:$D$37,MATCH(C2031,'Country Tiers'!$A$2:$A$37,0))</f>
        <v>1</v>
      </c>
    </row>
    <row r="2032" customFormat="false" ht="15" hidden="false" customHeight="false" outlineLevel="0" collapsed="false">
      <c r="A2032" s="12" t="s">
        <v>114</v>
      </c>
      <c r="B2032" s="12" t="s">
        <v>115</v>
      </c>
      <c r="C2032" s="12" t="s">
        <v>302</v>
      </c>
      <c r="D2032" s="12" t="str">
        <f aca="false">INDEX('Country Tiers'!$C$2:$C$37,MATCH(C2032,'Country Tiers'!$A$2:$A$37,0))</f>
        <v>Tier 3</v>
      </c>
      <c r="E2032" s="12" t="n">
        <f aca="false">INDEX('Country Tiers'!$D$2:$D$37,MATCH(C2032,'Country Tiers'!$A$2:$A$37,0))</f>
        <v>1</v>
      </c>
    </row>
    <row r="2033" customFormat="false" ht="15" hidden="false" customHeight="false" outlineLevel="0" collapsed="false">
      <c r="A2033" s="12" t="s">
        <v>114</v>
      </c>
      <c r="B2033" s="12" t="s">
        <v>115</v>
      </c>
      <c r="C2033" s="12" t="s">
        <v>305</v>
      </c>
      <c r="D2033" s="12" t="str">
        <f aca="false">INDEX('Country Tiers'!$C$2:$C$37,MATCH(C2033,'Country Tiers'!$A$2:$A$37,0))</f>
        <v>Tier 3</v>
      </c>
      <c r="E2033" s="12" t="n">
        <f aca="false">INDEX('Country Tiers'!$D$2:$D$37,MATCH(C2033,'Country Tiers'!$A$2:$A$37,0))</f>
        <v>1</v>
      </c>
    </row>
    <row r="2034" customFormat="false" ht="15" hidden="false" customHeight="false" outlineLevel="0" collapsed="false">
      <c r="A2034" s="12" t="s">
        <v>114</v>
      </c>
      <c r="B2034" s="12" t="s">
        <v>115</v>
      </c>
      <c r="C2034" s="12" t="s">
        <v>306</v>
      </c>
      <c r="D2034" s="12" t="str">
        <f aca="false">INDEX('Country Tiers'!$C$2:$C$37,MATCH(C2034,'Country Tiers'!$A$2:$A$37,0))</f>
        <v>Tier 3</v>
      </c>
      <c r="E2034" s="12" t="n">
        <f aca="false">INDEX('Country Tiers'!$D$2:$D$37,MATCH(C2034,'Country Tiers'!$A$2:$A$37,0))</f>
        <v>1</v>
      </c>
    </row>
    <row r="2035" customFormat="false" ht="15" hidden="false" customHeight="false" outlineLevel="0" collapsed="false">
      <c r="A2035" s="12" t="s">
        <v>114</v>
      </c>
      <c r="B2035" s="12" t="s">
        <v>115</v>
      </c>
      <c r="C2035" s="12" t="s">
        <v>307</v>
      </c>
      <c r="D2035" s="12" t="str">
        <f aca="false">INDEX('Country Tiers'!$C$2:$C$37,MATCH(C2035,'Country Tiers'!$A$2:$A$37,0))</f>
        <v>Tier 2</v>
      </c>
      <c r="E2035" s="12" t="n">
        <f aca="false">INDEX('Country Tiers'!$D$2:$D$37,MATCH(C2035,'Country Tiers'!$A$2:$A$37,0))</f>
        <v>2</v>
      </c>
    </row>
    <row r="2036" customFormat="false" ht="15" hidden="false" customHeight="false" outlineLevel="0" collapsed="false">
      <c r="A2036" s="12" t="s">
        <v>114</v>
      </c>
      <c r="B2036" s="12" t="s">
        <v>115</v>
      </c>
      <c r="C2036" s="12" t="s">
        <v>308</v>
      </c>
      <c r="D2036" s="12" t="str">
        <f aca="false">INDEX('Country Tiers'!$C$2:$C$37,MATCH(C2036,'Country Tiers'!$A$2:$A$37,0))</f>
        <v>Tier 3</v>
      </c>
      <c r="E2036" s="12" t="n">
        <f aca="false">INDEX('Country Tiers'!$D$2:$D$37,MATCH(C2036,'Country Tiers'!$A$2:$A$37,0))</f>
        <v>1</v>
      </c>
    </row>
    <row r="2037" customFormat="false" ht="15" hidden="false" customHeight="false" outlineLevel="0" collapsed="false">
      <c r="A2037" s="12" t="s">
        <v>114</v>
      </c>
      <c r="B2037" s="12" t="s">
        <v>115</v>
      </c>
      <c r="C2037" s="12" t="s">
        <v>313</v>
      </c>
      <c r="D2037" s="12" t="str">
        <f aca="false">INDEX('Country Tiers'!$C$2:$C$37,MATCH(C2037,'Country Tiers'!$A$2:$A$37,0))</f>
        <v>Tier 1</v>
      </c>
      <c r="E2037" s="12" t="n">
        <f aca="false">INDEX('Country Tiers'!$D$2:$D$37,MATCH(C2037,'Country Tiers'!$A$2:$A$37,0))</f>
        <v>3</v>
      </c>
    </row>
    <row r="2038" customFormat="false" ht="15" hidden="false" customHeight="false" outlineLevel="0" collapsed="false">
      <c r="A2038" s="12" t="s">
        <v>114</v>
      </c>
      <c r="B2038" s="12" t="s">
        <v>36</v>
      </c>
      <c r="C2038" s="12" t="s">
        <v>311</v>
      </c>
      <c r="D2038" s="12" t="str">
        <f aca="false">INDEX('Country Tiers'!$C$2:$C$37,MATCH(C2038,'Country Tiers'!$A$2:$A$37,0))</f>
        <v>Tier 1</v>
      </c>
      <c r="E2038" s="12" t="n">
        <f aca="false">INDEX('Country Tiers'!$D$2:$D$37,MATCH(C2038,'Country Tiers'!$A$2:$A$37,0))</f>
        <v>3</v>
      </c>
    </row>
    <row r="2039" customFormat="false" ht="15" hidden="false" customHeight="false" outlineLevel="0" collapsed="false">
      <c r="A2039" s="12" t="s">
        <v>116</v>
      </c>
      <c r="B2039" s="12" t="s">
        <v>63</v>
      </c>
      <c r="C2039" s="12" t="s">
        <v>274</v>
      </c>
      <c r="D2039" s="12" t="str">
        <f aca="false">INDEX('Country Tiers'!$C$2:$C$37,MATCH(C2039,'Country Tiers'!$A$2:$A$37,0))</f>
        <v>Tier 3</v>
      </c>
      <c r="E2039" s="12" t="n">
        <f aca="false">INDEX('Country Tiers'!$D$2:$D$37,MATCH(C2039,'Country Tiers'!$A$2:$A$37,0))</f>
        <v>1</v>
      </c>
    </row>
    <row r="2040" customFormat="false" ht="15" hidden="false" customHeight="false" outlineLevel="0" collapsed="false">
      <c r="A2040" s="12" t="s">
        <v>116</v>
      </c>
      <c r="B2040" s="12" t="s">
        <v>63</v>
      </c>
      <c r="C2040" s="12" t="s">
        <v>277</v>
      </c>
      <c r="D2040" s="12" t="str">
        <f aca="false">INDEX('Country Tiers'!$C$2:$C$37,MATCH(C2040,'Country Tiers'!$A$2:$A$37,0))</f>
        <v>Tier 1</v>
      </c>
      <c r="E2040" s="12" t="n">
        <f aca="false">INDEX('Country Tiers'!$D$2:$D$37,MATCH(C2040,'Country Tiers'!$A$2:$A$37,0))</f>
        <v>3</v>
      </c>
    </row>
    <row r="2041" customFormat="false" ht="15" hidden="false" customHeight="false" outlineLevel="0" collapsed="false">
      <c r="A2041" s="12" t="s">
        <v>116</v>
      </c>
      <c r="B2041" s="12" t="s">
        <v>63</v>
      </c>
      <c r="C2041" s="12" t="s">
        <v>278</v>
      </c>
      <c r="D2041" s="12" t="str">
        <f aca="false">INDEX('Country Tiers'!$C$2:$C$37,MATCH(C2041,'Country Tiers'!$A$2:$A$37,0))</f>
        <v>Tier 3</v>
      </c>
      <c r="E2041" s="12" t="n">
        <f aca="false">INDEX('Country Tiers'!$D$2:$D$37,MATCH(C2041,'Country Tiers'!$A$2:$A$37,0))</f>
        <v>1</v>
      </c>
    </row>
    <row r="2042" customFormat="false" ht="15" hidden="false" customHeight="false" outlineLevel="0" collapsed="false">
      <c r="A2042" s="12" t="s">
        <v>116</v>
      </c>
      <c r="B2042" s="12" t="s">
        <v>63</v>
      </c>
      <c r="C2042" s="12" t="s">
        <v>280</v>
      </c>
      <c r="D2042" s="12" t="str">
        <f aca="false">INDEX('Country Tiers'!$C$2:$C$37,MATCH(C2042,'Country Tiers'!$A$2:$A$37,0))</f>
        <v>Tier 3</v>
      </c>
      <c r="E2042" s="12" t="n">
        <f aca="false">INDEX('Country Tiers'!$D$2:$D$37,MATCH(C2042,'Country Tiers'!$A$2:$A$37,0))</f>
        <v>1</v>
      </c>
    </row>
    <row r="2043" customFormat="false" ht="15" hidden="false" customHeight="false" outlineLevel="0" collapsed="false">
      <c r="A2043" s="12" t="s">
        <v>116</v>
      </c>
      <c r="B2043" s="12" t="s">
        <v>63</v>
      </c>
      <c r="C2043" s="12" t="s">
        <v>281</v>
      </c>
      <c r="D2043" s="12" t="str">
        <f aca="false">INDEX('Country Tiers'!$C$2:$C$37,MATCH(C2043,'Country Tiers'!$A$2:$A$37,0))</f>
        <v>Tier 3</v>
      </c>
      <c r="E2043" s="12" t="n">
        <f aca="false">INDEX('Country Tiers'!$D$2:$D$37,MATCH(C2043,'Country Tiers'!$A$2:$A$37,0))</f>
        <v>1</v>
      </c>
    </row>
    <row r="2044" customFormat="false" ht="15" hidden="false" customHeight="false" outlineLevel="0" collapsed="false">
      <c r="A2044" s="12" t="s">
        <v>116</v>
      </c>
      <c r="B2044" s="12" t="s">
        <v>63</v>
      </c>
      <c r="C2044" s="12" t="s">
        <v>282</v>
      </c>
      <c r="D2044" s="12" t="str">
        <f aca="false">INDEX('Country Tiers'!$C$2:$C$37,MATCH(C2044,'Country Tiers'!$A$2:$A$37,0))</f>
        <v>Tier 3</v>
      </c>
      <c r="E2044" s="12" t="n">
        <f aca="false">INDEX('Country Tiers'!$D$2:$D$37,MATCH(C2044,'Country Tiers'!$A$2:$A$37,0))</f>
        <v>1</v>
      </c>
    </row>
    <row r="2045" customFormat="false" ht="15" hidden="false" customHeight="false" outlineLevel="0" collapsed="false">
      <c r="A2045" s="12" t="s">
        <v>116</v>
      </c>
      <c r="B2045" s="12" t="s">
        <v>63</v>
      </c>
      <c r="C2045" s="12" t="s">
        <v>283</v>
      </c>
      <c r="D2045" s="12" t="str">
        <f aca="false">INDEX('Country Tiers'!$C$2:$C$37,MATCH(C2045,'Country Tiers'!$A$2:$A$37,0))</f>
        <v>Tier 3</v>
      </c>
      <c r="E2045" s="12" t="n">
        <f aca="false">INDEX('Country Tiers'!$D$2:$D$37,MATCH(C2045,'Country Tiers'!$A$2:$A$37,0))</f>
        <v>1</v>
      </c>
    </row>
    <row r="2046" customFormat="false" ht="15" hidden="false" customHeight="false" outlineLevel="0" collapsed="false">
      <c r="A2046" s="12" t="s">
        <v>116</v>
      </c>
      <c r="B2046" s="12" t="s">
        <v>63</v>
      </c>
      <c r="C2046" s="12" t="s">
        <v>284</v>
      </c>
      <c r="D2046" s="12" t="str">
        <f aca="false">INDEX('Country Tiers'!$C$2:$C$37,MATCH(C2046,'Country Tiers'!$A$2:$A$37,0))</f>
        <v>Tier 3</v>
      </c>
      <c r="E2046" s="12" t="n">
        <f aca="false">INDEX('Country Tiers'!$D$2:$D$37,MATCH(C2046,'Country Tiers'!$A$2:$A$37,0))</f>
        <v>1</v>
      </c>
    </row>
    <row r="2047" customFormat="false" ht="15" hidden="false" customHeight="false" outlineLevel="0" collapsed="false">
      <c r="A2047" s="12" t="s">
        <v>116</v>
      </c>
      <c r="B2047" s="12" t="s">
        <v>63</v>
      </c>
      <c r="C2047" s="12" t="s">
        <v>285</v>
      </c>
      <c r="D2047" s="12" t="str">
        <f aca="false">INDEX('Country Tiers'!$C$2:$C$37,MATCH(C2047,'Country Tiers'!$A$2:$A$37,0))</f>
        <v>Tier 3</v>
      </c>
      <c r="E2047" s="12" t="n">
        <f aca="false">INDEX('Country Tiers'!$D$2:$D$37,MATCH(C2047,'Country Tiers'!$A$2:$A$37,0))</f>
        <v>1</v>
      </c>
    </row>
    <row r="2048" customFormat="false" ht="15" hidden="false" customHeight="false" outlineLevel="0" collapsed="false">
      <c r="A2048" s="12" t="s">
        <v>116</v>
      </c>
      <c r="B2048" s="12" t="s">
        <v>63</v>
      </c>
      <c r="C2048" s="12" t="s">
        <v>286</v>
      </c>
      <c r="D2048" s="12" t="str">
        <f aca="false">INDEX('Country Tiers'!$C$2:$C$37,MATCH(C2048,'Country Tiers'!$A$2:$A$37,0))</f>
        <v>Tier 1</v>
      </c>
      <c r="E2048" s="12" t="n">
        <f aca="false">INDEX('Country Tiers'!$D$2:$D$37,MATCH(C2048,'Country Tiers'!$A$2:$A$37,0))</f>
        <v>3</v>
      </c>
    </row>
    <row r="2049" customFormat="false" ht="15" hidden="false" customHeight="false" outlineLevel="0" collapsed="false">
      <c r="A2049" s="12" t="s">
        <v>116</v>
      </c>
      <c r="B2049" s="12" t="s">
        <v>63</v>
      </c>
      <c r="C2049" s="12" t="s">
        <v>287</v>
      </c>
      <c r="D2049" s="12" t="str">
        <f aca="false">INDEX('Country Tiers'!$C$2:$C$37,MATCH(C2049,'Country Tiers'!$A$2:$A$37,0))</f>
        <v>Tier 1</v>
      </c>
      <c r="E2049" s="12" t="n">
        <f aca="false">INDEX('Country Tiers'!$D$2:$D$37,MATCH(C2049,'Country Tiers'!$A$2:$A$37,0))</f>
        <v>3</v>
      </c>
    </row>
    <row r="2050" customFormat="false" ht="15" hidden="false" customHeight="false" outlineLevel="0" collapsed="false">
      <c r="A2050" s="12" t="s">
        <v>116</v>
      </c>
      <c r="B2050" s="12" t="s">
        <v>63</v>
      </c>
      <c r="C2050" s="12" t="s">
        <v>288</v>
      </c>
      <c r="D2050" s="12" t="str">
        <f aca="false">INDEX('Country Tiers'!$C$2:$C$37,MATCH(C2050,'Country Tiers'!$A$2:$A$37,0))</f>
        <v>Tier 3</v>
      </c>
      <c r="E2050" s="12" t="n">
        <f aca="false">INDEX('Country Tiers'!$D$2:$D$37,MATCH(C2050,'Country Tiers'!$A$2:$A$37,0))</f>
        <v>1</v>
      </c>
    </row>
    <row r="2051" customFormat="false" ht="15" hidden="false" customHeight="false" outlineLevel="0" collapsed="false">
      <c r="A2051" s="12" t="s">
        <v>116</v>
      </c>
      <c r="B2051" s="12" t="s">
        <v>63</v>
      </c>
      <c r="C2051" s="12" t="s">
        <v>289</v>
      </c>
      <c r="D2051" s="12" t="str">
        <f aca="false">INDEX('Country Tiers'!$C$2:$C$37,MATCH(C2051,'Country Tiers'!$A$2:$A$37,0))</f>
        <v>Tier 3</v>
      </c>
      <c r="E2051" s="12" t="n">
        <f aca="false">INDEX('Country Tiers'!$D$2:$D$37,MATCH(C2051,'Country Tiers'!$A$2:$A$37,0))</f>
        <v>1</v>
      </c>
    </row>
    <row r="2052" customFormat="false" ht="15" hidden="false" customHeight="false" outlineLevel="0" collapsed="false">
      <c r="A2052" s="12" t="s">
        <v>116</v>
      </c>
      <c r="B2052" s="12" t="s">
        <v>63</v>
      </c>
      <c r="C2052" s="12" t="s">
        <v>290</v>
      </c>
      <c r="D2052" s="12" t="str">
        <f aca="false">INDEX('Country Tiers'!$C$2:$C$37,MATCH(C2052,'Country Tiers'!$A$2:$A$37,0))</f>
        <v>Tier 3</v>
      </c>
      <c r="E2052" s="12" t="n">
        <f aca="false">INDEX('Country Tiers'!$D$2:$D$37,MATCH(C2052,'Country Tiers'!$A$2:$A$37,0))</f>
        <v>1</v>
      </c>
    </row>
    <row r="2053" customFormat="false" ht="15" hidden="false" customHeight="false" outlineLevel="0" collapsed="false">
      <c r="A2053" s="12" t="s">
        <v>116</v>
      </c>
      <c r="B2053" s="12" t="s">
        <v>63</v>
      </c>
      <c r="C2053" s="12" t="s">
        <v>291</v>
      </c>
      <c r="D2053" s="12" t="str">
        <f aca="false">INDEX('Country Tiers'!$C$2:$C$37,MATCH(C2053,'Country Tiers'!$A$2:$A$37,0))</f>
        <v>Tier 3</v>
      </c>
      <c r="E2053" s="12" t="n">
        <f aca="false">INDEX('Country Tiers'!$D$2:$D$37,MATCH(C2053,'Country Tiers'!$A$2:$A$37,0))</f>
        <v>1</v>
      </c>
    </row>
    <row r="2054" customFormat="false" ht="15" hidden="false" customHeight="false" outlineLevel="0" collapsed="false">
      <c r="A2054" s="12" t="s">
        <v>116</v>
      </c>
      <c r="B2054" s="12" t="s">
        <v>63</v>
      </c>
      <c r="C2054" s="12" t="s">
        <v>292</v>
      </c>
      <c r="D2054" s="12" t="str">
        <f aca="false">INDEX('Country Tiers'!$C$2:$C$37,MATCH(C2054,'Country Tiers'!$A$2:$A$37,0))</f>
        <v>Tier 2</v>
      </c>
      <c r="E2054" s="12" t="n">
        <f aca="false">INDEX('Country Tiers'!$D$2:$D$37,MATCH(C2054,'Country Tiers'!$A$2:$A$37,0))</f>
        <v>2</v>
      </c>
    </row>
    <row r="2055" customFormat="false" ht="15" hidden="false" customHeight="false" outlineLevel="0" collapsed="false">
      <c r="A2055" s="12" t="s">
        <v>116</v>
      </c>
      <c r="B2055" s="12" t="s">
        <v>63</v>
      </c>
      <c r="C2055" s="12" t="s">
        <v>293</v>
      </c>
      <c r="D2055" s="12" t="str">
        <f aca="false">INDEX('Country Tiers'!$C$2:$C$37,MATCH(C2055,'Country Tiers'!$A$2:$A$37,0))</f>
        <v>Tier 3</v>
      </c>
      <c r="E2055" s="12" t="n">
        <f aca="false">INDEX('Country Tiers'!$D$2:$D$37,MATCH(C2055,'Country Tiers'!$A$2:$A$37,0))</f>
        <v>1</v>
      </c>
    </row>
    <row r="2056" customFormat="false" ht="15" hidden="false" customHeight="false" outlineLevel="0" collapsed="false">
      <c r="A2056" s="12" t="s">
        <v>116</v>
      </c>
      <c r="B2056" s="12" t="s">
        <v>63</v>
      </c>
      <c r="C2056" s="12" t="s">
        <v>295</v>
      </c>
      <c r="D2056" s="12" t="str">
        <f aca="false">INDEX('Country Tiers'!$C$2:$C$37,MATCH(C2056,'Country Tiers'!$A$2:$A$37,0))</f>
        <v>Tier 3</v>
      </c>
      <c r="E2056" s="12" t="n">
        <f aca="false">INDEX('Country Tiers'!$D$2:$D$37,MATCH(C2056,'Country Tiers'!$A$2:$A$37,0))</f>
        <v>1</v>
      </c>
    </row>
    <row r="2057" customFormat="false" ht="15" hidden="false" customHeight="false" outlineLevel="0" collapsed="false">
      <c r="A2057" s="12" t="s">
        <v>116</v>
      </c>
      <c r="B2057" s="12" t="s">
        <v>63</v>
      </c>
      <c r="C2057" s="12" t="s">
        <v>296</v>
      </c>
      <c r="D2057" s="12" t="str">
        <f aca="false">INDEX('Country Tiers'!$C$2:$C$37,MATCH(C2057,'Country Tiers'!$A$2:$A$37,0))</f>
        <v>Tier 3</v>
      </c>
      <c r="E2057" s="12" t="n">
        <f aca="false">INDEX('Country Tiers'!$D$2:$D$37,MATCH(C2057,'Country Tiers'!$A$2:$A$37,0))</f>
        <v>1</v>
      </c>
    </row>
    <row r="2058" customFormat="false" ht="15" hidden="false" customHeight="false" outlineLevel="0" collapsed="false">
      <c r="A2058" s="12" t="s">
        <v>116</v>
      </c>
      <c r="B2058" s="12" t="s">
        <v>63</v>
      </c>
      <c r="C2058" s="12" t="s">
        <v>297</v>
      </c>
      <c r="D2058" s="12" t="str">
        <f aca="false">INDEX('Country Tiers'!$C$2:$C$37,MATCH(C2058,'Country Tiers'!$A$2:$A$37,0))</f>
        <v>Tier 2</v>
      </c>
      <c r="E2058" s="12" t="n">
        <f aca="false">INDEX('Country Tiers'!$D$2:$D$37,MATCH(C2058,'Country Tiers'!$A$2:$A$37,0))</f>
        <v>2</v>
      </c>
    </row>
    <row r="2059" customFormat="false" ht="15" hidden="false" customHeight="false" outlineLevel="0" collapsed="false">
      <c r="A2059" s="12" t="s">
        <v>116</v>
      </c>
      <c r="B2059" s="12" t="s">
        <v>63</v>
      </c>
      <c r="C2059" s="12" t="s">
        <v>298</v>
      </c>
      <c r="D2059" s="12" t="str">
        <f aca="false">INDEX('Country Tiers'!$C$2:$C$37,MATCH(C2059,'Country Tiers'!$A$2:$A$37,0))</f>
        <v>Tier 1</v>
      </c>
      <c r="E2059" s="12" t="n">
        <f aca="false">INDEX('Country Tiers'!$D$2:$D$37,MATCH(C2059,'Country Tiers'!$A$2:$A$37,0))</f>
        <v>3</v>
      </c>
    </row>
    <row r="2060" customFormat="false" ht="15" hidden="false" customHeight="false" outlineLevel="0" collapsed="false">
      <c r="A2060" s="12" t="s">
        <v>116</v>
      </c>
      <c r="B2060" s="12" t="s">
        <v>63</v>
      </c>
      <c r="C2060" s="12" t="s">
        <v>299</v>
      </c>
      <c r="D2060" s="12" t="str">
        <f aca="false">INDEX('Country Tiers'!$C$2:$C$37,MATCH(C2060,'Country Tiers'!$A$2:$A$37,0))</f>
        <v>Tier 3</v>
      </c>
      <c r="E2060" s="12" t="n">
        <f aca="false">INDEX('Country Tiers'!$D$2:$D$37,MATCH(C2060,'Country Tiers'!$A$2:$A$37,0))</f>
        <v>1</v>
      </c>
    </row>
    <row r="2061" customFormat="false" ht="15" hidden="false" customHeight="false" outlineLevel="0" collapsed="false">
      <c r="A2061" s="12" t="s">
        <v>116</v>
      </c>
      <c r="B2061" s="12" t="s">
        <v>63</v>
      </c>
      <c r="C2061" s="12" t="s">
        <v>300</v>
      </c>
      <c r="D2061" s="12" t="str">
        <f aca="false">INDEX('Country Tiers'!$C$2:$C$37,MATCH(C2061,'Country Tiers'!$A$2:$A$37,0))</f>
        <v>Tier 3</v>
      </c>
      <c r="E2061" s="12" t="n">
        <f aca="false">INDEX('Country Tiers'!$D$2:$D$37,MATCH(C2061,'Country Tiers'!$A$2:$A$37,0))</f>
        <v>1</v>
      </c>
    </row>
    <row r="2062" customFormat="false" ht="15" hidden="false" customHeight="false" outlineLevel="0" collapsed="false">
      <c r="A2062" s="12" t="s">
        <v>116</v>
      </c>
      <c r="B2062" s="12" t="s">
        <v>63</v>
      </c>
      <c r="C2062" s="12" t="s">
        <v>301</v>
      </c>
      <c r="D2062" s="12" t="str">
        <f aca="false">INDEX('Country Tiers'!$C$2:$C$37,MATCH(C2062,'Country Tiers'!$A$2:$A$37,0))</f>
        <v>Tier 3</v>
      </c>
      <c r="E2062" s="12" t="n">
        <f aca="false">INDEX('Country Tiers'!$D$2:$D$37,MATCH(C2062,'Country Tiers'!$A$2:$A$37,0))</f>
        <v>1</v>
      </c>
    </row>
    <row r="2063" customFormat="false" ht="15" hidden="false" customHeight="false" outlineLevel="0" collapsed="false">
      <c r="A2063" s="12" t="s">
        <v>116</v>
      </c>
      <c r="B2063" s="12" t="s">
        <v>63</v>
      </c>
      <c r="C2063" s="12" t="s">
        <v>302</v>
      </c>
      <c r="D2063" s="12" t="str">
        <f aca="false">INDEX('Country Tiers'!$C$2:$C$37,MATCH(C2063,'Country Tiers'!$A$2:$A$37,0))</f>
        <v>Tier 3</v>
      </c>
      <c r="E2063" s="12" t="n">
        <f aca="false">INDEX('Country Tiers'!$D$2:$D$37,MATCH(C2063,'Country Tiers'!$A$2:$A$37,0))</f>
        <v>1</v>
      </c>
    </row>
    <row r="2064" customFormat="false" ht="15" hidden="false" customHeight="false" outlineLevel="0" collapsed="false">
      <c r="A2064" s="12" t="s">
        <v>116</v>
      </c>
      <c r="B2064" s="12" t="s">
        <v>63</v>
      </c>
      <c r="C2064" s="12" t="s">
        <v>305</v>
      </c>
      <c r="D2064" s="12" t="str">
        <f aca="false">INDEX('Country Tiers'!$C$2:$C$37,MATCH(C2064,'Country Tiers'!$A$2:$A$37,0))</f>
        <v>Tier 3</v>
      </c>
      <c r="E2064" s="12" t="n">
        <f aca="false">INDEX('Country Tiers'!$D$2:$D$37,MATCH(C2064,'Country Tiers'!$A$2:$A$37,0))</f>
        <v>1</v>
      </c>
    </row>
    <row r="2065" customFormat="false" ht="15" hidden="false" customHeight="false" outlineLevel="0" collapsed="false">
      <c r="A2065" s="12" t="s">
        <v>116</v>
      </c>
      <c r="B2065" s="12" t="s">
        <v>63</v>
      </c>
      <c r="C2065" s="12" t="s">
        <v>306</v>
      </c>
      <c r="D2065" s="12" t="str">
        <f aca="false">INDEX('Country Tiers'!$C$2:$C$37,MATCH(C2065,'Country Tiers'!$A$2:$A$37,0))</f>
        <v>Tier 3</v>
      </c>
      <c r="E2065" s="12" t="n">
        <f aca="false">INDEX('Country Tiers'!$D$2:$D$37,MATCH(C2065,'Country Tiers'!$A$2:$A$37,0))</f>
        <v>1</v>
      </c>
    </row>
    <row r="2066" customFormat="false" ht="15" hidden="false" customHeight="false" outlineLevel="0" collapsed="false">
      <c r="A2066" s="12" t="s">
        <v>116</v>
      </c>
      <c r="B2066" s="12" t="s">
        <v>63</v>
      </c>
      <c r="C2066" s="12" t="s">
        <v>307</v>
      </c>
      <c r="D2066" s="12" t="str">
        <f aca="false">INDEX('Country Tiers'!$C$2:$C$37,MATCH(C2066,'Country Tiers'!$A$2:$A$37,0))</f>
        <v>Tier 2</v>
      </c>
      <c r="E2066" s="12" t="n">
        <f aca="false">INDEX('Country Tiers'!$D$2:$D$37,MATCH(C2066,'Country Tiers'!$A$2:$A$37,0))</f>
        <v>2</v>
      </c>
    </row>
    <row r="2067" customFormat="false" ht="15" hidden="false" customHeight="false" outlineLevel="0" collapsed="false">
      <c r="A2067" s="12" t="s">
        <v>116</v>
      </c>
      <c r="B2067" s="12" t="s">
        <v>63</v>
      </c>
      <c r="C2067" s="12" t="s">
        <v>308</v>
      </c>
      <c r="D2067" s="12" t="str">
        <f aca="false">INDEX('Country Tiers'!$C$2:$C$37,MATCH(C2067,'Country Tiers'!$A$2:$A$37,0))</f>
        <v>Tier 3</v>
      </c>
      <c r="E2067" s="12" t="n">
        <f aca="false">INDEX('Country Tiers'!$D$2:$D$37,MATCH(C2067,'Country Tiers'!$A$2:$A$37,0))</f>
        <v>1</v>
      </c>
    </row>
    <row r="2068" customFormat="false" ht="15" hidden="false" customHeight="false" outlineLevel="0" collapsed="false">
      <c r="A2068" s="12" t="s">
        <v>116</v>
      </c>
      <c r="B2068" s="12" t="s">
        <v>63</v>
      </c>
      <c r="C2068" s="12" t="s">
        <v>309</v>
      </c>
      <c r="D2068" s="12" t="str">
        <f aca="false">INDEX('Country Tiers'!$C$2:$C$37,MATCH(C2068,'Country Tiers'!$A$2:$A$37,0))</f>
        <v>Tier 1</v>
      </c>
      <c r="E2068" s="12" t="n">
        <f aca="false">INDEX('Country Tiers'!$D$2:$D$37,MATCH(C2068,'Country Tiers'!$A$2:$A$37,0))</f>
        <v>3</v>
      </c>
    </row>
    <row r="2069" customFormat="false" ht="15" hidden="false" customHeight="false" outlineLevel="0" collapsed="false">
      <c r="A2069" s="12" t="s">
        <v>116</v>
      </c>
      <c r="B2069" s="12" t="s">
        <v>63</v>
      </c>
      <c r="C2069" s="12" t="s">
        <v>313</v>
      </c>
      <c r="D2069" s="12" t="str">
        <f aca="false">INDEX('Country Tiers'!$C$2:$C$37,MATCH(C2069,'Country Tiers'!$A$2:$A$37,0))</f>
        <v>Tier 1</v>
      </c>
      <c r="E2069" s="12" t="n">
        <f aca="false">INDEX('Country Tiers'!$D$2:$D$37,MATCH(C2069,'Country Tiers'!$A$2:$A$37,0))</f>
        <v>3</v>
      </c>
    </row>
    <row r="2070" customFormat="false" ht="15" hidden="false" customHeight="false" outlineLevel="0" collapsed="false">
      <c r="A2070" s="12" t="s">
        <v>117</v>
      </c>
      <c r="B2070" s="12" t="s">
        <v>57</v>
      </c>
      <c r="C2070" s="12" t="s">
        <v>303</v>
      </c>
      <c r="D2070" s="12" t="str">
        <f aca="false">INDEX('Country Tiers'!$C$2:$C$37,MATCH(C2070,'Country Tiers'!$A$2:$A$37,0))</f>
        <v>Tier 2</v>
      </c>
      <c r="E2070" s="12" t="n">
        <f aca="false">INDEX('Country Tiers'!$D$2:$D$37,MATCH(C2070,'Country Tiers'!$A$2:$A$37,0))</f>
        <v>2</v>
      </c>
    </row>
    <row r="2071" customFormat="false" ht="15" hidden="false" customHeight="false" outlineLevel="0" collapsed="false">
      <c r="A2071" s="12" t="s">
        <v>117</v>
      </c>
      <c r="B2071" s="12" t="s">
        <v>44</v>
      </c>
      <c r="C2071" s="12" t="s">
        <v>272</v>
      </c>
      <c r="D2071" s="12" t="str">
        <f aca="false">INDEX('Country Tiers'!$C$2:$C$37,MATCH(C2071,'Country Tiers'!$A$2:$A$37,0))</f>
        <v>Tier 2</v>
      </c>
      <c r="E2071" s="12" t="n">
        <f aca="false">INDEX('Country Tiers'!$D$2:$D$37,MATCH(C2071,'Country Tiers'!$A$2:$A$37,0))</f>
        <v>2</v>
      </c>
    </row>
    <row r="2072" customFormat="false" ht="15" hidden="false" customHeight="false" outlineLevel="0" collapsed="false">
      <c r="A2072" s="12" t="s">
        <v>118</v>
      </c>
      <c r="B2072" s="12" t="s">
        <v>115</v>
      </c>
      <c r="C2072" s="12" t="s">
        <v>274</v>
      </c>
      <c r="D2072" s="12" t="str">
        <f aca="false">INDEX('Country Tiers'!$C$2:$C$37,MATCH(C2072,'Country Tiers'!$A$2:$A$37,0))</f>
        <v>Tier 3</v>
      </c>
      <c r="E2072" s="12" t="n">
        <f aca="false">INDEX('Country Tiers'!$D$2:$D$37,MATCH(C2072,'Country Tiers'!$A$2:$A$37,0))</f>
        <v>1</v>
      </c>
    </row>
    <row r="2073" customFormat="false" ht="15" hidden="false" customHeight="false" outlineLevel="0" collapsed="false">
      <c r="A2073" s="12" t="s">
        <v>118</v>
      </c>
      <c r="B2073" s="12" t="s">
        <v>115</v>
      </c>
      <c r="C2073" s="12" t="s">
        <v>277</v>
      </c>
      <c r="D2073" s="12" t="str">
        <f aca="false">INDEX('Country Tiers'!$C$2:$C$37,MATCH(C2073,'Country Tiers'!$A$2:$A$37,0))</f>
        <v>Tier 1</v>
      </c>
      <c r="E2073" s="12" t="n">
        <f aca="false">INDEX('Country Tiers'!$D$2:$D$37,MATCH(C2073,'Country Tiers'!$A$2:$A$37,0))</f>
        <v>3</v>
      </c>
    </row>
    <row r="2074" customFormat="false" ht="15" hidden="false" customHeight="false" outlineLevel="0" collapsed="false">
      <c r="A2074" s="12" t="s">
        <v>118</v>
      </c>
      <c r="B2074" s="12" t="s">
        <v>115</v>
      </c>
      <c r="C2074" s="12" t="s">
        <v>278</v>
      </c>
      <c r="D2074" s="12" t="str">
        <f aca="false">INDEX('Country Tiers'!$C$2:$C$37,MATCH(C2074,'Country Tiers'!$A$2:$A$37,0))</f>
        <v>Tier 3</v>
      </c>
      <c r="E2074" s="12" t="n">
        <f aca="false">INDEX('Country Tiers'!$D$2:$D$37,MATCH(C2074,'Country Tiers'!$A$2:$A$37,0))</f>
        <v>1</v>
      </c>
    </row>
    <row r="2075" customFormat="false" ht="15" hidden="false" customHeight="false" outlineLevel="0" collapsed="false">
      <c r="A2075" s="12" t="s">
        <v>118</v>
      </c>
      <c r="B2075" s="12" t="s">
        <v>115</v>
      </c>
      <c r="C2075" s="12" t="s">
        <v>282</v>
      </c>
      <c r="D2075" s="12" t="str">
        <f aca="false">INDEX('Country Tiers'!$C$2:$C$37,MATCH(C2075,'Country Tiers'!$A$2:$A$37,0))</f>
        <v>Tier 3</v>
      </c>
      <c r="E2075" s="12" t="n">
        <f aca="false">INDEX('Country Tiers'!$D$2:$D$37,MATCH(C2075,'Country Tiers'!$A$2:$A$37,0))</f>
        <v>1</v>
      </c>
    </row>
    <row r="2076" customFormat="false" ht="15" hidden="false" customHeight="false" outlineLevel="0" collapsed="false">
      <c r="A2076" s="12" t="s">
        <v>118</v>
      </c>
      <c r="B2076" s="12" t="s">
        <v>115</v>
      </c>
      <c r="C2076" s="12" t="s">
        <v>283</v>
      </c>
      <c r="D2076" s="12" t="str">
        <f aca="false">INDEX('Country Tiers'!$C$2:$C$37,MATCH(C2076,'Country Tiers'!$A$2:$A$37,0))</f>
        <v>Tier 3</v>
      </c>
      <c r="E2076" s="12" t="n">
        <f aca="false">INDEX('Country Tiers'!$D$2:$D$37,MATCH(C2076,'Country Tiers'!$A$2:$A$37,0))</f>
        <v>1</v>
      </c>
    </row>
    <row r="2077" customFormat="false" ht="15" hidden="false" customHeight="false" outlineLevel="0" collapsed="false">
      <c r="A2077" s="12" t="s">
        <v>118</v>
      </c>
      <c r="B2077" s="12" t="s">
        <v>115</v>
      </c>
      <c r="C2077" s="12" t="s">
        <v>284</v>
      </c>
      <c r="D2077" s="12" t="str">
        <f aca="false">INDEX('Country Tiers'!$C$2:$C$37,MATCH(C2077,'Country Tiers'!$A$2:$A$37,0))</f>
        <v>Tier 3</v>
      </c>
      <c r="E2077" s="12" t="n">
        <f aca="false">INDEX('Country Tiers'!$D$2:$D$37,MATCH(C2077,'Country Tiers'!$A$2:$A$37,0))</f>
        <v>1</v>
      </c>
    </row>
    <row r="2078" customFormat="false" ht="15" hidden="false" customHeight="false" outlineLevel="0" collapsed="false">
      <c r="A2078" s="12" t="s">
        <v>118</v>
      </c>
      <c r="B2078" s="12" t="s">
        <v>115</v>
      </c>
      <c r="C2078" s="12" t="s">
        <v>285</v>
      </c>
      <c r="D2078" s="12" t="str">
        <f aca="false">INDEX('Country Tiers'!$C$2:$C$37,MATCH(C2078,'Country Tiers'!$A$2:$A$37,0))</f>
        <v>Tier 3</v>
      </c>
      <c r="E2078" s="12" t="n">
        <f aca="false">INDEX('Country Tiers'!$D$2:$D$37,MATCH(C2078,'Country Tiers'!$A$2:$A$37,0))</f>
        <v>1</v>
      </c>
    </row>
    <row r="2079" customFormat="false" ht="15" hidden="false" customHeight="false" outlineLevel="0" collapsed="false">
      <c r="A2079" s="12" t="s">
        <v>118</v>
      </c>
      <c r="B2079" s="12" t="s">
        <v>115</v>
      </c>
      <c r="C2079" s="12" t="s">
        <v>286</v>
      </c>
      <c r="D2079" s="12" t="str">
        <f aca="false">INDEX('Country Tiers'!$C$2:$C$37,MATCH(C2079,'Country Tiers'!$A$2:$A$37,0))</f>
        <v>Tier 1</v>
      </c>
      <c r="E2079" s="12" t="n">
        <f aca="false">INDEX('Country Tiers'!$D$2:$D$37,MATCH(C2079,'Country Tiers'!$A$2:$A$37,0))</f>
        <v>3</v>
      </c>
    </row>
    <row r="2080" customFormat="false" ht="15" hidden="false" customHeight="false" outlineLevel="0" collapsed="false">
      <c r="A2080" s="12" t="s">
        <v>118</v>
      </c>
      <c r="B2080" s="12" t="s">
        <v>115</v>
      </c>
      <c r="C2080" s="12" t="s">
        <v>287</v>
      </c>
      <c r="D2080" s="12" t="str">
        <f aca="false">INDEX('Country Tiers'!$C$2:$C$37,MATCH(C2080,'Country Tiers'!$A$2:$A$37,0))</f>
        <v>Tier 1</v>
      </c>
      <c r="E2080" s="12" t="n">
        <f aca="false">INDEX('Country Tiers'!$D$2:$D$37,MATCH(C2080,'Country Tiers'!$A$2:$A$37,0))</f>
        <v>3</v>
      </c>
    </row>
    <row r="2081" customFormat="false" ht="15" hidden="false" customHeight="false" outlineLevel="0" collapsed="false">
      <c r="A2081" s="12" t="s">
        <v>118</v>
      </c>
      <c r="B2081" s="12" t="s">
        <v>115</v>
      </c>
      <c r="C2081" s="12" t="s">
        <v>288</v>
      </c>
      <c r="D2081" s="12" t="str">
        <f aca="false">INDEX('Country Tiers'!$C$2:$C$37,MATCH(C2081,'Country Tiers'!$A$2:$A$37,0))</f>
        <v>Tier 3</v>
      </c>
      <c r="E2081" s="12" t="n">
        <f aca="false">INDEX('Country Tiers'!$D$2:$D$37,MATCH(C2081,'Country Tiers'!$A$2:$A$37,0))</f>
        <v>1</v>
      </c>
    </row>
    <row r="2082" customFormat="false" ht="15" hidden="false" customHeight="false" outlineLevel="0" collapsed="false">
      <c r="A2082" s="12" t="s">
        <v>118</v>
      </c>
      <c r="B2082" s="12" t="s">
        <v>115</v>
      </c>
      <c r="C2082" s="12" t="s">
        <v>289</v>
      </c>
      <c r="D2082" s="12" t="str">
        <f aca="false">INDEX('Country Tiers'!$C$2:$C$37,MATCH(C2082,'Country Tiers'!$A$2:$A$37,0))</f>
        <v>Tier 3</v>
      </c>
      <c r="E2082" s="12" t="n">
        <f aca="false">INDEX('Country Tiers'!$D$2:$D$37,MATCH(C2082,'Country Tiers'!$A$2:$A$37,0))</f>
        <v>1</v>
      </c>
    </row>
    <row r="2083" customFormat="false" ht="15" hidden="false" customHeight="false" outlineLevel="0" collapsed="false">
      <c r="A2083" s="12" t="s">
        <v>118</v>
      </c>
      <c r="B2083" s="12" t="s">
        <v>115</v>
      </c>
      <c r="C2083" s="12" t="s">
        <v>290</v>
      </c>
      <c r="D2083" s="12" t="str">
        <f aca="false">INDEX('Country Tiers'!$C$2:$C$37,MATCH(C2083,'Country Tiers'!$A$2:$A$37,0))</f>
        <v>Tier 3</v>
      </c>
      <c r="E2083" s="12" t="n">
        <f aca="false">INDEX('Country Tiers'!$D$2:$D$37,MATCH(C2083,'Country Tiers'!$A$2:$A$37,0))</f>
        <v>1</v>
      </c>
    </row>
    <row r="2084" customFormat="false" ht="15" hidden="false" customHeight="false" outlineLevel="0" collapsed="false">
      <c r="A2084" s="12" t="s">
        <v>118</v>
      </c>
      <c r="B2084" s="12" t="s">
        <v>115</v>
      </c>
      <c r="C2084" s="12" t="s">
        <v>291</v>
      </c>
      <c r="D2084" s="12" t="str">
        <f aca="false">INDEX('Country Tiers'!$C$2:$C$37,MATCH(C2084,'Country Tiers'!$A$2:$A$37,0))</f>
        <v>Tier 3</v>
      </c>
      <c r="E2084" s="12" t="n">
        <f aca="false">INDEX('Country Tiers'!$D$2:$D$37,MATCH(C2084,'Country Tiers'!$A$2:$A$37,0))</f>
        <v>1</v>
      </c>
    </row>
    <row r="2085" customFormat="false" ht="15" hidden="false" customHeight="false" outlineLevel="0" collapsed="false">
      <c r="A2085" s="12" t="s">
        <v>118</v>
      </c>
      <c r="B2085" s="12" t="s">
        <v>115</v>
      </c>
      <c r="C2085" s="12" t="s">
        <v>292</v>
      </c>
      <c r="D2085" s="12" t="str">
        <f aca="false">INDEX('Country Tiers'!$C$2:$C$37,MATCH(C2085,'Country Tiers'!$A$2:$A$37,0))</f>
        <v>Tier 2</v>
      </c>
      <c r="E2085" s="12" t="n">
        <f aca="false">INDEX('Country Tiers'!$D$2:$D$37,MATCH(C2085,'Country Tiers'!$A$2:$A$37,0))</f>
        <v>2</v>
      </c>
    </row>
    <row r="2086" customFormat="false" ht="15" hidden="false" customHeight="false" outlineLevel="0" collapsed="false">
      <c r="A2086" s="12" t="s">
        <v>118</v>
      </c>
      <c r="B2086" s="12" t="s">
        <v>115</v>
      </c>
      <c r="C2086" s="12" t="s">
        <v>294</v>
      </c>
      <c r="D2086" s="12" t="str">
        <f aca="false">INDEX('Country Tiers'!$C$2:$C$37,MATCH(C2086,'Country Tiers'!$A$2:$A$37,0))</f>
        <v>Tier 3</v>
      </c>
      <c r="E2086" s="12" t="n">
        <f aca="false">INDEX('Country Tiers'!$D$2:$D$37,MATCH(C2086,'Country Tiers'!$A$2:$A$37,0))</f>
        <v>1</v>
      </c>
    </row>
    <row r="2087" customFormat="false" ht="15" hidden="false" customHeight="false" outlineLevel="0" collapsed="false">
      <c r="A2087" s="12" t="s">
        <v>118</v>
      </c>
      <c r="B2087" s="12" t="s">
        <v>115</v>
      </c>
      <c r="C2087" s="12" t="s">
        <v>297</v>
      </c>
      <c r="D2087" s="12" t="str">
        <f aca="false">INDEX('Country Tiers'!$C$2:$C$37,MATCH(C2087,'Country Tiers'!$A$2:$A$37,0))</f>
        <v>Tier 2</v>
      </c>
      <c r="E2087" s="12" t="n">
        <f aca="false">INDEX('Country Tiers'!$D$2:$D$37,MATCH(C2087,'Country Tiers'!$A$2:$A$37,0))</f>
        <v>2</v>
      </c>
    </row>
    <row r="2088" customFormat="false" ht="15" hidden="false" customHeight="false" outlineLevel="0" collapsed="false">
      <c r="A2088" s="12" t="s">
        <v>118</v>
      </c>
      <c r="B2088" s="12" t="s">
        <v>115</v>
      </c>
      <c r="C2088" s="12" t="s">
        <v>298</v>
      </c>
      <c r="D2088" s="12" t="str">
        <f aca="false">INDEX('Country Tiers'!$C$2:$C$37,MATCH(C2088,'Country Tiers'!$A$2:$A$37,0))</f>
        <v>Tier 1</v>
      </c>
      <c r="E2088" s="12" t="n">
        <f aca="false">INDEX('Country Tiers'!$D$2:$D$37,MATCH(C2088,'Country Tiers'!$A$2:$A$37,0))</f>
        <v>3</v>
      </c>
    </row>
    <row r="2089" customFormat="false" ht="15" hidden="false" customHeight="false" outlineLevel="0" collapsed="false">
      <c r="A2089" s="12" t="s">
        <v>118</v>
      </c>
      <c r="B2089" s="12" t="s">
        <v>115</v>
      </c>
      <c r="C2089" s="12" t="s">
        <v>299</v>
      </c>
      <c r="D2089" s="12" t="str">
        <f aca="false">INDEX('Country Tiers'!$C$2:$C$37,MATCH(C2089,'Country Tiers'!$A$2:$A$37,0))</f>
        <v>Tier 3</v>
      </c>
      <c r="E2089" s="12" t="n">
        <f aca="false">INDEX('Country Tiers'!$D$2:$D$37,MATCH(C2089,'Country Tiers'!$A$2:$A$37,0))</f>
        <v>1</v>
      </c>
    </row>
    <row r="2090" customFormat="false" ht="15" hidden="false" customHeight="false" outlineLevel="0" collapsed="false">
      <c r="A2090" s="12" t="s">
        <v>118</v>
      </c>
      <c r="B2090" s="12" t="s">
        <v>115</v>
      </c>
      <c r="C2090" s="12" t="s">
        <v>301</v>
      </c>
      <c r="D2090" s="12" t="str">
        <f aca="false">INDEX('Country Tiers'!$C$2:$C$37,MATCH(C2090,'Country Tiers'!$A$2:$A$37,0))</f>
        <v>Tier 3</v>
      </c>
      <c r="E2090" s="12" t="n">
        <f aca="false">INDEX('Country Tiers'!$D$2:$D$37,MATCH(C2090,'Country Tiers'!$A$2:$A$37,0))</f>
        <v>1</v>
      </c>
    </row>
    <row r="2091" customFormat="false" ht="15" hidden="false" customHeight="false" outlineLevel="0" collapsed="false">
      <c r="A2091" s="12" t="s">
        <v>118</v>
      </c>
      <c r="B2091" s="12" t="s">
        <v>115</v>
      </c>
      <c r="C2091" s="12" t="s">
        <v>302</v>
      </c>
      <c r="D2091" s="12" t="str">
        <f aca="false">INDEX('Country Tiers'!$C$2:$C$37,MATCH(C2091,'Country Tiers'!$A$2:$A$37,0))</f>
        <v>Tier 3</v>
      </c>
      <c r="E2091" s="12" t="n">
        <f aca="false">INDEX('Country Tiers'!$D$2:$D$37,MATCH(C2091,'Country Tiers'!$A$2:$A$37,0))</f>
        <v>1</v>
      </c>
    </row>
    <row r="2092" customFormat="false" ht="15" hidden="false" customHeight="false" outlineLevel="0" collapsed="false">
      <c r="A2092" s="12" t="s">
        <v>118</v>
      </c>
      <c r="B2092" s="12" t="s">
        <v>115</v>
      </c>
      <c r="C2092" s="12" t="s">
        <v>305</v>
      </c>
      <c r="D2092" s="12" t="str">
        <f aca="false">INDEX('Country Tiers'!$C$2:$C$37,MATCH(C2092,'Country Tiers'!$A$2:$A$37,0))</f>
        <v>Tier 3</v>
      </c>
      <c r="E2092" s="12" t="n">
        <f aca="false">INDEX('Country Tiers'!$D$2:$D$37,MATCH(C2092,'Country Tiers'!$A$2:$A$37,0))</f>
        <v>1</v>
      </c>
    </row>
    <row r="2093" customFormat="false" ht="15" hidden="false" customHeight="false" outlineLevel="0" collapsed="false">
      <c r="A2093" s="12" t="s">
        <v>118</v>
      </c>
      <c r="B2093" s="12" t="s">
        <v>115</v>
      </c>
      <c r="C2093" s="12" t="s">
        <v>306</v>
      </c>
      <c r="D2093" s="12" t="str">
        <f aca="false">INDEX('Country Tiers'!$C$2:$C$37,MATCH(C2093,'Country Tiers'!$A$2:$A$37,0))</f>
        <v>Tier 3</v>
      </c>
      <c r="E2093" s="12" t="n">
        <f aca="false">INDEX('Country Tiers'!$D$2:$D$37,MATCH(C2093,'Country Tiers'!$A$2:$A$37,0))</f>
        <v>1</v>
      </c>
    </row>
    <row r="2094" customFormat="false" ht="15" hidden="false" customHeight="false" outlineLevel="0" collapsed="false">
      <c r="A2094" s="12" t="s">
        <v>118</v>
      </c>
      <c r="B2094" s="12" t="s">
        <v>115</v>
      </c>
      <c r="C2094" s="12" t="s">
        <v>307</v>
      </c>
      <c r="D2094" s="12" t="str">
        <f aca="false">INDEX('Country Tiers'!$C$2:$C$37,MATCH(C2094,'Country Tiers'!$A$2:$A$37,0))</f>
        <v>Tier 2</v>
      </c>
      <c r="E2094" s="12" t="n">
        <f aca="false">INDEX('Country Tiers'!$D$2:$D$37,MATCH(C2094,'Country Tiers'!$A$2:$A$37,0))</f>
        <v>2</v>
      </c>
    </row>
    <row r="2095" customFormat="false" ht="15" hidden="false" customHeight="false" outlineLevel="0" collapsed="false">
      <c r="A2095" s="12" t="s">
        <v>118</v>
      </c>
      <c r="B2095" s="12" t="s">
        <v>115</v>
      </c>
      <c r="C2095" s="12" t="s">
        <v>308</v>
      </c>
      <c r="D2095" s="12" t="str">
        <f aca="false">INDEX('Country Tiers'!$C$2:$C$37,MATCH(C2095,'Country Tiers'!$A$2:$A$37,0))</f>
        <v>Tier 3</v>
      </c>
      <c r="E2095" s="12" t="n">
        <f aca="false">INDEX('Country Tiers'!$D$2:$D$37,MATCH(C2095,'Country Tiers'!$A$2:$A$37,0))</f>
        <v>1</v>
      </c>
    </row>
    <row r="2096" customFormat="false" ht="15" hidden="false" customHeight="false" outlineLevel="0" collapsed="false">
      <c r="A2096" s="12" t="s">
        <v>118</v>
      </c>
      <c r="B2096" s="12" t="s">
        <v>115</v>
      </c>
      <c r="C2096" s="12" t="s">
        <v>309</v>
      </c>
      <c r="D2096" s="12" t="str">
        <f aca="false">INDEX('Country Tiers'!$C$2:$C$37,MATCH(C2096,'Country Tiers'!$A$2:$A$37,0))</f>
        <v>Tier 1</v>
      </c>
      <c r="E2096" s="12" t="n">
        <f aca="false">INDEX('Country Tiers'!$D$2:$D$37,MATCH(C2096,'Country Tiers'!$A$2:$A$37,0))</f>
        <v>3</v>
      </c>
    </row>
    <row r="2097" customFormat="false" ht="15" hidden="false" customHeight="false" outlineLevel="0" collapsed="false">
      <c r="A2097" s="12" t="s">
        <v>118</v>
      </c>
      <c r="B2097" s="12" t="s">
        <v>115</v>
      </c>
      <c r="C2097" s="12" t="s">
        <v>313</v>
      </c>
      <c r="D2097" s="12" t="str">
        <f aca="false">INDEX('Country Tiers'!$C$2:$C$37,MATCH(C2097,'Country Tiers'!$A$2:$A$37,0))</f>
        <v>Tier 1</v>
      </c>
      <c r="E2097" s="12" t="n">
        <f aca="false">INDEX('Country Tiers'!$D$2:$D$37,MATCH(C2097,'Country Tiers'!$A$2:$A$37,0))</f>
        <v>3</v>
      </c>
    </row>
    <row r="2098" customFormat="false" ht="15" hidden="false" customHeight="false" outlineLevel="0" collapsed="false">
      <c r="A2098" s="12" t="s">
        <v>119</v>
      </c>
      <c r="B2098" s="12" t="s">
        <v>38</v>
      </c>
      <c r="C2098" s="12" t="s">
        <v>309</v>
      </c>
      <c r="D2098" s="12" t="str">
        <f aca="false">INDEX('Country Tiers'!$C$2:$C$37,MATCH(C2098,'Country Tiers'!$A$2:$A$37,0))</f>
        <v>Tier 1</v>
      </c>
      <c r="E2098" s="12" t="n">
        <f aca="false">INDEX('Country Tiers'!$D$2:$D$37,MATCH(C2098,'Country Tiers'!$A$2:$A$37,0))</f>
        <v>3</v>
      </c>
    </row>
    <row r="2099" customFormat="false" ht="15" hidden="false" customHeight="false" outlineLevel="0" collapsed="false">
      <c r="A2099" s="12" t="s">
        <v>120</v>
      </c>
      <c r="B2099" s="12" t="s">
        <v>36</v>
      </c>
      <c r="C2099" s="12" t="s">
        <v>311</v>
      </c>
      <c r="D2099" s="12" t="str">
        <f aca="false">INDEX('Country Tiers'!$C$2:$C$37,MATCH(C2099,'Country Tiers'!$A$2:$A$37,0))</f>
        <v>Tier 1</v>
      </c>
      <c r="E2099" s="12" t="n">
        <f aca="false">INDEX('Country Tiers'!$D$2:$D$37,MATCH(C2099,'Country Tiers'!$A$2:$A$37,0))</f>
        <v>3</v>
      </c>
    </row>
    <row r="2100" customFormat="false" ht="15" hidden="false" customHeight="false" outlineLevel="0" collapsed="false">
      <c r="A2100" s="12" t="s">
        <v>121</v>
      </c>
      <c r="B2100" s="12" t="s">
        <v>38</v>
      </c>
      <c r="C2100" s="12" t="s">
        <v>274</v>
      </c>
      <c r="D2100" s="12" t="str">
        <f aca="false">INDEX('Country Tiers'!$C$2:$C$37,MATCH(C2100,'Country Tiers'!$A$2:$A$37,0))</f>
        <v>Tier 3</v>
      </c>
      <c r="E2100" s="12" t="n">
        <f aca="false">INDEX('Country Tiers'!$D$2:$D$37,MATCH(C2100,'Country Tiers'!$A$2:$A$37,0))</f>
        <v>1</v>
      </c>
    </row>
    <row r="2101" customFormat="false" ht="15" hidden="false" customHeight="false" outlineLevel="0" collapsed="false">
      <c r="A2101" s="12" t="s">
        <v>121</v>
      </c>
      <c r="B2101" s="12" t="s">
        <v>38</v>
      </c>
      <c r="C2101" s="12" t="s">
        <v>287</v>
      </c>
      <c r="D2101" s="12" t="str">
        <f aca="false">INDEX('Country Tiers'!$C$2:$C$37,MATCH(C2101,'Country Tiers'!$A$2:$A$37,0))</f>
        <v>Tier 1</v>
      </c>
      <c r="E2101" s="12" t="n">
        <f aca="false">INDEX('Country Tiers'!$D$2:$D$37,MATCH(C2101,'Country Tiers'!$A$2:$A$37,0))</f>
        <v>3</v>
      </c>
    </row>
    <row r="2102" customFormat="false" ht="15" hidden="false" customHeight="false" outlineLevel="0" collapsed="false">
      <c r="A2102" s="12" t="s">
        <v>121</v>
      </c>
      <c r="B2102" s="12" t="s">
        <v>38</v>
      </c>
      <c r="C2102" s="12" t="s">
        <v>291</v>
      </c>
      <c r="D2102" s="12" t="str">
        <f aca="false">INDEX('Country Tiers'!$C$2:$C$37,MATCH(C2102,'Country Tiers'!$A$2:$A$37,0))</f>
        <v>Tier 3</v>
      </c>
      <c r="E2102" s="12" t="n">
        <f aca="false">INDEX('Country Tiers'!$D$2:$D$37,MATCH(C2102,'Country Tiers'!$A$2:$A$37,0))</f>
        <v>1</v>
      </c>
    </row>
    <row r="2103" customFormat="false" ht="15" hidden="false" customHeight="false" outlineLevel="0" collapsed="false">
      <c r="A2103" s="12" t="s">
        <v>121</v>
      </c>
      <c r="B2103" s="12" t="s">
        <v>38</v>
      </c>
      <c r="C2103" s="12" t="s">
        <v>297</v>
      </c>
      <c r="D2103" s="12" t="str">
        <f aca="false">INDEX('Country Tiers'!$C$2:$C$37,MATCH(C2103,'Country Tiers'!$A$2:$A$37,0))</f>
        <v>Tier 2</v>
      </c>
      <c r="E2103" s="12" t="n">
        <f aca="false">INDEX('Country Tiers'!$D$2:$D$37,MATCH(C2103,'Country Tiers'!$A$2:$A$37,0))</f>
        <v>2</v>
      </c>
    </row>
    <row r="2104" customFormat="false" ht="15" hidden="false" customHeight="false" outlineLevel="0" collapsed="false">
      <c r="A2104" s="12" t="s">
        <v>121</v>
      </c>
      <c r="B2104" s="12" t="s">
        <v>38</v>
      </c>
      <c r="C2104" s="12" t="s">
        <v>298</v>
      </c>
      <c r="D2104" s="12" t="str">
        <f aca="false">INDEX('Country Tiers'!$C$2:$C$37,MATCH(C2104,'Country Tiers'!$A$2:$A$37,0))</f>
        <v>Tier 1</v>
      </c>
      <c r="E2104" s="12" t="n">
        <f aca="false">INDEX('Country Tiers'!$D$2:$D$37,MATCH(C2104,'Country Tiers'!$A$2:$A$37,0))</f>
        <v>3</v>
      </c>
    </row>
    <row r="2105" customFormat="false" ht="15" hidden="false" customHeight="false" outlineLevel="0" collapsed="false">
      <c r="A2105" s="12" t="s">
        <v>121</v>
      </c>
      <c r="B2105" s="12" t="s">
        <v>38</v>
      </c>
      <c r="C2105" s="12" t="s">
        <v>313</v>
      </c>
      <c r="D2105" s="12" t="str">
        <f aca="false">INDEX('Country Tiers'!$C$2:$C$37,MATCH(C2105,'Country Tiers'!$A$2:$A$37,0))</f>
        <v>Tier 1</v>
      </c>
      <c r="E2105" s="12" t="n">
        <f aca="false">INDEX('Country Tiers'!$D$2:$D$37,MATCH(C2105,'Country Tiers'!$A$2:$A$37,0))</f>
        <v>3</v>
      </c>
    </row>
    <row r="2106" customFormat="false" ht="15" hidden="false" customHeight="false" outlineLevel="0" collapsed="false">
      <c r="A2106" s="12" t="s">
        <v>122</v>
      </c>
      <c r="B2106" s="12" t="s">
        <v>47</v>
      </c>
      <c r="C2106" s="12" t="s">
        <v>279</v>
      </c>
      <c r="D2106" s="12" t="str">
        <f aca="false">INDEX('Country Tiers'!$C$2:$C$37,MATCH(C2106,'Country Tiers'!$A$2:$A$37,0))</f>
        <v>Tier 1</v>
      </c>
      <c r="E2106" s="12" t="n">
        <f aca="false">INDEX('Country Tiers'!$D$2:$D$37,MATCH(C2106,'Country Tiers'!$A$2:$A$37,0))</f>
        <v>3</v>
      </c>
    </row>
    <row r="2107" customFormat="false" ht="15" hidden="false" customHeight="false" outlineLevel="0" collapsed="false">
      <c r="A2107" s="12" t="s">
        <v>123</v>
      </c>
      <c r="B2107" s="12" t="s">
        <v>54</v>
      </c>
      <c r="C2107" s="12" t="s">
        <v>272</v>
      </c>
      <c r="D2107" s="12" t="str">
        <f aca="false">INDEX('Country Tiers'!$C$2:$C$37,MATCH(C2107,'Country Tiers'!$A$2:$A$37,0))</f>
        <v>Tier 2</v>
      </c>
      <c r="E2107" s="12" t="n">
        <f aca="false">INDEX('Country Tiers'!$D$2:$D$37,MATCH(C2107,'Country Tiers'!$A$2:$A$37,0))</f>
        <v>2</v>
      </c>
    </row>
    <row r="2108" customFormat="false" ht="15" hidden="false" customHeight="false" outlineLevel="0" collapsed="false">
      <c r="A2108" s="12" t="s">
        <v>123</v>
      </c>
      <c r="B2108" s="12" t="s">
        <v>54</v>
      </c>
      <c r="C2108" s="12" t="s">
        <v>311</v>
      </c>
      <c r="D2108" s="12" t="str">
        <f aca="false">INDEX('Country Tiers'!$C$2:$C$37,MATCH(C2108,'Country Tiers'!$A$2:$A$37,0))</f>
        <v>Tier 1</v>
      </c>
      <c r="E2108" s="12" t="n">
        <f aca="false">INDEX('Country Tiers'!$D$2:$D$37,MATCH(C2108,'Country Tiers'!$A$2:$A$37,0))</f>
        <v>3</v>
      </c>
    </row>
    <row r="2109" customFormat="false" ht="15" hidden="false" customHeight="false" outlineLevel="0" collapsed="false">
      <c r="A2109" s="12" t="s">
        <v>123</v>
      </c>
      <c r="B2109" s="12" t="s">
        <v>73</v>
      </c>
      <c r="C2109" s="12" t="s">
        <v>303</v>
      </c>
      <c r="D2109" s="12" t="str">
        <f aca="false">INDEX('Country Tiers'!$C$2:$C$37,MATCH(C2109,'Country Tiers'!$A$2:$A$37,0))</f>
        <v>Tier 2</v>
      </c>
      <c r="E2109" s="12" t="n">
        <f aca="false">INDEX('Country Tiers'!$D$2:$D$37,MATCH(C2109,'Country Tiers'!$A$2:$A$37,0))</f>
        <v>2</v>
      </c>
    </row>
    <row r="2110" customFormat="false" ht="15" hidden="false" customHeight="false" outlineLevel="0" collapsed="false">
      <c r="A2110" s="12" t="s">
        <v>123</v>
      </c>
      <c r="B2110" s="12" t="s">
        <v>36</v>
      </c>
      <c r="C2110" s="12" t="s">
        <v>311</v>
      </c>
      <c r="D2110" s="12" t="str">
        <f aca="false">INDEX('Country Tiers'!$C$2:$C$37,MATCH(C2110,'Country Tiers'!$A$2:$A$37,0))</f>
        <v>Tier 1</v>
      </c>
      <c r="E2110" s="12" t="n">
        <f aca="false">INDEX('Country Tiers'!$D$2:$D$37,MATCH(C2110,'Country Tiers'!$A$2:$A$37,0))</f>
        <v>3</v>
      </c>
    </row>
    <row r="2111" customFormat="false" ht="15" hidden="false" customHeight="false" outlineLevel="0" collapsed="false">
      <c r="A2111" s="12" t="s">
        <v>124</v>
      </c>
      <c r="B2111" s="12" t="s">
        <v>44</v>
      </c>
      <c r="C2111" s="12" t="s">
        <v>281</v>
      </c>
      <c r="D2111" s="12" t="str">
        <f aca="false">INDEX('Country Tiers'!$C$2:$C$37,MATCH(C2111,'Country Tiers'!$A$2:$A$37,0))</f>
        <v>Tier 3</v>
      </c>
      <c r="E2111" s="12" t="n">
        <f aca="false">INDEX('Country Tiers'!$D$2:$D$37,MATCH(C2111,'Country Tiers'!$A$2:$A$37,0))</f>
        <v>1</v>
      </c>
    </row>
    <row r="2112" customFormat="false" ht="15" hidden="false" customHeight="false" outlineLevel="0" collapsed="false">
      <c r="A2112" s="12" t="s">
        <v>124</v>
      </c>
      <c r="B2112" s="12" t="s">
        <v>44</v>
      </c>
      <c r="C2112" s="12" t="s">
        <v>283</v>
      </c>
      <c r="D2112" s="12" t="str">
        <f aca="false">INDEX('Country Tiers'!$C$2:$C$37,MATCH(C2112,'Country Tiers'!$A$2:$A$37,0))</f>
        <v>Tier 3</v>
      </c>
      <c r="E2112" s="12" t="n">
        <f aca="false">INDEX('Country Tiers'!$D$2:$D$37,MATCH(C2112,'Country Tiers'!$A$2:$A$37,0))</f>
        <v>1</v>
      </c>
    </row>
    <row r="2113" customFormat="false" ht="15" hidden="false" customHeight="false" outlineLevel="0" collapsed="false">
      <c r="A2113" s="12" t="s">
        <v>124</v>
      </c>
      <c r="B2113" s="12" t="s">
        <v>44</v>
      </c>
      <c r="C2113" s="12" t="s">
        <v>285</v>
      </c>
      <c r="D2113" s="12" t="str">
        <f aca="false">INDEX('Country Tiers'!$C$2:$C$37,MATCH(C2113,'Country Tiers'!$A$2:$A$37,0))</f>
        <v>Tier 3</v>
      </c>
      <c r="E2113" s="12" t="n">
        <f aca="false">INDEX('Country Tiers'!$D$2:$D$37,MATCH(C2113,'Country Tiers'!$A$2:$A$37,0))</f>
        <v>1</v>
      </c>
    </row>
    <row r="2114" customFormat="false" ht="15" hidden="false" customHeight="false" outlineLevel="0" collapsed="false">
      <c r="A2114" s="12" t="s">
        <v>124</v>
      </c>
      <c r="B2114" s="12" t="s">
        <v>44</v>
      </c>
      <c r="C2114" s="12" t="s">
        <v>286</v>
      </c>
      <c r="D2114" s="12" t="str">
        <f aca="false">INDEX('Country Tiers'!$C$2:$C$37,MATCH(C2114,'Country Tiers'!$A$2:$A$37,0))</f>
        <v>Tier 1</v>
      </c>
      <c r="E2114" s="12" t="n">
        <f aca="false">INDEX('Country Tiers'!$D$2:$D$37,MATCH(C2114,'Country Tiers'!$A$2:$A$37,0))</f>
        <v>3</v>
      </c>
    </row>
    <row r="2115" customFormat="false" ht="15" hidden="false" customHeight="false" outlineLevel="0" collapsed="false">
      <c r="A2115" s="12" t="s">
        <v>124</v>
      </c>
      <c r="B2115" s="12" t="s">
        <v>44</v>
      </c>
      <c r="C2115" s="12" t="s">
        <v>288</v>
      </c>
      <c r="D2115" s="12" t="str">
        <f aca="false">INDEX('Country Tiers'!$C$2:$C$37,MATCH(C2115,'Country Tiers'!$A$2:$A$37,0))</f>
        <v>Tier 3</v>
      </c>
      <c r="E2115" s="12" t="n">
        <f aca="false">INDEX('Country Tiers'!$D$2:$D$37,MATCH(C2115,'Country Tiers'!$A$2:$A$37,0))</f>
        <v>1</v>
      </c>
    </row>
    <row r="2116" customFormat="false" ht="15" hidden="false" customHeight="false" outlineLevel="0" collapsed="false">
      <c r="A2116" s="12" t="s">
        <v>124</v>
      </c>
      <c r="B2116" s="12" t="s">
        <v>44</v>
      </c>
      <c r="C2116" s="12" t="s">
        <v>290</v>
      </c>
      <c r="D2116" s="12" t="str">
        <f aca="false">INDEX('Country Tiers'!$C$2:$C$37,MATCH(C2116,'Country Tiers'!$A$2:$A$37,0))</f>
        <v>Tier 3</v>
      </c>
      <c r="E2116" s="12" t="n">
        <f aca="false">INDEX('Country Tiers'!$D$2:$D$37,MATCH(C2116,'Country Tiers'!$A$2:$A$37,0))</f>
        <v>1</v>
      </c>
    </row>
    <row r="2117" customFormat="false" ht="15" hidden="false" customHeight="false" outlineLevel="0" collapsed="false">
      <c r="A2117" s="12" t="s">
        <v>124</v>
      </c>
      <c r="B2117" s="12" t="s">
        <v>44</v>
      </c>
      <c r="C2117" s="12" t="s">
        <v>291</v>
      </c>
      <c r="D2117" s="12" t="str">
        <f aca="false">INDEX('Country Tiers'!$C$2:$C$37,MATCH(C2117,'Country Tiers'!$A$2:$A$37,0))</f>
        <v>Tier 3</v>
      </c>
      <c r="E2117" s="12" t="n">
        <f aca="false">INDEX('Country Tiers'!$D$2:$D$37,MATCH(C2117,'Country Tiers'!$A$2:$A$37,0))</f>
        <v>1</v>
      </c>
    </row>
    <row r="2118" customFormat="false" ht="15" hidden="false" customHeight="false" outlineLevel="0" collapsed="false">
      <c r="A2118" s="12" t="s">
        <v>124</v>
      </c>
      <c r="B2118" s="12" t="s">
        <v>44</v>
      </c>
      <c r="C2118" s="12" t="s">
        <v>292</v>
      </c>
      <c r="D2118" s="12" t="str">
        <f aca="false">INDEX('Country Tiers'!$C$2:$C$37,MATCH(C2118,'Country Tiers'!$A$2:$A$37,0))</f>
        <v>Tier 2</v>
      </c>
      <c r="E2118" s="12" t="n">
        <f aca="false">INDEX('Country Tiers'!$D$2:$D$37,MATCH(C2118,'Country Tiers'!$A$2:$A$37,0))</f>
        <v>2</v>
      </c>
    </row>
    <row r="2119" customFormat="false" ht="15" hidden="false" customHeight="false" outlineLevel="0" collapsed="false">
      <c r="A2119" s="12" t="s">
        <v>124</v>
      </c>
      <c r="B2119" s="12" t="s">
        <v>44</v>
      </c>
      <c r="C2119" s="12" t="s">
        <v>294</v>
      </c>
      <c r="D2119" s="12" t="str">
        <f aca="false">INDEX('Country Tiers'!$C$2:$C$37,MATCH(C2119,'Country Tiers'!$A$2:$A$37,0))</f>
        <v>Tier 3</v>
      </c>
      <c r="E2119" s="12" t="n">
        <f aca="false">INDEX('Country Tiers'!$D$2:$D$37,MATCH(C2119,'Country Tiers'!$A$2:$A$37,0))</f>
        <v>1</v>
      </c>
    </row>
    <row r="2120" customFormat="false" ht="15" hidden="false" customHeight="false" outlineLevel="0" collapsed="false">
      <c r="A2120" s="12" t="s">
        <v>124</v>
      </c>
      <c r="B2120" s="12" t="s">
        <v>44</v>
      </c>
      <c r="C2120" s="12" t="s">
        <v>297</v>
      </c>
      <c r="D2120" s="12" t="str">
        <f aca="false">INDEX('Country Tiers'!$C$2:$C$37,MATCH(C2120,'Country Tiers'!$A$2:$A$37,0))</f>
        <v>Tier 2</v>
      </c>
      <c r="E2120" s="12" t="n">
        <f aca="false">INDEX('Country Tiers'!$D$2:$D$37,MATCH(C2120,'Country Tiers'!$A$2:$A$37,0))</f>
        <v>2</v>
      </c>
    </row>
    <row r="2121" customFormat="false" ht="15" hidden="false" customHeight="false" outlineLevel="0" collapsed="false">
      <c r="A2121" s="12" t="s">
        <v>124</v>
      </c>
      <c r="B2121" s="12" t="s">
        <v>44</v>
      </c>
      <c r="C2121" s="12" t="s">
        <v>298</v>
      </c>
      <c r="D2121" s="12" t="str">
        <f aca="false">INDEX('Country Tiers'!$C$2:$C$37,MATCH(C2121,'Country Tiers'!$A$2:$A$37,0))</f>
        <v>Tier 1</v>
      </c>
      <c r="E2121" s="12" t="n">
        <f aca="false">INDEX('Country Tiers'!$D$2:$D$37,MATCH(C2121,'Country Tiers'!$A$2:$A$37,0))</f>
        <v>3</v>
      </c>
    </row>
    <row r="2122" customFormat="false" ht="15" hidden="false" customHeight="false" outlineLevel="0" collapsed="false">
      <c r="A2122" s="12" t="s">
        <v>124</v>
      </c>
      <c r="B2122" s="12" t="s">
        <v>44</v>
      </c>
      <c r="C2122" s="12" t="s">
        <v>299</v>
      </c>
      <c r="D2122" s="12" t="str">
        <f aca="false">INDEX('Country Tiers'!$C$2:$C$37,MATCH(C2122,'Country Tiers'!$A$2:$A$37,0))</f>
        <v>Tier 3</v>
      </c>
      <c r="E2122" s="12" t="n">
        <f aca="false">INDEX('Country Tiers'!$D$2:$D$37,MATCH(C2122,'Country Tiers'!$A$2:$A$37,0))</f>
        <v>1</v>
      </c>
    </row>
    <row r="2123" customFormat="false" ht="15" hidden="false" customHeight="false" outlineLevel="0" collapsed="false">
      <c r="A2123" s="12" t="s">
        <v>124</v>
      </c>
      <c r="B2123" s="12" t="s">
        <v>44</v>
      </c>
      <c r="C2123" s="12" t="s">
        <v>301</v>
      </c>
      <c r="D2123" s="12" t="str">
        <f aca="false">INDEX('Country Tiers'!$C$2:$C$37,MATCH(C2123,'Country Tiers'!$A$2:$A$37,0))</f>
        <v>Tier 3</v>
      </c>
      <c r="E2123" s="12" t="n">
        <f aca="false">INDEX('Country Tiers'!$D$2:$D$37,MATCH(C2123,'Country Tiers'!$A$2:$A$37,0))</f>
        <v>1</v>
      </c>
    </row>
    <row r="2124" customFormat="false" ht="15" hidden="false" customHeight="false" outlineLevel="0" collapsed="false">
      <c r="A2124" s="12" t="s">
        <v>124</v>
      </c>
      <c r="B2124" s="12" t="s">
        <v>44</v>
      </c>
      <c r="C2124" s="12" t="s">
        <v>306</v>
      </c>
      <c r="D2124" s="12" t="str">
        <f aca="false">INDEX('Country Tiers'!$C$2:$C$37,MATCH(C2124,'Country Tiers'!$A$2:$A$37,0))</f>
        <v>Tier 3</v>
      </c>
      <c r="E2124" s="12" t="n">
        <f aca="false">INDEX('Country Tiers'!$D$2:$D$37,MATCH(C2124,'Country Tiers'!$A$2:$A$37,0))</f>
        <v>1</v>
      </c>
    </row>
    <row r="2125" customFormat="false" ht="15" hidden="false" customHeight="false" outlineLevel="0" collapsed="false">
      <c r="A2125" s="12" t="s">
        <v>124</v>
      </c>
      <c r="B2125" s="12" t="s">
        <v>44</v>
      </c>
      <c r="C2125" s="12" t="s">
        <v>307</v>
      </c>
      <c r="D2125" s="12" t="str">
        <f aca="false">INDEX('Country Tiers'!$C$2:$C$37,MATCH(C2125,'Country Tiers'!$A$2:$A$37,0))</f>
        <v>Tier 2</v>
      </c>
      <c r="E2125" s="12" t="n">
        <f aca="false">INDEX('Country Tiers'!$D$2:$D$37,MATCH(C2125,'Country Tiers'!$A$2:$A$37,0))</f>
        <v>2</v>
      </c>
    </row>
    <row r="2126" customFormat="false" ht="15" hidden="false" customHeight="false" outlineLevel="0" collapsed="false">
      <c r="A2126" s="12" t="s">
        <v>124</v>
      </c>
      <c r="B2126" s="12" t="s">
        <v>44</v>
      </c>
      <c r="C2126" s="12" t="s">
        <v>308</v>
      </c>
      <c r="D2126" s="12" t="str">
        <f aca="false">INDEX('Country Tiers'!$C$2:$C$37,MATCH(C2126,'Country Tiers'!$A$2:$A$37,0))</f>
        <v>Tier 3</v>
      </c>
      <c r="E2126" s="12" t="n">
        <f aca="false">INDEX('Country Tiers'!$D$2:$D$37,MATCH(C2126,'Country Tiers'!$A$2:$A$37,0))</f>
        <v>1</v>
      </c>
    </row>
    <row r="2127" customFormat="false" ht="15" hidden="false" customHeight="false" outlineLevel="0" collapsed="false">
      <c r="A2127" s="12" t="s">
        <v>124</v>
      </c>
      <c r="B2127" s="12" t="s">
        <v>44</v>
      </c>
      <c r="C2127" s="12" t="s">
        <v>313</v>
      </c>
      <c r="D2127" s="12" t="str">
        <f aca="false">INDEX('Country Tiers'!$C$2:$C$37,MATCH(C2127,'Country Tiers'!$A$2:$A$37,0))</f>
        <v>Tier 1</v>
      </c>
      <c r="E2127" s="12" t="n">
        <f aca="false">INDEX('Country Tiers'!$D$2:$D$37,MATCH(C2127,'Country Tiers'!$A$2:$A$37,0))</f>
        <v>3</v>
      </c>
    </row>
    <row r="2128" customFormat="false" ht="15" hidden="false" customHeight="false" outlineLevel="0" collapsed="false">
      <c r="A2128" s="12" t="s">
        <v>125</v>
      </c>
      <c r="B2128" s="12" t="s">
        <v>38</v>
      </c>
      <c r="C2128" s="12" t="s">
        <v>309</v>
      </c>
      <c r="D2128" s="12" t="str">
        <f aca="false">INDEX('Country Tiers'!$C$2:$C$37,MATCH(C2128,'Country Tiers'!$A$2:$A$37,0))</f>
        <v>Tier 1</v>
      </c>
      <c r="E2128" s="12" t="n">
        <f aca="false">INDEX('Country Tiers'!$D$2:$D$37,MATCH(C2128,'Country Tiers'!$A$2:$A$37,0))</f>
        <v>3</v>
      </c>
    </row>
    <row r="2129" customFormat="false" ht="15" hidden="false" customHeight="false" outlineLevel="0" collapsed="false">
      <c r="A2129" s="12" t="s">
        <v>126</v>
      </c>
      <c r="B2129" s="12" t="s">
        <v>47</v>
      </c>
      <c r="C2129" s="12" t="s">
        <v>311</v>
      </c>
      <c r="D2129" s="12" t="str">
        <f aca="false">INDEX('Country Tiers'!$C$2:$C$37,MATCH(C2129,'Country Tiers'!$A$2:$A$37,0))</f>
        <v>Tier 1</v>
      </c>
      <c r="E2129" s="12" t="n">
        <f aca="false">INDEX('Country Tiers'!$D$2:$D$37,MATCH(C2129,'Country Tiers'!$A$2:$A$37,0))</f>
        <v>3</v>
      </c>
    </row>
    <row r="2130" customFormat="false" ht="15" hidden="false" customHeight="false" outlineLevel="0" collapsed="false">
      <c r="A2130" s="12" t="s">
        <v>126</v>
      </c>
      <c r="B2130" s="12" t="s">
        <v>55</v>
      </c>
      <c r="C2130" s="12" t="s">
        <v>274</v>
      </c>
      <c r="D2130" s="12" t="str">
        <f aca="false">INDEX('Country Tiers'!$C$2:$C$37,MATCH(C2130,'Country Tiers'!$A$2:$A$37,0))</f>
        <v>Tier 3</v>
      </c>
      <c r="E2130" s="12" t="n">
        <f aca="false">INDEX('Country Tiers'!$D$2:$D$37,MATCH(C2130,'Country Tiers'!$A$2:$A$37,0))</f>
        <v>1</v>
      </c>
    </row>
    <row r="2131" customFormat="false" ht="15" hidden="false" customHeight="false" outlineLevel="0" collapsed="false">
      <c r="A2131" s="12" t="s">
        <v>126</v>
      </c>
      <c r="B2131" s="12" t="s">
        <v>55</v>
      </c>
      <c r="C2131" s="12" t="s">
        <v>277</v>
      </c>
      <c r="D2131" s="12" t="str">
        <f aca="false">INDEX('Country Tiers'!$C$2:$C$37,MATCH(C2131,'Country Tiers'!$A$2:$A$37,0))</f>
        <v>Tier 1</v>
      </c>
      <c r="E2131" s="12" t="n">
        <f aca="false">INDEX('Country Tiers'!$D$2:$D$37,MATCH(C2131,'Country Tiers'!$A$2:$A$37,0))</f>
        <v>3</v>
      </c>
    </row>
    <row r="2132" customFormat="false" ht="15" hidden="false" customHeight="false" outlineLevel="0" collapsed="false">
      <c r="A2132" s="12" t="s">
        <v>126</v>
      </c>
      <c r="B2132" s="12" t="s">
        <v>55</v>
      </c>
      <c r="C2132" s="12" t="s">
        <v>278</v>
      </c>
      <c r="D2132" s="12" t="str">
        <f aca="false">INDEX('Country Tiers'!$C$2:$C$37,MATCH(C2132,'Country Tiers'!$A$2:$A$37,0))</f>
        <v>Tier 3</v>
      </c>
      <c r="E2132" s="12" t="n">
        <f aca="false">INDEX('Country Tiers'!$D$2:$D$37,MATCH(C2132,'Country Tiers'!$A$2:$A$37,0))</f>
        <v>1</v>
      </c>
    </row>
    <row r="2133" customFormat="false" ht="15" hidden="false" customHeight="false" outlineLevel="0" collapsed="false">
      <c r="A2133" s="12" t="s">
        <v>126</v>
      </c>
      <c r="B2133" s="12" t="s">
        <v>55</v>
      </c>
      <c r="C2133" s="12" t="s">
        <v>280</v>
      </c>
      <c r="D2133" s="12" t="str">
        <f aca="false">INDEX('Country Tiers'!$C$2:$C$37,MATCH(C2133,'Country Tiers'!$A$2:$A$37,0))</f>
        <v>Tier 3</v>
      </c>
      <c r="E2133" s="12" t="n">
        <f aca="false">INDEX('Country Tiers'!$D$2:$D$37,MATCH(C2133,'Country Tiers'!$A$2:$A$37,0))</f>
        <v>1</v>
      </c>
    </row>
    <row r="2134" customFormat="false" ht="15" hidden="false" customHeight="false" outlineLevel="0" collapsed="false">
      <c r="A2134" s="12" t="s">
        <v>126</v>
      </c>
      <c r="B2134" s="12" t="s">
        <v>55</v>
      </c>
      <c r="C2134" s="12" t="s">
        <v>282</v>
      </c>
      <c r="D2134" s="12" t="str">
        <f aca="false">INDEX('Country Tiers'!$C$2:$C$37,MATCH(C2134,'Country Tiers'!$A$2:$A$37,0))</f>
        <v>Tier 3</v>
      </c>
      <c r="E2134" s="12" t="n">
        <f aca="false">INDEX('Country Tiers'!$D$2:$D$37,MATCH(C2134,'Country Tiers'!$A$2:$A$37,0))</f>
        <v>1</v>
      </c>
    </row>
    <row r="2135" customFormat="false" ht="15" hidden="false" customHeight="false" outlineLevel="0" collapsed="false">
      <c r="A2135" s="12" t="s">
        <v>126</v>
      </c>
      <c r="B2135" s="12" t="s">
        <v>55</v>
      </c>
      <c r="C2135" s="12" t="s">
        <v>283</v>
      </c>
      <c r="D2135" s="12" t="str">
        <f aca="false">INDEX('Country Tiers'!$C$2:$C$37,MATCH(C2135,'Country Tiers'!$A$2:$A$37,0))</f>
        <v>Tier 3</v>
      </c>
      <c r="E2135" s="12" t="n">
        <f aca="false">INDEX('Country Tiers'!$D$2:$D$37,MATCH(C2135,'Country Tiers'!$A$2:$A$37,0))</f>
        <v>1</v>
      </c>
    </row>
    <row r="2136" customFormat="false" ht="15" hidden="false" customHeight="false" outlineLevel="0" collapsed="false">
      <c r="A2136" s="12" t="s">
        <v>126</v>
      </c>
      <c r="B2136" s="12" t="s">
        <v>55</v>
      </c>
      <c r="C2136" s="12" t="s">
        <v>284</v>
      </c>
      <c r="D2136" s="12" t="str">
        <f aca="false">INDEX('Country Tiers'!$C$2:$C$37,MATCH(C2136,'Country Tiers'!$A$2:$A$37,0))</f>
        <v>Tier 3</v>
      </c>
      <c r="E2136" s="12" t="n">
        <f aca="false">INDEX('Country Tiers'!$D$2:$D$37,MATCH(C2136,'Country Tiers'!$A$2:$A$37,0))</f>
        <v>1</v>
      </c>
    </row>
    <row r="2137" customFormat="false" ht="15" hidden="false" customHeight="false" outlineLevel="0" collapsed="false">
      <c r="A2137" s="12" t="s">
        <v>126</v>
      </c>
      <c r="B2137" s="12" t="s">
        <v>55</v>
      </c>
      <c r="C2137" s="12" t="s">
        <v>285</v>
      </c>
      <c r="D2137" s="12" t="str">
        <f aca="false">INDEX('Country Tiers'!$C$2:$C$37,MATCH(C2137,'Country Tiers'!$A$2:$A$37,0))</f>
        <v>Tier 3</v>
      </c>
      <c r="E2137" s="12" t="n">
        <f aca="false">INDEX('Country Tiers'!$D$2:$D$37,MATCH(C2137,'Country Tiers'!$A$2:$A$37,0))</f>
        <v>1</v>
      </c>
    </row>
    <row r="2138" customFormat="false" ht="15" hidden="false" customHeight="false" outlineLevel="0" collapsed="false">
      <c r="A2138" s="12" t="s">
        <v>126</v>
      </c>
      <c r="B2138" s="12" t="s">
        <v>55</v>
      </c>
      <c r="C2138" s="12" t="s">
        <v>287</v>
      </c>
      <c r="D2138" s="12" t="str">
        <f aca="false">INDEX('Country Tiers'!$C$2:$C$37,MATCH(C2138,'Country Tiers'!$A$2:$A$37,0))</f>
        <v>Tier 1</v>
      </c>
      <c r="E2138" s="12" t="n">
        <f aca="false">INDEX('Country Tiers'!$D$2:$D$37,MATCH(C2138,'Country Tiers'!$A$2:$A$37,0))</f>
        <v>3</v>
      </c>
    </row>
    <row r="2139" customFormat="false" ht="15" hidden="false" customHeight="false" outlineLevel="0" collapsed="false">
      <c r="A2139" s="12" t="s">
        <v>126</v>
      </c>
      <c r="B2139" s="12" t="s">
        <v>55</v>
      </c>
      <c r="C2139" s="12" t="s">
        <v>288</v>
      </c>
      <c r="D2139" s="12" t="str">
        <f aca="false">INDEX('Country Tiers'!$C$2:$C$37,MATCH(C2139,'Country Tiers'!$A$2:$A$37,0))</f>
        <v>Tier 3</v>
      </c>
      <c r="E2139" s="12" t="n">
        <f aca="false">INDEX('Country Tiers'!$D$2:$D$37,MATCH(C2139,'Country Tiers'!$A$2:$A$37,0))</f>
        <v>1</v>
      </c>
    </row>
    <row r="2140" customFormat="false" ht="15" hidden="false" customHeight="false" outlineLevel="0" collapsed="false">
      <c r="A2140" s="12" t="s">
        <v>126</v>
      </c>
      <c r="B2140" s="12" t="s">
        <v>55</v>
      </c>
      <c r="C2140" s="12" t="s">
        <v>289</v>
      </c>
      <c r="D2140" s="12" t="str">
        <f aca="false">INDEX('Country Tiers'!$C$2:$C$37,MATCH(C2140,'Country Tiers'!$A$2:$A$37,0))</f>
        <v>Tier 3</v>
      </c>
      <c r="E2140" s="12" t="n">
        <f aca="false">INDEX('Country Tiers'!$D$2:$D$37,MATCH(C2140,'Country Tiers'!$A$2:$A$37,0))</f>
        <v>1</v>
      </c>
    </row>
    <row r="2141" customFormat="false" ht="15" hidden="false" customHeight="false" outlineLevel="0" collapsed="false">
      <c r="A2141" s="12" t="s">
        <v>126</v>
      </c>
      <c r="B2141" s="12" t="s">
        <v>55</v>
      </c>
      <c r="C2141" s="12" t="s">
        <v>290</v>
      </c>
      <c r="D2141" s="12" t="str">
        <f aca="false">INDEX('Country Tiers'!$C$2:$C$37,MATCH(C2141,'Country Tiers'!$A$2:$A$37,0))</f>
        <v>Tier 3</v>
      </c>
      <c r="E2141" s="12" t="n">
        <f aca="false">INDEX('Country Tiers'!$D$2:$D$37,MATCH(C2141,'Country Tiers'!$A$2:$A$37,0))</f>
        <v>1</v>
      </c>
    </row>
    <row r="2142" customFormat="false" ht="15" hidden="false" customHeight="false" outlineLevel="0" collapsed="false">
      <c r="A2142" s="12" t="s">
        <v>126</v>
      </c>
      <c r="B2142" s="12" t="s">
        <v>55</v>
      </c>
      <c r="C2142" s="12" t="s">
        <v>291</v>
      </c>
      <c r="D2142" s="12" t="str">
        <f aca="false">INDEX('Country Tiers'!$C$2:$C$37,MATCH(C2142,'Country Tiers'!$A$2:$A$37,0))</f>
        <v>Tier 3</v>
      </c>
      <c r="E2142" s="12" t="n">
        <f aca="false">INDEX('Country Tiers'!$D$2:$D$37,MATCH(C2142,'Country Tiers'!$A$2:$A$37,0))</f>
        <v>1</v>
      </c>
    </row>
    <row r="2143" customFormat="false" ht="15" hidden="false" customHeight="false" outlineLevel="0" collapsed="false">
      <c r="A2143" s="12" t="s">
        <v>126</v>
      </c>
      <c r="B2143" s="12" t="s">
        <v>55</v>
      </c>
      <c r="C2143" s="12" t="s">
        <v>292</v>
      </c>
      <c r="D2143" s="12" t="str">
        <f aca="false">INDEX('Country Tiers'!$C$2:$C$37,MATCH(C2143,'Country Tiers'!$A$2:$A$37,0))</f>
        <v>Tier 2</v>
      </c>
      <c r="E2143" s="12" t="n">
        <f aca="false">INDEX('Country Tiers'!$D$2:$D$37,MATCH(C2143,'Country Tiers'!$A$2:$A$37,0))</f>
        <v>2</v>
      </c>
    </row>
    <row r="2144" customFormat="false" ht="15" hidden="false" customHeight="false" outlineLevel="0" collapsed="false">
      <c r="A2144" s="12" t="s">
        <v>126</v>
      </c>
      <c r="B2144" s="12" t="s">
        <v>55</v>
      </c>
      <c r="C2144" s="12" t="s">
        <v>293</v>
      </c>
      <c r="D2144" s="12" t="str">
        <f aca="false">INDEX('Country Tiers'!$C$2:$C$37,MATCH(C2144,'Country Tiers'!$A$2:$A$37,0))</f>
        <v>Tier 3</v>
      </c>
      <c r="E2144" s="12" t="n">
        <f aca="false">INDEX('Country Tiers'!$D$2:$D$37,MATCH(C2144,'Country Tiers'!$A$2:$A$37,0))</f>
        <v>1</v>
      </c>
    </row>
    <row r="2145" customFormat="false" ht="15" hidden="false" customHeight="false" outlineLevel="0" collapsed="false">
      <c r="A2145" s="12" t="s">
        <v>126</v>
      </c>
      <c r="B2145" s="12" t="s">
        <v>55</v>
      </c>
      <c r="C2145" s="12" t="s">
        <v>294</v>
      </c>
      <c r="D2145" s="12" t="str">
        <f aca="false">INDEX('Country Tiers'!$C$2:$C$37,MATCH(C2145,'Country Tiers'!$A$2:$A$37,0))</f>
        <v>Tier 3</v>
      </c>
      <c r="E2145" s="12" t="n">
        <f aca="false">INDEX('Country Tiers'!$D$2:$D$37,MATCH(C2145,'Country Tiers'!$A$2:$A$37,0))</f>
        <v>1</v>
      </c>
    </row>
    <row r="2146" customFormat="false" ht="15" hidden="false" customHeight="false" outlineLevel="0" collapsed="false">
      <c r="A2146" s="12" t="s">
        <v>126</v>
      </c>
      <c r="B2146" s="12" t="s">
        <v>55</v>
      </c>
      <c r="C2146" s="12" t="s">
        <v>295</v>
      </c>
      <c r="D2146" s="12" t="str">
        <f aca="false">INDEX('Country Tiers'!$C$2:$C$37,MATCH(C2146,'Country Tiers'!$A$2:$A$37,0))</f>
        <v>Tier 3</v>
      </c>
      <c r="E2146" s="12" t="n">
        <f aca="false">INDEX('Country Tiers'!$D$2:$D$37,MATCH(C2146,'Country Tiers'!$A$2:$A$37,0))</f>
        <v>1</v>
      </c>
    </row>
    <row r="2147" customFormat="false" ht="15" hidden="false" customHeight="false" outlineLevel="0" collapsed="false">
      <c r="A2147" s="12" t="s">
        <v>126</v>
      </c>
      <c r="B2147" s="12" t="s">
        <v>55</v>
      </c>
      <c r="C2147" s="12" t="s">
        <v>296</v>
      </c>
      <c r="D2147" s="12" t="str">
        <f aca="false">INDEX('Country Tiers'!$C$2:$C$37,MATCH(C2147,'Country Tiers'!$A$2:$A$37,0))</f>
        <v>Tier 3</v>
      </c>
      <c r="E2147" s="12" t="n">
        <f aca="false">INDEX('Country Tiers'!$D$2:$D$37,MATCH(C2147,'Country Tiers'!$A$2:$A$37,0))</f>
        <v>1</v>
      </c>
    </row>
    <row r="2148" customFormat="false" ht="15" hidden="false" customHeight="false" outlineLevel="0" collapsed="false">
      <c r="A2148" s="12" t="s">
        <v>126</v>
      </c>
      <c r="B2148" s="12" t="s">
        <v>55</v>
      </c>
      <c r="C2148" s="12" t="s">
        <v>297</v>
      </c>
      <c r="D2148" s="12" t="str">
        <f aca="false">INDEX('Country Tiers'!$C$2:$C$37,MATCH(C2148,'Country Tiers'!$A$2:$A$37,0))</f>
        <v>Tier 2</v>
      </c>
      <c r="E2148" s="12" t="n">
        <f aca="false">INDEX('Country Tiers'!$D$2:$D$37,MATCH(C2148,'Country Tiers'!$A$2:$A$37,0))</f>
        <v>2</v>
      </c>
    </row>
    <row r="2149" customFormat="false" ht="15" hidden="false" customHeight="false" outlineLevel="0" collapsed="false">
      <c r="A2149" s="12" t="s">
        <v>126</v>
      </c>
      <c r="B2149" s="12" t="s">
        <v>55</v>
      </c>
      <c r="C2149" s="12" t="s">
        <v>298</v>
      </c>
      <c r="D2149" s="12" t="str">
        <f aca="false">INDEX('Country Tiers'!$C$2:$C$37,MATCH(C2149,'Country Tiers'!$A$2:$A$37,0))</f>
        <v>Tier 1</v>
      </c>
      <c r="E2149" s="12" t="n">
        <f aca="false">INDEX('Country Tiers'!$D$2:$D$37,MATCH(C2149,'Country Tiers'!$A$2:$A$37,0))</f>
        <v>3</v>
      </c>
    </row>
    <row r="2150" customFormat="false" ht="15" hidden="false" customHeight="false" outlineLevel="0" collapsed="false">
      <c r="A2150" s="12" t="s">
        <v>126</v>
      </c>
      <c r="B2150" s="12" t="s">
        <v>55</v>
      </c>
      <c r="C2150" s="12" t="s">
        <v>299</v>
      </c>
      <c r="D2150" s="12" t="str">
        <f aca="false">INDEX('Country Tiers'!$C$2:$C$37,MATCH(C2150,'Country Tiers'!$A$2:$A$37,0))</f>
        <v>Tier 3</v>
      </c>
      <c r="E2150" s="12" t="n">
        <f aca="false">INDEX('Country Tiers'!$D$2:$D$37,MATCH(C2150,'Country Tiers'!$A$2:$A$37,0))</f>
        <v>1</v>
      </c>
    </row>
    <row r="2151" customFormat="false" ht="15" hidden="false" customHeight="false" outlineLevel="0" collapsed="false">
      <c r="A2151" s="12" t="s">
        <v>126</v>
      </c>
      <c r="B2151" s="12" t="s">
        <v>55</v>
      </c>
      <c r="C2151" s="12" t="s">
        <v>300</v>
      </c>
      <c r="D2151" s="12" t="str">
        <f aca="false">INDEX('Country Tiers'!$C$2:$C$37,MATCH(C2151,'Country Tiers'!$A$2:$A$37,0))</f>
        <v>Tier 3</v>
      </c>
      <c r="E2151" s="12" t="n">
        <f aca="false">INDEX('Country Tiers'!$D$2:$D$37,MATCH(C2151,'Country Tiers'!$A$2:$A$37,0))</f>
        <v>1</v>
      </c>
    </row>
    <row r="2152" customFormat="false" ht="15" hidden="false" customHeight="false" outlineLevel="0" collapsed="false">
      <c r="A2152" s="12" t="s">
        <v>126</v>
      </c>
      <c r="B2152" s="12" t="s">
        <v>55</v>
      </c>
      <c r="C2152" s="12" t="s">
        <v>301</v>
      </c>
      <c r="D2152" s="12" t="str">
        <f aca="false">INDEX('Country Tiers'!$C$2:$C$37,MATCH(C2152,'Country Tiers'!$A$2:$A$37,0))</f>
        <v>Tier 3</v>
      </c>
      <c r="E2152" s="12" t="n">
        <f aca="false">INDEX('Country Tiers'!$D$2:$D$37,MATCH(C2152,'Country Tiers'!$A$2:$A$37,0))</f>
        <v>1</v>
      </c>
    </row>
    <row r="2153" customFormat="false" ht="15" hidden="false" customHeight="false" outlineLevel="0" collapsed="false">
      <c r="A2153" s="12" t="s">
        <v>126</v>
      </c>
      <c r="B2153" s="12" t="s">
        <v>55</v>
      </c>
      <c r="C2153" s="12" t="s">
        <v>302</v>
      </c>
      <c r="D2153" s="12" t="str">
        <f aca="false">INDEX('Country Tiers'!$C$2:$C$37,MATCH(C2153,'Country Tiers'!$A$2:$A$37,0))</f>
        <v>Tier 3</v>
      </c>
      <c r="E2153" s="12" t="n">
        <f aca="false">INDEX('Country Tiers'!$D$2:$D$37,MATCH(C2153,'Country Tiers'!$A$2:$A$37,0))</f>
        <v>1</v>
      </c>
    </row>
    <row r="2154" customFormat="false" ht="15" hidden="false" customHeight="false" outlineLevel="0" collapsed="false">
      <c r="A2154" s="12" t="s">
        <v>126</v>
      </c>
      <c r="B2154" s="12" t="s">
        <v>55</v>
      </c>
      <c r="C2154" s="12" t="s">
        <v>305</v>
      </c>
      <c r="D2154" s="12" t="str">
        <f aca="false">INDEX('Country Tiers'!$C$2:$C$37,MATCH(C2154,'Country Tiers'!$A$2:$A$37,0))</f>
        <v>Tier 3</v>
      </c>
      <c r="E2154" s="12" t="n">
        <f aca="false">INDEX('Country Tiers'!$D$2:$D$37,MATCH(C2154,'Country Tiers'!$A$2:$A$37,0))</f>
        <v>1</v>
      </c>
    </row>
    <row r="2155" customFormat="false" ht="15" hidden="false" customHeight="false" outlineLevel="0" collapsed="false">
      <c r="A2155" s="12" t="s">
        <v>126</v>
      </c>
      <c r="B2155" s="12" t="s">
        <v>55</v>
      </c>
      <c r="C2155" s="12" t="s">
        <v>306</v>
      </c>
      <c r="D2155" s="12" t="str">
        <f aca="false">INDEX('Country Tiers'!$C$2:$C$37,MATCH(C2155,'Country Tiers'!$A$2:$A$37,0))</f>
        <v>Tier 3</v>
      </c>
      <c r="E2155" s="12" t="n">
        <f aca="false">INDEX('Country Tiers'!$D$2:$D$37,MATCH(C2155,'Country Tiers'!$A$2:$A$37,0))</f>
        <v>1</v>
      </c>
    </row>
    <row r="2156" customFormat="false" ht="15" hidden="false" customHeight="false" outlineLevel="0" collapsed="false">
      <c r="A2156" s="12" t="s">
        <v>126</v>
      </c>
      <c r="B2156" s="12" t="s">
        <v>55</v>
      </c>
      <c r="C2156" s="12" t="s">
        <v>307</v>
      </c>
      <c r="D2156" s="12" t="str">
        <f aca="false">INDEX('Country Tiers'!$C$2:$C$37,MATCH(C2156,'Country Tiers'!$A$2:$A$37,0))</f>
        <v>Tier 2</v>
      </c>
      <c r="E2156" s="12" t="n">
        <f aca="false">INDEX('Country Tiers'!$D$2:$D$37,MATCH(C2156,'Country Tiers'!$A$2:$A$37,0))</f>
        <v>2</v>
      </c>
    </row>
    <row r="2157" customFormat="false" ht="15" hidden="false" customHeight="false" outlineLevel="0" collapsed="false">
      <c r="A2157" s="12" t="s">
        <v>126</v>
      </c>
      <c r="B2157" s="12" t="s">
        <v>55</v>
      </c>
      <c r="C2157" s="12" t="s">
        <v>308</v>
      </c>
      <c r="D2157" s="12" t="str">
        <f aca="false">INDEX('Country Tiers'!$C$2:$C$37,MATCH(C2157,'Country Tiers'!$A$2:$A$37,0))</f>
        <v>Tier 3</v>
      </c>
      <c r="E2157" s="12" t="n">
        <f aca="false">INDEX('Country Tiers'!$D$2:$D$37,MATCH(C2157,'Country Tiers'!$A$2:$A$37,0))</f>
        <v>1</v>
      </c>
    </row>
    <row r="2158" customFormat="false" ht="15" hidden="false" customHeight="false" outlineLevel="0" collapsed="false">
      <c r="A2158" s="12" t="s">
        <v>126</v>
      </c>
      <c r="B2158" s="12" t="s">
        <v>55</v>
      </c>
      <c r="C2158" s="12" t="s">
        <v>313</v>
      </c>
      <c r="D2158" s="12" t="str">
        <f aca="false">INDEX('Country Tiers'!$C$2:$C$37,MATCH(C2158,'Country Tiers'!$A$2:$A$37,0))</f>
        <v>Tier 1</v>
      </c>
      <c r="E2158" s="12" t="n">
        <f aca="false">INDEX('Country Tiers'!$D$2:$D$37,MATCH(C2158,'Country Tiers'!$A$2:$A$37,0))</f>
        <v>3</v>
      </c>
    </row>
    <row r="2159" customFormat="false" ht="15" hidden="false" customHeight="false" outlineLevel="0" collapsed="false">
      <c r="A2159" s="12" t="s">
        <v>126</v>
      </c>
      <c r="B2159" s="12" t="s">
        <v>44</v>
      </c>
      <c r="C2159" s="12" t="s">
        <v>274</v>
      </c>
      <c r="D2159" s="12" t="str">
        <f aca="false">INDEX('Country Tiers'!$C$2:$C$37,MATCH(C2159,'Country Tiers'!$A$2:$A$37,0))</f>
        <v>Tier 3</v>
      </c>
      <c r="E2159" s="12" t="n">
        <f aca="false">INDEX('Country Tiers'!$D$2:$D$37,MATCH(C2159,'Country Tiers'!$A$2:$A$37,0))</f>
        <v>1</v>
      </c>
    </row>
    <row r="2160" customFormat="false" ht="15" hidden="false" customHeight="false" outlineLevel="0" collapsed="false">
      <c r="A2160" s="12" t="s">
        <v>126</v>
      </c>
      <c r="B2160" s="12" t="s">
        <v>44</v>
      </c>
      <c r="C2160" s="12" t="s">
        <v>277</v>
      </c>
      <c r="D2160" s="12" t="str">
        <f aca="false">INDEX('Country Tiers'!$C$2:$C$37,MATCH(C2160,'Country Tiers'!$A$2:$A$37,0))</f>
        <v>Tier 1</v>
      </c>
      <c r="E2160" s="12" t="n">
        <f aca="false">INDEX('Country Tiers'!$D$2:$D$37,MATCH(C2160,'Country Tiers'!$A$2:$A$37,0))</f>
        <v>3</v>
      </c>
    </row>
    <row r="2161" customFormat="false" ht="15" hidden="false" customHeight="false" outlineLevel="0" collapsed="false">
      <c r="A2161" s="12" t="s">
        <v>126</v>
      </c>
      <c r="B2161" s="12" t="s">
        <v>44</v>
      </c>
      <c r="C2161" s="12" t="s">
        <v>278</v>
      </c>
      <c r="D2161" s="12" t="str">
        <f aca="false">INDEX('Country Tiers'!$C$2:$C$37,MATCH(C2161,'Country Tiers'!$A$2:$A$37,0))</f>
        <v>Tier 3</v>
      </c>
      <c r="E2161" s="12" t="n">
        <f aca="false">INDEX('Country Tiers'!$D$2:$D$37,MATCH(C2161,'Country Tiers'!$A$2:$A$37,0))</f>
        <v>1</v>
      </c>
    </row>
    <row r="2162" customFormat="false" ht="15" hidden="false" customHeight="false" outlineLevel="0" collapsed="false">
      <c r="A2162" s="12" t="s">
        <v>126</v>
      </c>
      <c r="B2162" s="12" t="s">
        <v>44</v>
      </c>
      <c r="C2162" s="12" t="s">
        <v>280</v>
      </c>
      <c r="D2162" s="12" t="str">
        <f aca="false">INDEX('Country Tiers'!$C$2:$C$37,MATCH(C2162,'Country Tiers'!$A$2:$A$37,0))</f>
        <v>Tier 3</v>
      </c>
      <c r="E2162" s="12" t="n">
        <f aca="false">INDEX('Country Tiers'!$D$2:$D$37,MATCH(C2162,'Country Tiers'!$A$2:$A$37,0))</f>
        <v>1</v>
      </c>
    </row>
    <row r="2163" customFormat="false" ht="15" hidden="false" customHeight="false" outlineLevel="0" collapsed="false">
      <c r="A2163" s="12" t="s">
        <v>126</v>
      </c>
      <c r="B2163" s="12" t="s">
        <v>44</v>
      </c>
      <c r="C2163" s="12" t="s">
        <v>282</v>
      </c>
      <c r="D2163" s="12" t="str">
        <f aca="false">INDEX('Country Tiers'!$C$2:$C$37,MATCH(C2163,'Country Tiers'!$A$2:$A$37,0))</f>
        <v>Tier 3</v>
      </c>
      <c r="E2163" s="12" t="n">
        <f aca="false">INDEX('Country Tiers'!$D$2:$D$37,MATCH(C2163,'Country Tiers'!$A$2:$A$37,0))</f>
        <v>1</v>
      </c>
    </row>
    <row r="2164" customFormat="false" ht="15" hidden="false" customHeight="false" outlineLevel="0" collapsed="false">
      <c r="A2164" s="12" t="s">
        <v>126</v>
      </c>
      <c r="B2164" s="12" t="s">
        <v>44</v>
      </c>
      <c r="C2164" s="12" t="s">
        <v>283</v>
      </c>
      <c r="D2164" s="12" t="str">
        <f aca="false">INDEX('Country Tiers'!$C$2:$C$37,MATCH(C2164,'Country Tiers'!$A$2:$A$37,0))</f>
        <v>Tier 3</v>
      </c>
      <c r="E2164" s="12" t="n">
        <f aca="false">INDEX('Country Tiers'!$D$2:$D$37,MATCH(C2164,'Country Tiers'!$A$2:$A$37,0))</f>
        <v>1</v>
      </c>
    </row>
    <row r="2165" customFormat="false" ht="15" hidden="false" customHeight="false" outlineLevel="0" collapsed="false">
      <c r="A2165" s="12" t="s">
        <v>126</v>
      </c>
      <c r="B2165" s="12" t="s">
        <v>44</v>
      </c>
      <c r="C2165" s="12" t="s">
        <v>284</v>
      </c>
      <c r="D2165" s="12" t="str">
        <f aca="false">INDEX('Country Tiers'!$C$2:$C$37,MATCH(C2165,'Country Tiers'!$A$2:$A$37,0))</f>
        <v>Tier 3</v>
      </c>
      <c r="E2165" s="12" t="n">
        <f aca="false">INDEX('Country Tiers'!$D$2:$D$37,MATCH(C2165,'Country Tiers'!$A$2:$A$37,0))</f>
        <v>1</v>
      </c>
    </row>
    <row r="2166" customFormat="false" ht="15" hidden="false" customHeight="false" outlineLevel="0" collapsed="false">
      <c r="A2166" s="12" t="s">
        <v>126</v>
      </c>
      <c r="B2166" s="12" t="s">
        <v>44</v>
      </c>
      <c r="C2166" s="12" t="s">
        <v>285</v>
      </c>
      <c r="D2166" s="12" t="str">
        <f aca="false">INDEX('Country Tiers'!$C$2:$C$37,MATCH(C2166,'Country Tiers'!$A$2:$A$37,0))</f>
        <v>Tier 3</v>
      </c>
      <c r="E2166" s="12" t="n">
        <f aca="false">INDEX('Country Tiers'!$D$2:$D$37,MATCH(C2166,'Country Tiers'!$A$2:$A$37,0))</f>
        <v>1</v>
      </c>
    </row>
    <row r="2167" customFormat="false" ht="15" hidden="false" customHeight="false" outlineLevel="0" collapsed="false">
      <c r="A2167" s="12" t="s">
        <v>126</v>
      </c>
      <c r="B2167" s="12" t="s">
        <v>44</v>
      </c>
      <c r="C2167" s="12" t="s">
        <v>287</v>
      </c>
      <c r="D2167" s="12" t="str">
        <f aca="false">INDEX('Country Tiers'!$C$2:$C$37,MATCH(C2167,'Country Tiers'!$A$2:$A$37,0))</f>
        <v>Tier 1</v>
      </c>
      <c r="E2167" s="12" t="n">
        <f aca="false">INDEX('Country Tiers'!$D$2:$D$37,MATCH(C2167,'Country Tiers'!$A$2:$A$37,0))</f>
        <v>3</v>
      </c>
    </row>
    <row r="2168" customFormat="false" ht="15" hidden="false" customHeight="false" outlineLevel="0" collapsed="false">
      <c r="A2168" s="12" t="s">
        <v>126</v>
      </c>
      <c r="B2168" s="12" t="s">
        <v>44</v>
      </c>
      <c r="C2168" s="12" t="s">
        <v>288</v>
      </c>
      <c r="D2168" s="12" t="str">
        <f aca="false">INDEX('Country Tiers'!$C$2:$C$37,MATCH(C2168,'Country Tiers'!$A$2:$A$37,0))</f>
        <v>Tier 3</v>
      </c>
      <c r="E2168" s="12" t="n">
        <f aca="false">INDEX('Country Tiers'!$D$2:$D$37,MATCH(C2168,'Country Tiers'!$A$2:$A$37,0))</f>
        <v>1</v>
      </c>
    </row>
    <row r="2169" customFormat="false" ht="15" hidden="false" customHeight="false" outlineLevel="0" collapsed="false">
      <c r="A2169" s="12" t="s">
        <v>126</v>
      </c>
      <c r="B2169" s="12" t="s">
        <v>44</v>
      </c>
      <c r="C2169" s="12" t="s">
        <v>289</v>
      </c>
      <c r="D2169" s="12" t="str">
        <f aca="false">INDEX('Country Tiers'!$C$2:$C$37,MATCH(C2169,'Country Tiers'!$A$2:$A$37,0))</f>
        <v>Tier 3</v>
      </c>
      <c r="E2169" s="12" t="n">
        <f aca="false">INDEX('Country Tiers'!$D$2:$D$37,MATCH(C2169,'Country Tiers'!$A$2:$A$37,0))</f>
        <v>1</v>
      </c>
    </row>
    <row r="2170" customFormat="false" ht="15" hidden="false" customHeight="false" outlineLevel="0" collapsed="false">
      <c r="A2170" s="12" t="s">
        <v>126</v>
      </c>
      <c r="B2170" s="12" t="s">
        <v>44</v>
      </c>
      <c r="C2170" s="12" t="s">
        <v>290</v>
      </c>
      <c r="D2170" s="12" t="str">
        <f aca="false">INDEX('Country Tiers'!$C$2:$C$37,MATCH(C2170,'Country Tiers'!$A$2:$A$37,0))</f>
        <v>Tier 3</v>
      </c>
      <c r="E2170" s="12" t="n">
        <f aca="false">INDEX('Country Tiers'!$D$2:$D$37,MATCH(C2170,'Country Tiers'!$A$2:$A$37,0))</f>
        <v>1</v>
      </c>
    </row>
    <row r="2171" customFormat="false" ht="15" hidden="false" customHeight="false" outlineLevel="0" collapsed="false">
      <c r="A2171" s="12" t="s">
        <v>126</v>
      </c>
      <c r="B2171" s="12" t="s">
        <v>44</v>
      </c>
      <c r="C2171" s="12" t="s">
        <v>291</v>
      </c>
      <c r="D2171" s="12" t="str">
        <f aca="false">INDEX('Country Tiers'!$C$2:$C$37,MATCH(C2171,'Country Tiers'!$A$2:$A$37,0))</f>
        <v>Tier 3</v>
      </c>
      <c r="E2171" s="12" t="n">
        <f aca="false">INDEX('Country Tiers'!$D$2:$D$37,MATCH(C2171,'Country Tiers'!$A$2:$A$37,0))</f>
        <v>1</v>
      </c>
    </row>
    <row r="2172" customFormat="false" ht="15" hidden="false" customHeight="false" outlineLevel="0" collapsed="false">
      <c r="A2172" s="12" t="s">
        <v>126</v>
      </c>
      <c r="B2172" s="12" t="s">
        <v>44</v>
      </c>
      <c r="C2172" s="12" t="s">
        <v>292</v>
      </c>
      <c r="D2172" s="12" t="str">
        <f aca="false">INDEX('Country Tiers'!$C$2:$C$37,MATCH(C2172,'Country Tiers'!$A$2:$A$37,0))</f>
        <v>Tier 2</v>
      </c>
      <c r="E2172" s="12" t="n">
        <f aca="false">INDEX('Country Tiers'!$D$2:$D$37,MATCH(C2172,'Country Tiers'!$A$2:$A$37,0))</f>
        <v>2</v>
      </c>
    </row>
    <row r="2173" customFormat="false" ht="15" hidden="false" customHeight="false" outlineLevel="0" collapsed="false">
      <c r="A2173" s="12" t="s">
        <v>126</v>
      </c>
      <c r="B2173" s="12" t="s">
        <v>44</v>
      </c>
      <c r="C2173" s="12" t="s">
        <v>293</v>
      </c>
      <c r="D2173" s="12" t="str">
        <f aca="false">INDEX('Country Tiers'!$C$2:$C$37,MATCH(C2173,'Country Tiers'!$A$2:$A$37,0))</f>
        <v>Tier 3</v>
      </c>
      <c r="E2173" s="12" t="n">
        <f aca="false">INDEX('Country Tiers'!$D$2:$D$37,MATCH(C2173,'Country Tiers'!$A$2:$A$37,0))</f>
        <v>1</v>
      </c>
    </row>
    <row r="2174" customFormat="false" ht="15" hidden="false" customHeight="false" outlineLevel="0" collapsed="false">
      <c r="A2174" s="12" t="s">
        <v>126</v>
      </c>
      <c r="B2174" s="12" t="s">
        <v>44</v>
      </c>
      <c r="C2174" s="12" t="s">
        <v>294</v>
      </c>
      <c r="D2174" s="12" t="str">
        <f aca="false">INDEX('Country Tiers'!$C$2:$C$37,MATCH(C2174,'Country Tiers'!$A$2:$A$37,0))</f>
        <v>Tier 3</v>
      </c>
      <c r="E2174" s="12" t="n">
        <f aca="false">INDEX('Country Tiers'!$D$2:$D$37,MATCH(C2174,'Country Tiers'!$A$2:$A$37,0))</f>
        <v>1</v>
      </c>
    </row>
    <row r="2175" customFormat="false" ht="15" hidden="false" customHeight="false" outlineLevel="0" collapsed="false">
      <c r="A2175" s="12" t="s">
        <v>126</v>
      </c>
      <c r="B2175" s="12" t="s">
        <v>44</v>
      </c>
      <c r="C2175" s="12" t="s">
        <v>295</v>
      </c>
      <c r="D2175" s="12" t="str">
        <f aca="false">INDEX('Country Tiers'!$C$2:$C$37,MATCH(C2175,'Country Tiers'!$A$2:$A$37,0))</f>
        <v>Tier 3</v>
      </c>
      <c r="E2175" s="12" t="n">
        <f aca="false">INDEX('Country Tiers'!$D$2:$D$37,MATCH(C2175,'Country Tiers'!$A$2:$A$37,0))</f>
        <v>1</v>
      </c>
    </row>
    <row r="2176" customFormat="false" ht="15" hidden="false" customHeight="false" outlineLevel="0" collapsed="false">
      <c r="A2176" s="12" t="s">
        <v>126</v>
      </c>
      <c r="B2176" s="12" t="s">
        <v>44</v>
      </c>
      <c r="C2176" s="12" t="s">
        <v>296</v>
      </c>
      <c r="D2176" s="12" t="str">
        <f aca="false">INDEX('Country Tiers'!$C$2:$C$37,MATCH(C2176,'Country Tiers'!$A$2:$A$37,0))</f>
        <v>Tier 3</v>
      </c>
      <c r="E2176" s="12" t="n">
        <f aca="false">INDEX('Country Tiers'!$D$2:$D$37,MATCH(C2176,'Country Tiers'!$A$2:$A$37,0))</f>
        <v>1</v>
      </c>
    </row>
    <row r="2177" customFormat="false" ht="15" hidden="false" customHeight="false" outlineLevel="0" collapsed="false">
      <c r="A2177" s="12" t="s">
        <v>126</v>
      </c>
      <c r="B2177" s="12" t="s">
        <v>44</v>
      </c>
      <c r="C2177" s="12" t="s">
        <v>297</v>
      </c>
      <c r="D2177" s="12" t="str">
        <f aca="false">INDEX('Country Tiers'!$C$2:$C$37,MATCH(C2177,'Country Tiers'!$A$2:$A$37,0))</f>
        <v>Tier 2</v>
      </c>
      <c r="E2177" s="12" t="n">
        <f aca="false">INDEX('Country Tiers'!$D$2:$D$37,MATCH(C2177,'Country Tiers'!$A$2:$A$37,0))</f>
        <v>2</v>
      </c>
    </row>
    <row r="2178" customFormat="false" ht="15" hidden="false" customHeight="false" outlineLevel="0" collapsed="false">
      <c r="A2178" s="12" t="s">
        <v>126</v>
      </c>
      <c r="B2178" s="12" t="s">
        <v>44</v>
      </c>
      <c r="C2178" s="12" t="s">
        <v>298</v>
      </c>
      <c r="D2178" s="12" t="str">
        <f aca="false">INDEX('Country Tiers'!$C$2:$C$37,MATCH(C2178,'Country Tiers'!$A$2:$A$37,0))</f>
        <v>Tier 1</v>
      </c>
      <c r="E2178" s="12" t="n">
        <f aca="false">INDEX('Country Tiers'!$D$2:$D$37,MATCH(C2178,'Country Tiers'!$A$2:$A$37,0))</f>
        <v>3</v>
      </c>
    </row>
    <row r="2179" customFormat="false" ht="15" hidden="false" customHeight="false" outlineLevel="0" collapsed="false">
      <c r="A2179" s="12" t="s">
        <v>126</v>
      </c>
      <c r="B2179" s="12" t="s">
        <v>44</v>
      </c>
      <c r="C2179" s="12" t="s">
        <v>299</v>
      </c>
      <c r="D2179" s="12" t="str">
        <f aca="false">INDEX('Country Tiers'!$C$2:$C$37,MATCH(C2179,'Country Tiers'!$A$2:$A$37,0))</f>
        <v>Tier 3</v>
      </c>
      <c r="E2179" s="12" t="n">
        <f aca="false">INDEX('Country Tiers'!$D$2:$D$37,MATCH(C2179,'Country Tiers'!$A$2:$A$37,0))</f>
        <v>1</v>
      </c>
    </row>
    <row r="2180" customFormat="false" ht="15" hidden="false" customHeight="false" outlineLevel="0" collapsed="false">
      <c r="A2180" s="12" t="s">
        <v>126</v>
      </c>
      <c r="B2180" s="12" t="s">
        <v>44</v>
      </c>
      <c r="C2180" s="12" t="s">
        <v>300</v>
      </c>
      <c r="D2180" s="12" t="str">
        <f aca="false">INDEX('Country Tiers'!$C$2:$C$37,MATCH(C2180,'Country Tiers'!$A$2:$A$37,0))</f>
        <v>Tier 3</v>
      </c>
      <c r="E2180" s="12" t="n">
        <f aca="false">INDEX('Country Tiers'!$D$2:$D$37,MATCH(C2180,'Country Tiers'!$A$2:$A$37,0))</f>
        <v>1</v>
      </c>
    </row>
    <row r="2181" customFormat="false" ht="15" hidden="false" customHeight="false" outlineLevel="0" collapsed="false">
      <c r="A2181" s="12" t="s">
        <v>126</v>
      </c>
      <c r="B2181" s="12" t="s">
        <v>44</v>
      </c>
      <c r="C2181" s="12" t="s">
        <v>301</v>
      </c>
      <c r="D2181" s="12" t="str">
        <f aca="false">INDEX('Country Tiers'!$C$2:$C$37,MATCH(C2181,'Country Tiers'!$A$2:$A$37,0))</f>
        <v>Tier 3</v>
      </c>
      <c r="E2181" s="12" t="n">
        <f aca="false">INDEX('Country Tiers'!$D$2:$D$37,MATCH(C2181,'Country Tiers'!$A$2:$A$37,0))</f>
        <v>1</v>
      </c>
    </row>
    <row r="2182" customFormat="false" ht="15" hidden="false" customHeight="false" outlineLevel="0" collapsed="false">
      <c r="A2182" s="12" t="s">
        <v>126</v>
      </c>
      <c r="B2182" s="12" t="s">
        <v>44</v>
      </c>
      <c r="C2182" s="12" t="s">
        <v>302</v>
      </c>
      <c r="D2182" s="12" t="str">
        <f aca="false">INDEX('Country Tiers'!$C$2:$C$37,MATCH(C2182,'Country Tiers'!$A$2:$A$37,0))</f>
        <v>Tier 3</v>
      </c>
      <c r="E2182" s="12" t="n">
        <f aca="false">INDEX('Country Tiers'!$D$2:$D$37,MATCH(C2182,'Country Tiers'!$A$2:$A$37,0))</f>
        <v>1</v>
      </c>
    </row>
    <row r="2183" customFormat="false" ht="15" hidden="false" customHeight="false" outlineLevel="0" collapsed="false">
      <c r="A2183" s="12" t="s">
        <v>126</v>
      </c>
      <c r="B2183" s="12" t="s">
        <v>44</v>
      </c>
      <c r="C2183" s="12" t="s">
        <v>305</v>
      </c>
      <c r="D2183" s="12" t="str">
        <f aca="false">INDEX('Country Tiers'!$C$2:$C$37,MATCH(C2183,'Country Tiers'!$A$2:$A$37,0))</f>
        <v>Tier 3</v>
      </c>
      <c r="E2183" s="12" t="n">
        <f aca="false">INDEX('Country Tiers'!$D$2:$D$37,MATCH(C2183,'Country Tiers'!$A$2:$A$37,0))</f>
        <v>1</v>
      </c>
    </row>
    <row r="2184" customFormat="false" ht="15" hidden="false" customHeight="false" outlineLevel="0" collapsed="false">
      <c r="A2184" s="12" t="s">
        <v>126</v>
      </c>
      <c r="B2184" s="12" t="s">
        <v>44</v>
      </c>
      <c r="C2184" s="12" t="s">
        <v>306</v>
      </c>
      <c r="D2184" s="12" t="str">
        <f aca="false">INDEX('Country Tiers'!$C$2:$C$37,MATCH(C2184,'Country Tiers'!$A$2:$A$37,0))</f>
        <v>Tier 3</v>
      </c>
      <c r="E2184" s="12" t="n">
        <f aca="false">INDEX('Country Tiers'!$D$2:$D$37,MATCH(C2184,'Country Tiers'!$A$2:$A$37,0))</f>
        <v>1</v>
      </c>
    </row>
    <row r="2185" customFormat="false" ht="15" hidden="false" customHeight="false" outlineLevel="0" collapsed="false">
      <c r="A2185" s="12" t="s">
        <v>126</v>
      </c>
      <c r="B2185" s="12" t="s">
        <v>44</v>
      </c>
      <c r="C2185" s="12" t="s">
        <v>307</v>
      </c>
      <c r="D2185" s="12" t="str">
        <f aca="false">INDEX('Country Tiers'!$C$2:$C$37,MATCH(C2185,'Country Tiers'!$A$2:$A$37,0))</f>
        <v>Tier 2</v>
      </c>
      <c r="E2185" s="12" t="n">
        <f aca="false">INDEX('Country Tiers'!$D$2:$D$37,MATCH(C2185,'Country Tiers'!$A$2:$A$37,0))</f>
        <v>2</v>
      </c>
    </row>
    <row r="2186" customFormat="false" ht="15" hidden="false" customHeight="false" outlineLevel="0" collapsed="false">
      <c r="A2186" s="12" t="s">
        <v>126</v>
      </c>
      <c r="B2186" s="12" t="s">
        <v>44</v>
      </c>
      <c r="C2186" s="12" t="s">
        <v>308</v>
      </c>
      <c r="D2186" s="12" t="str">
        <f aca="false">INDEX('Country Tiers'!$C$2:$C$37,MATCH(C2186,'Country Tiers'!$A$2:$A$37,0))</f>
        <v>Tier 3</v>
      </c>
      <c r="E2186" s="12" t="n">
        <f aca="false">INDEX('Country Tiers'!$D$2:$D$37,MATCH(C2186,'Country Tiers'!$A$2:$A$37,0))</f>
        <v>1</v>
      </c>
    </row>
    <row r="2187" customFormat="false" ht="15" hidden="false" customHeight="false" outlineLevel="0" collapsed="false">
      <c r="A2187" s="12" t="s">
        <v>126</v>
      </c>
      <c r="B2187" s="12" t="s">
        <v>44</v>
      </c>
      <c r="C2187" s="12" t="s">
        <v>309</v>
      </c>
      <c r="D2187" s="12" t="str">
        <f aca="false">INDEX('Country Tiers'!$C$2:$C$37,MATCH(C2187,'Country Tiers'!$A$2:$A$37,0))</f>
        <v>Tier 1</v>
      </c>
      <c r="E2187" s="12" t="n">
        <f aca="false">INDEX('Country Tiers'!$D$2:$D$37,MATCH(C2187,'Country Tiers'!$A$2:$A$37,0))</f>
        <v>3</v>
      </c>
    </row>
    <row r="2188" customFormat="false" ht="15" hidden="false" customHeight="false" outlineLevel="0" collapsed="false">
      <c r="A2188" s="12" t="s">
        <v>126</v>
      </c>
      <c r="B2188" s="12" t="s">
        <v>44</v>
      </c>
      <c r="C2188" s="12" t="s">
        <v>311</v>
      </c>
      <c r="D2188" s="12" t="str">
        <f aca="false">INDEX('Country Tiers'!$C$2:$C$37,MATCH(C2188,'Country Tiers'!$A$2:$A$37,0))</f>
        <v>Tier 1</v>
      </c>
      <c r="E2188" s="12" t="n">
        <f aca="false">INDEX('Country Tiers'!$D$2:$D$37,MATCH(C2188,'Country Tiers'!$A$2:$A$37,0))</f>
        <v>3</v>
      </c>
    </row>
    <row r="2189" customFormat="false" ht="15" hidden="false" customHeight="false" outlineLevel="0" collapsed="false">
      <c r="A2189" s="12" t="s">
        <v>126</v>
      </c>
      <c r="B2189" s="12" t="s">
        <v>44</v>
      </c>
      <c r="C2189" s="12" t="s">
        <v>313</v>
      </c>
      <c r="D2189" s="12" t="str">
        <f aca="false">INDEX('Country Tiers'!$C$2:$C$37,MATCH(C2189,'Country Tiers'!$A$2:$A$37,0))</f>
        <v>Tier 1</v>
      </c>
      <c r="E2189" s="12" t="n">
        <f aca="false">INDEX('Country Tiers'!$D$2:$D$37,MATCH(C2189,'Country Tiers'!$A$2:$A$37,0))</f>
        <v>3</v>
      </c>
    </row>
    <row r="2190" customFormat="false" ht="15" hidden="false" customHeight="false" outlineLevel="0" collapsed="false">
      <c r="A2190" s="12" t="s">
        <v>127</v>
      </c>
      <c r="B2190" s="12" t="s">
        <v>44</v>
      </c>
      <c r="C2190" s="12" t="s">
        <v>274</v>
      </c>
      <c r="D2190" s="12" t="str">
        <f aca="false">INDEX('Country Tiers'!$C$2:$C$37,MATCH(C2190,'Country Tiers'!$A$2:$A$37,0))</f>
        <v>Tier 3</v>
      </c>
      <c r="E2190" s="12" t="n">
        <f aca="false">INDEX('Country Tiers'!$D$2:$D$37,MATCH(C2190,'Country Tiers'!$A$2:$A$37,0))</f>
        <v>1</v>
      </c>
    </row>
    <row r="2191" customFormat="false" ht="15" hidden="false" customHeight="false" outlineLevel="0" collapsed="false">
      <c r="A2191" s="12" t="s">
        <v>127</v>
      </c>
      <c r="B2191" s="12" t="s">
        <v>44</v>
      </c>
      <c r="C2191" s="12" t="s">
        <v>277</v>
      </c>
      <c r="D2191" s="12" t="str">
        <f aca="false">INDEX('Country Tiers'!$C$2:$C$37,MATCH(C2191,'Country Tiers'!$A$2:$A$37,0))</f>
        <v>Tier 1</v>
      </c>
      <c r="E2191" s="12" t="n">
        <f aca="false">INDEX('Country Tiers'!$D$2:$D$37,MATCH(C2191,'Country Tiers'!$A$2:$A$37,0))</f>
        <v>3</v>
      </c>
    </row>
    <row r="2192" customFormat="false" ht="15" hidden="false" customHeight="false" outlineLevel="0" collapsed="false">
      <c r="A2192" s="12" t="s">
        <v>127</v>
      </c>
      <c r="B2192" s="12" t="s">
        <v>44</v>
      </c>
      <c r="C2192" s="12" t="s">
        <v>280</v>
      </c>
      <c r="D2192" s="12" t="str">
        <f aca="false">INDEX('Country Tiers'!$C$2:$C$37,MATCH(C2192,'Country Tiers'!$A$2:$A$37,0))</f>
        <v>Tier 3</v>
      </c>
      <c r="E2192" s="12" t="n">
        <f aca="false">INDEX('Country Tiers'!$D$2:$D$37,MATCH(C2192,'Country Tiers'!$A$2:$A$37,0))</f>
        <v>1</v>
      </c>
    </row>
    <row r="2193" customFormat="false" ht="15" hidden="false" customHeight="false" outlineLevel="0" collapsed="false">
      <c r="A2193" s="12" t="s">
        <v>127</v>
      </c>
      <c r="B2193" s="12" t="s">
        <v>44</v>
      </c>
      <c r="C2193" s="12" t="s">
        <v>281</v>
      </c>
      <c r="D2193" s="12" t="str">
        <f aca="false">INDEX('Country Tiers'!$C$2:$C$37,MATCH(C2193,'Country Tiers'!$A$2:$A$37,0))</f>
        <v>Tier 3</v>
      </c>
      <c r="E2193" s="12" t="n">
        <f aca="false">INDEX('Country Tiers'!$D$2:$D$37,MATCH(C2193,'Country Tiers'!$A$2:$A$37,0))</f>
        <v>1</v>
      </c>
    </row>
    <row r="2194" customFormat="false" ht="15" hidden="false" customHeight="false" outlineLevel="0" collapsed="false">
      <c r="A2194" s="12" t="s">
        <v>127</v>
      </c>
      <c r="B2194" s="12" t="s">
        <v>44</v>
      </c>
      <c r="C2194" s="12" t="s">
        <v>282</v>
      </c>
      <c r="D2194" s="12" t="str">
        <f aca="false">INDEX('Country Tiers'!$C$2:$C$37,MATCH(C2194,'Country Tiers'!$A$2:$A$37,0))</f>
        <v>Tier 3</v>
      </c>
      <c r="E2194" s="12" t="n">
        <f aca="false">INDEX('Country Tiers'!$D$2:$D$37,MATCH(C2194,'Country Tiers'!$A$2:$A$37,0))</f>
        <v>1</v>
      </c>
    </row>
    <row r="2195" customFormat="false" ht="15" hidden="false" customHeight="false" outlineLevel="0" collapsed="false">
      <c r="A2195" s="12" t="s">
        <v>127</v>
      </c>
      <c r="B2195" s="12" t="s">
        <v>44</v>
      </c>
      <c r="C2195" s="12" t="s">
        <v>283</v>
      </c>
      <c r="D2195" s="12" t="str">
        <f aca="false">INDEX('Country Tiers'!$C$2:$C$37,MATCH(C2195,'Country Tiers'!$A$2:$A$37,0))</f>
        <v>Tier 3</v>
      </c>
      <c r="E2195" s="12" t="n">
        <f aca="false">INDEX('Country Tiers'!$D$2:$D$37,MATCH(C2195,'Country Tiers'!$A$2:$A$37,0))</f>
        <v>1</v>
      </c>
    </row>
    <row r="2196" customFormat="false" ht="15" hidden="false" customHeight="false" outlineLevel="0" collapsed="false">
      <c r="A2196" s="12" t="s">
        <v>127</v>
      </c>
      <c r="B2196" s="12" t="s">
        <v>44</v>
      </c>
      <c r="C2196" s="12" t="s">
        <v>285</v>
      </c>
      <c r="D2196" s="12" t="str">
        <f aca="false">INDEX('Country Tiers'!$C$2:$C$37,MATCH(C2196,'Country Tiers'!$A$2:$A$37,0))</f>
        <v>Tier 3</v>
      </c>
      <c r="E2196" s="12" t="n">
        <f aca="false">INDEX('Country Tiers'!$D$2:$D$37,MATCH(C2196,'Country Tiers'!$A$2:$A$37,0))</f>
        <v>1</v>
      </c>
    </row>
    <row r="2197" customFormat="false" ht="15" hidden="false" customHeight="false" outlineLevel="0" collapsed="false">
      <c r="A2197" s="12" t="s">
        <v>127</v>
      </c>
      <c r="B2197" s="12" t="s">
        <v>44</v>
      </c>
      <c r="C2197" s="12" t="s">
        <v>286</v>
      </c>
      <c r="D2197" s="12" t="str">
        <f aca="false">INDEX('Country Tiers'!$C$2:$C$37,MATCH(C2197,'Country Tiers'!$A$2:$A$37,0))</f>
        <v>Tier 1</v>
      </c>
      <c r="E2197" s="12" t="n">
        <f aca="false">INDEX('Country Tiers'!$D$2:$D$37,MATCH(C2197,'Country Tiers'!$A$2:$A$37,0))</f>
        <v>3</v>
      </c>
    </row>
    <row r="2198" customFormat="false" ht="15" hidden="false" customHeight="false" outlineLevel="0" collapsed="false">
      <c r="A2198" s="12" t="s">
        <v>127</v>
      </c>
      <c r="B2198" s="12" t="s">
        <v>44</v>
      </c>
      <c r="C2198" s="12" t="s">
        <v>287</v>
      </c>
      <c r="D2198" s="12" t="str">
        <f aca="false">INDEX('Country Tiers'!$C$2:$C$37,MATCH(C2198,'Country Tiers'!$A$2:$A$37,0))</f>
        <v>Tier 1</v>
      </c>
      <c r="E2198" s="12" t="n">
        <f aca="false">INDEX('Country Tiers'!$D$2:$D$37,MATCH(C2198,'Country Tiers'!$A$2:$A$37,0))</f>
        <v>3</v>
      </c>
    </row>
    <row r="2199" customFormat="false" ht="15" hidden="false" customHeight="false" outlineLevel="0" collapsed="false">
      <c r="A2199" s="12" t="s">
        <v>127</v>
      </c>
      <c r="B2199" s="12" t="s">
        <v>44</v>
      </c>
      <c r="C2199" s="12" t="s">
        <v>288</v>
      </c>
      <c r="D2199" s="12" t="str">
        <f aca="false">INDEX('Country Tiers'!$C$2:$C$37,MATCH(C2199,'Country Tiers'!$A$2:$A$37,0))</f>
        <v>Tier 3</v>
      </c>
      <c r="E2199" s="12" t="n">
        <f aca="false">INDEX('Country Tiers'!$D$2:$D$37,MATCH(C2199,'Country Tiers'!$A$2:$A$37,0))</f>
        <v>1</v>
      </c>
    </row>
    <row r="2200" customFormat="false" ht="15" hidden="false" customHeight="false" outlineLevel="0" collapsed="false">
      <c r="A2200" s="12" t="s">
        <v>127</v>
      </c>
      <c r="B2200" s="12" t="s">
        <v>44</v>
      </c>
      <c r="C2200" s="12" t="s">
        <v>289</v>
      </c>
      <c r="D2200" s="12" t="str">
        <f aca="false">INDEX('Country Tiers'!$C$2:$C$37,MATCH(C2200,'Country Tiers'!$A$2:$A$37,0))</f>
        <v>Tier 3</v>
      </c>
      <c r="E2200" s="12" t="n">
        <f aca="false">INDEX('Country Tiers'!$D$2:$D$37,MATCH(C2200,'Country Tiers'!$A$2:$A$37,0))</f>
        <v>1</v>
      </c>
    </row>
    <row r="2201" customFormat="false" ht="15" hidden="false" customHeight="false" outlineLevel="0" collapsed="false">
      <c r="A2201" s="12" t="s">
        <v>127</v>
      </c>
      <c r="B2201" s="12" t="s">
        <v>44</v>
      </c>
      <c r="C2201" s="12" t="s">
        <v>290</v>
      </c>
      <c r="D2201" s="12" t="str">
        <f aca="false">INDEX('Country Tiers'!$C$2:$C$37,MATCH(C2201,'Country Tiers'!$A$2:$A$37,0))</f>
        <v>Tier 3</v>
      </c>
      <c r="E2201" s="12" t="n">
        <f aca="false">INDEX('Country Tiers'!$D$2:$D$37,MATCH(C2201,'Country Tiers'!$A$2:$A$37,0))</f>
        <v>1</v>
      </c>
    </row>
    <row r="2202" customFormat="false" ht="15" hidden="false" customHeight="false" outlineLevel="0" collapsed="false">
      <c r="A2202" s="12" t="s">
        <v>127</v>
      </c>
      <c r="B2202" s="12" t="s">
        <v>44</v>
      </c>
      <c r="C2202" s="12" t="s">
        <v>291</v>
      </c>
      <c r="D2202" s="12" t="str">
        <f aca="false">INDEX('Country Tiers'!$C$2:$C$37,MATCH(C2202,'Country Tiers'!$A$2:$A$37,0))</f>
        <v>Tier 3</v>
      </c>
      <c r="E2202" s="12" t="n">
        <f aca="false">INDEX('Country Tiers'!$D$2:$D$37,MATCH(C2202,'Country Tiers'!$A$2:$A$37,0))</f>
        <v>1</v>
      </c>
    </row>
    <row r="2203" customFormat="false" ht="15" hidden="false" customHeight="false" outlineLevel="0" collapsed="false">
      <c r="A2203" s="12" t="s">
        <v>127</v>
      </c>
      <c r="B2203" s="12" t="s">
        <v>44</v>
      </c>
      <c r="C2203" s="12" t="s">
        <v>292</v>
      </c>
      <c r="D2203" s="12" t="str">
        <f aca="false">INDEX('Country Tiers'!$C$2:$C$37,MATCH(C2203,'Country Tiers'!$A$2:$A$37,0))</f>
        <v>Tier 2</v>
      </c>
      <c r="E2203" s="12" t="n">
        <f aca="false">INDEX('Country Tiers'!$D$2:$D$37,MATCH(C2203,'Country Tiers'!$A$2:$A$37,0))</f>
        <v>2</v>
      </c>
    </row>
    <row r="2204" customFormat="false" ht="15" hidden="false" customHeight="false" outlineLevel="0" collapsed="false">
      <c r="A2204" s="12" t="s">
        <v>127</v>
      </c>
      <c r="B2204" s="12" t="s">
        <v>44</v>
      </c>
      <c r="C2204" s="12" t="s">
        <v>293</v>
      </c>
      <c r="D2204" s="12" t="str">
        <f aca="false">INDEX('Country Tiers'!$C$2:$C$37,MATCH(C2204,'Country Tiers'!$A$2:$A$37,0))</f>
        <v>Tier 3</v>
      </c>
      <c r="E2204" s="12" t="n">
        <f aca="false">INDEX('Country Tiers'!$D$2:$D$37,MATCH(C2204,'Country Tiers'!$A$2:$A$37,0))</f>
        <v>1</v>
      </c>
    </row>
    <row r="2205" customFormat="false" ht="15" hidden="false" customHeight="false" outlineLevel="0" collapsed="false">
      <c r="A2205" s="12" t="s">
        <v>127</v>
      </c>
      <c r="B2205" s="12" t="s">
        <v>44</v>
      </c>
      <c r="C2205" s="12" t="s">
        <v>295</v>
      </c>
      <c r="D2205" s="12" t="str">
        <f aca="false">INDEX('Country Tiers'!$C$2:$C$37,MATCH(C2205,'Country Tiers'!$A$2:$A$37,0))</f>
        <v>Tier 3</v>
      </c>
      <c r="E2205" s="12" t="n">
        <f aca="false">INDEX('Country Tiers'!$D$2:$D$37,MATCH(C2205,'Country Tiers'!$A$2:$A$37,0))</f>
        <v>1</v>
      </c>
    </row>
    <row r="2206" customFormat="false" ht="15" hidden="false" customHeight="false" outlineLevel="0" collapsed="false">
      <c r="A2206" s="12" t="s">
        <v>127</v>
      </c>
      <c r="B2206" s="12" t="s">
        <v>44</v>
      </c>
      <c r="C2206" s="12" t="s">
        <v>296</v>
      </c>
      <c r="D2206" s="12" t="str">
        <f aca="false">INDEX('Country Tiers'!$C$2:$C$37,MATCH(C2206,'Country Tiers'!$A$2:$A$37,0))</f>
        <v>Tier 3</v>
      </c>
      <c r="E2206" s="12" t="n">
        <f aca="false">INDEX('Country Tiers'!$D$2:$D$37,MATCH(C2206,'Country Tiers'!$A$2:$A$37,0))</f>
        <v>1</v>
      </c>
    </row>
    <row r="2207" customFormat="false" ht="15" hidden="false" customHeight="false" outlineLevel="0" collapsed="false">
      <c r="A2207" s="12" t="s">
        <v>127</v>
      </c>
      <c r="B2207" s="12" t="s">
        <v>44</v>
      </c>
      <c r="C2207" s="12" t="s">
        <v>298</v>
      </c>
      <c r="D2207" s="12" t="str">
        <f aca="false">INDEX('Country Tiers'!$C$2:$C$37,MATCH(C2207,'Country Tiers'!$A$2:$A$37,0))</f>
        <v>Tier 1</v>
      </c>
      <c r="E2207" s="12" t="n">
        <f aca="false">INDEX('Country Tiers'!$D$2:$D$37,MATCH(C2207,'Country Tiers'!$A$2:$A$37,0))</f>
        <v>3</v>
      </c>
    </row>
    <row r="2208" customFormat="false" ht="15" hidden="false" customHeight="false" outlineLevel="0" collapsed="false">
      <c r="A2208" s="12" t="s">
        <v>127</v>
      </c>
      <c r="B2208" s="12" t="s">
        <v>44</v>
      </c>
      <c r="C2208" s="12" t="s">
        <v>299</v>
      </c>
      <c r="D2208" s="12" t="str">
        <f aca="false">INDEX('Country Tiers'!$C$2:$C$37,MATCH(C2208,'Country Tiers'!$A$2:$A$37,0))</f>
        <v>Tier 3</v>
      </c>
      <c r="E2208" s="12" t="n">
        <f aca="false">INDEX('Country Tiers'!$D$2:$D$37,MATCH(C2208,'Country Tiers'!$A$2:$A$37,0))</f>
        <v>1</v>
      </c>
    </row>
    <row r="2209" customFormat="false" ht="15" hidden="false" customHeight="false" outlineLevel="0" collapsed="false">
      <c r="A2209" s="12" t="s">
        <v>127</v>
      </c>
      <c r="B2209" s="12" t="s">
        <v>44</v>
      </c>
      <c r="C2209" s="12" t="s">
        <v>300</v>
      </c>
      <c r="D2209" s="12" t="str">
        <f aca="false">INDEX('Country Tiers'!$C$2:$C$37,MATCH(C2209,'Country Tiers'!$A$2:$A$37,0))</f>
        <v>Tier 3</v>
      </c>
      <c r="E2209" s="12" t="n">
        <f aca="false">INDEX('Country Tiers'!$D$2:$D$37,MATCH(C2209,'Country Tiers'!$A$2:$A$37,0))</f>
        <v>1</v>
      </c>
    </row>
    <row r="2210" customFormat="false" ht="15" hidden="false" customHeight="false" outlineLevel="0" collapsed="false">
      <c r="A2210" s="12" t="s">
        <v>127</v>
      </c>
      <c r="B2210" s="12" t="s">
        <v>44</v>
      </c>
      <c r="C2210" s="12" t="s">
        <v>301</v>
      </c>
      <c r="D2210" s="12" t="str">
        <f aca="false">INDEX('Country Tiers'!$C$2:$C$37,MATCH(C2210,'Country Tiers'!$A$2:$A$37,0))</f>
        <v>Tier 3</v>
      </c>
      <c r="E2210" s="12" t="n">
        <f aca="false">INDEX('Country Tiers'!$D$2:$D$37,MATCH(C2210,'Country Tiers'!$A$2:$A$37,0))</f>
        <v>1</v>
      </c>
    </row>
    <row r="2211" customFormat="false" ht="15" hidden="false" customHeight="false" outlineLevel="0" collapsed="false">
      <c r="A2211" s="12" t="s">
        <v>127</v>
      </c>
      <c r="B2211" s="12" t="s">
        <v>44</v>
      </c>
      <c r="C2211" s="12" t="s">
        <v>302</v>
      </c>
      <c r="D2211" s="12" t="str">
        <f aca="false">INDEX('Country Tiers'!$C$2:$C$37,MATCH(C2211,'Country Tiers'!$A$2:$A$37,0))</f>
        <v>Tier 3</v>
      </c>
      <c r="E2211" s="12" t="n">
        <f aca="false">INDEX('Country Tiers'!$D$2:$D$37,MATCH(C2211,'Country Tiers'!$A$2:$A$37,0))</f>
        <v>1</v>
      </c>
    </row>
    <row r="2212" customFormat="false" ht="15" hidden="false" customHeight="false" outlineLevel="0" collapsed="false">
      <c r="A2212" s="12" t="s">
        <v>127</v>
      </c>
      <c r="B2212" s="12" t="s">
        <v>44</v>
      </c>
      <c r="C2212" s="12" t="s">
        <v>305</v>
      </c>
      <c r="D2212" s="12" t="str">
        <f aca="false">INDEX('Country Tiers'!$C$2:$C$37,MATCH(C2212,'Country Tiers'!$A$2:$A$37,0))</f>
        <v>Tier 3</v>
      </c>
      <c r="E2212" s="12" t="n">
        <f aca="false">INDEX('Country Tiers'!$D$2:$D$37,MATCH(C2212,'Country Tiers'!$A$2:$A$37,0))</f>
        <v>1</v>
      </c>
    </row>
    <row r="2213" customFormat="false" ht="15" hidden="false" customHeight="false" outlineLevel="0" collapsed="false">
      <c r="A2213" s="12" t="s">
        <v>127</v>
      </c>
      <c r="B2213" s="12" t="s">
        <v>44</v>
      </c>
      <c r="C2213" s="12" t="s">
        <v>306</v>
      </c>
      <c r="D2213" s="12" t="str">
        <f aca="false">INDEX('Country Tiers'!$C$2:$C$37,MATCH(C2213,'Country Tiers'!$A$2:$A$37,0))</f>
        <v>Tier 3</v>
      </c>
      <c r="E2213" s="12" t="n">
        <f aca="false">INDEX('Country Tiers'!$D$2:$D$37,MATCH(C2213,'Country Tiers'!$A$2:$A$37,0))</f>
        <v>1</v>
      </c>
    </row>
    <row r="2214" customFormat="false" ht="15" hidden="false" customHeight="false" outlineLevel="0" collapsed="false">
      <c r="A2214" s="12" t="s">
        <v>127</v>
      </c>
      <c r="B2214" s="12" t="s">
        <v>44</v>
      </c>
      <c r="C2214" s="12" t="s">
        <v>307</v>
      </c>
      <c r="D2214" s="12" t="str">
        <f aca="false">INDEX('Country Tiers'!$C$2:$C$37,MATCH(C2214,'Country Tiers'!$A$2:$A$37,0))</f>
        <v>Tier 2</v>
      </c>
      <c r="E2214" s="12" t="n">
        <f aca="false">INDEX('Country Tiers'!$D$2:$D$37,MATCH(C2214,'Country Tiers'!$A$2:$A$37,0))</f>
        <v>2</v>
      </c>
    </row>
    <row r="2215" customFormat="false" ht="15" hidden="false" customHeight="false" outlineLevel="0" collapsed="false">
      <c r="A2215" s="12" t="s">
        <v>127</v>
      </c>
      <c r="B2215" s="12" t="s">
        <v>44</v>
      </c>
      <c r="C2215" s="12" t="s">
        <v>308</v>
      </c>
      <c r="D2215" s="12" t="str">
        <f aca="false">INDEX('Country Tiers'!$C$2:$C$37,MATCH(C2215,'Country Tiers'!$A$2:$A$37,0))</f>
        <v>Tier 3</v>
      </c>
      <c r="E2215" s="12" t="n">
        <f aca="false">INDEX('Country Tiers'!$D$2:$D$37,MATCH(C2215,'Country Tiers'!$A$2:$A$37,0))</f>
        <v>1</v>
      </c>
    </row>
    <row r="2216" customFormat="false" ht="15" hidden="false" customHeight="false" outlineLevel="0" collapsed="false">
      <c r="A2216" s="12" t="s">
        <v>127</v>
      </c>
      <c r="B2216" s="12" t="s">
        <v>44</v>
      </c>
      <c r="C2216" s="12" t="s">
        <v>313</v>
      </c>
      <c r="D2216" s="12" t="str">
        <f aca="false">INDEX('Country Tiers'!$C$2:$C$37,MATCH(C2216,'Country Tiers'!$A$2:$A$37,0))</f>
        <v>Tier 1</v>
      </c>
      <c r="E2216" s="12" t="n">
        <f aca="false">INDEX('Country Tiers'!$D$2:$D$37,MATCH(C2216,'Country Tiers'!$A$2:$A$37,0))</f>
        <v>3</v>
      </c>
    </row>
    <row r="2217" customFormat="false" ht="15" hidden="false" customHeight="false" outlineLevel="0" collapsed="false">
      <c r="A2217" s="12" t="s">
        <v>128</v>
      </c>
      <c r="B2217" s="12" t="s">
        <v>36</v>
      </c>
      <c r="C2217" s="12" t="s">
        <v>311</v>
      </c>
      <c r="D2217" s="12" t="str">
        <f aca="false">INDEX('Country Tiers'!$C$2:$C$37,MATCH(C2217,'Country Tiers'!$A$2:$A$37,0))</f>
        <v>Tier 1</v>
      </c>
      <c r="E2217" s="12" t="n">
        <f aca="false">INDEX('Country Tiers'!$D$2:$D$37,MATCH(C2217,'Country Tiers'!$A$2:$A$37,0))</f>
        <v>3</v>
      </c>
    </row>
    <row r="2218" customFormat="false" ht="15" hidden="false" customHeight="false" outlineLevel="0" collapsed="false">
      <c r="A2218" s="12" t="s">
        <v>129</v>
      </c>
      <c r="B2218" s="12" t="s">
        <v>36</v>
      </c>
      <c r="C2218" s="12" t="s">
        <v>303</v>
      </c>
      <c r="D2218" s="12" t="str">
        <f aca="false">INDEX('Country Tiers'!$C$2:$C$37,MATCH(C2218,'Country Tiers'!$A$2:$A$37,0))</f>
        <v>Tier 2</v>
      </c>
      <c r="E2218" s="12" t="n">
        <f aca="false">INDEX('Country Tiers'!$D$2:$D$37,MATCH(C2218,'Country Tiers'!$A$2:$A$37,0))</f>
        <v>2</v>
      </c>
    </row>
    <row r="2219" customFormat="false" ht="15" hidden="false" customHeight="false" outlineLevel="0" collapsed="false">
      <c r="A2219" s="12" t="s">
        <v>130</v>
      </c>
      <c r="B2219" s="12" t="s">
        <v>54</v>
      </c>
      <c r="C2219" s="12" t="s">
        <v>272</v>
      </c>
      <c r="D2219" s="12" t="str">
        <f aca="false">INDEX('Country Tiers'!$C$2:$C$37,MATCH(C2219,'Country Tiers'!$A$2:$A$37,0))</f>
        <v>Tier 2</v>
      </c>
      <c r="E2219" s="12" t="n">
        <f aca="false">INDEX('Country Tiers'!$D$2:$D$37,MATCH(C2219,'Country Tiers'!$A$2:$A$37,0))</f>
        <v>2</v>
      </c>
    </row>
    <row r="2220" customFormat="false" ht="15" hidden="false" customHeight="false" outlineLevel="0" collapsed="false">
      <c r="A2220" s="12" t="s">
        <v>130</v>
      </c>
      <c r="B2220" s="12" t="s">
        <v>35</v>
      </c>
      <c r="C2220" s="12" t="s">
        <v>279</v>
      </c>
      <c r="D2220" s="12" t="str">
        <f aca="false">INDEX('Country Tiers'!$C$2:$C$37,MATCH(C2220,'Country Tiers'!$A$2:$A$37,0))</f>
        <v>Tier 1</v>
      </c>
      <c r="E2220" s="12" t="n">
        <f aca="false">INDEX('Country Tiers'!$D$2:$D$37,MATCH(C2220,'Country Tiers'!$A$2:$A$37,0))</f>
        <v>3</v>
      </c>
    </row>
    <row r="2221" customFormat="false" ht="15" hidden="false" customHeight="false" outlineLevel="0" collapsed="false">
      <c r="A2221" s="12" t="s">
        <v>130</v>
      </c>
      <c r="B2221" s="12" t="s">
        <v>57</v>
      </c>
      <c r="C2221" s="12" t="s">
        <v>311</v>
      </c>
      <c r="D2221" s="12" t="str">
        <f aca="false">INDEX('Country Tiers'!$C$2:$C$37,MATCH(C2221,'Country Tiers'!$A$2:$A$37,0))</f>
        <v>Tier 1</v>
      </c>
      <c r="E2221" s="12" t="n">
        <f aca="false">INDEX('Country Tiers'!$D$2:$D$37,MATCH(C2221,'Country Tiers'!$A$2:$A$37,0))</f>
        <v>3</v>
      </c>
    </row>
    <row r="2222" customFormat="false" ht="15" hidden="false" customHeight="false" outlineLevel="0" collapsed="false">
      <c r="A2222" s="12" t="s">
        <v>130</v>
      </c>
      <c r="B2222" s="12" t="s">
        <v>65</v>
      </c>
      <c r="C2222" s="12" t="s">
        <v>272</v>
      </c>
      <c r="D2222" s="12" t="str">
        <f aca="false">INDEX('Country Tiers'!$C$2:$C$37,MATCH(C2222,'Country Tiers'!$A$2:$A$37,0))</f>
        <v>Tier 2</v>
      </c>
      <c r="E2222" s="12" t="n">
        <f aca="false">INDEX('Country Tiers'!$D$2:$D$37,MATCH(C2222,'Country Tiers'!$A$2:$A$37,0))</f>
        <v>2</v>
      </c>
    </row>
    <row r="2223" customFormat="false" ht="15" hidden="false" customHeight="false" outlineLevel="0" collapsed="false">
      <c r="A2223" s="12" t="s">
        <v>130</v>
      </c>
      <c r="B2223" s="12" t="s">
        <v>65</v>
      </c>
      <c r="C2223" s="12" t="s">
        <v>311</v>
      </c>
      <c r="D2223" s="12" t="str">
        <f aca="false">INDEX('Country Tiers'!$C$2:$C$37,MATCH(C2223,'Country Tiers'!$A$2:$A$37,0))</f>
        <v>Tier 1</v>
      </c>
      <c r="E2223" s="12" t="n">
        <f aca="false">INDEX('Country Tiers'!$D$2:$D$37,MATCH(C2223,'Country Tiers'!$A$2:$A$37,0))</f>
        <v>3</v>
      </c>
    </row>
    <row r="2224" customFormat="false" ht="15" hidden="false" customHeight="false" outlineLevel="0" collapsed="false">
      <c r="A2224" s="12" t="s">
        <v>131</v>
      </c>
      <c r="B2224" s="12" t="s">
        <v>54</v>
      </c>
      <c r="C2224" s="12" t="s">
        <v>311</v>
      </c>
      <c r="D2224" s="12" t="str">
        <f aca="false">INDEX('Country Tiers'!$C$2:$C$37,MATCH(C2224,'Country Tiers'!$A$2:$A$37,0))</f>
        <v>Tier 1</v>
      </c>
      <c r="E2224" s="12" t="n">
        <f aca="false">INDEX('Country Tiers'!$D$2:$D$37,MATCH(C2224,'Country Tiers'!$A$2:$A$37,0))</f>
        <v>3</v>
      </c>
    </row>
    <row r="2225" customFormat="false" ht="15" hidden="false" customHeight="false" outlineLevel="0" collapsed="false">
      <c r="A2225" s="12" t="s">
        <v>132</v>
      </c>
      <c r="B2225" s="12" t="s">
        <v>44</v>
      </c>
      <c r="C2225" s="12" t="s">
        <v>274</v>
      </c>
      <c r="D2225" s="12" t="str">
        <f aca="false">INDEX('Country Tiers'!$C$2:$C$37,MATCH(C2225,'Country Tiers'!$A$2:$A$37,0))</f>
        <v>Tier 3</v>
      </c>
      <c r="E2225" s="12" t="n">
        <f aca="false">INDEX('Country Tiers'!$D$2:$D$37,MATCH(C2225,'Country Tiers'!$A$2:$A$37,0))</f>
        <v>1</v>
      </c>
    </row>
    <row r="2226" customFormat="false" ht="15" hidden="false" customHeight="false" outlineLevel="0" collapsed="false">
      <c r="A2226" s="12" t="s">
        <v>132</v>
      </c>
      <c r="B2226" s="12" t="s">
        <v>44</v>
      </c>
      <c r="C2226" s="12" t="s">
        <v>280</v>
      </c>
      <c r="D2226" s="12" t="str">
        <f aca="false">INDEX('Country Tiers'!$C$2:$C$37,MATCH(C2226,'Country Tiers'!$A$2:$A$37,0))</f>
        <v>Tier 3</v>
      </c>
      <c r="E2226" s="12" t="n">
        <f aca="false">INDEX('Country Tiers'!$D$2:$D$37,MATCH(C2226,'Country Tiers'!$A$2:$A$37,0))</f>
        <v>1</v>
      </c>
    </row>
    <row r="2227" customFormat="false" ht="15" hidden="false" customHeight="false" outlineLevel="0" collapsed="false">
      <c r="A2227" s="12" t="s">
        <v>132</v>
      </c>
      <c r="B2227" s="12" t="s">
        <v>44</v>
      </c>
      <c r="C2227" s="12" t="s">
        <v>282</v>
      </c>
      <c r="D2227" s="12" t="str">
        <f aca="false">INDEX('Country Tiers'!$C$2:$C$37,MATCH(C2227,'Country Tiers'!$A$2:$A$37,0))</f>
        <v>Tier 3</v>
      </c>
      <c r="E2227" s="12" t="n">
        <f aca="false">INDEX('Country Tiers'!$D$2:$D$37,MATCH(C2227,'Country Tiers'!$A$2:$A$37,0))</f>
        <v>1</v>
      </c>
    </row>
    <row r="2228" customFormat="false" ht="15" hidden="false" customHeight="false" outlineLevel="0" collapsed="false">
      <c r="A2228" s="12" t="s">
        <v>132</v>
      </c>
      <c r="B2228" s="12" t="s">
        <v>44</v>
      </c>
      <c r="C2228" s="12" t="s">
        <v>283</v>
      </c>
      <c r="D2228" s="12" t="str">
        <f aca="false">INDEX('Country Tiers'!$C$2:$C$37,MATCH(C2228,'Country Tiers'!$A$2:$A$37,0))</f>
        <v>Tier 3</v>
      </c>
      <c r="E2228" s="12" t="n">
        <f aca="false">INDEX('Country Tiers'!$D$2:$D$37,MATCH(C2228,'Country Tiers'!$A$2:$A$37,0))</f>
        <v>1</v>
      </c>
    </row>
    <row r="2229" customFormat="false" ht="15" hidden="false" customHeight="false" outlineLevel="0" collapsed="false">
      <c r="A2229" s="12" t="s">
        <v>132</v>
      </c>
      <c r="B2229" s="12" t="s">
        <v>44</v>
      </c>
      <c r="C2229" s="12" t="s">
        <v>285</v>
      </c>
      <c r="D2229" s="12" t="str">
        <f aca="false">INDEX('Country Tiers'!$C$2:$C$37,MATCH(C2229,'Country Tiers'!$A$2:$A$37,0))</f>
        <v>Tier 3</v>
      </c>
      <c r="E2229" s="12" t="n">
        <f aca="false">INDEX('Country Tiers'!$D$2:$D$37,MATCH(C2229,'Country Tiers'!$A$2:$A$37,0))</f>
        <v>1</v>
      </c>
    </row>
    <row r="2230" customFormat="false" ht="15" hidden="false" customHeight="false" outlineLevel="0" collapsed="false">
      <c r="A2230" s="12" t="s">
        <v>132</v>
      </c>
      <c r="B2230" s="12" t="s">
        <v>44</v>
      </c>
      <c r="C2230" s="12" t="s">
        <v>286</v>
      </c>
      <c r="D2230" s="12" t="str">
        <f aca="false">INDEX('Country Tiers'!$C$2:$C$37,MATCH(C2230,'Country Tiers'!$A$2:$A$37,0))</f>
        <v>Tier 1</v>
      </c>
      <c r="E2230" s="12" t="n">
        <f aca="false">INDEX('Country Tiers'!$D$2:$D$37,MATCH(C2230,'Country Tiers'!$A$2:$A$37,0))</f>
        <v>3</v>
      </c>
    </row>
    <row r="2231" customFormat="false" ht="15" hidden="false" customHeight="false" outlineLevel="0" collapsed="false">
      <c r="A2231" s="12" t="s">
        <v>132</v>
      </c>
      <c r="B2231" s="12" t="s">
        <v>44</v>
      </c>
      <c r="C2231" s="12" t="s">
        <v>287</v>
      </c>
      <c r="D2231" s="12" t="str">
        <f aca="false">INDEX('Country Tiers'!$C$2:$C$37,MATCH(C2231,'Country Tiers'!$A$2:$A$37,0))</f>
        <v>Tier 1</v>
      </c>
      <c r="E2231" s="12" t="n">
        <f aca="false">INDEX('Country Tiers'!$D$2:$D$37,MATCH(C2231,'Country Tiers'!$A$2:$A$37,0))</f>
        <v>3</v>
      </c>
    </row>
    <row r="2232" customFormat="false" ht="15" hidden="false" customHeight="false" outlineLevel="0" collapsed="false">
      <c r="A2232" s="12" t="s">
        <v>132</v>
      </c>
      <c r="B2232" s="12" t="s">
        <v>44</v>
      </c>
      <c r="C2232" s="12" t="s">
        <v>288</v>
      </c>
      <c r="D2232" s="12" t="str">
        <f aca="false">INDEX('Country Tiers'!$C$2:$C$37,MATCH(C2232,'Country Tiers'!$A$2:$A$37,0))</f>
        <v>Tier 3</v>
      </c>
      <c r="E2232" s="12" t="n">
        <f aca="false">INDEX('Country Tiers'!$D$2:$D$37,MATCH(C2232,'Country Tiers'!$A$2:$A$37,0))</f>
        <v>1</v>
      </c>
    </row>
    <row r="2233" customFormat="false" ht="15" hidden="false" customHeight="false" outlineLevel="0" collapsed="false">
      <c r="A2233" s="12" t="s">
        <v>132</v>
      </c>
      <c r="B2233" s="12" t="s">
        <v>44</v>
      </c>
      <c r="C2233" s="12" t="s">
        <v>289</v>
      </c>
      <c r="D2233" s="12" t="str">
        <f aca="false">INDEX('Country Tiers'!$C$2:$C$37,MATCH(C2233,'Country Tiers'!$A$2:$A$37,0))</f>
        <v>Tier 3</v>
      </c>
      <c r="E2233" s="12" t="n">
        <f aca="false">INDEX('Country Tiers'!$D$2:$D$37,MATCH(C2233,'Country Tiers'!$A$2:$A$37,0))</f>
        <v>1</v>
      </c>
    </row>
    <row r="2234" customFormat="false" ht="15" hidden="false" customHeight="false" outlineLevel="0" collapsed="false">
      <c r="A2234" s="12" t="s">
        <v>132</v>
      </c>
      <c r="B2234" s="12" t="s">
        <v>44</v>
      </c>
      <c r="C2234" s="12" t="s">
        <v>290</v>
      </c>
      <c r="D2234" s="12" t="str">
        <f aca="false">INDEX('Country Tiers'!$C$2:$C$37,MATCH(C2234,'Country Tiers'!$A$2:$A$37,0))</f>
        <v>Tier 3</v>
      </c>
      <c r="E2234" s="12" t="n">
        <f aca="false">INDEX('Country Tiers'!$D$2:$D$37,MATCH(C2234,'Country Tiers'!$A$2:$A$37,0))</f>
        <v>1</v>
      </c>
    </row>
    <row r="2235" customFormat="false" ht="15" hidden="false" customHeight="false" outlineLevel="0" collapsed="false">
      <c r="A2235" s="12" t="s">
        <v>132</v>
      </c>
      <c r="B2235" s="12" t="s">
        <v>44</v>
      </c>
      <c r="C2235" s="12" t="s">
        <v>291</v>
      </c>
      <c r="D2235" s="12" t="str">
        <f aca="false">INDEX('Country Tiers'!$C$2:$C$37,MATCH(C2235,'Country Tiers'!$A$2:$A$37,0))</f>
        <v>Tier 3</v>
      </c>
      <c r="E2235" s="12" t="n">
        <f aca="false">INDEX('Country Tiers'!$D$2:$D$37,MATCH(C2235,'Country Tiers'!$A$2:$A$37,0))</f>
        <v>1</v>
      </c>
    </row>
    <row r="2236" customFormat="false" ht="15" hidden="false" customHeight="false" outlineLevel="0" collapsed="false">
      <c r="A2236" s="12" t="s">
        <v>132</v>
      </c>
      <c r="B2236" s="12" t="s">
        <v>44</v>
      </c>
      <c r="C2236" s="12" t="s">
        <v>292</v>
      </c>
      <c r="D2236" s="12" t="str">
        <f aca="false">INDEX('Country Tiers'!$C$2:$C$37,MATCH(C2236,'Country Tiers'!$A$2:$A$37,0))</f>
        <v>Tier 2</v>
      </c>
      <c r="E2236" s="12" t="n">
        <f aca="false">INDEX('Country Tiers'!$D$2:$D$37,MATCH(C2236,'Country Tiers'!$A$2:$A$37,0))</f>
        <v>2</v>
      </c>
    </row>
    <row r="2237" customFormat="false" ht="15" hidden="false" customHeight="false" outlineLevel="0" collapsed="false">
      <c r="A2237" s="12" t="s">
        <v>132</v>
      </c>
      <c r="B2237" s="12" t="s">
        <v>44</v>
      </c>
      <c r="C2237" s="12" t="s">
        <v>293</v>
      </c>
      <c r="D2237" s="12" t="str">
        <f aca="false">INDEX('Country Tiers'!$C$2:$C$37,MATCH(C2237,'Country Tiers'!$A$2:$A$37,0))</f>
        <v>Tier 3</v>
      </c>
      <c r="E2237" s="12" t="n">
        <f aca="false">INDEX('Country Tiers'!$D$2:$D$37,MATCH(C2237,'Country Tiers'!$A$2:$A$37,0))</f>
        <v>1</v>
      </c>
    </row>
    <row r="2238" customFormat="false" ht="15" hidden="false" customHeight="false" outlineLevel="0" collapsed="false">
      <c r="A2238" s="12" t="s">
        <v>132</v>
      </c>
      <c r="B2238" s="12" t="s">
        <v>44</v>
      </c>
      <c r="C2238" s="12" t="s">
        <v>294</v>
      </c>
      <c r="D2238" s="12" t="str">
        <f aca="false">INDEX('Country Tiers'!$C$2:$C$37,MATCH(C2238,'Country Tiers'!$A$2:$A$37,0))</f>
        <v>Tier 3</v>
      </c>
      <c r="E2238" s="12" t="n">
        <f aca="false">INDEX('Country Tiers'!$D$2:$D$37,MATCH(C2238,'Country Tiers'!$A$2:$A$37,0))</f>
        <v>1</v>
      </c>
    </row>
    <row r="2239" customFormat="false" ht="15" hidden="false" customHeight="false" outlineLevel="0" collapsed="false">
      <c r="A2239" s="12" t="s">
        <v>132</v>
      </c>
      <c r="B2239" s="12" t="s">
        <v>44</v>
      </c>
      <c r="C2239" s="12" t="s">
        <v>297</v>
      </c>
      <c r="D2239" s="12" t="str">
        <f aca="false">INDEX('Country Tiers'!$C$2:$C$37,MATCH(C2239,'Country Tiers'!$A$2:$A$37,0))</f>
        <v>Tier 2</v>
      </c>
      <c r="E2239" s="12" t="n">
        <f aca="false">INDEX('Country Tiers'!$D$2:$D$37,MATCH(C2239,'Country Tiers'!$A$2:$A$37,0))</f>
        <v>2</v>
      </c>
    </row>
    <row r="2240" customFormat="false" ht="15" hidden="false" customHeight="false" outlineLevel="0" collapsed="false">
      <c r="A2240" s="12" t="s">
        <v>132</v>
      </c>
      <c r="B2240" s="12" t="s">
        <v>44</v>
      </c>
      <c r="C2240" s="12" t="s">
        <v>298</v>
      </c>
      <c r="D2240" s="12" t="str">
        <f aca="false">INDEX('Country Tiers'!$C$2:$C$37,MATCH(C2240,'Country Tiers'!$A$2:$A$37,0))</f>
        <v>Tier 1</v>
      </c>
      <c r="E2240" s="12" t="n">
        <f aca="false">INDEX('Country Tiers'!$D$2:$D$37,MATCH(C2240,'Country Tiers'!$A$2:$A$37,0))</f>
        <v>3</v>
      </c>
    </row>
    <row r="2241" customFormat="false" ht="15" hidden="false" customHeight="false" outlineLevel="0" collapsed="false">
      <c r="A2241" s="12" t="s">
        <v>132</v>
      </c>
      <c r="B2241" s="12" t="s">
        <v>44</v>
      </c>
      <c r="C2241" s="12" t="s">
        <v>299</v>
      </c>
      <c r="D2241" s="12" t="str">
        <f aca="false">INDEX('Country Tiers'!$C$2:$C$37,MATCH(C2241,'Country Tiers'!$A$2:$A$37,0))</f>
        <v>Tier 3</v>
      </c>
      <c r="E2241" s="12" t="n">
        <f aca="false">INDEX('Country Tiers'!$D$2:$D$37,MATCH(C2241,'Country Tiers'!$A$2:$A$37,0))</f>
        <v>1</v>
      </c>
    </row>
    <row r="2242" customFormat="false" ht="15" hidden="false" customHeight="false" outlineLevel="0" collapsed="false">
      <c r="A2242" s="12" t="s">
        <v>132</v>
      </c>
      <c r="B2242" s="12" t="s">
        <v>44</v>
      </c>
      <c r="C2242" s="12" t="s">
        <v>300</v>
      </c>
      <c r="D2242" s="12" t="str">
        <f aca="false">INDEX('Country Tiers'!$C$2:$C$37,MATCH(C2242,'Country Tiers'!$A$2:$A$37,0))</f>
        <v>Tier 3</v>
      </c>
      <c r="E2242" s="12" t="n">
        <f aca="false">INDEX('Country Tiers'!$D$2:$D$37,MATCH(C2242,'Country Tiers'!$A$2:$A$37,0))</f>
        <v>1</v>
      </c>
    </row>
    <row r="2243" customFormat="false" ht="15" hidden="false" customHeight="false" outlineLevel="0" collapsed="false">
      <c r="A2243" s="12" t="s">
        <v>132</v>
      </c>
      <c r="B2243" s="12" t="s">
        <v>44</v>
      </c>
      <c r="C2243" s="12" t="s">
        <v>302</v>
      </c>
      <c r="D2243" s="12" t="str">
        <f aca="false">INDEX('Country Tiers'!$C$2:$C$37,MATCH(C2243,'Country Tiers'!$A$2:$A$37,0))</f>
        <v>Tier 3</v>
      </c>
      <c r="E2243" s="12" t="n">
        <f aca="false">INDEX('Country Tiers'!$D$2:$D$37,MATCH(C2243,'Country Tiers'!$A$2:$A$37,0))</f>
        <v>1</v>
      </c>
    </row>
    <row r="2244" customFormat="false" ht="15" hidden="false" customHeight="false" outlineLevel="0" collapsed="false">
      <c r="A2244" s="12" t="s">
        <v>132</v>
      </c>
      <c r="B2244" s="12" t="s">
        <v>44</v>
      </c>
      <c r="C2244" s="12" t="s">
        <v>305</v>
      </c>
      <c r="D2244" s="12" t="str">
        <f aca="false">INDEX('Country Tiers'!$C$2:$C$37,MATCH(C2244,'Country Tiers'!$A$2:$A$37,0))</f>
        <v>Tier 3</v>
      </c>
      <c r="E2244" s="12" t="n">
        <f aca="false">INDEX('Country Tiers'!$D$2:$D$37,MATCH(C2244,'Country Tiers'!$A$2:$A$37,0))</f>
        <v>1</v>
      </c>
    </row>
    <row r="2245" customFormat="false" ht="15" hidden="false" customHeight="false" outlineLevel="0" collapsed="false">
      <c r="A2245" s="12" t="s">
        <v>132</v>
      </c>
      <c r="B2245" s="12" t="s">
        <v>44</v>
      </c>
      <c r="C2245" s="12" t="s">
        <v>306</v>
      </c>
      <c r="D2245" s="12" t="str">
        <f aca="false">INDEX('Country Tiers'!$C$2:$C$37,MATCH(C2245,'Country Tiers'!$A$2:$A$37,0))</f>
        <v>Tier 3</v>
      </c>
      <c r="E2245" s="12" t="n">
        <f aca="false">INDEX('Country Tiers'!$D$2:$D$37,MATCH(C2245,'Country Tiers'!$A$2:$A$37,0))</f>
        <v>1</v>
      </c>
    </row>
    <row r="2246" customFormat="false" ht="15" hidden="false" customHeight="false" outlineLevel="0" collapsed="false">
      <c r="A2246" s="12" t="s">
        <v>132</v>
      </c>
      <c r="B2246" s="12" t="s">
        <v>44</v>
      </c>
      <c r="C2246" s="12" t="s">
        <v>307</v>
      </c>
      <c r="D2246" s="12" t="str">
        <f aca="false">INDEX('Country Tiers'!$C$2:$C$37,MATCH(C2246,'Country Tiers'!$A$2:$A$37,0))</f>
        <v>Tier 2</v>
      </c>
      <c r="E2246" s="12" t="n">
        <f aca="false">INDEX('Country Tiers'!$D$2:$D$37,MATCH(C2246,'Country Tiers'!$A$2:$A$37,0))</f>
        <v>2</v>
      </c>
    </row>
    <row r="2247" customFormat="false" ht="15" hidden="false" customHeight="false" outlineLevel="0" collapsed="false">
      <c r="A2247" s="12" t="s">
        <v>132</v>
      </c>
      <c r="B2247" s="12" t="s">
        <v>44</v>
      </c>
      <c r="C2247" s="12" t="s">
        <v>308</v>
      </c>
      <c r="D2247" s="12" t="str">
        <f aca="false">INDEX('Country Tiers'!$C$2:$C$37,MATCH(C2247,'Country Tiers'!$A$2:$A$37,0))</f>
        <v>Tier 3</v>
      </c>
      <c r="E2247" s="12" t="n">
        <f aca="false">INDEX('Country Tiers'!$D$2:$D$37,MATCH(C2247,'Country Tiers'!$A$2:$A$37,0))</f>
        <v>1</v>
      </c>
    </row>
    <row r="2248" customFormat="false" ht="15" hidden="false" customHeight="false" outlineLevel="0" collapsed="false">
      <c r="A2248" s="12" t="s">
        <v>132</v>
      </c>
      <c r="B2248" s="12" t="s">
        <v>44</v>
      </c>
      <c r="C2248" s="12" t="s">
        <v>309</v>
      </c>
      <c r="D2248" s="12" t="str">
        <f aca="false">INDEX('Country Tiers'!$C$2:$C$37,MATCH(C2248,'Country Tiers'!$A$2:$A$37,0))</f>
        <v>Tier 1</v>
      </c>
      <c r="E2248" s="12" t="n">
        <f aca="false">INDEX('Country Tiers'!$D$2:$D$37,MATCH(C2248,'Country Tiers'!$A$2:$A$37,0))</f>
        <v>3</v>
      </c>
    </row>
    <row r="2249" customFormat="false" ht="15" hidden="false" customHeight="false" outlineLevel="0" collapsed="false">
      <c r="A2249" s="12" t="s">
        <v>133</v>
      </c>
      <c r="B2249" s="12" t="s">
        <v>65</v>
      </c>
      <c r="C2249" s="12" t="s">
        <v>272</v>
      </c>
      <c r="D2249" s="12" t="str">
        <f aca="false">INDEX('Country Tiers'!$C$2:$C$37,MATCH(C2249,'Country Tiers'!$A$2:$A$37,0))</f>
        <v>Tier 2</v>
      </c>
      <c r="E2249" s="12" t="n">
        <f aca="false">INDEX('Country Tiers'!$D$2:$D$37,MATCH(C2249,'Country Tiers'!$A$2:$A$37,0))</f>
        <v>2</v>
      </c>
    </row>
    <row r="2250" customFormat="false" ht="15" hidden="false" customHeight="false" outlineLevel="0" collapsed="false">
      <c r="A2250" s="12" t="s">
        <v>133</v>
      </c>
      <c r="B2250" s="12" t="s">
        <v>115</v>
      </c>
      <c r="C2250" s="12" t="s">
        <v>274</v>
      </c>
      <c r="D2250" s="12" t="str">
        <f aca="false">INDEX('Country Tiers'!$C$2:$C$37,MATCH(C2250,'Country Tiers'!$A$2:$A$37,0))</f>
        <v>Tier 3</v>
      </c>
      <c r="E2250" s="12" t="n">
        <f aca="false">INDEX('Country Tiers'!$D$2:$D$37,MATCH(C2250,'Country Tiers'!$A$2:$A$37,0))</f>
        <v>1</v>
      </c>
    </row>
    <row r="2251" customFormat="false" ht="15" hidden="false" customHeight="false" outlineLevel="0" collapsed="false">
      <c r="A2251" s="12" t="s">
        <v>133</v>
      </c>
      <c r="B2251" s="12" t="s">
        <v>115</v>
      </c>
      <c r="C2251" s="12" t="s">
        <v>277</v>
      </c>
      <c r="D2251" s="12" t="str">
        <f aca="false">INDEX('Country Tiers'!$C$2:$C$37,MATCH(C2251,'Country Tiers'!$A$2:$A$37,0))</f>
        <v>Tier 1</v>
      </c>
      <c r="E2251" s="12" t="n">
        <f aca="false">INDEX('Country Tiers'!$D$2:$D$37,MATCH(C2251,'Country Tiers'!$A$2:$A$37,0))</f>
        <v>3</v>
      </c>
    </row>
    <row r="2252" customFormat="false" ht="15" hidden="false" customHeight="false" outlineLevel="0" collapsed="false">
      <c r="A2252" s="12" t="s">
        <v>133</v>
      </c>
      <c r="B2252" s="12" t="s">
        <v>115</v>
      </c>
      <c r="C2252" s="12" t="s">
        <v>278</v>
      </c>
      <c r="D2252" s="12" t="str">
        <f aca="false">INDEX('Country Tiers'!$C$2:$C$37,MATCH(C2252,'Country Tiers'!$A$2:$A$37,0))</f>
        <v>Tier 3</v>
      </c>
      <c r="E2252" s="12" t="n">
        <f aca="false">INDEX('Country Tiers'!$D$2:$D$37,MATCH(C2252,'Country Tiers'!$A$2:$A$37,0))</f>
        <v>1</v>
      </c>
    </row>
    <row r="2253" customFormat="false" ht="15" hidden="false" customHeight="false" outlineLevel="0" collapsed="false">
      <c r="A2253" s="12" t="s">
        <v>133</v>
      </c>
      <c r="B2253" s="12" t="s">
        <v>115</v>
      </c>
      <c r="C2253" s="12" t="s">
        <v>280</v>
      </c>
      <c r="D2253" s="12" t="str">
        <f aca="false">INDEX('Country Tiers'!$C$2:$C$37,MATCH(C2253,'Country Tiers'!$A$2:$A$37,0))</f>
        <v>Tier 3</v>
      </c>
      <c r="E2253" s="12" t="n">
        <f aca="false">INDEX('Country Tiers'!$D$2:$D$37,MATCH(C2253,'Country Tiers'!$A$2:$A$37,0))</f>
        <v>1</v>
      </c>
    </row>
    <row r="2254" customFormat="false" ht="15" hidden="false" customHeight="false" outlineLevel="0" collapsed="false">
      <c r="A2254" s="12" t="s">
        <v>133</v>
      </c>
      <c r="B2254" s="12" t="s">
        <v>115</v>
      </c>
      <c r="C2254" s="12" t="s">
        <v>281</v>
      </c>
      <c r="D2254" s="12" t="str">
        <f aca="false">INDEX('Country Tiers'!$C$2:$C$37,MATCH(C2254,'Country Tiers'!$A$2:$A$37,0))</f>
        <v>Tier 3</v>
      </c>
      <c r="E2254" s="12" t="n">
        <f aca="false">INDEX('Country Tiers'!$D$2:$D$37,MATCH(C2254,'Country Tiers'!$A$2:$A$37,0))</f>
        <v>1</v>
      </c>
    </row>
    <row r="2255" customFormat="false" ht="15" hidden="false" customHeight="false" outlineLevel="0" collapsed="false">
      <c r="A2255" s="12" t="s">
        <v>133</v>
      </c>
      <c r="B2255" s="12" t="s">
        <v>115</v>
      </c>
      <c r="C2255" s="12" t="s">
        <v>282</v>
      </c>
      <c r="D2255" s="12" t="str">
        <f aca="false">INDEX('Country Tiers'!$C$2:$C$37,MATCH(C2255,'Country Tiers'!$A$2:$A$37,0))</f>
        <v>Tier 3</v>
      </c>
      <c r="E2255" s="12" t="n">
        <f aca="false">INDEX('Country Tiers'!$D$2:$D$37,MATCH(C2255,'Country Tiers'!$A$2:$A$37,0))</f>
        <v>1</v>
      </c>
    </row>
    <row r="2256" customFormat="false" ht="15" hidden="false" customHeight="false" outlineLevel="0" collapsed="false">
      <c r="A2256" s="12" t="s">
        <v>133</v>
      </c>
      <c r="B2256" s="12" t="s">
        <v>115</v>
      </c>
      <c r="C2256" s="12" t="s">
        <v>283</v>
      </c>
      <c r="D2256" s="12" t="str">
        <f aca="false">INDEX('Country Tiers'!$C$2:$C$37,MATCH(C2256,'Country Tiers'!$A$2:$A$37,0))</f>
        <v>Tier 3</v>
      </c>
      <c r="E2256" s="12" t="n">
        <f aca="false">INDEX('Country Tiers'!$D$2:$D$37,MATCH(C2256,'Country Tiers'!$A$2:$A$37,0))</f>
        <v>1</v>
      </c>
    </row>
    <row r="2257" customFormat="false" ht="15" hidden="false" customHeight="false" outlineLevel="0" collapsed="false">
      <c r="A2257" s="12" t="s">
        <v>133</v>
      </c>
      <c r="B2257" s="12" t="s">
        <v>115</v>
      </c>
      <c r="C2257" s="12" t="s">
        <v>284</v>
      </c>
      <c r="D2257" s="12" t="str">
        <f aca="false">INDEX('Country Tiers'!$C$2:$C$37,MATCH(C2257,'Country Tiers'!$A$2:$A$37,0))</f>
        <v>Tier 3</v>
      </c>
      <c r="E2257" s="12" t="n">
        <f aca="false">INDEX('Country Tiers'!$D$2:$D$37,MATCH(C2257,'Country Tiers'!$A$2:$A$37,0))</f>
        <v>1</v>
      </c>
    </row>
    <row r="2258" customFormat="false" ht="15" hidden="false" customHeight="false" outlineLevel="0" collapsed="false">
      <c r="A2258" s="12" t="s">
        <v>133</v>
      </c>
      <c r="B2258" s="12" t="s">
        <v>115</v>
      </c>
      <c r="C2258" s="12" t="s">
        <v>285</v>
      </c>
      <c r="D2258" s="12" t="str">
        <f aca="false">INDEX('Country Tiers'!$C$2:$C$37,MATCH(C2258,'Country Tiers'!$A$2:$A$37,0))</f>
        <v>Tier 3</v>
      </c>
      <c r="E2258" s="12" t="n">
        <f aca="false">INDEX('Country Tiers'!$D$2:$D$37,MATCH(C2258,'Country Tiers'!$A$2:$A$37,0))</f>
        <v>1</v>
      </c>
    </row>
    <row r="2259" customFormat="false" ht="15" hidden="false" customHeight="false" outlineLevel="0" collapsed="false">
      <c r="A2259" s="12" t="s">
        <v>133</v>
      </c>
      <c r="B2259" s="12" t="s">
        <v>115</v>
      </c>
      <c r="C2259" s="12" t="s">
        <v>286</v>
      </c>
      <c r="D2259" s="12" t="str">
        <f aca="false">INDEX('Country Tiers'!$C$2:$C$37,MATCH(C2259,'Country Tiers'!$A$2:$A$37,0))</f>
        <v>Tier 1</v>
      </c>
      <c r="E2259" s="12" t="n">
        <f aca="false">INDEX('Country Tiers'!$D$2:$D$37,MATCH(C2259,'Country Tiers'!$A$2:$A$37,0))</f>
        <v>3</v>
      </c>
    </row>
    <row r="2260" customFormat="false" ht="15" hidden="false" customHeight="false" outlineLevel="0" collapsed="false">
      <c r="A2260" s="12" t="s">
        <v>133</v>
      </c>
      <c r="B2260" s="12" t="s">
        <v>115</v>
      </c>
      <c r="C2260" s="12" t="s">
        <v>287</v>
      </c>
      <c r="D2260" s="12" t="str">
        <f aca="false">INDEX('Country Tiers'!$C$2:$C$37,MATCH(C2260,'Country Tiers'!$A$2:$A$37,0))</f>
        <v>Tier 1</v>
      </c>
      <c r="E2260" s="12" t="n">
        <f aca="false">INDEX('Country Tiers'!$D$2:$D$37,MATCH(C2260,'Country Tiers'!$A$2:$A$37,0))</f>
        <v>3</v>
      </c>
    </row>
    <row r="2261" customFormat="false" ht="15" hidden="false" customHeight="false" outlineLevel="0" collapsed="false">
      <c r="A2261" s="12" t="s">
        <v>133</v>
      </c>
      <c r="B2261" s="12" t="s">
        <v>115</v>
      </c>
      <c r="C2261" s="12" t="s">
        <v>288</v>
      </c>
      <c r="D2261" s="12" t="str">
        <f aca="false">INDEX('Country Tiers'!$C$2:$C$37,MATCH(C2261,'Country Tiers'!$A$2:$A$37,0))</f>
        <v>Tier 3</v>
      </c>
      <c r="E2261" s="12" t="n">
        <f aca="false">INDEX('Country Tiers'!$D$2:$D$37,MATCH(C2261,'Country Tiers'!$A$2:$A$37,0))</f>
        <v>1</v>
      </c>
    </row>
    <row r="2262" customFormat="false" ht="15" hidden="false" customHeight="false" outlineLevel="0" collapsed="false">
      <c r="A2262" s="12" t="s">
        <v>133</v>
      </c>
      <c r="B2262" s="12" t="s">
        <v>115</v>
      </c>
      <c r="C2262" s="12" t="s">
        <v>289</v>
      </c>
      <c r="D2262" s="12" t="str">
        <f aca="false">INDEX('Country Tiers'!$C$2:$C$37,MATCH(C2262,'Country Tiers'!$A$2:$A$37,0))</f>
        <v>Tier 3</v>
      </c>
      <c r="E2262" s="12" t="n">
        <f aca="false">INDEX('Country Tiers'!$D$2:$D$37,MATCH(C2262,'Country Tiers'!$A$2:$A$37,0))</f>
        <v>1</v>
      </c>
    </row>
    <row r="2263" customFormat="false" ht="15" hidden="false" customHeight="false" outlineLevel="0" collapsed="false">
      <c r="A2263" s="12" t="s">
        <v>133</v>
      </c>
      <c r="B2263" s="12" t="s">
        <v>115</v>
      </c>
      <c r="C2263" s="12" t="s">
        <v>290</v>
      </c>
      <c r="D2263" s="12" t="str">
        <f aca="false">INDEX('Country Tiers'!$C$2:$C$37,MATCH(C2263,'Country Tiers'!$A$2:$A$37,0))</f>
        <v>Tier 3</v>
      </c>
      <c r="E2263" s="12" t="n">
        <f aca="false">INDEX('Country Tiers'!$D$2:$D$37,MATCH(C2263,'Country Tiers'!$A$2:$A$37,0))</f>
        <v>1</v>
      </c>
    </row>
    <row r="2264" customFormat="false" ht="15" hidden="false" customHeight="false" outlineLevel="0" collapsed="false">
      <c r="A2264" s="12" t="s">
        <v>133</v>
      </c>
      <c r="B2264" s="12" t="s">
        <v>115</v>
      </c>
      <c r="C2264" s="12" t="s">
        <v>291</v>
      </c>
      <c r="D2264" s="12" t="str">
        <f aca="false">INDEX('Country Tiers'!$C$2:$C$37,MATCH(C2264,'Country Tiers'!$A$2:$A$37,0))</f>
        <v>Tier 3</v>
      </c>
      <c r="E2264" s="12" t="n">
        <f aca="false">INDEX('Country Tiers'!$D$2:$D$37,MATCH(C2264,'Country Tiers'!$A$2:$A$37,0))</f>
        <v>1</v>
      </c>
    </row>
    <row r="2265" customFormat="false" ht="15" hidden="false" customHeight="false" outlineLevel="0" collapsed="false">
      <c r="A2265" s="12" t="s">
        <v>133</v>
      </c>
      <c r="B2265" s="12" t="s">
        <v>115</v>
      </c>
      <c r="C2265" s="12" t="s">
        <v>292</v>
      </c>
      <c r="D2265" s="12" t="str">
        <f aca="false">INDEX('Country Tiers'!$C$2:$C$37,MATCH(C2265,'Country Tiers'!$A$2:$A$37,0))</f>
        <v>Tier 2</v>
      </c>
      <c r="E2265" s="12" t="n">
        <f aca="false">INDEX('Country Tiers'!$D$2:$D$37,MATCH(C2265,'Country Tiers'!$A$2:$A$37,0))</f>
        <v>2</v>
      </c>
    </row>
    <row r="2266" customFormat="false" ht="15" hidden="false" customHeight="false" outlineLevel="0" collapsed="false">
      <c r="A2266" s="12" t="s">
        <v>133</v>
      </c>
      <c r="B2266" s="12" t="s">
        <v>115</v>
      </c>
      <c r="C2266" s="12" t="s">
        <v>293</v>
      </c>
      <c r="D2266" s="12" t="str">
        <f aca="false">INDEX('Country Tiers'!$C$2:$C$37,MATCH(C2266,'Country Tiers'!$A$2:$A$37,0))</f>
        <v>Tier 3</v>
      </c>
      <c r="E2266" s="12" t="n">
        <f aca="false">INDEX('Country Tiers'!$D$2:$D$37,MATCH(C2266,'Country Tiers'!$A$2:$A$37,0))</f>
        <v>1</v>
      </c>
    </row>
    <row r="2267" customFormat="false" ht="15" hidden="false" customHeight="false" outlineLevel="0" collapsed="false">
      <c r="A2267" s="12" t="s">
        <v>133</v>
      </c>
      <c r="B2267" s="12" t="s">
        <v>115</v>
      </c>
      <c r="C2267" s="12" t="s">
        <v>294</v>
      </c>
      <c r="D2267" s="12" t="str">
        <f aca="false">INDEX('Country Tiers'!$C$2:$C$37,MATCH(C2267,'Country Tiers'!$A$2:$A$37,0))</f>
        <v>Tier 3</v>
      </c>
      <c r="E2267" s="12" t="n">
        <f aca="false">INDEX('Country Tiers'!$D$2:$D$37,MATCH(C2267,'Country Tiers'!$A$2:$A$37,0))</f>
        <v>1</v>
      </c>
    </row>
    <row r="2268" customFormat="false" ht="15" hidden="false" customHeight="false" outlineLevel="0" collapsed="false">
      <c r="A2268" s="12" t="s">
        <v>133</v>
      </c>
      <c r="B2268" s="12" t="s">
        <v>115</v>
      </c>
      <c r="C2268" s="12" t="s">
        <v>295</v>
      </c>
      <c r="D2268" s="12" t="str">
        <f aca="false">INDEX('Country Tiers'!$C$2:$C$37,MATCH(C2268,'Country Tiers'!$A$2:$A$37,0))</f>
        <v>Tier 3</v>
      </c>
      <c r="E2268" s="12" t="n">
        <f aca="false">INDEX('Country Tiers'!$D$2:$D$37,MATCH(C2268,'Country Tiers'!$A$2:$A$37,0))</f>
        <v>1</v>
      </c>
    </row>
    <row r="2269" customFormat="false" ht="15" hidden="false" customHeight="false" outlineLevel="0" collapsed="false">
      <c r="A2269" s="12" t="s">
        <v>133</v>
      </c>
      <c r="B2269" s="12" t="s">
        <v>115</v>
      </c>
      <c r="C2269" s="12" t="s">
        <v>296</v>
      </c>
      <c r="D2269" s="12" t="str">
        <f aca="false">INDEX('Country Tiers'!$C$2:$C$37,MATCH(C2269,'Country Tiers'!$A$2:$A$37,0))</f>
        <v>Tier 3</v>
      </c>
      <c r="E2269" s="12" t="n">
        <f aca="false">INDEX('Country Tiers'!$D$2:$D$37,MATCH(C2269,'Country Tiers'!$A$2:$A$37,0))</f>
        <v>1</v>
      </c>
    </row>
    <row r="2270" customFormat="false" ht="15" hidden="false" customHeight="false" outlineLevel="0" collapsed="false">
      <c r="A2270" s="12" t="s">
        <v>133</v>
      </c>
      <c r="B2270" s="12" t="s">
        <v>115</v>
      </c>
      <c r="C2270" s="12" t="s">
        <v>297</v>
      </c>
      <c r="D2270" s="12" t="str">
        <f aca="false">INDEX('Country Tiers'!$C$2:$C$37,MATCH(C2270,'Country Tiers'!$A$2:$A$37,0))</f>
        <v>Tier 2</v>
      </c>
      <c r="E2270" s="12" t="n">
        <f aca="false">INDEX('Country Tiers'!$D$2:$D$37,MATCH(C2270,'Country Tiers'!$A$2:$A$37,0))</f>
        <v>2</v>
      </c>
    </row>
    <row r="2271" customFormat="false" ht="15" hidden="false" customHeight="false" outlineLevel="0" collapsed="false">
      <c r="A2271" s="12" t="s">
        <v>133</v>
      </c>
      <c r="B2271" s="12" t="s">
        <v>115</v>
      </c>
      <c r="C2271" s="12" t="s">
        <v>298</v>
      </c>
      <c r="D2271" s="12" t="str">
        <f aca="false">INDEX('Country Tiers'!$C$2:$C$37,MATCH(C2271,'Country Tiers'!$A$2:$A$37,0))</f>
        <v>Tier 1</v>
      </c>
      <c r="E2271" s="12" t="n">
        <f aca="false">INDEX('Country Tiers'!$D$2:$D$37,MATCH(C2271,'Country Tiers'!$A$2:$A$37,0))</f>
        <v>3</v>
      </c>
    </row>
    <row r="2272" customFormat="false" ht="15" hidden="false" customHeight="false" outlineLevel="0" collapsed="false">
      <c r="A2272" s="12" t="s">
        <v>133</v>
      </c>
      <c r="B2272" s="12" t="s">
        <v>115</v>
      </c>
      <c r="C2272" s="12" t="s">
        <v>299</v>
      </c>
      <c r="D2272" s="12" t="str">
        <f aca="false">INDEX('Country Tiers'!$C$2:$C$37,MATCH(C2272,'Country Tiers'!$A$2:$A$37,0))</f>
        <v>Tier 3</v>
      </c>
      <c r="E2272" s="12" t="n">
        <f aca="false">INDEX('Country Tiers'!$D$2:$D$37,MATCH(C2272,'Country Tiers'!$A$2:$A$37,0))</f>
        <v>1</v>
      </c>
    </row>
    <row r="2273" customFormat="false" ht="15" hidden="false" customHeight="false" outlineLevel="0" collapsed="false">
      <c r="A2273" s="12" t="s">
        <v>133</v>
      </c>
      <c r="B2273" s="12" t="s">
        <v>115</v>
      </c>
      <c r="C2273" s="12" t="s">
        <v>300</v>
      </c>
      <c r="D2273" s="12" t="str">
        <f aca="false">INDEX('Country Tiers'!$C$2:$C$37,MATCH(C2273,'Country Tiers'!$A$2:$A$37,0))</f>
        <v>Tier 3</v>
      </c>
      <c r="E2273" s="12" t="n">
        <f aca="false">INDEX('Country Tiers'!$D$2:$D$37,MATCH(C2273,'Country Tiers'!$A$2:$A$37,0))</f>
        <v>1</v>
      </c>
    </row>
    <row r="2274" customFormat="false" ht="15" hidden="false" customHeight="false" outlineLevel="0" collapsed="false">
      <c r="A2274" s="12" t="s">
        <v>133</v>
      </c>
      <c r="B2274" s="12" t="s">
        <v>115</v>
      </c>
      <c r="C2274" s="12" t="s">
        <v>301</v>
      </c>
      <c r="D2274" s="12" t="str">
        <f aca="false">INDEX('Country Tiers'!$C$2:$C$37,MATCH(C2274,'Country Tiers'!$A$2:$A$37,0))</f>
        <v>Tier 3</v>
      </c>
      <c r="E2274" s="12" t="n">
        <f aca="false">INDEX('Country Tiers'!$D$2:$D$37,MATCH(C2274,'Country Tiers'!$A$2:$A$37,0))</f>
        <v>1</v>
      </c>
    </row>
    <row r="2275" customFormat="false" ht="15" hidden="false" customHeight="false" outlineLevel="0" collapsed="false">
      <c r="A2275" s="12" t="s">
        <v>133</v>
      </c>
      <c r="B2275" s="12" t="s">
        <v>115</v>
      </c>
      <c r="C2275" s="12" t="s">
        <v>302</v>
      </c>
      <c r="D2275" s="12" t="str">
        <f aca="false">INDEX('Country Tiers'!$C$2:$C$37,MATCH(C2275,'Country Tiers'!$A$2:$A$37,0))</f>
        <v>Tier 3</v>
      </c>
      <c r="E2275" s="12" t="n">
        <f aca="false">INDEX('Country Tiers'!$D$2:$D$37,MATCH(C2275,'Country Tiers'!$A$2:$A$37,0))</f>
        <v>1</v>
      </c>
    </row>
    <row r="2276" customFormat="false" ht="15" hidden="false" customHeight="false" outlineLevel="0" collapsed="false">
      <c r="A2276" s="12" t="s">
        <v>133</v>
      </c>
      <c r="B2276" s="12" t="s">
        <v>115</v>
      </c>
      <c r="C2276" s="12" t="s">
        <v>305</v>
      </c>
      <c r="D2276" s="12" t="str">
        <f aca="false">INDEX('Country Tiers'!$C$2:$C$37,MATCH(C2276,'Country Tiers'!$A$2:$A$37,0))</f>
        <v>Tier 3</v>
      </c>
      <c r="E2276" s="12" t="n">
        <f aca="false">INDEX('Country Tiers'!$D$2:$D$37,MATCH(C2276,'Country Tiers'!$A$2:$A$37,0))</f>
        <v>1</v>
      </c>
    </row>
    <row r="2277" customFormat="false" ht="15" hidden="false" customHeight="false" outlineLevel="0" collapsed="false">
      <c r="A2277" s="12" t="s">
        <v>133</v>
      </c>
      <c r="B2277" s="12" t="s">
        <v>115</v>
      </c>
      <c r="C2277" s="12" t="s">
        <v>306</v>
      </c>
      <c r="D2277" s="12" t="str">
        <f aca="false">INDEX('Country Tiers'!$C$2:$C$37,MATCH(C2277,'Country Tiers'!$A$2:$A$37,0))</f>
        <v>Tier 3</v>
      </c>
      <c r="E2277" s="12" t="n">
        <f aca="false">INDEX('Country Tiers'!$D$2:$D$37,MATCH(C2277,'Country Tiers'!$A$2:$A$37,0))</f>
        <v>1</v>
      </c>
    </row>
    <row r="2278" customFormat="false" ht="15" hidden="false" customHeight="false" outlineLevel="0" collapsed="false">
      <c r="A2278" s="12" t="s">
        <v>133</v>
      </c>
      <c r="B2278" s="12" t="s">
        <v>115</v>
      </c>
      <c r="C2278" s="12" t="s">
        <v>307</v>
      </c>
      <c r="D2278" s="12" t="str">
        <f aca="false">INDEX('Country Tiers'!$C$2:$C$37,MATCH(C2278,'Country Tiers'!$A$2:$A$37,0))</f>
        <v>Tier 2</v>
      </c>
      <c r="E2278" s="12" t="n">
        <f aca="false">INDEX('Country Tiers'!$D$2:$D$37,MATCH(C2278,'Country Tiers'!$A$2:$A$37,0))</f>
        <v>2</v>
      </c>
    </row>
    <row r="2279" customFormat="false" ht="15" hidden="false" customHeight="false" outlineLevel="0" collapsed="false">
      <c r="A2279" s="12" t="s">
        <v>133</v>
      </c>
      <c r="B2279" s="12" t="s">
        <v>115</v>
      </c>
      <c r="C2279" s="12" t="s">
        <v>308</v>
      </c>
      <c r="D2279" s="12" t="str">
        <f aca="false">INDEX('Country Tiers'!$C$2:$C$37,MATCH(C2279,'Country Tiers'!$A$2:$A$37,0))</f>
        <v>Tier 3</v>
      </c>
      <c r="E2279" s="12" t="n">
        <f aca="false">INDEX('Country Tiers'!$D$2:$D$37,MATCH(C2279,'Country Tiers'!$A$2:$A$37,0))</f>
        <v>1</v>
      </c>
    </row>
    <row r="2280" customFormat="false" ht="15" hidden="false" customHeight="false" outlineLevel="0" collapsed="false">
      <c r="A2280" s="12" t="s">
        <v>133</v>
      </c>
      <c r="B2280" s="12" t="s">
        <v>115</v>
      </c>
      <c r="C2280" s="12" t="s">
        <v>313</v>
      </c>
      <c r="D2280" s="12" t="str">
        <f aca="false">INDEX('Country Tiers'!$C$2:$C$37,MATCH(C2280,'Country Tiers'!$A$2:$A$37,0))</f>
        <v>Tier 1</v>
      </c>
      <c r="E2280" s="12" t="n">
        <f aca="false">INDEX('Country Tiers'!$D$2:$D$37,MATCH(C2280,'Country Tiers'!$A$2:$A$37,0))</f>
        <v>3</v>
      </c>
    </row>
    <row r="2281" customFormat="false" ht="15" hidden="false" customHeight="false" outlineLevel="0" collapsed="false">
      <c r="A2281" s="12" t="s">
        <v>134</v>
      </c>
      <c r="B2281" s="12" t="s">
        <v>57</v>
      </c>
      <c r="C2281" s="12" t="s">
        <v>311</v>
      </c>
      <c r="D2281" s="12" t="str">
        <f aca="false">INDEX('Country Tiers'!$C$2:$C$37,MATCH(C2281,'Country Tiers'!$A$2:$A$37,0))</f>
        <v>Tier 1</v>
      </c>
      <c r="E2281" s="12" t="n">
        <f aca="false">INDEX('Country Tiers'!$D$2:$D$37,MATCH(C2281,'Country Tiers'!$A$2:$A$37,0))</f>
        <v>3</v>
      </c>
    </row>
    <row r="2282" customFormat="false" ht="15" hidden="false" customHeight="false" outlineLevel="0" collapsed="false">
      <c r="A2282" s="12" t="s">
        <v>134</v>
      </c>
      <c r="B2282" s="12" t="s">
        <v>44</v>
      </c>
      <c r="C2282" s="12" t="s">
        <v>272</v>
      </c>
      <c r="D2282" s="12" t="str">
        <f aca="false">INDEX('Country Tiers'!$C$2:$C$37,MATCH(C2282,'Country Tiers'!$A$2:$A$37,0))</f>
        <v>Tier 2</v>
      </c>
      <c r="E2282" s="12" t="n">
        <f aca="false">INDEX('Country Tiers'!$D$2:$D$37,MATCH(C2282,'Country Tiers'!$A$2:$A$37,0))</f>
        <v>2</v>
      </c>
    </row>
    <row r="2283" customFormat="false" ht="15" hidden="false" customHeight="false" outlineLevel="0" collapsed="false">
      <c r="A2283" s="12" t="s">
        <v>135</v>
      </c>
      <c r="B2283" s="12" t="s">
        <v>65</v>
      </c>
      <c r="C2283" s="12" t="s">
        <v>311</v>
      </c>
      <c r="D2283" s="12" t="str">
        <f aca="false">INDEX('Country Tiers'!$C$2:$C$37,MATCH(C2283,'Country Tiers'!$A$2:$A$37,0))</f>
        <v>Tier 1</v>
      </c>
      <c r="E2283" s="12" t="n">
        <f aca="false">INDEX('Country Tiers'!$D$2:$D$37,MATCH(C2283,'Country Tiers'!$A$2:$A$37,0))</f>
        <v>3</v>
      </c>
    </row>
    <row r="2284" customFormat="false" ht="15" hidden="false" customHeight="false" outlineLevel="0" collapsed="false">
      <c r="A2284" s="12" t="s">
        <v>136</v>
      </c>
      <c r="B2284" s="12" t="s">
        <v>57</v>
      </c>
      <c r="C2284" s="12" t="s">
        <v>311</v>
      </c>
      <c r="D2284" s="12" t="str">
        <f aca="false">INDEX('Country Tiers'!$C$2:$C$37,MATCH(C2284,'Country Tiers'!$A$2:$A$37,0))</f>
        <v>Tier 1</v>
      </c>
      <c r="E2284" s="12" t="n">
        <f aca="false">INDEX('Country Tiers'!$D$2:$D$37,MATCH(C2284,'Country Tiers'!$A$2:$A$37,0))</f>
        <v>3</v>
      </c>
    </row>
    <row r="2285" customFormat="false" ht="15" hidden="false" customHeight="false" outlineLevel="0" collapsed="false">
      <c r="A2285" s="12" t="s">
        <v>137</v>
      </c>
      <c r="B2285" s="12" t="s">
        <v>54</v>
      </c>
      <c r="C2285" s="12" t="s">
        <v>303</v>
      </c>
      <c r="D2285" s="12" t="str">
        <f aca="false">INDEX('Country Tiers'!$C$2:$C$37,MATCH(C2285,'Country Tiers'!$A$2:$A$37,0))</f>
        <v>Tier 2</v>
      </c>
      <c r="E2285" s="12" t="n">
        <f aca="false">INDEX('Country Tiers'!$D$2:$D$37,MATCH(C2285,'Country Tiers'!$A$2:$A$37,0))</f>
        <v>2</v>
      </c>
    </row>
    <row r="2286" customFormat="false" ht="15" hidden="false" customHeight="false" outlineLevel="0" collapsed="false">
      <c r="A2286" s="12" t="s">
        <v>138</v>
      </c>
      <c r="B2286" s="12" t="s">
        <v>47</v>
      </c>
      <c r="C2286" s="12" t="s">
        <v>311</v>
      </c>
      <c r="D2286" s="12" t="str">
        <f aca="false">INDEX('Country Tiers'!$C$2:$C$37,MATCH(C2286,'Country Tiers'!$A$2:$A$37,0))</f>
        <v>Tier 1</v>
      </c>
      <c r="E2286" s="12" t="n">
        <f aca="false">INDEX('Country Tiers'!$D$2:$D$37,MATCH(C2286,'Country Tiers'!$A$2:$A$37,0))</f>
        <v>3</v>
      </c>
    </row>
    <row r="2287" customFormat="false" ht="15" hidden="false" customHeight="false" outlineLevel="0" collapsed="false">
      <c r="A2287" s="12" t="s">
        <v>138</v>
      </c>
      <c r="B2287" s="12" t="s">
        <v>54</v>
      </c>
      <c r="C2287" s="12" t="s">
        <v>272</v>
      </c>
      <c r="D2287" s="12" t="str">
        <f aca="false">INDEX('Country Tiers'!$C$2:$C$37,MATCH(C2287,'Country Tiers'!$A$2:$A$37,0))</f>
        <v>Tier 2</v>
      </c>
      <c r="E2287" s="12" t="n">
        <f aca="false">INDEX('Country Tiers'!$D$2:$D$37,MATCH(C2287,'Country Tiers'!$A$2:$A$37,0))</f>
        <v>2</v>
      </c>
    </row>
    <row r="2288" customFormat="false" ht="15" hidden="false" customHeight="false" outlineLevel="0" collapsed="false">
      <c r="A2288" s="12" t="s">
        <v>139</v>
      </c>
      <c r="B2288" s="12" t="s">
        <v>47</v>
      </c>
      <c r="C2288" s="12" t="s">
        <v>274</v>
      </c>
      <c r="D2288" s="12" t="str">
        <f aca="false">INDEX('Country Tiers'!$C$2:$C$37,MATCH(C2288,'Country Tiers'!$A$2:$A$37,0))</f>
        <v>Tier 3</v>
      </c>
      <c r="E2288" s="12" t="n">
        <f aca="false">INDEX('Country Tiers'!$D$2:$D$37,MATCH(C2288,'Country Tiers'!$A$2:$A$37,0))</f>
        <v>1</v>
      </c>
    </row>
    <row r="2289" customFormat="false" ht="15" hidden="false" customHeight="false" outlineLevel="0" collapsed="false">
      <c r="A2289" s="12" t="s">
        <v>139</v>
      </c>
      <c r="B2289" s="12" t="s">
        <v>47</v>
      </c>
      <c r="C2289" s="12" t="s">
        <v>277</v>
      </c>
      <c r="D2289" s="12" t="str">
        <f aca="false">INDEX('Country Tiers'!$C$2:$C$37,MATCH(C2289,'Country Tiers'!$A$2:$A$37,0))</f>
        <v>Tier 1</v>
      </c>
      <c r="E2289" s="12" t="n">
        <f aca="false">INDEX('Country Tiers'!$D$2:$D$37,MATCH(C2289,'Country Tiers'!$A$2:$A$37,0))</f>
        <v>3</v>
      </c>
    </row>
    <row r="2290" customFormat="false" ht="15" hidden="false" customHeight="false" outlineLevel="0" collapsed="false">
      <c r="A2290" s="12" t="s">
        <v>139</v>
      </c>
      <c r="B2290" s="12" t="s">
        <v>47</v>
      </c>
      <c r="C2290" s="12" t="s">
        <v>280</v>
      </c>
      <c r="D2290" s="12" t="str">
        <f aca="false">INDEX('Country Tiers'!$C$2:$C$37,MATCH(C2290,'Country Tiers'!$A$2:$A$37,0))</f>
        <v>Tier 3</v>
      </c>
      <c r="E2290" s="12" t="n">
        <f aca="false">INDEX('Country Tiers'!$D$2:$D$37,MATCH(C2290,'Country Tiers'!$A$2:$A$37,0))</f>
        <v>1</v>
      </c>
    </row>
    <row r="2291" customFormat="false" ht="15" hidden="false" customHeight="false" outlineLevel="0" collapsed="false">
      <c r="A2291" s="12" t="s">
        <v>139</v>
      </c>
      <c r="B2291" s="12" t="s">
        <v>47</v>
      </c>
      <c r="C2291" s="12" t="s">
        <v>281</v>
      </c>
      <c r="D2291" s="12" t="str">
        <f aca="false">INDEX('Country Tiers'!$C$2:$C$37,MATCH(C2291,'Country Tiers'!$A$2:$A$37,0))</f>
        <v>Tier 3</v>
      </c>
      <c r="E2291" s="12" t="n">
        <f aca="false">INDEX('Country Tiers'!$D$2:$D$37,MATCH(C2291,'Country Tiers'!$A$2:$A$37,0))</f>
        <v>1</v>
      </c>
    </row>
    <row r="2292" customFormat="false" ht="15" hidden="false" customHeight="false" outlineLevel="0" collapsed="false">
      <c r="A2292" s="12" t="s">
        <v>139</v>
      </c>
      <c r="B2292" s="12" t="s">
        <v>47</v>
      </c>
      <c r="C2292" s="12" t="s">
        <v>282</v>
      </c>
      <c r="D2292" s="12" t="str">
        <f aca="false">INDEX('Country Tiers'!$C$2:$C$37,MATCH(C2292,'Country Tiers'!$A$2:$A$37,0))</f>
        <v>Tier 3</v>
      </c>
      <c r="E2292" s="12" t="n">
        <f aca="false">INDEX('Country Tiers'!$D$2:$D$37,MATCH(C2292,'Country Tiers'!$A$2:$A$37,0))</f>
        <v>1</v>
      </c>
    </row>
    <row r="2293" customFormat="false" ht="15" hidden="false" customHeight="false" outlineLevel="0" collapsed="false">
      <c r="A2293" s="12" t="s">
        <v>139</v>
      </c>
      <c r="B2293" s="12" t="s">
        <v>47</v>
      </c>
      <c r="C2293" s="12" t="s">
        <v>283</v>
      </c>
      <c r="D2293" s="12" t="str">
        <f aca="false">INDEX('Country Tiers'!$C$2:$C$37,MATCH(C2293,'Country Tiers'!$A$2:$A$37,0))</f>
        <v>Tier 3</v>
      </c>
      <c r="E2293" s="12" t="n">
        <f aca="false">INDEX('Country Tiers'!$D$2:$D$37,MATCH(C2293,'Country Tiers'!$A$2:$A$37,0))</f>
        <v>1</v>
      </c>
    </row>
    <row r="2294" customFormat="false" ht="15" hidden="false" customHeight="false" outlineLevel="0" collapsed="false">
      <c r="A2294" s="12" t="s">
        <v>139</v>
      </c>
      <c r="B2294" s="12" t="s">
        <v>47</v>
      </c>
      <c r="C2294" s="12" t="s">
        <v>284</v>
      </c>
      <c r="D2294" s="12" t="str">
        <f aca="false">INDEX('Country Tiers'!$C$2:$C$37,MATCH(C2294,'Country Tiers'!$A$2:$A$37,0))</f>
        <v>Tier 3</v>
      </c>
      <c r="E2294" s="12" t="n">
        <f aca="false">INDEX('Country Tiers'!$D$2:$D$37,MATCH(C2294,'Country Tiers'!$A$2:$A$37,0))</f>
        <v>1</v>
      </c>
    </row>
    <row r="2295" customFormat="false" ht="15" hidden="false" customHeight="false" outlineLevel="0" collapsed="false">
      <c r="A2295" s="12" t="s">
        <v>139</v>
      </c>
      <c r="B2295" s="12" t="s">
        <v>47</v>
      </c>
      <c r="C2295" s="12" t="s">
        <v>285</v>
      </c>
      <c r="D2295" s="12" t="str">
        <f aca="false">INDEX('Country Tiers'!$C$2:$C$37,MATCH(C2295,'Country Tiers'!$A$2:$A$37,0))</f>
        <v>Tier 3</v>
      </c>
      <c r="E2295" s="12" t="n">
        <f aca="false">INDEX('Country Tiers'!$D$2:$D$37,MATCH(C2295,'Country Tiers'!$A$2:$A$37,0))</f>
        <v>1</v>
      </c>
    </row>
    <row r="2296" customFormat="false" ht="15" hidden="false" customHeight="false" outlineLevel="0" collapsed="false">
      <c r="A2296" s="12" t="s">
        <v>139</v>
      </c>
      <c r="B2296" s="12" t="s">
        <v>47</v>
      </c>
      <c r="C2296" s="12" t="s">
        <v>286</v>
      </c>
      <c r="D2296" s="12" t="str">
        <f aca="false">INDEX('Country Tiers'!$C$2:$C$37,MATCH(C2296,'Country Tiers'!$A$2:$A$37,0))</f>
        <v>Tier 1</v>
      </c>
      <c r="E2296" s="12" t="n">
        <f aca="false">INDEX('Country Tiers'!$D$2:$D$37,MATCH(C2296,'Country Tiers'!$A$2:$A$37,0))</f>
        <v>3</v>
      </c>
    </row>
    <row r="2297" customFormat="false" ht="15" hidden="false" customHeight="false" outlineLevel="0" collapsed="false">
      <c r="A2297" s="12" t="s">
        <v>139</v>
      </c>
      <c r="B2297" s="12" t="s">
        <v>47</v>
      </c>
      <c r="C2297" s="12" t="s">
        <v>287</v>
      </c>
      <c r="D2297" s="12" t="str">
        <f aca="false">INDEX('Country Tiers'!$C$2:$C$37,MATCH(C2297,'Country Tiers'!$A$2:$A$37,0))</f>
        <v>Tier 1</v>
      </c>
      <c r="E2297" s="12" t="n">
        <f aca="false">INDEX('Country Tiers'!$D$2:$D$37,MATCH(C2297,'Country Tiers'!$A$2:$A$37,0))</f>
        <v>3</v>
      </c>
    </row>
    <row r="2298" customFormat="false" ht="15" hidden="false" customHeight="false" outlineLevel="0" collapsed="false">
      <c r="A2298" s="12" t="s">
        <v>139</v>
      </c>
      <c r="B2298" s="12" t="s">
        <v>47</v>
      </c>
      <c r="C2298" s="12" t="s">
        <v>288</v>
      </c>
      <c r="D2298" s="12" t="str">
        <f aca="false">INDEX('Country Tiers'!$C$2:$C$37,MATCH(C2298,'Country Tiers'!$A$2:$A$37,0))</f>
        <v>Tier 3</v>
      </c>
      <c r="E2298" s="12" t="n">
        <f aca="false">INDEX('Country Tiers'!$D$2:$D$37,MATCH(C2298,'Country Tiers'!$A$2:$A$37,0))</f>
        <v>1</v>
      </c>
    </row>
    <row r="2299" customFormat="false" ht="15" hidden="false" customHeight="false" outlineLevel="0" collapsed="false">
      <c r="A2299" s="12" t="s">
        <v>139</v>
      </c>
      <c r="B2299" s="12" t="s">
        <v>47</v>
      </c>
      <c r="C2299" s="12" t="s">
        <v>290</v>
      </c>
      <c r="D2299" s="12" t="str">
        <f aca="false">INDEX('Country Tiers'!$C$2:$C$37,MATCH(C2299,'Country Tiers'!$A$2:$A$37,0))</f>
        <v>Tier 3</v>
      </c>
      <c r="E2299" s="12" t="n">
        <f aca="false">INDEX('Country Tiers'!$D$2:$D$37,MATCH(C2299,'Country Tiers'!$A$2:$A$37,0))</f>
        <v>1</v>
      </c>
    </row>
    <row r="2300" customFormat="false" ht="15" hidden="false" customHeight="false" outlineLevel="0" collapsed="false">
      <c r="A2300" s="12" t="s">
        <v>139</v>
      </c>
      <c r="B2300" s="12" t="s">
        <v>47</v>
      </c>
      <c r="C2300" s="12" t="s">
        <v>291</v>
      </c>
      <c r="D2300" s="12" t="str">
        <f aca="false">INDEX('Country Tiers'!$C$2:$C$37,MATCH(C2300,'Country Tiers'!$A$2:$A$37,0))</f>
        <v>Tier 3</v>
      </c>
      <c r="E2300" s="12" t="n">
        <f aca="false">INDEX('Country Tiers'!$D$2:$D$37,MATCH(C2300,'Country Tiers'!$A$2:$A$37,0))</f>
        <v>1</v>
      </c>
    </row>
    <row r="2301" customFormat="false" ht="15" hidden="false" customHeight="false" outlineLevel="0" collapsed="false">
      <c r="A2301" s="12" t="s">
        <v>139</v>
      </c>
      <c r="B2301" s="12" t="s">
        <v>47</v>
      </c>
      <c r="C2301" s="12" t="s">
        <v>292</v>
      </c>
      <c r="D2301" s="12" t="str">
        <f aca="false">INDEX('Country Tiers'!$C$2:$C$37,MATCH(C2301,'Country Tiers'!$A$2:$A$37,0))</f>
        <v>Tier 2</v>
      </c>
      <c r="E2301" s="12" t="n">
        <f aca="false">INDEX('Country Tiers'!$D$2:$D$37,MATCH(C2301,'Country Tiers'!$A$2:$A$37,0))</f>
        <v>2</v>
      </c>
    </row>
    <row r="2302" customFormat="false" ht="15" hidden="false" customHeight="false" outlineLevel="0" collapsed="false">
      <c r="A2302" s="12" t="s">
        <v>139</v>
      </c>
      <c r="B2302" s="12" t="s">
        <v>47</v>
      </c>
      <c r="C2302" s="12" t="s">
        <v>293</v>
      </c>
      <c r="D2302" s="12" t="str">
        <f aca="false">INDEX('Country Tiers'!$C$2:$C$37,MATCH(C2302,'Country Tiers'!$A$2:$A$37,0))</f>
        <v>Tier 3</v>
      </c>
      <c r="E2302" s="12" t="n">
        <f aca="false">INDEX('Country Tiers'!$D$2:$D$37,MATCH(C2302,'Country Tiers'!$A$2:$A$37,0))</f>
        <v>1</v>
      </c>
    </row>
    <row r="2303" customFormat="false" ht="15" hidden="false" customHeight="false" outlineLevel="0" collapsed="false">
      <c r="A2303" s="12" t="s">
        <v>139</v>
      </c>
      <c r="B2303" s="12" t="s">
        <v>47</v>
      </c>
      <c r="C2303" s="12" t="s">
        <v>294</v>
      </c>
      <c r="D2303" s="12" t="str">
        <f aca="false">INDEX('Country Tiers'!$C$2:$C$37,MATCH(C2303,'Country Tiers'!$A$2:$A$37,0))</f>
        <v>Tier 3</v>
      </c>
      <c r="E2303" s="12" t="n">
        <f aca="false">INDEX('Country Tiers'!$D$2:$D$37,MATCH(C2303,'Country Tiers'!$A$2:$A$37,0))</f>
        <v>1</v>
      </c>
    </row>
    <row r="2304" customFormat="false" ht="15" hidden="false" customHeight="false" outlineLevel="0" collapsed="false">
      <c r="A2304" s="12" t="s">
        <v>139</v>
      </c>
      <c r="B2304" s="12" t="s">
        <v>47</v>
      </c>
      <c r="C2304" s="12" t="s">
        <v>295</v>
      </c>
      <c r="D2304" s="12" t="str">
        <f aca="false">INDEX('Country Tiers'!$C$2:$C$37,MATCH(C2304,'Country Tiers'!$A$2:$A$37,0))</f>
        <v>Tier 3</v>
      </c>
      <c r="E2304" s="12" t="n">
        <f aca="false">INDEX('Country Tiers'!$D$2:$D$37,MATCH(C2304,'Country Tiers'!$A$2:$A$37,0))</f>
        <v>1</v>
      </c>
    </row>
    <row r="2305" customFormat="false" ht="15" hidden="false" customHeight="false" outlineLevel="0" collapsed="false">
      <c r="A2305" s="12" t="s">
        <v>139</v>
      </c>
      <c r="B2305" s="12" t="s">
        <v>47</v>
      </c>
      <c r="C2305" s="12" t="s">
        <v>296</v>
      </c>
      <c r="D2305" s="12" t="str">
        <f aca="false">INDEX('Country Tiers'!$C$2:$C$37,MATCH(C2305,'Country Tiers'!$A$2:$A$37,0))</f>
        <v>Tier 3</v>
      </c>
      <c r="E2305" s="12" t="n">
        <f aca="false">INDEX('Country Tiers'!$D$2:$D$37,MATCH(C2305,'Country Tiers'!$A$2:$A$37,0))</f>
        <v>1</v>
      </c>
    </row>
    <row r="2306" customFormat="false" ht="15" hidden="false" customHeight="false" outlineLevel="0" collapsed="false">
      <c r="A2306" s="12" t="s">
        <v>139</v>
      </c>
      <c r="B2306" s="12" t="s">
        <v>47</v>
      </c>
      <c r="C2306" s="12" t="s">
        <v>298</v>
      </c>
      <c r="D2306" s="12" t="str">
        <f aca="false">INDEX('Country Tiers'!$C$2:$C$37,MATCH(C2306,'Country Tiers'!$A$2:$A$37,0))</f>
        <v>Tier 1</v>
      </c>
      <c r="E2306" s="12" t="n">
        <f aca="false">INDEX('Country Tiers'!$D$2:$D$37,MATCH(C2306,'Country Tiers'!$A$2:$A$37,0))</f>
        <v>3</v>
      </c>
    </row>
    <row r="2307" customFormat="false" ht="15" hidden="false" customHeight="false" outlineLevel="0" collapsed="false">
      <c r="A2307" s="12" t="s">
        <v>139</v>
      </c>
      <c r="B2307" s="12" t="s">
        <v>47</v>
      </c>
      <c r="C2307" s="12" t="s">
        <v>299</v>
      </c>
      <c r="D2307" s="12" t="str">
        <f aca="false">INDEX('Country Tiers'!$C$2:$C$37,MATCH(C2307,'Country Tiers'!$A$2:$A$37,0))</f>
        <v>Tier 3</v>
      </c>
      <c r="E2307" s="12" t="n">
        <f aca="false">INDEX('Country Tiers'!$D$2:$D$37,MATCH(C2307,'Country Tiers'!$A$2:$A$37,0))</f>
        <v>1</v>
      </c>
    </row>
    <row r="2308" customFormat="false" ht="15" hidden="false" customHeight="false" outlineLevel="0" collapsed="false">
      <c r="A2308" s="12" t="s">
        <v>139</v>
      </c>
      <c r="B2308" s="12" t="s">
        <v>47</v>
      </c>
      <c r="C2308" s="12" t="s">
        <v>300</v>
      </c>
      <c r="D2308" s="12" t="str">
        <f aca="false">INDEX('Country Tiers'!$C$2:$C$37,MATCH(C2308,'Country Tiers'!$A$2:$A$37,0))</f>
        <v>Tier 3</v>
      </c>
      <c r="E2308" s="12" t="n">
        <f aca="false">INDEX('Country Tiers'!$D$2:$D$37,MATCH(C2308,'Country Tiers'!$A$2:$A$37,0))</f>
        <v>1</v>
      </c>
    </row>
    <row r="2309" customFormat="false" ht="15" hidden="false" customHeight="false" outlineLevel="0" collapsed="false">
      <c r="A2309" s="12" t="s">
        <v>139</v>
      </c>
      <c r="B2309" s="12" t="s">
        <v>47</v>
      </c>
      <c r="C2309" s="12" t="s">
        <v>301</v>
      </c>
      <c r="D2309" s="12" t="str">
        <f aca="false">INDEX('Country Tiers'!$C$2:$C$37,MATCH(C2309,'Country Tiers'!$A$2:$A$37,0))</f>
        <v>Tier 3</v>
      </c>
      <c r="E2309" s="12" t="n">
        <f aca="false">INDEX('Country Tiers'!$D$2:$D$37,MATCH(C2309,'Country Tiers'!$A$2:$A$37,0))</f>
        <v>1</v>
      </c>
    </row>
    <row r="2310" customFormat="false" ht="15" hidden="false" customHeight="false" outlineLevel="0" collapsed="false">
      <c r="A2310" s="12" t="s">
        <v>139</v>
      </c>
      <c r="B2310" s="12" t="s">
        <v>47</v>
      </c>
      <c r="C2310" s="12" t="s">
        <v>302</v>
      </c>
      <c r="D2310" s="12" t="str">
        <f aca="false">INDEX('Country Tiers'!$C$2:$C$37,MATCH(C2310,'Country Tiers'!$A$2:$A$37,0))</f>
        <v>Tier 3</v>
      </c>
      <c r="E2310" s="12" t="n">
        <f aca="false">INDEX('Country Tiers'!$D$2:$D$37,MATCH(C2310,'Country Tiers'!$A$2:$A$37,0))</f>
        <v>1</v>
      </c>
    </row>
    <row r="2311" customFormat="false" ht="15" hidden="false" customHeight="false" outlineLevel="0" collapsed="false">
      <c r="A2311" s="12" t="s">
        <v>139</v>
      </c>
      <c r="B2311" s="12" t="s">
        <v>47</v>
      </c>
      <c r="C2311" s="12" t="s">
        <v>305</v>
      </c>
      <c r="D2311" s="12" t="str">
        <f aca="false">INDEX('Country Tiers'!$C$2:$C$37,MATCH(C2311,'Country Tiers'!$A$2:$A$37,0))</f>
        <v>Tier 3</v>
      </c>
      <c r="E2311" s="12" t="n">
        <f aca="false">INDEX('Country Tiers'!$D$2:$D$37,MATCH(C2311,'Country Tiers'!$A$2:$A$37,0))</f>
        <v>1</v>
      </c>
    </row>
    <row r="2312" customFormat="false" ht="15" hidden="false" customHeight="false" outlineLevel="0" collapsed="false">
      <c r="A2312" s="12" t="s">
        <v>139</v>
      </c>
      <c r="B2312" s="12" t="s">
        <v>47</v>
      </c>
      <c r="C2312" s="12" t="s">
        <v>306</v>
      </c>
      <c r="D2312" s="12" t="str">
        <f aca="false">INDEX('Country Tiers'!$C$2:$C$37,MATCH(C2312,'Country Tiers'!$A$2:$A$37,0))</f>
        <v>Tier 3</v>
      </c>
      <c r="E2312" s="12" t="n">
        <f aca="false">INDEX('Country Tiers'!$D$2:$D$37,MATCH(C2312,'Country Tiers'!$A$2:$A$37,0))</f>
        <v>1</v>
      </c>
    </row>
    <row r="2313" customFormat="false" ht="15" hidden="false" customHeight="false" outlineLevel="0" collapsed="false">
      <c r="A2313" s="12" t="s">
        <v>139</v>
      </c>
      <c r="B2313" s="12" t="s">
        <v>47</v>
      </c>
      <c r="C2313" s="12" t="s">
        <v>307</v>
      </c>
      <c r="D2313" s="12" t="str">
        <f aca="false">INDEX('Country Tiers'!$C$2:$C$37,MATCH(C2313,'Country Tiers'!$A$2:$A$37,0))</f>
        <v>Tier 2</v>
      </c>
      <c r="E2313" s="12" t="n">
        <f aca="false">INDEX('Country Tiers'!$D$2:$D$37,MATCH(C2313,'Country Tiers'!$A$2:$A$37,0))</f>
        <v>2</v>
      </c>
    </row>
    <row r="2314" customFormat="false" ht="15" hidden="false" customHeight="false" outlineLevel="0" collapsed="false">
      <c r="A2314" s="12" t="s">
        <v>139</v>
      </c>
      <c r="B2314" s="12" t="s">
        <v>47</v>
      </c>
      <c r="C2314" s="12" t="s">
        <v>308</v>
      </c>
      <c r="D2314" s="12" t="str">
        <f aca="false">INDEX('Country Tiers'!$C$2:$C$37,MATCH(C2314,'Country Tiers'!$A$2:$A$37,0))</f>
        <v>Tier 3</v>
      </c>
      <c r="E2314" s="12" t="n">
        <f aca="false">INDEX('Country Tiers'!$D$2:$D$37,MATCH(C2314,'Country Tiers'!$A$2:$A$37,0))</f>
        <v>1</v>
      </c>
    </row>
    <row r="2315" customFormat="false" ht="15" hidden="false" customHeight="false" outlineLevel="0" collapsed="false">
      <c r="A2315" s="12" t="s">
        <v>139</v>
      </c>
      <c r="B2315" s="12" t="s">
        <v>47</v>
      </c>
      <c r="C2315" s="12" t="s">
        <v>313</v>
      </c>
      <c r="D2315" s="12" t="str">
        <f aca="false">INDEX('Country Tiers'!$C$2:$C$37,MATCH(C2315,'Country Tiers'!$A$2:$A$37,0))</f>
        <v>Tier 1</v>
      </c>
      <c r="E2315" s="12" t="n">
        <f aca="false">INDEX('Country Tiers'!$D$2:$D$37,MATCH(C2315,'Country Tiers'!$A$2:$A$37,0))</f>
        <v>3</v>
      </c>
    </row>
    <row r="2316" customFormat="false" ht="15" hidden="false" customHeight="false" outlineLevel="0" collapsed="false">
      <c r="A2316" s="12" t="s">
        <v>139</v>
      </c>
      <c r="B2316" s="12" t="s">
        <v>35</v>
      </c>
      <c r="C2316" s="12" t="s">
        <v>272</v>
      </c>
      <c r="D2316" s="12" t="str">
        <f aca="false">INDEX('Country Tiers'!$C$2:$C$37,MATCH(C2316,'Country Tiers'!$A$2:$A$37,0))</f>
        <v>Tier 2</v>
      </c>
      <c r="E2316" s="12" t="n">
        <f aca="false">INDEX('Country Tiers'!$D$2:$D$37,MATCH(C2316,'Country Tiers'!$A$2:$A$37,0))</f>
        <v>2</v>
      </c>
    </row>
    <row r="2317" customFormat="false" ht="15" hidden="false" customHeight="false" outlineLevel="0" collapsed="false">
      <c r="A2317" s="12" t="s">
        <v>139</v>
      </c>
      <c r="B2317" s="12" t="s">
        <v>35</v>
      </c>
      <c r="C2317" s="12" t="s">
        <v>274</v>
      </c>
      <c r="D2317" s="12" t="str">
        <f aca="false">INDEX('Country Tiers'!$C$2:$C$37,MATCH(C2317,'Country Tiers'!$A$2:$A$37,0))</f>
        <v>Tier 3</v>
      </c>
      <c r="E2317" s="12" t="n">
        <f aca="false">INDEX('Country Tiers'!$D$2:$D$37,MATCH(C2317,'Country Tiers'!$A$2:$A$37,0))</f>
        <v>1</v>
      </c>
    </row>
    <row r="2318" customFormat="false" ht="15" hidden="false" customHeight="false" outlineLevel="0" collapsed="false">
      <c r="A2318" s="12" t="s">
        <v>139</v>
      </c>
      <c r="B2318" s="12" t="s">
        <v>35</v>
      </c>
      <c r="C2318" s="12" t="s">
        <v>277</v>
      </c>
      <c r="D2318" s="12" t="str">
        <f aca="false">INDEX('Country Tiers'!$C$2:$C$37,MATCH(C2318,'Country Tiers'!$A$2:$A$37,0))</f>
        <v>Tier 1</v>
      </c>
      <c r="E2318" s="12" t="n">
        <f aca="false">INDEX('Country Tiers'!$D$2:$D$37,MATCH(C2318,'Country Tiers'!$A$2:$A$37,0))</f>
        <v>3</v>
      </c>
    </row>
    <row r="2319" customFormat="false" ht="15" hidden="false" customHeight="false" outlineLevel="0" collapsed="false">
      <c r="A2319" s="12" t="s">
        <v>139</v>
      </c>
      <c r="B2319" s="12" t="s">
        <v>35</v>
      </c>
      <c r="C2319" s="12" t="s">
        <v>279</v>
      </c>
      <c r="D2319" s="12" t="str">
        <f aca="false">INDEX('Country Tiers'!$C$2:$C$37,MATCH(C2319,'Country Tiers'!$A$2:$A$37,0))</f>
        <v>Tier 1</v>
      </c>
      <c r="E2319" s="12" t="n">
        <f aca="false">INDEX('Country Tiers'!$D$2:$D$37,MATCH(C2319,'Country Tiers'!$A$2:$A$37,0))</f>
        <v>3</v>
      </c>
    </row>
    <row r="2320" customFormat="false" ht="15" hidden="false" customHeight="false" outlineLevel="0" collapsed="false">
      <c r="A2320" s="12" t="s">
        <v>139</v>
      </c>
      <c r="B2320" s="12" t="s">
        <v>35</v>
      </c>
      <c r="C2320" s="12" t="s">
        <v>280</v>
      </c>
      <c r="D2320" s="12" t="str">
        <f aca="false">INDEX('Country Tiers'!$C$2:$C$37,MATCH(C2320,'Country Tiers'!$A$2:$A$37,0))</f>
        <v>Tier 3</v>
      </c>
      <c r="E2320" s="12" t="n">
        <f aca="false">INDEX('Country Tiers'!$D$2:$D$37,MATCH(C2320,'Country Tiers'!$A$2:$A$37,0))</f>
        <v>1</v>
      </c>
    </row>
    <row r="2321" customFormat="false" ht="15" hidden="false" customHeight="false" outlineLevel="0" collapsed="false">
      <c r="A2321" s="12" t="s">
        <v>139</v>
      </c>
      <c r="B2321" s="12" t="s">
        <v>35</v>
      </c>
      <c r="C2321" s="12" t="s">
        <v>281</v>
      </c>
      <c r="D2321" s="12" t="str">
        <f aca="false">INDEX('Country Tiers'!$C$2:$C$37,MATCH(C2321,'Country Tiers'!$A$2:$A$37,0))</f>
        <v>Tier 3</v>
      </c>
      <c r="E2321" s="12" t="n">
        <f aca="false">INDEX('Country Tiers'!$D$2:$D$37,MATCH(C2321,'Country Tiers'!$A$2:$A$37,0))</f>
        <v>1</v>
      </c>
    </row>
    <row r="2322" customFormat="false" ht="15" hidden="false" customHeight="false" outlineLevel="0" collapsed="false">
      <c r="A2322" s="12" t="s">
        <v>139</v>
      </c>
      <c r="B2322" s="12" t="s">
        <v>35</v>
      </c>
      <c r="C2322" s="12" t="s">
        <v>282</v>
      </c>
      <c r="D2322" s="12" t="str">
        <f aca="false">INDEX('Country Tiers'!$C$2:$C$37,MATCH(C2322,'Country Tiers'!$A$2:$A$37,0))</f>
        <v>Tier 3</v>
      </c>
      <c r="E2322" s="12" t="n">
        <f aca="false">INDEX('Country Tiers'!$D$2:$D$37,MATCH(C2322,'Country Tiers'!$A$2:$A$37,0))</f>
        <v>1</v>
      </c>
    </row>
    <row r="2323" customFormat="false" ht="15" hidden="false" customHeight="false" outlineLevel="0" collapsed="false">
      <c r="A2323" s="12" t="s">
        <v>139</v>
      </c>
      <c r="B2323" s="12" t="s">
        <v>35</v>
      </c>
      <c r="C2323" s="12" t="s">
        <v>283</v>
      </c>
      <c r="D2323" s="12" t="str">
        <f aca="false">INDEX('Country Tiers'!$C$2:$C$37,MATCH(C2323,'Country Tiers'!$A$2:$A$37,0))</f>
        <v>Tier 3</v>
      </c>
      <c r="E2323" s="12" t="n">
        <f aca="false">INDEX('Country Tiers'!$D$2:$D$37,MATCH(C2323,'Country Tiers'!$A$2:$A$37,0))</f>
        <v>1</v>
      </c>
    </row>
    <row r="2324" customFormat="false" ht="15" hidden="false" customHeight="false" outlineLevel="0" collapsed="false">
      <c r="A2324" s="12" t="s">
        <v>139</v>
      </c>
      <c r="B2324" s="12" t="s">
        <v>35</v>
      </c>
      <c r="C2324" s="12" t="s">
        <v>284</v>
      </c>
      <c r="D2324" s="12" t="str">
        <f aca="false">INDEX('Country Tiers'!$C$2:$C$37,MATCH(C2324,'Country Tiers'!$A$2:$A$37,0))</f>
        <v>Tier 3</v>
      </c>
      <c r="E2324" s="12" t="n">
        <f aca="false">INDEX('Country Tiers'!$D$2:$D$37,MATCH(C2324,'Country Tiers'!$A$2:$A$37,0))</f>
        <v>1</v>
      </c>
    </row>
    <row r="2325" customFormat="false" ht="15" hidden="false" customHeight="false" outlineLevel="0" collapsed="false">
      <c r="A2325" s="12" t="s">
        <v>139</v>
      </c>
      <c r="B2325" s="12" t="s">
        <v>35</v>
      </c>
      <c r="C2325" s="12" t="s">
        <v>285</v>
      </c>
      <c r="D2325" s="12" t="str">
        <f aca="false">INDEX('Country Tiers'!$C$2:$C$37,MATCH(C2325,'Country Tiers'!$A$2:$A$37,0))</f>
        <v>Tier 3</v>
      </c>
      <c r="E2325" s="12" t="n">
        <f aca="false">INDEX('Country Tiers'!$D$2:$D$37,MATCH(C2325,'Country Tiers'!$A$2:$A$37,0))</f>
        <v>1</v>
      </c>
    </row>
    <row r="2326" customFormat="false" ht="15" hidden="false" customHeight="false" outlineLevel="0" collapsed="false">
      <c r="A2326" s="12" t="s">
        <v>139</v>
      </c>
      <c r="B2326" s="12" t="s">
        <v>35</v>
      </c>
      <c r="C2326" s="12" t="s">
        <v>286</v>
      </c>
      <c r="D2326" s="12" t="str">
        <f aca="false">INDEX('Country Tiers'!$C$2:$C$37,MATCH(C2326,'Country Tiers'!$A$2:$A$37,0))</f>
        <v>Tier 1</v>
      </c>
      <c r="E2326" s="12" t="n">
        <f aca="false">INDEX('Country Tiers'!$D$2:$D$37,MATCH(C2326,'Country Tiers'!$A$2:$A$37,0))</f>
        <v>3</v>
      </c>
    </row>
    <row r="2327" customFormat="false" ht="15" hidden="false" customHeight="false" outlineLevel="0" collapsed="false">
      <c r="A2327" s="12" t="s">
        <v>139</v>
      </c>
      <c r="B2327" s="12" t="s">
        <v>35</v>
      </c>
      <c r="C2327" s="12" t="s">
        <v>287</v>
      </c>
      <c r="D2327" s="12" t="str">
        <f aca="false">INDEX('Country Tiers'!$C$2:$C$37,MATCH(C2327,'Country Tiers'!$A$2:$A$37,0))</f>
        <v>Tier 1</v>
      </c>
      <c r="E2327" s="12" t="n">
        <f aca="false">INDEX('Country Tiers'!$D$2:$D$37,MATCH(C2327,'Country Tiers'!$A$2:$A$37,0))</f>
        <v>3</v>
      </c>
    </row>
    <row r="2328" customFormat="false" ht="15" hidden="false" customHeight="false" outlineLevel="0" collapsed="false">
      <c r="A2328" s="12" t="s">
        <v>139</v>
      </c>
      <c r="B2328" s="12" t="s">
        <v>35</v>
      </c>
      <c r="C2328" s="12" t="s">
        <v>288</v>
      </c>
      <c r="D2328" s="12" t="str">
        <f aca="false">INDEX('Country Tiers'!$C$2:$C$37,MATCH(C2328,'Country Tiers'!$A$2:$A$37,0))</f>
        <v>Tier 3</v>
      </c>
      <c r="E2328" s="12" t="n">
        <f aca="false">INDEX('Country Tiers'!$D$2:$D$37,MATCH(C2328,'Country Tiers'!$A$2:$A$37,0))</f>
        <v>1</v>
      </c>
    </row>
    <row r="2329" customFormat="false" ht="15" hidden="false" customHeight="false" outlineLevel="0" collapsed="false">
      <c r="A2329" s="12" t="s">
        <v>139</v>
      </c>
      <c r="B2329" s="12" t="s">
        <v>35</v>
      </c>
      <c r="C2329" s="12" t="s">
        <v>289</v>
      </c>
      <c r="D2329" s="12" t="str">
        <f aca="false">INDEX('Country Tiers'!$C$2:$C$37,MATCH(C2329,'Country Tiers'!$A$2:$A$37,0))</f>
        <v>Tier 3</v>
      </c>
      <c r="E2329" s="12" t="n">
        <f aca="false">INDEX('Country Tiers'!$D$2:$D$37,MATCH(C2329,'Country Tiers'!$A$2:$A$37,0))</f>
        <v>1</v>
      </c>
    </row>
    <row r="2330" customFormat="false" ht="15" hidden="false" customHeight="false" outlineLevel="0" collapsed="false">
      <c r="A2330" s="12" t="s">
        <v>139</v>
      </c>
      <c r="B2330" s="12" t="s">
        <v>35</v>
      </c>
      <c r="C2330" s="12" t="s">
        <v>290</v>
      </c>
      <c r="D2330" s="12" t="str">
        <f aca="false">INDEX('Country Tiers'!$C$2:$C$37,MATCH(C2330,'Country Tiers'!$A$2:$A$37,0))</f>
        <v>Tier 3</v>
      </c>
      <c r="E2330" s="12" t="n">
        <f aca="false">INDEX('Country Tiers'!$D$2:$D$37,MATCH(C2330,'Country Tiers'!$A$2:$A$37,0))</f>
        <v>1</v>
      </c>
    </row>
    <row r="2331" customFormat="false" ht="15" hidden="false" customHeight="false" outlineLevel="0" collapsed="false">
      <c r="A2331" s="12" t="s">
        <v>139</v>
      </c>
      <c r="B2331" s="12" t="s">
        <v>35</v>
      </c>
      <c r="C2331" s="12" t="s">
        <v>291</v>
      </c>
      <c r="D2331" s="12" t="str">
        <f aca="false">INDEX('Country Tiers'!$C$2:$C$37,MATCH(C2331,'Country Tiers'!$A$2:$A$37,0))</f>
        <v>Tier 3</v>
      </c>
      <c r="E2331" s="12" t="n">
        <f aca="false">INDEX('Country Tiers'!$D$2:$D$37,MATCH(C2331,'Country Tiers'!$A$2:$A$37,0))</f>
        <v>1</v>
      </c>
    </row>
    <row r="2332" customFormat="false" ht="15" hidden="false" customHeight="false" outlineLevel="0" collapsed="false">
      <c r="A2332" s="12" t="s">
        <v>139</v>
      </c>
      <c r="B2332" s="12" t="s">
        <v>35</v>
      </c>
      <c r="C2332" s="12" t="s">
        <v>292</v>
      </c>
      <c r="D2332" s="12" t="str">
        <f aca="false">INDEX('Country Tiers'!$C$2:$C$37,MATCH(C2332,'Country Tiers'!$A$2:$A$37,0))</f>
        <v>Tier 2</v>
      </c>
      <c r="E2332" s="12" t="n">
        <f aca="false">INDEX('Country Tiers'!$D$2:$D$37,MATCH(C2332,'Country Tiers'!$A$2:$A$37,0))</f>
        <v>2</v>
      </c>
    </row>
    <row r="2333" customFormat="false" ht="15" hidden="false" customHeight="false" outlineLevel="0" collapsed="false">
      <c r="A2333" s="12" t="s">
        <v>139</v>
      </c>
      <c r="B2333" s="12" t="s">
        <v>35</v>
      </c>
      <c r="C2333" s="12" t="s">
        <v>293</v>
      </c>
      <c r="D2333" s="12" t="str">
        <f aca="false">INDEX('Country Tiers'!$C$2:$C$37,MATCH(C2333,'Country Tiers'!$A$2:$A$37,0))</f>
        <v>Tier 3</v>
      </c>
      <c r="E2333" s="12" t="n">
        <f aca="false">INDEX('Country Tiers'!$D$2:$D$37,MATCH(C2333,'Country Tiers'!$A$2:$A$37,0))</f>
        <v>1</v>
      </c>
    </row>
    <row r="2334" customFormat="false" ht="15" hidden="false" customHeight="false" outlineLevel="0" collapsed="false">
      <c r="A2334" s="12" t="s">
        <v>139</v>
      </c>
      <c r="B2334" s="12" t="s">
        <v>35</v>
      </c>
      <c r="C2334" s="12" t="s">
        <v>294</v>
      </c>
      <c r="D2334" s="12" t="str">
        <f aca="false">INDEX('Country Tiers'!$C$2:$C$37,MATCH(C2334,'Country Tiers'!$A$2:$A$37,0))</f>
        <v>Tier 3</v>
      </c>
      <c r="E2334" s="12" t="n">
        <f aca="false">INDEX('Country Tiers'!$D$2:$D$37,MATCH(C2334,'Country Tiers'!$A$2:$A$37,0))</f>
        <v>1</v>
      </c>
    </row>
    <row r="2335" customFormat="false" ht="15" hidden="false" customHeight="false" outlineLevel="0" collapsed="false">
      <c r="A2335" s="12" t="s">
        <v>139</v>
      </c>
      <c r="B2335" s="12" t="s">
        <v>35</v>
      </c>
      <c r="C2335" s="12" t="s">
        <v>295</v>
      </c>
      <c r="D2335" s="12" t="str">
        <f aca="false">INDEX('Country Tiers'!$C$2:$C$37,MATCH(C2335,'Country Tiers'!$A$2:$A$37,0))</f>
        <v>Tier 3</v>
      </c>
      <c r="E2335" s="12" t="n">
        <f aca="false">INDEX('Country Tiers'!$D$2:$D$37,MATCH(C2335,'Country Tiers'!$A$2:$A$37,0))</f>
        <v>1</v>
      </c>
    </row>
    <row r="2336" customFormat="false" ht="15" hidden="false" customHeight="false" outlineLevel="0" collapsed="false">
      <c r="A2336" s="12" t="s">
        <v>139</v>
      </c>
      <c r="B2336" s="12" t="s">
        <v>35</v>
      </c>
      <c r="C2336" s="12" t="s">
        <v>296</v>
      </c>
      <c r="D2336" s="12" t="str">
        <f aca="false">INDEX('Country Tiers'!$C$2:$C$37,MATCH(C2336,'Country Tiers'!$A$2:$A$37,0))</f>
        <v>Tier 3</v>
      </c>
      <c r="E2336" s="12" t="n">
        <f aca="false">INDEX('Country Tiers'!$D$2:$D$37,MATCH(C2336,'Country Tiers'!$A$2:$A$37,0))</f>
        <v>1</v>
      </c>
    </row>
    <row r="2337" customFormat="false" ht="15" hidden="false" customHeight="false" outlineLevel="0" collapsed="false">
      <c r="A2337" s="12" t="s">
        <v>139</v>
      </c>
      <c r="B2337" s="12" t="s">
        <v>35</v>
      </c>
      <c r="C2337" s="12" t="s">
        <v>298</v>
      </c>
      <c r="D2337" s="12" t="str">
        <f aca="false">INDEX('Country Tiers'!$C$2:$C$37,MATCH(C2337,'Country Tiers'!$A$2:$A$37,0))</f>
        <v>Tier 1</v>
      </c>
      <c r="E2337" s="12" t="n">
        <f aca="false">INDEX('Country Tiers'!$D$2:$D$37,MATCH(C2337,'Country Tiers'!$A$2:$A$37,0))</f>
        <v>3</v>
      </c>
    </row>
    <row r="2338" customFormat="false" ht="15" hidden="false" customHeight="false" outlineLevel="0" collapsed="false">
      <c r="A2338" s="12" t="s">
        <v>139</v>
      </c>
      <c r="B2338" s="12" t="s">
        <v>35</v>
      </c>
      <c r="C2338" s="12" t="s">
        <v>299</v>
      </c>
      <c r="D2338" s="12" t="str">
        <f aca="false">INDEX('Country Tiers'!$C$2:$C$37,MATCH(C2338,'Country Tiers'!$A$2:$A$37,0))</f>
        <v>Tier 3</v>
      </c>
      <c r="E2338" s="12" t="n">
        <f aca="false">INDEX('Country Tiers'!$D$2:$D$37,MATCH(C2338,'Country Tiers'!$A$2:$A$37,0))</f>
        <v>1</v>
      </c>
    </row>
    <row r="2339" customFormat="false" ht="15" hidden="false" customHeight="false" outlineLevel="0" collapsed="false">
      <c r="A2339" s="12" t="s">
        <v>139</v>
      </c>
      <c r="B2339" s="12" t="s">
        <v>35</v>
      </c>
      <c r="C2339" s="12" t="s">
        <v>300</v>
      </c>
      <c r="D2339" s="12" t="str">
        <f aca="false">INDEX('Country Tiers'!$C$2:$C$37,MATCH(C2339,'Country Tiers'!$A$2:$A$37,0))</f>
        <v>Tier 3</v>
      </c>
      <c r="E2339" s="12" t="n">
        <f aca="false">INDEX('Country Tiers'!$D$2:$D$37,MATCH(C2339,'Country Tiers'!$A$2:$A$37,0))</f>
        <v>1</v>
      </c>
    </row>
    <row r="2340" customFormat="false" ht="15" hidden="false" customHeight="false" outlineLevel="0" collapsed="false">
      <c r="A2340" s="12" t="s">
        <v>139</v>
      </c>
      <c r="B2340" s="12" t="s">
        <v>35</v>
      </c>
      <c r="C2340" s="12" t="s">
        <v>301</v>
      </c>
      <c r="D2340" s="12" t="str">
        <f aca="false">INDEX('Country Tiers'!$C$2:$C$37,MATCH(C2340,'Country Tiers'!$A$2:$A$37,0))</f>
        <v>Tier 3</v>
      </c>
      <c r="E2340" s="12" t="n">
        <f aca="false">INDEX('Country Tiers'!$D$2:$D$37,MATCH(C2340,'Country Tiers'!$A$2:$A$37,0))</f>
        <v>1</v>
      </c>
    </row>
    <row r="2341" customFormat="false" ht="15" hidden="false" customHeight="false" outlineLevel="0" collapsed="false">
      <c r="A2341" s="12" t="s">
        <v>139</v>
      </c>
      <c r="B2341" s="12" t="s">
        <v>35</v>
      </c>
      <c r="C2341" s="12" t="s">
        <v>302</v>
      </c>
      <c r="D2341" s="12" t="str">
        <f aca="false">INDEX('Country Tiers'!$C$2:$C$37,MATCH(C2341,'Country Tiers'!$A$2:$A$37,0))</f>
        <v>Tier 3</v>
      </c>
      <c r="E2341" s="12" t="n">
        <f aca="false">INDEX('Country Tiers'!$D$2:$D$37,MATCH(C2341,'Country Tiers'!$A$2:$A$37,0))</f>
        <v>1</v>
      </c>
    </row>
    <row r="2342" customFormat="false" ht="15" hidden="false" customHeight="false" outlineLevel="0" collapsed="false">
      <c r="A2342" s="12" t="s">
        <v>139</v>
      </c>
      <c r="B2342" s="12" t="s">
        <v>35</v>
      </c>
      <c r="C2342" s="12" t="s">
        <v>305</v>
      </c>
      <c r="D2342" s="12" t="str">
        <f aca="false">INDEX('Country Tiers'!$C$2:$C$37,MATCH(C2342,'Country Tiers'!$A$2:$A$37,0))</f>
        <v>Tier 3</v>
      </c>
      <c r="E2342" s="12" t="n">
        <f aca="false">INDEX('Country Tiers'!$D$2:$D$37,MATCH(C2342,'Country Tiers'!$A$2:$A$37,0))</f>
        <v>1</v>
      </c>
    </row>
    <row r="2343" customFormat="false" ht="15" hidden="false" customHeight="false" outlineLevel="0" collapsed="false">
      <c r="A2343" s="12" t="s">
        <v>139</v>
      </c>
      <c r="B2343" s="12" t="s">
        <v>35</v>
      </c>
      <c r="C2343" s="12" t="s">
        <v>306</v>
      </c>
      <c r="D2343" s="12" t="str">
        <f aca="false">INDEX('Country Tiers'!$C$2:$C$37,MATCH(C2343,'Country Tiers'!$A$2:$A$37,0))</f>
        <v>Tier 3</v>
      </c>
      <c r="E2343" s="12" t="n">
        <f aca="false">INDEX('Country Tiers'!$D$2:$D$37,MATCH(C2343,'Country Tiers'!$A$2:$A$37,0))</f>
        <v>1</v>
      </c>
    </row>
    <row r="2344" customFormat="false" ht="15" hidden="false" customHeight="false" outlineLevel="0" collapsed="false">
      <c r="A2344" s="12" t="s">
        <v>139</v>
      </c>
      <c r="B2344" s="12" t="s">
        <v>35</v>
      </c>
      <c r="C2344" s="12" t="s">
        <v>307</v>
      </c>
      <c r="D2344" s="12" t="str">
        <f aca="false">INDEX('Country Tiers'!$C$2:$C$37,MATCH(C2344,'Country Tiers'!$A$2:$A$37,0))</f>
        <v>Tier 2</v>
      </c>
      <c r="E2344" s="12" t="n">
        <f aca="false">INDEX('Country Tiers'!$D$2:$D$37,MATCH(C2344,'Country Tiers'!$A$2:$A$37,0))</f>
        <v>2</v>
      </c>
    </row>
    <row r="2345" customFormat="false" ht="15" hidden="false" customHeight="false" outlineLevel="0" collapsed="false">
      <c r="A2345" s="12" t="s">
        <v>139</v>
      </c>
      <c r="B2345" s="12" t="s">
        <v>35</v>
      </c>
      <c r="C2345" s="12" t="s">
        <v>308</v>
      </c>
      <c r="D2345" s="12" t="str">
        <f aca="false">INDEX('Country Tiers'!$C$2:$C$37,MATCH(C2345,'Country Tiers'!$A$2:$A$37,0))</f>
        <v>Tier 3</v>
      </c>
      <c r="E2345" s="12" t="n">
        <f aca="false">INDEX('Country Tiers'!$D$2:$D$37,MATCH(C2345,'Country Tiers'!$A$2:$A$37,0))</f>
        <v>1</v>
      </c>
    </row>
    <row r="2346" customFormat="false" ht="15" hidden="false" customHeight="false" outlineLevel="0" collapsed="false">
      <c r="A2346" s="12" t="s">
        <v>139</v>
      </c>
      <c r="B2346" s="12" t="s">
        <v>35</v>
      </c>
      <c r="C2346" s="12" t="s">
        <v>309</v>
      </c>
      <c r="D2346" s="12" t="str">
        <f aca="false">INDEX('Country Tiers'!$C$2:$C$37,MATCH(C2346,'Country Tiers'!$A$2:$A$37,0))</f>
        <v>Tier 1</v>
      </c>
      <c r="E2346" s="12" t="n">
        <f aca="false">INDEX('Country Tiers'!$D$2:$D$37,MATCH(C2346,'Country Tiers'!$A$2:$A$37,0))</f>
        <v>3</v>
      </c>
    </row>
    <row r="2347" customFormat="false" ht="15" hidden="false" customHeight="false" outlineLevel="0" collapsed="false">
      <c r="A2347" s="12" t="s">
        <v>139</v>
      </c>
      <c r="B2347" s="12" t="s">
        <v>35</v>
      </c>
      <c r="C2347" s="12" t="s">
        <v>313</v>
      </c>
      <c r="D2347" s="12" t="str">
        <f aca="false">INDEX('Country Tiers'!$C$2:$C$37,MATCH(C2347,'Country Tiers'!$A$2:$A$37,0))</f>
        <v>Tier 1</v>
      </c>
      <c r="E2347" s="12" t="n">
        <f aca="false">INDEX('Country Tiers'!$D$2:$D$37,MATCH(C2347,'Country Tiers'!$A$2:$A$37,0))</f>
        <v>3</v>
      </c>
    </row>
    <row r="2348" customFormat="false" ht="15" hidden="false" customHeight="false" outlineLevel="0" collapsed="false">
      <c r="A2348" s="12" t="s">
        <v>139</v>
      </c>
      <c r="B2348" s="12" t="s">
        <v>57</v>
      </c>
      <c r="C2348" s="12" t="s">
        <v>274</v>
      </c>
      <c r="D2348" s="12" t="str">
        <f aca="false">INDEX('Country Tiers'!$C$2:$C$37,MATCH(C2348,'Country Tiers'!$A$2:$A$37,0))</f>
        <v>Tier 3</v>
      </c>
      <c r="E2348" s="12" t="n">
        <f aca="false">INDEX('Country Tiers'!$D$2:$D$37,MATCH(C2348,'Country Tiers'!$A$2:$A$37,0))</f>
        <v>1</v>
      </c>
    </row>
    <row r="2349" customFormat="false" ht="15" hidden="false" customHeight="false" outlineLevel="0" collapsed="false">
      <c r="A2349" s="12" t="s">
        <v>139</v>
      </c>
      <c r="B2349" s="12" t="s">
        <v>57</v>
      </c>
      <c r="C2349" s="12" t="s">
        <v>277</v>
      </c>
      <c r="D2349" s="12" t="str">
        <f aca="false">INDEX('Country Tiers'!$C$2:$C$37,MATCH(C2349,'Country Tiers'!$A$2:$A$37,0))</f>
        <v>Tier 1</v>
      </c>
      <c r="E2349" s="12" t="n">
        <f aca="false">INDEX('Country Tiers'!$D$2:$D$37,MATCH(C2349,'Country Tiers'!$A$2:$A$37,0))</f>
        <v>3</v>
      </c>
    </row>
    <row r="2350" customFormat="false" ht="15" hidden="false" customHeight="false" outlineLevel="0" collapsed="false">
      <c r="A2350" s="12" t="s">
        <v>139</v>
      </c>
      <c r="B2350" s="12" t="s">
        <v>57</v>
      </c>
      <c r="C2350" s="12" t="s">
        <v>280</v>
      </c>
      <c r="D2350" s="12" t="str">
        <f aca="false">INDEX('Country Tiers'!$C$2:$C$37,MATCH(C2350,'Country Tiers'!$A$2:$A$37,0))</f>
        <v>Tier 3</v>
      </c>
      <c r="E2350" s="12" t="n">
        <f aca="false">INDEX('Country Tiers'!$D$2:$D$37,MATCH(C2350,'Country Tiers'!$A$2:$A$37,0))</f>
        <v>1</v>
      </c>
    </row>
    <row r="2351" customFormat="false" ht="15" hidden="false" customHeight="false" outlineLevel="0" collapsed="false">
      <c r="A2351" s="12" t="s">
        <v>139</v>
      </c>
      <c r="B2351" s="12" t="s">
        <v>57</v>
      </c>
      <c r="C2351" s="12" t="s">
        <v>281</v>
      </c>
      <c r="D2351" s="12" t="str">
        <f aca="false">INDEX('Country Tiers'!$C$2:$C$37,MATCH(C2351,'Country Tiers'!$A$2:$A$37,0))</f>
        <v>Tier 3</v>
      </c>
      <c r="E2351" s="12" t="n">
        <f aca="false">INDEX('Country Tiers'!$D$2:$D$37,MATCH(C2351,'Country Tiers'!$A$2:$A$37,0))</f>
        <v>1</v>
      </c>
    </row>
    <row r="2352" customFormat="false" ht="15" hidden="false" customHeight="false" outlineLevel="0" collapsed="false">
      <c r="A2352" s="12" t="s">
        <v>139</v>
      </c>
      <c r="B2352" s="12" t="s">
        <v>57</v>
      </c>
      <c r="C2352" s="12" t="s">
        <v>282</v>
      </c>
      <c r="D2352" s="12" t="str">
        <f aca="false">INDEX('Country Tiers'!$C$2:$C$37,MATCH(C2352,'Country Tiers'!$A$2:$A$37,0))</f>
        <v>Tier 3</v>
      </c>
      <c r="E2352" s="12" t="n">
        <f aca="false">INDEX('Country Tiers'!$D$2:$D$37,MATCH(C2352,'Country Tiers'!$A$2:$A$37,0))</f>
        <v>1</v>
      </c>
    </row>
    <row r="2353" customFormat="false" ht="15" hidden="false" customHeight="false" outlineLevel="0" collapsed="false">
      <c r="A2353" s="12" t="s">
        <v>139</v>
      </c>
      <c r="B2353" s="12" t="s">
        <v>57</v>
      </c>
      <c r="C2353" s="12" t="s">
        <v>283</v>
      </c>
      <c r="D2353" s="12" t="str">
        <f aca="false">INDEX('Country Tiers'!$C$2:$C$37,MATCH(C2353,'Country Tiers'!$A$2:$A$37,0))</f>
        <v>Tier 3</v>
      </c>
      <c r="E2353" s="12" t="n">
        <f aca="false">INDEX('Country Tiers'!$D$2:$D$37,MATCH(C2353,'Country Tiers'!$A$2:$A$37,0))</f>
        <v>1</v>
      </c>
    </row>
    <row r="2354" customFormat="false" ht="15" hidden="false" customHeight="false" outlineLevel="0" collapsed="false">
      <c r="A2354" s="12" t="s">
        <v>139</v>
      </c>
      <c r="B2354" s="12" t="s">
        <v>57</v>
      </c>
      <c r="C2354" s="12" t="s">
        <v>284</v>
      </c>
      <c r="D2354" s="12" t="str">
        <f aca="false">INDEX('Country Tiers'!$C$2:$C$37,MATCH(C2354,'Country Tiers'!$A$2:$A$37,0))</f>
        <v>Tier 3</v>
      </c>
      <c r="E2354" s="12" t="n">
        <f aca="false">INDEX('Country Tiers'!$D$2:$D$37,MATCH(C2354,'Country Tiers'!$A$2:$A$37,0))</f>
        <v>1</v>
      </c>
    </row>
    <row r="2355" customFormat="false" ht="15" hidden="false" customHeight="false" outlineLevel="0" collapsed="false">
      <c r="A2355" s="12" t="s">
        <v>139</v>
      </c>
      <c r="B2355" s="12" t="s">
        <v>57</v>
      </c>
      <c r="C2355" s="12" t="s">
        <v>285</v>
      </c>
      <c r="D2355" s="12" t="str">
        <f aca="false">INDEX('Country Tiers'!$C$2:$C$37,MATCH(C2355,'Country Tiers'!$A$2:$A$37,0))</f>
        <v>Tier 3</v>
      </c>
      <c r="E2355" s="12" t="n">
        <f aca="false">INDEX('Country Tiers'!$D$2:$D$37,MATCH(C2355,'Country Tiers'!$A$2:$A$37,0))</f>
        <v>1</v>
      </c>
    </row>
    <row r="2356" customFormat="false" ht="15" hidden="false" customHeight="false" outlineLevel="0" collapsed="false">
      <c r="A2356" s="12" t="s">
        <v>139</v>
      </c>
      <c r="B2356" s="12" t="s">
        <v>57</v>
      </c>
      <c r="C2356" s="12" t="s">
        <v>286</v>
      </c>
      <c r="D2356" s="12" t="str">
        <f aca="false">INDEX('Country Tiers'!$C$2:$C$37,MATCH(C2356,'Country Tiers'!$A$2:$A$37,0))</f>
        <v>Tier 1</v>
      </c>
      <c r="E2356" s="12" t="n">
        <f aca="false">INDEX('Country Tiers'!$D$2:$D$37,MATCH(C2356,'Country Tiers'!$A$2:$A$37,0))</f>
        <v>3</v>
      </c>
    </row>
    <row r="2357" customFormat="false" ht="15" hidden="false" customHeight="false" outlineLevel="0" collapsed="false">
      <c r="A2357" s="12" t="s">
        <v>139</v>
      </c>
      <c r="B2357" s="12" t="s">
        <v>57</v>
      </c>
      <c r="C2357" s="12" t="s">
        <v>287</v>
      </c>
      <c r="D2357" s="12" t="str">
        <f aca="false">INDEX('Country Tiers'!$C$2:$C$37,MATCH(C2357,'Country Tiers'!$A$2:$A$37,0))</f>
        <v>Tier 1</v>
      </c>
      <c r="E2357" s="12" t="n">
        <f aca="false">INDEX('Country Tiers'!$D$2:$D$37,MATCH(C2357,'Country Tiers'!$A$2:$A$37,0))</f>
        <v>3</v>
      </c>
    </row>
    <row r="2358" customFormat="false" ht="15" hidden="false" customHeight="false" outlineLevel="0" collapsed="false">
      <c r="A2358" s="12" t="s">
        <v>139</v>
      </c>
      <c r="B2358" s="12" t="s">
        <v>57</v>
      </c>
      <c r="C2358" s="12" t="s">
        <v>288</v>
      </c>
      <c r="D2358" s="12" t="str">
        <f aca="false">INDEX('Country Tiers'!$C$2:$C$37,MATCH(C2358,'Country Tiers'!$A$2:$A$37,0))</f>
        <v>Tier 3</v>
      </c>
      <c r="E2358" s="12" t="n">
        <f aca="false">INDEX('Country Tiers'!$D$2:$D$37,MATCH(C2358,'Country Tiers'!$A$2:$A$37,0))</f>
        <v>1</v>
      </c>
    </row>
    <row r="2359" customFormat="false" ht="15" hidden="false" customHeight="false" outlineLevel="0" collapsed="false">
      <c r="A2359" s="12" t="s">
        <v>139</v>
      </c>
      <c r="B2359" s="12" t="s">
        <v>57</v>
      </c>
      <c r="C2359" s="12" t="s">
        <v>289</v>
      </c>
      <c r="D2359" s="12" t="str">
        <f aca="false">INDEX('Country Tiers'!$C$2:$C$37,MATCH(C2359,'Country Tiers'!$A$2:$A$37,0))</f>
        <v>Tier 3</v>
      </c>
      <c r="E2359" s="12" t="n">
        <f aca="false">INDEX('Country Tiers'!$D$2:$D$37,MATCH(C2359,'Country Tiers'!$A$2:$A$37,0))</f>
        <v>1</v>
      </c>
    </row>
    <row r="2360" customFormat="false" ht="15" hidden="false" customHeight="false" outlineLevel="0" collapsed="false">
      <c r="A2360" s="12" t="s">
        <v>139</v>
      </c>
      <c r="B2360" s="12" t="s">
        <v>57</v>
      </c>
      <c r="C2360" s="12" t="s">
        <v>290</v>
      </c>
      <c r="D2360" s="12" t="str">
        <f aca="false">INDEX('Country Tiers'!$C$2:$C$37,MATCH(C2360,'Country Tiers'!$A$2:$A$37,0))</f>
        <v>Tier 3</v>
      </c>
      <c r="E2360" s="12" t="n">
        <f aca="false">INDEX('Country Tiers'!$D$2:$D$37,MATCH(C2360,'Country Tiers'!$A$2:$A$37,0))</f>
        <v>1</v>
      </c>
    </row>
    <row r="2361" customFormat="false" ht="15" hidden="false" customHeight="false" outlineLevel="0" collapsed="false">
      <c r="A2361" s="12" t="s">
        <v>139</v>
      </c>
      <c r="B2361" s="12" t="s">
        <v>57</v>
      </c>
      <c r="C2361" s="12" t="s">
        <v>291</v>
      </c>
      <c r="D2361" s="12" t="str">
        <f aca="false">INDEX('Country Tiers'!$C$2:$C$37,MATCH(C2361,'Country Tiers'!$A$2:$A$37,0))</f>
        <v>Tier 3</v>
      </c>
      <c r="E2361" s="12" t="n">
        <f aca="false">INDEX('Country Tiers'!$D$2:$D$37,MATCH(C2361,'Country Tiers'!$A$2:$A$37,0))</f>
        <v>1</v>
      </c>
    </row>
    <row r="2362" customFormat="false" ht="15" hidden="false" customHeight="false" outlineLevel="0" collapsed="false">
      <c r="A2362" s="12" t="s">
        <v>139</v>
      </c>
      <c r="B2362" s="12" t="s">
        <v>57</v>
      </c>
      <c r="C2362" s="12" t="s">
        <v>292</v>
      </c>
      <c r="D2362" s="12" t="str">
        <f aca="false">INDEX('Country Tiers'!$C$2:$C$37,MATCH(C2362,'Country Tiers'!$A$2:$A$37,0))</f>
        <v>Tier 2</v>
      </c>
      <c r="E2362" s="12" t="n">
        <f aca="false">INDEX('Country Tiers'!$D$2:$D$37,MATCH(C2362,'Country Tiers'!$A$2:$A$37,0))</f>
        <v>2</v>
      </c>
    </row>
    <row r="2363" customFormat="false" ht="15" hidden="false" customHeight="false" outlineLevel="0" collapsed="false">
      <c r="A2363" s="12" t="s">
        <v>139</v>
      </c>
      <c r="B2363" s="12" t="s">
        <v>57</v>
      </c>
      <c r="C2363" s="12" t="s">
        <v>293</v>
      </c>
      <c r="D2363" s="12" t="str">
        <f aca="false">INDEX('Country Tiers'!$C$2:$C$37,MATCH(C2363,'Country Tiers'!$A$2:$A$37,0))</f>
        <v>Tier 3</v>
      </c>
      <c r="E2363" s="12" t="n">
        <f aca="false">INDEX('Country Tiers'!$D$2:$D$37,MATCH(C2363,'Country Tiers'!$A$2:$A$37,0))</f>
        <v>1</v>
      </c>
    </row>
    <row r="2364" customFormat="false" ht="15" hidden="false" customHeight="false" outlineLevel="0" collapsed="false">
      <c r="A2364" s="12" t="s">
        <v>139</v>
      </c>
      <c r="B2364" s="12" t="s">
        <v>57</v>
      </c>
      <c r="C2364" s="12" t="s">
        <v>294</v>
      </c>
      <c r="D2364" s="12" t="str">
        <f aca="false">INDEX('Country Tiers'!$C$2:$C$37,MATCH(C2364,'Country Tiers'!$A$2:$A$37,0))</f>
        <v>Tier 3</v>
      </c>
      <c r="E2364" s="12" t="n">
        <f aca="false">INDEX('Country Tiers'!$D$2:$D$37,MATCH(C2364,'Country Tiers'!$A$2:$A$37,0))</f>
        <v>1</v>
      </c>
    </row>
    <row r="2365" customFormat="false" ht="15" hidden="false" customHeight="false" outlineLevel="0" collapsed="false">
      <c r="A2365" s="12" t="s">
        <v>139</v>
      </c>
      <c r="B2365" s="12" t="s">
        <v>57</v>
      </c>
      <c r="C2365" s="12" t="s">
        <v>295</v>
      </c>
      <c r="D2365" s="12" t="str">
        <f aca="false">INDEX('Country Tiers'!$C$2:$C$37,MATCH(C2365,'Country Tiers'!$A$2:$A$37,0))</f>
        <v>Tier 3</v>
      </c>
      <c r="E2365" s="12" t="n">
        <f aca="false">INDEX('Country Tiers'!$D$2:$D$37,MATCH(C2365,'Country Tiers'!$A$2:$A$37,0))</f>
        <v>1</v>
      </c>
    </row>
    <row r="2366" customFormat="false" ht="15" hidden="false" customHeight="false" outlineLevel="0" collapsed="false">
      <c r="A2366" s="12" t="s">
        <v>139</v>
      </c>
      <c r="B2366" s="12" t="s">
        <v>57</v>
      </c>
      <c r="C2366" s="12" t="s">
        <v>296</v>
      </c>
      <c r="D2366" s="12" t="str">
        <f aca="false">INDEX('Country Tiers'!$C$2:$C$37,MATCH(C2366,'Country Tiers'!$A$2:$A$37,0))</f>
        <v>Tier 3</v>
      </c>
      <c r="E2366" s="12" t="n">
        <f aca="false">INDEX('Country Tiers'!$D$2:$D$37,MATCH(C2366,'Country Tiers'!$A$2:$A$37,0))</f>
        <v>1</v>
      </c>
    </row>
    <row r="2367" customFormat="false" ht="15" hidden="false" customHeight="false" outlineLevel="0" collapsed="false">
      <c r="A2367" s="12" t="s">
        <v>139</v>
      </c>
      <c r="B2367" s="12" t="s">
        <v>57</v>
      </c>
      <c r="C2367" s="12" t="s">
        <v>298</v>
      </c>
      <c r="D2367" s="12" t="str">
        <f aca="false">INDEX('Country Tiers'!$C$2:$C$37,MATCH(C2367,'Country Tiers'!$A$2:$A$37,0))</f>
        <v>Tier 1</v>
      </c>
      <c r="E2367" s="12" t="n">
        <f aca="false">INDEX('Country Tiers'!$D$2:$D$37,MATCH(C2367,'Country Tiers'!$A$2:$A$37,0))</f>
        <v>3</v>
      </c>
    </row>
    <row r="2368" customFormat="false" ht="15" hidden="false" customHeight="false" outlineLevel="0" collapsed="false">
      <c r="A2368" s="12" t="s">
        <v>139</v>
      </c>
      <c r="B2368" s="12" t="s">
        <v>57</v>
      </c>
      <c r="C2368" s="12" t="s">
        <v>299</v>
      </c>
      <c r="D2368" s="12" t="str">
        <f aca="false">INDEX('Country Tiers'!$C$2:$C$37,MATCH(C2368,'Country Tiers'!$A$2:$A$37,0))</f>
        <v>Tier 3</v>
      </c>
      <c r="E2368" s="12" t="n">
        <f aca="false">INDEX('Country Tiers'!$D$2:$D$37,MATCH(C2368,'Country Tiers'!$A$2:$A$37,0))</f>
        <v>1</v>
      </c>
    </row>
    <row r="2369" customFormat="false" ht="15" hidden="false" customHeight="false" outlineLevel="0" collapsed="false">
      <c r="A2369" s="12" t="s">
        <v>139</v>
      </c>
      <c r="B2369" s="12" t="s">
        <v>57</v>
      </c>
      <c r="C2369" s="12" t="s">
        <v>300</v>
      </c>
      <c r="D2369" s="12" t="str">
        <f aca="false">INDEX('Country Tiers'!$C$2:$C$37,MATCH(C2369,'Country Tiers'!$A$2:$A$37,0))</f>
        <v>Tier 3</v>
      </c>
      <c r="E2369" s="12" t="n">
        <f aca="false">INDEX('Country Tiers'!$D$2:$D$37,MATCH(C2369,'Country Tiers'!$A$2:$A$37,0))</f>
        <v>1</v>
      </c>
    </row>
    <row r="2370" customFormat="false" ht="15" hidden="false" customHeight="false" outlineLevel="0" collapsed="false">
      <c r="A2370" s="12" t="s">
        <v>139</v>
      </c>
      <c r="B2370" s="12" t="s">
        <v>57</v>
      </c>
      <c r="C2370" s="12" t="s">
        <v>301</v>
      </c>
      <c r="D2370" s="12" t="str">
        <f aca="false">INDEX('Country Tiers'!$C$2:$C$37,MATCH(C2370,'Country Tiers'!$A$2:$A$37,0))</f>
        <v>Tier 3</v>
      </c>
      <c r="E2370" s="12" t="n">
        <f aca="false">INDEX('Country Tiers'!$D$2:$D$37,MATCH(C2370,'Country Tiers'!$A$2:$A$37,0))</f>
        <v>1</v>
      </c>
    </row>
    <row r="2371" customFormat="false" ht="15" hidden="false" customHeight="false" outlineLevel="0" collapsed="false">
      <c r="A2371" s="12" t="s">
        <v>139</v>
      </c>
      <c r="B2371" s="12" t="s">
        <v>57</v>
      </c>
      <c r="C2371" s="12" t="s">
        <v>302</v>
      </c>
      <c r="D2371" s="12" t="str">
        <f aca="false">INDEX('Country Tiers'!$C$2:$C$37,MATCH(C2371,'Country Tiers'!$A$2:$A$37,0))</f>
        <v>Tier 3</v>
      </c>
      <c r="E2371" s="12" t="n">
        <f aca="false">INDEX('Country Tiers'!$D$2:$D$37,MATCH(C2371,'Country Tiers'!$A$2:$A$37,0))</f>
        <v>1</v>
      </c>
    </row>
    <row r="2372" customFormat="false" ht="15" hidden="false" customHeight="false" outlineLevel="0" collapsed="false">
      <c r="A2372" s="12" t="s">
        <v>139</v>
      </c>
      <c r="B2372" s="12" t="s">
        <v>57</v>
      </c>
      <c r="C2372" s="12" t="s">
        <v>305</v>
      </c>
      <c r="D2372" s="12" t="str">
        <f aca="false">INDEX('Country Tiers'!$C$2:$C$37,MATCH(C2372,'Country Tiers'!$A$2:$A$37,0))</f>
        <v>Tier 3</v>
      </c>
      <c r="E2372" s="12" t="n">
        <f aca="false">INDEX('Country Tiers'!$D$2:$D$37,MATCH(C2372,'Country Tiers'!$A$2:$A$37,0))</f>
        <v>1</v>
      </c>
    </row>
    <row r="2373" customFormat="false" ht="15" hidden="false" customHeight="false" outlineLevel="0" collapsed="false">
      <c r="A2373" s="12" t="s">
        <v>139</v>
      </c>
      <c r="B2373" s="12" t="s">
        <v>57</v>
      </c>
      <c r="C2373" s="12" t="s">
        <v>306</v>
      </c>
      <c r="D2373" s="12" t="str">
        <f aca="false">INDEX('Country Tiers'!$C$2:$C$37,MATCH(C2373,'Country Tiers'!$A$2:$A$37,0))</f>
        <v>Tier 3</v>
      </c>
      <c r="E2373" s="12" t="n">
        <f aca="false">INDEX('Country Tiers'!$D$2:$D$37,MATCH(C2373,'Country Tiers'!$A$2:$A$37,0))</f>
        <v>1</v>
      </c>
    </row>
    <row r="2374" customFormat="false" ht="15" hidden="false" customHeight="false" outlineLevel="0" collapsed="false">
      <c r="A2374" s="12" t="s">
        <v>139</v>
      </c>
      <c r="B2374" s="12" t="s">
        <v>57</v>
      </c>
      <c r="C2374" s="12" t="s">
        <v>307</v>
      </c>
      <c r="D2374" s="12" t="str">
        <f aca="false">INDEX('Country Tiers'!$C$2:$C$37,MATCH(C2374,'Country Tiers'!$A$2:$A$37,0))</f>
        <v>Tier 2</v>
      </c>
      <c r="E2374" s="12" t="n">
        <f aca="false">INDEX('Country Tiers'!$D$2:$D$37,MATCH(C2374,'Country Tiers'!$A$2:$A$37,0))</f>
        <v>2</v>
      </c>
    </row>
    <row r="2375" customFormat="false" ht="15" hidden="false" customHeight="false" outlineLevel="0" collapsed="false">
      <c r="A2375" s="12" t="s">
        <v>139</v>
      </c>
      <c r="B2375" s="12" t="s">
        <v>57</v>
      </c>
      <c r="C2375" s="12" t="s">
        <v>308</v>
      </c>
      <c r="D2375" s="12" t="str">
        <f aca="false">INDEX('Country Tiers'!$C$2:$C$37,MATCH(C2375,'Country Tiers'!$A$2:$A$37,0))</f>
        <v>Tier 3</v>
      </c>
      <c r="E2375" s="12" t="n">
        <f aca="false">INDEX('Country Tiers'!$D$2:$D$37,MATCH(C2375,'Country Tiers'!$A$2:$A$37,0))</f>
        <v>1</v>
      </c>
    </row>
    <row r="2376" customFormat="false" ht="15" hidden="false" customHeight="false" outlineLevel="0" collapsed="false">
      <c r="A2376" s="12" t="s">
        <v>139</v>
      </c>
      <c r="B2376" s="12" t="s">
        <v>57</v>
      </c>
      <c r="C2376" s="12" t="s">
        <v>309</v>
      </c>
      <c r="D2376" s="12" t="str">
        <f aca="false">INDEX('Country Tiers'!$C$2:$C$37,MATCH(C2376,'Country Tiers'!$A$2:$A$37,0))</f>
        <v>Tier 1</v>
      </c>
      <c r="E2376" s="12" t="n">
        <f aca="false">INDEX('Country Tiers'!$D$2:$D$37,MATCH(C2376,'Country Tiers'!$A$2:$A$37,0))</f>
        <v>3</v>
      </c>
    </row>
    <row r="2377" customFormat="false" ht="15" hidden="false" customHeight="false" outlineLevel="0" collapsed="false">
      <c r="A2377" s="12" t="s">
        <v>139</v>
      </c>
      <c r="B2377" s="12" t="s">
        <v>57</v>
      </c>
      <c r="C2377" s="12" t="s">
        <v>313</v>
      </c>
      <c r="D2377" s="12" t="str">
        <f aca="false">INDEX('Country Tiers'!$C$2:$C$37,MATCH(C2377,'Country Tiers'!$A$2:$A$37,0))</f>
        <v>Tier 1</v>
      </c>
      <c r="E2377" s="12" t="n">
        <f aca="false">INDEX('Country Tiers'!$D$2:$D$37,MATCH(C2377,'Country Tiers'!$A$2:$A$37,0))</f>
        <v>3</v>
      </c>
    </row>
    <row r="2378" customFormat="false" ht="15" hidden="false" customHeight="false" outlineLevel="0" collapsed="false">
      <c r="A2378" s="12" t="s">
        <v>139</v>
      </c>
      <c r="B2378" s="12" t="s">
        <v>44</v>
      </c>
      <c r="C2378" s="12" t="s">
        <v>274</v>
      </c>
      <c r="D2378" s="12" t="str">
        <f aca="false">INDEX('Country Tiers'!$C$2:$C$37,MATCH(C2378,'Country Tiers'!$A$2:$A$37,0))</f>
        <v>Tier 3</v>
      </c>
      <c r="E2378" s="12" t="n">
        <f aca="false">INDEX('Country Tiers'!$D$2:$D$37,MATCH(C2378,'Country Tiers'!$A$2:$A$37,0))</f>
        <v>1</v>
      </c>
    </row>
    <row r="2379" customFormat="false" ht="15" hidden="false" customHeight="false" outlineLevel="0" collapsed="false">
      <c r="A2379" s="12" t="s">
        <v>139</v>
      </c>
      <c r="B2379" s="12" t="s">
        <v>44</v>
      </c>
      <c r="C2379" s="12" t="s">
        <v>277</v>
      </c>
      <c r="D2379" s="12" t="str">
        <f aca="false">INDEX('Country Tiers'!$C$2:$C$37,MATCH(C2379,'Country Tiers'!$A$2:$A$37,0))</f>
        <v>Tier 1</v>
      </c>
      <c r="E2379" s="12" t="n">
        <f aca="false">INDEX('Country Tiers'!$D$2:$D$37,MATCH(C2379,'Country Tiers'!$A$2:$A$37,0))</f>
        <v>3</v>
      </c>
    </row>
    <row r="2380" customFormat="false" ht="15" hidden="false" customHeight="false" outlineLevel="0" collapsed="false">
      <c r="A2380" s="12" t="s">
        <v>139</v>
      </c>
      <c r="B2380" s="12" t="s">
        <v>44</v>
      </c>
      <c r="C2380" s="12" t="s">
        <v>280</v>
      </c>
      <c r="D2380" s="12" t="str">
        <f aca="false">INDEX('Country Tiers'!$C$2:$C$37,MATCH(C2380,'Country Tiers'!$A$2:$A$37,0))</f>
        <v>Tier 3</v>
      </c>
      <c r="E2380" s="12" t="n">
        <f aca="false">INDEX('Country Tiers'!$D$2:$D$37,MATCH(C2380,'Country Tiers'!$A$2:$A$37,0))</f>
        <v>1</v>
      </c>
    </row>
    <row r="2381" customFormat="false" ht="15" hidden="false" customHeight="false" outlineLevel="0" collapsed="false">
      <c r="A2381" s="12" t="s">
        <v>139</v>
      </c>
      <c r="B2381" s="12" t="s">
        <v>44</v>
      </c>
      <c r="C2381" s="12" t="s">
        <v>281</v>
      </c>
      <c r="D2381" s="12" t="str">
        <f aca="false">INDEX('Country Tiers'!$C$2:$C$37,MATCH(C2381,'Country Tiers'!$A$2:$A$37,0))</f>
        <v>Tier 3</v>
      </c>
      <c r="E2381" s="12" t="n">
        <f aca="false">INDEX('Country Tiers'!$D$2:$D$37,MATCH(C2381,'Country Tiers'!$A$2:$A$37,0))</f>
        <v>1</v>
      </c>
    </row>
    <row r="2382" customFormat="false" ht="15" hidden="false" customHeight="false" outlineLevel="0" collapsed="false">
      <c r="A2382" s="12" t="s">
        <v>139</v>
      </c>
      <c r="B2382" s="12" t="s">
        <v>44</v>
      </c>
      <c r="C2382" s="12" t="s">
        <v>282</v>
      </c>
      <c r="D2382" s="12" t="str">
        <f aca="false">INDEX('Country Tiers'!$C$2:$C$37,MATCH(C2382,'Country Tiers'!$A$2:$A$37,0))</f>
        <v>Tier 3</v>
      </c>
      <c r="E2382" s="12" t="n">
        <f aca="false">INDEX('Country Tiers'!$D$2:$D$37,MATCH(C2382,'Country Tiers'!$A$2:$A$37,0))</f>
        <v>1</v>
      </c>
    </row>
    <row r="2383" customFormat="false" ht="15" hidden="false" customHeight="false" outlineLevel="0" collapsed="false">
      <c r="A2383" s="12" t="s">
        <v>139</v>
      </c>
      <c r="B2383" s="12" t="s">
        <v>44</v>
      </c>
      <c r="C2383" s="12" t="s">
        <v>283</v>
      </c>
      <c r="D2383" s="12" t="str">
        <f aca="false">INDEX('Country Tiers'!$C$2:$C$37,MATCH(C2383,'Country Tiers'!$A$2:$A$37,0))</f>
        <v>Tier 3</v>
      </c>
      <c r="E2383" s="12" t="n">
        <f aca="false">INDEX('Country Tiers'!$D$2:$D$37,MATCH(C2383,'Country Tiers'!$A$2:$A$37,0))</f>
        <v>1</v>
      </c>
    </row>
    <row r="2384" customFormat="false" ht="15" hidden="false" customHeight="false" outlineLevel="0" collapsed="false">
      <c r="A2384" s="12" t="s">
        <v>139</v>
      </c>
      <c r="B2384" s="12" t="s">
        <v>44</v>
      </c>
      <c r="C2384" s="12" t="s">
        <v>284</v>
      </c>
      <c r="D2384" s="12" t="str">
        <f aca="false">INDEX('Country Tiers'!$C$2:$C$37,MATCH(C2384,'Country Tiers'!$A$2:$A$37,0))</f>
        <v>Tier 3</v>
      </c>
      <c r="E2384" s="12" t="n">
        <f aca="false">INDEX('Country Tiers'!$D$2:$D$37,MATCH(C2384,'Country Tiers'!$A$2:$A$37,0))</f>
        <v>1</v>
      </c>
    </row>
    <row r="2385" customFormat="false" ht="15" hidden="false" customHeight="false" outlineLevel="0" collapsed="false">
      <c r="A2385" s="12" t="s">
        <v>139</v>
      </c>
      <c r="B2385" s="12" t="s">
        <v>44</v>
      </c>
      <c r="C2385" s="12" t="s">
        <v>285</v>
      </c>
      <c r="D2385" s="12" t="str">
        <f aca="false">INDEX('Country Tiers'!$C$2:$C$37,MATCH(C2385,'Country Tiers'!$A$2:$A$37,0))</f>
        <v>Tier 3</v>
      </c>
      <c r="E2385" s="12" t="n">
        <f aca="false">INDEX('Country Tiers'!$D$2:$D$37,MATCH(C2385,'Country Tiers'!$A$2:$A$37,0))</f>
        <v>1</v>
      </c>
    </row>
    <row r="2386" customFormat="false" ht="15" hidden="false" customHeight="false" outlineLevel="0" collapsed="false">
      <c r="A2386" s="12" t="s">
        <v>139</v>
      </c>
      <c r="B2386" s="12" t="s">
        <v>44</v>
      </c>
      <c r="C2386" s="12" t="s">
        <v>286</v>
      </c>
      <c r="D2386" s="12" t="str">
        <f aca="false">INDEX('Country Tiers'!$C$2:$C$37,MATCH(C2386,'Country Tiers'!$A$2:$A$37,0))</f>
        <v>Tier 1</v>
      </c>
      <c r="E2386" s="12" t="n">
        <f aca="false">INDEX('Country Tiers'!$D$2:$D$37,MATCH(C2386,'Country Tiers'!$A$2:$A$37,0))</f>
        <v>3</v>
      </c>
    </row>
    <row r="2387" customFormat="false" ht="15" hidden="false" customHeight="false" outlineLevel="0" collapsed="false">
      <c r="A2387" s="12" t="s">
        <v>139</v>
      </c>
      <c r="B2387" s="12" t="s">
        <v>44</v>
      </c>
      <c r="C2387" s="12" t="s">
        <v>287</v>
      </c>
      <c r="D2387" s="12" t="str">
        <f aca="false">INDEX('Country Tiers'!$C$2:$C$37,MATCH(C2387,'Country Tiers'!$A$2:$A$37,0))</f>
        <v>Tier 1</v>
      </c>
      <c r="E2387" s="12" t="n">
        <f aca="false">INDEX('Country Tiers'!$D$2:$D$37,MATCH(C2387,'Country Tiers'!$A$2:$A$37,0))</f>
        <v>3</v>
      </c>
    </row>
    <row r="2388" customFormat="false" ht="15" hidden="false" customHeight="false" outlineLevel="0" collapsed="false">
      <c r="A2388" s="12" t="s">
        <v>139</v>
      </c>
      <c r="B2388" s="12" t="s">
        <v>44</v>
      </c>
      <c r="C2388" s="12" t="s">
        <v>288</v>
      </c>
      <c r="D2388" s="12" t="str">
        <f aca="false">INDEX('Country Tiers'!$C$2:$C$37,MATCH(C2388,'Country Tiers'!$A$2:$A$37,0))</f>
        <v>Tier 3</v>
      </c>
      <c r="E2388" s="12" t="n">
        <f aca="false">INDEX('Country Tiers'!$D$2:$D$37,MATCH(C2388,'Country Tiers'!$A$2:$A$37,0))</f>
        <v>1</v>
      </c>
    </row>
    <row r="2389" customFormat="false" ht="15" hidden="false" customHeight="false" outlineLevel="0" collapsed="false">
      <c r="A2389" s="12" t="s">
        <v>139</v>
      </c>
      <c r="B2389" s="12" t="s">
        <v>44</v>
      </c>
      <c r="C2389" s="12" t="s">
        <v>290</v>
      </c>
      <c r="D2389" s="12" t="str">
        <f aca="false">INDEX('Country Tiers'!$C$2:$C$37,MATCH(C2389,'Country Tiers'!$A$2:$A$37,0))</f>
        <v>Tier 3</v>
      </c>
      <c r="E2389" s="12" t="n">
        <f aca="false">INDEX('Country Tiers'!$D$2:$D$37,MATCH(C2389,'Country Tiers'!$A$2:$A$37,0))</f>
        <v>1</v>
      </c>
    </row>
    <row r="2390" customFormat="false" ht="15" hidden="false" customHeight="false" outlineLevel="0" collapsed="false">
      <c r="A2390" s="12" t="s">
        <v>139</v>
      </c>
      <c r="B2390" s="12" t="s">
        <v>44</v>
      </c>
      <c r="C2390" s="12" t="s">
        <v>291</v>
      </c>
      <c r="D2390" s="12" t="str">
        <f aca="false">INDEX('Country Tiers'!$C$2:$C$37,MATCH(C2390,'Country Tiers'!$A$2:$A$37,0))</f>
        <v>Tier 3</v>
      </c>
      <c r="E2390" s="12" t="n">
        <f aca="false">INDEX('Country Tiers'!$D$2:$D$37,MATCH(C2390,'Country Tiers'!$A$2:$A$37,0))</f>
        <v>1</v>
      </c>
    </row>
    <row r="2391" customFormat="false" ht="15" hidden="false" customHeight="false" outlineLevel="0" collapsed="false">
      <c r="A2391" s="12" t="s">
        <v>139</v>
      </c>
      <c r="B2391" s="12" t="s">
        <v>44</v>
      </c>
      <c r="C2391" s="12" t="s">
        <v>292</v>
      </c>
      <c r="D2391" s="12" t="str">
        <f aca="false">INDEX('Country Tiers'!$C$2:$C$37,MATCH(C2391,'Country Tiers'!$A$2:$A$37,0))</f>
        <v>Tier 2</v>
      </c>
      <c r="E2391" s="12" t="n">
        <f aca="false">INDEX('Country Tiers'!$D$2:$D$37,MATCH(C2391,'Country Tiers'!$A$2:$A$37,0))</f>
        <v>2</v>
      </c>
    </row>
    <row r="2392" customFormat="false" ht="15" hidden="false" customHeight="false" outlineLevel="0" collapsed="false">
      <c r="A2392" s="12" t="s">
        <v>139</v>
      </c>
      <c r="B2392" s="12" t="s">
        <v>44</v>
      </c>
      <c r="C2392" s="12" t="s">
        <v>293</v>
      </c>
      <c r="D2392" s="12" t="str">
        <f aca="false">INDEX('Country Tiers'!$C$2:$C$37,MATCH(C2392,'Country Tiers'!$A$2:$A$37,0))</f>
        <v>Tier 3</v>
      </c>
      <c r="E2392" s="12" t="n">
        <f aca="false">INDEX('Country Tiers'!$D$2:$D$37,MATCH(C2392,'Country Tiers'!$A$2:$A$37,0))</f>
        <v>1</v>
      </c>
    </row>
    <row r="2393" customFormat="false" ht="15" hidden="false" customHeight="false" outlineLevel="0" collapsed="false">
      <c r="A2393" s="12" t="s">
        <v>139</v>
      </c>
      <c r="B2393" s="12" t="s">
        <v>44</v>
      </c>
      <c r="C2393" s="12" t="s">
        <v>294</v>
      </c>
      <c r="D2393" s="12" t="str">
        <f aca="false">INDEX('Country Tiers'!$C$2:$C$37,MATCH(C2393,'Country Tiers'!$A$2:$A$37,0))</f>
        <v>Tier 3</v>
      </c>
      <c r="E2393" s="12" t="n">
        <f aca="false">INDEX('Country Tiers'!$D$2:$D$37,MATCH(C2393,'Country Tiers'!$A$2:$A$37,0))</f>
        <v>1</v>
      </c>
    </row>
    <row r="2394" customFormat="false" ht="15" hidden="false" customHeight="false" outlineLevel="0" collapsed="false">
      <c r="A2394" s="12" t="s">
        <v>139</v>
      </c>
      <c r="B2394" s="12" t="s">
        <v>44</v>
      </c>
      <c r="C2394" s="12" t="s">
        <v>295</v>
      </c>
      <c r="D2394" s="12" t="str">
        <f aca="false">INDEX('Country Tiers'!$C$2:$C$37,MATCH(C2394,'Country Tiers'!$A$2:$A$37,0))</f>
        <v>Tier 3</v>
      </c>
      <c r="E2394" s="12" t="n">
        <f aca="false">INDEX('Country Tiers'!$D$2:$D$37,MATCH(C2394,'Country Tiers'!$A$2:$A$37,0))</f>
        <v>1</v>
      </c>
    </row>
    <row r="2395" customFormat="false" ht="15" hidden="false" customHeight="false" outlineLevel="0" collapsed="false">
      <c r="A2395" s="12" t="s">
        <v>139</v>
      </c>
      <c r="B2395" s="12" t="s">
        <v>44</v>
      </c>
      <c r="C2395" s="12" t="s">
        <v>296</v>
      </c>
      <c r="D2395" s="12" t="str">
        <f aca="false">INDEX('Country Tiers'!$C$2:$C$37,MATCH(C2395,'Country Tiers'!$A$2:$A$37,0))</f>
        <v>Tier 3</v>
      </c>
      <c r="E2395" s="12" t="n">
        <f aca="false">INDEX('Country Tiers'!$D$2:$D$37,MATCH(C2395,'Country Tiers'!$A$2:$A$37,0))</f>
        <v>1</v>
      </c>
    </row>
    <row r="2396" customFormat="false" ht="15" hidden="false" customHeight="false" outlineLevel="0" collapsed="false">
      <c r="A2396" s="12" t="s">
        <v>139</v>
      </c>
      <c r="B2396" s="12" t="s">
        <v>44</v>
      </c>
      <c r="C2396" s="12" t="s">
        <v>298</v>
      </c>
      <c r="D2396" s="12" t="str">
        <f aca="false">INDEX('Country Tiers'!$C$2:$C$37,MATCH(C2396,'Country Tiers'!$A$2:$A$37,0))</f>
        <v>Tier 1</v>
      </c>
      <c r="E2396" s="12" t="n">
        <f aca="false">INDEX('Country Tiers'!$D$2:$D$37,MATCH(C2396,'Country Tiers'!$A$2:$A$37,0))</f>
        <v>3</v>
      </c>
    </row>
    <row r="2397" customFormat="false" ht="15" hidden="false" customHeight="false" outlineLevel="0" collapsed="false">
      <c r="A2397" s="12" t="s">
        <v>139</v>
      </c>
      <c r="B2397" s="12" t="s">
        <v>44</v>
      </c>
      <c r="C2397" s="12" t="s">
        <v>299</v>
      </c>
      <c r="D2397" s="12" t="str">
        <f aca="false">INDEX('Country Tiers'!$C$2:$C$37,MATCH(C2397,'Country Tiers'!$A$2:$A$37,0))</f>
        <v>Tier 3</v>
      </c>
      <c r="E2397" s="12" t="n">
        <f aca="false">INDEX('Country Tiers'!$D$2:$D$37,MATCH(C2397,'Country Tiers'!$A$2:$A$37,0))</f>
        <v>1</v>
      </c>
    </row>
    <row r="2398" customFormat="false" ht="15" hidden="false" customHeight="false" outlineLevel="0" collapsed="false">
      <c r="A2398" s="12" t="s">
        <v>139</v>
      </c>
      <c r="B2398" s="12" t="s">
        <v>44</v>
      </c>
      <c r="C2398" s="12" t="s">
        <v>300</v>
      </c>
      <c r="D2398" s="12" t="str">
        <f aca="false">INDEX('Country Tiers'!$C$2:$C$37,MATCH(C2398,'Country Tiers'!$A$2:$A$37,0))</f>
        <v>Tier 3</v>
      </c>
      <c r="E2398" s="12" t="n">
        <f aca="false">INDEX('Country Tiers'!$D$2:$D$37,MATCH(C2398,'Country Tiers'!$A$2:$A$37,0))</f>
        <v>1</v>
      </c>
    </row>
    <row r="2399" customFormat="false" ht="15" hidden="false" customHeight="false" outlineLevel="0" collapsed="false">
      <c r="A2399" s="12" t="s">
        <v>139</v>
      </c>
      <c r="B2399" s="12" t="s">
        <v>44</v>
      </c>
      <c r="C2399" s="12" t="s">
        <v>301</v>
      </c>
      <c r="D2399" s="12" t="str">
        <f aca="false">INDEX('Country Tiers'!$C$2:$C$37,MATCH(C2399,'Country Tiers'!$A$2:$A$37,0))</f>
        <v>Tier 3</v>
      </c>
      <c r="E2399" s="12" t="n">
        <f aca="false">INDEX('Country Tiers'!$D$2:$D$37,MATCH(C2399,'Country Tiers'!$A$2:$A$37,0))</f>
        <v>1</v>
      </c>
    </row>
    <row r="2400" customFormat="false" ht="15" hidden="false" customHeight="false" outlineLevel="0" collapsed="false">
      <c r="A2400" s="12" t="s">
        <v>139</v>
      </c>
      <c r="B2400" s="12" t="s">
        <v>44</v>
      </c>
      <c r="C2400" s="12" t="s">
        <v>302</v>
      </c>
      <c r="D2400" s="12" t="str">
        <f aca="false">INDEX('Country Tiers'!$C$2:$C$37,MATCH(C2400,'Country Tiers'!$A$2:$A$37,0))</f>
        <v>Tier 3</v>
      </c>
      <c r="E2400" s="12" t="n">
        <f aca="false">INDEX('Country Tiers'!$D$2:$D$37,MATCH(C2400,'Country Tiers'!$A$2:$A$37,0))</f>
        <v>1</v>
      </c>
    </row>
    <row r="2401" customFormat="false" ht="15" hidden="false" customHeight="false" outlineLevel="0" collapsed="false">
      <c r="A2401" s="12" t="s">
        <v>139</v>
      </c>
      <c r="B2401" s="12" t="s">
        <v>44</v>
      </c>
      <c r="C2401" s="12" t="s">
        <v>305</v>
      </c>
      <c r="D2401" s="12" t="str">
        <f aca="false">INDEX('Country Tiers'!$C$2:$C$37,MATCH(C2401,'Country Tiers'!$A$2:$A$37,0))</f>
        <v>Tier 3</v>
      </c>
      <c r="E2401" s="12" t="n">
        <f aca="false">INDEX('Country Tiers'!$D$2:$D$37,MATCH(C2401,'Country Tiers'!$A$2:$A$37,0))</f>
        <v>1</v>
      </c>
    </row>
    <row r="2402" customFormat="false" ht="15" hidden="false" customHeight="false" outlineLevel="0" collapsed="false">
      <c r="A2402" s="12" t="s">
        <v>139</v>
      </c>
      <c r="B2402" s="12" t="s">
        <v>44</v>
      </c>
      <c r="C2402" s="12" t="s">
        <v>306</v>
      </c>
      <c r="D2402" s="12" t="str">
        <f aca="false">INDEX('Country Tiers'!$C$2:$C$37,MATCH(C2402,'Country Tiers'!$A$2:$A$37,0))</f>
        <v>Tier 3</v>
      </c>
      <c r="E2402" s="12" t="n">
        <f aca="false">INDEX('Country Tiers'!$D$2:$D$37,MATCH(C2402,'Country Tiers'!$A$2:$A$37,0))</f>
        <v>1</v>
      </c>
    </row>
    <row r="2403" customFormat="false" ht="15" hidden="false" customHeight="false" outlineLevel="0" collapsed="false">
      <c r="A2403" s="12" t="s">
        <v>139</v>
      </c>
      <c r="B2403" s="12" t="s">
        <v>44</v>
      </c>
      <c r="C2403" s="12" t="s">
        <v>307</v>
      </c>
      <c r="D2403" s="12" t="str">
        <f aca="false">INDEX('Country Tiers'!$C$2:$C$37,MATCH(C2403,'Country Tiers'!$A$2:$A$37,0))</f>
        <v>Tier 2</v>
      </c>
      <c r="E2403" s="12" t="n">
        <f aca="false">INDEX('Country Tiers'!$D$2:$D$37,MATCH(C2403,'Country Tiers'!$A$2:$A$37,0))</f>
        <v>2</v>
      </c>
    </row>
    <row r="2404" customFormat="false" ht="15" hidden="false" customHeight="false" outlineLevel="0" collapsed="false">
      <c r="A2404" s="12" t="s">
        <v>139</v>
      </c>
      <c r="B2404" s="12" t="s">
        <v>44</v>
      </c>
      <c r="C2404" s="12" t="s">
        <v>308</v>
      </c>
      <c r="D2404" s="12" t="str">
        <f aca="false">INDEX('Country Tiers'!$C$2:$C$37,MATCH(C2404,'Country Tiers'!$A$2:$A$37,0))</f>
        <v>Tier 3</v>
      </c>
      <c r="E2404" s="12" t="n">
        <f aca="false">INDEX('Country Tiers'!$D$2:$D$37,MATCH(C2404,'Country Tiers'!$A$2:$A$37,0))</f>
        <v>1</v>
      </c>
    </row>
    <row r="2405" customFormat="false" ht="15" hidden="false" customHeight="false" outlineLevel="0" collapsed="false">
      <c r="A2405" s="12" t="s">
        <v>139</v>
      </c>
      <c r="B2405" s="12" t="s">
        <v>44</v>
      </c>
      <c r="C2405" s="12" t="s">
        <v>309</v>
      </c>
      <c r="D2405" s="12" t="str">
        <f aca="false">INDEX('Country Tiers'!$C$2:$C$37,MATCH(C2405,'Country Tiers'!$A$2:$A$37,0))</f>
        <v>Tier 1</v>
      </c>
      <c r="E2405" s="12" t="n">
        <f aca="false">INDEX('Country Tiers'!$D$2:$D$37,MATCH(C2405,'Country Tiers'!$A$2:$A$37,0))</f>
        <v>3</v>
      </c>
    </row>
    <row r="2406" customFormat="false" ht="15" hidden="false" customHeight="false" outlineLevel="0" collapsed="false">
      <c r="A2406" s="12" t="s">
        <v>139</v>
      </c>
      <c r="B2406" s="12" t="s">
        <v>44</v>
      </c>
      <c r="C2406" s="12" t="s">
        <v>313</v>
      </c>
      <c r="D2406" s="12" t="str">
        <f aca="false">INDEX('Country Tiers'!$C$2:$C$37,MATCH(C2406,'Country Tiers'!$A$2:$A$37,0))</f>
        <v>Tier 1</v>
      </c>
      <c r="E2406" s="12" t="n">
        <f aca="false">INDEX('Country Tiers'!$D$2:$D$37,MATCH(C2406,'Country Tiers'!$A$2:$A$37,0))</f>
        <v>3</v>
      </c>
    </row>
    <row r="2407" customFormat="false" ht="15" hidden="false" customHeight="false" outlineLevel="0" collapsed="false">
      <c r="A2407" s="12" t="s">
        <v>139</v>
      </c>
      <c r="B2407" s="12" t="s">
        <v>50</v>
      </c>
      <c r="C2407" s="12" t="s">
        <v>274</v>
      </c>
      <c r="D2407" s="12" t="str">
        <f aca="false">INDEX('Country Tiers'!$C$2:$C$37,MATCH(C2407,'Country Tiers'!$A$2:$A$37,0))</f>
        <v>Tier 3</v>
      </c>
      <c r="E2407" s="12" t="n">
        <f aca="false">INDEX('Country Tiers'!$D$2:$D$37,MATCH(C2407,'Country Tiers'!$A$2:$A$37,0))</f>
        <v>1</v>
      </c>
    </row>
    <row r="2408" customFormat="false" ht="15" hidden="false" customHeight="false" outlineLevel="0" collapsed="false">
      <c r="A2408" s="12" t="s">
        <v>139</v>
      </c>
      <c r="B2408" s="12" t="s">
        <v>50</v>
      </c>
      <c r="C2408" s="12" t="s">
        <v>277</v>
      </c>
      <c r="D2408" s="12" t="str">
        <f aca="false">INDEX('Country Tiers'!$C$2:$C$37,MATCH(C2408,'Country Tiers'!$A$2:$A$37,0))</f>
        <v>Tier 1</v>
      </c>
      <c r="E2408" s="12" t="n">
        <f aca="false">INDEX('Country Tiers'!$D$2:$D$37,MATCH(C2408,'Country Tiers'!$A$2:$A$37,0))</f>
        <v>3</v>
      </c>
    </row>
    <row r="2409" customFormat="false" ht="15" hidden="false" customHeight="false" outlineLevel="0" collapsed="false">
      <c r="A2409" s="12" t="s">
        <v>139</v>
      </c>
      <c r="B2409" s="12" t="s">
        <v>50</v>
      </c>
      <c r="C2409" s="12" t="s">
        <v>279</v>
      </c>
      <c r="D2409" s="12" t="str">
        <f aca="false">INDEX('Country Tiers'!$C$2:$C$37,MATCH(C2409,'Country Tiers'!$A$2:$A$37,0))</f>
        <v>Tier 1</v>
      </c>
      <c r="E2409" s="12" t="n">
        <f aca="false">INDEX('Country Tiers'!$D$2:$D$37,MATCH(C2409,'Country Tiers'!$A$2:$A$37,0))</f>
        <v>3</v>
      </c>
    </row>
    <row r="2410" customFormat="false" ht="15" hidden="false" customHeight="false" outlineLevel="0" collapsed="false">
      <c r="A2410" s="12" t="s">
        <v>139</v>
      </c>
      <c r="B2410" s="12" t="s">
        <v>50</v>
      </c>
      <c r="C2410" s="12" t="s">
        <v>280</v>
      </c>
      <c r="D2410" s="12" t="str">
        <f aca="false">INDEX('Country Tiers'!$C$2:$C$37,MATCH(C2410,'Country Tiers'!$A$2:$A$37,0))</f>
        <v>Tier 3</v>
      </c>
      <c r="E2410" s="12" t="n">
        <f aca="false">INDEX('Country Tiers'!$D$2:$D$37,MATCH(C2410,'Country Tiers'!$A$2:$A$37,0))</f>
        <v>1</v>
      </c>
    </row>
    <row r="2411" customFormat="false" ht="15" hidden="false" customHeight="false" outlineLevel="0" collapsed="false">
      <c r="A2411" s="12" t="s">
        <v>139</v>
      </c>
      <c r="B2411" s="12" t="s">
        <v>50</v>
      </c>
      <c r="C2411" s="12" t="s">
        <v>281</v>
      </c>
      <c r="D2411" s="12" t="str">
        <f aca="false">INDEX('Country Tiers'!$C$2:$C$37,MATCH(C2411,'Country Tiers'!$A$2:$A$37,0))</f>
        <v>Tier 3</v>
      </c>
      <c r="E2411" s="12" t="n">
        <f aca="false">INDEX('Country Tiers'!$D$2:$D$37,MATCH(C2411,'Country Tiers'!$A$2:$A$37,0))</f>
        <v>1</v>
      </c>
    </row>
    <row r="2412" customFormat="false" ht="15" hidden="false" customHeight="false" outlineLevel="0" collapsed="false">
      <c r="A2412" s="12" t="s">
        <v>139</v>
      </c>
      <c r="B2412" s="12" t="s">
        <v>50</v>
      </c>
      <c r="C2412" s="12" t="s">
        <v>282</v>
      </c>
      <c r="D2412" s="12" t="str">
        <f aca="false">INDEX('Country Tiers'!$C$2:$C$37,MATCH(C2412,'Country Tiers'!$A$2:$A$37,0))</f>
        <v>Tier 3</v>
      </c>
      <c r="E2412" s="12" t="n">
        <f aca="false">INDEX('Country Tiers'!$D$2:$D$37,MATCH(C2412,'Country Tiers'!$A$2:$A$37,0))</f>
        <v>1</v>
      </c>
    </row>
    <row r="2413" customFormat="false" ht="15" hidden="false" customHeight="false" outlineLevel="0" collapsed="false">
      <c r="A2413" s="12" t="s">
        <v>139</v>
      </c>
      <c r="B2413" s="12" t="s">
        <v>50</v>
      </c>
      <c r="C2413" s="12" t="s">
        <v>283</v>
      </c>
      <c r="D2413" s="12" t="str">
        <f aca="false">INDEX('Country Tiers'!$C$2:$C$37,MATCH(C2413,'Country Tiers'!$A$2:$A$37,0))</f>
        <v>Tier 3</v>
      </c>
      <c r="E2413" s="12" t="n">
        <f aca="false">INDEX('Country Tiers'!$D$2:$D$37,MATCH(C2413,'Country Tiers'!$A$2:$A$37,0))</f>
        <v>1</v>
      </c>
    </row>
    <row r="2414" customFormat="false" ht="15" hidden="false" customHeight="false" outlineLevel="0" collapsed="false">
      <c r="A2414" s="12" t="s">
        <v>139</v>
      </c>
      <c r="B2414" s="12" t="s">
        <v>50</v>
      </c>
      <c r="C2414" s="12" t="s">
        <v>284</v>
      </c>
      <c r="D2414" s="12" t="str">
        <f aca="false">INDEX('Country Tiers'!$C$2:$C$37,MATCH(C2414,'Country Tiers'!$A$2:$A$37,0))</f>
        <v>Tier 3</v>
      </c>
      <c r="E2414" s="12" t="n">
        <f aca="false">INDEX('Country Tiers'!$D$2:$D$37,MATCH(C2414,'Country Tiers'!$A$2:$A$37,0))</f>
        <v>1</v>
      </c>
    </row>
    <row r="2415" customFormat="false" ht="15" hidden="false" customHeight="false" outlineLevel="0" collapsed="false">
      <c r="A2415" s="12" t="s">
        <v>139</v>
      </c>
      <c r="B2415" s="12" t="s">
        <v>50</v>
      </c>
      <c r="C2415" s="12" t="s">
        <v>285</v>
      </c>
      <c r="D2415" s="12" t="str">
        <f aca="false">INDEX('Country Tiers'!$C$2:$C$37,MATCH(C2415,'Country Tiers'!$A$2:$A$37,0))</f>
        <v>Tier 3</v>
      </c>
      <c r="E2415" s="12" t="n">
        <f aca="false">INDEX('Country Tiers'!$D$2:$D$37,MATCH(C2415,'Country Tiers'!$A$2:$A$37,0))</f>
        <v>1</v>
      </c>
    </row>
    <row r="2416" customFormat="false" ht="15" hidden="false" customHeight="false" outlineLevel="0" collapsed="false">
      <c r="A2416" s="12" t="s">
        <v>139</v>
      </c>
      <c r="B2416" s="12" t="s">
        <v>50</v>
      </c>
      <c r="C2416" s="12" t="s">
        <v>286</v>
      </c>
      <c r="D2416" s="12" t="str">
        <f aca="false">INDEX('Country Tiers'!$C$2:$C$37,MATCH(C2416,'Country Tiers'!$A$2:$A$37,0))</f>
        <v>Tier 1</v>
      </c>
      <c r="E2416" s="12" t="n">
        <f aca="false">INDEX('Country Tiers'!$D$2:$D$37,MATCH(C2416,'Country Tiers'!$A$2:$A$37,0))</f>
        <v>3</v>
      </c>
    </row>
    <row r="2417" customFormat="false" ht="15" hidden="false" customHeight="false" outlineLevel="0" collapsed="false">
      <c r="A2417" s="12" t="s">
        <v>139</v>
      </c>
      <c r="B2417" s="12" t="s">
        <v>50</v>
      </c>
      <c r="C2417" s="12" t="s">
        <v>287</v>
      </c>
      <c r="D2417" s="12" t="str">
        <f aca="false">INDEX('Country Tiers'!$C$2:$C$37,MATCH(C2417,'Country Tiers'!$A$2:$A$37,0))</f>
        <v>Tier 1</v>
      </c>
      <c r="E2417" s="12" t="n">
        <f aca="false">INDEX('Country Tiers'!$D$2:$D$37,MATCH(C2417,'Country Tiers'!$A$2:$A$37,0))</f>
        <v>3</v>
      </c>
    </row>
    <row r="2418" customFormat="false" ht="15" hidden="false" customHeight="false" outlineLevel="0" collapsed="false">
      <c r="A2418" s="12" t="s">
        <v>139</v>
      </c>
      <c r="B2418" s="12" t="s">
        <v>50</v>
      </c>
      <c r="C2418" s="12" t="s">
        <v>288</v>
      </c>
      <c r="D2418" s="12" t="str">
        <f aca="false">INDEX('Country Tiers'!$C$2:$C$37,MATCH(C2418,'Country Tiers'!$A$2:$A$37,0))</f>
        <v>Tier 3</v>
      </c>
      <c r="E2418" s="12" t="n">
        <f aca="false">INDEX('Country Tiers'!$D$2:$D$37,MATCH(C2418,'Country Tiers'!$A$2:$A$37,0))</f>
        <v>1</v>
      </c>
    </row>
    <row r="2419" customFormat="false" ht="15" hidden="false" customHeight="false" outlineLevel="0" collapsed="false">
      <c r="A2419" s="12" t="s">
        <v>139</v>
      </c>
      <c r="B2419" s="12" t="s">
        <v>50</v>
      </c>
      <c r="C2419" s="12" t="s">
        <v>290</v>
      </c>
      <c r="D2419" s="12" t="str">
        <f aca="false">INDEX('Country Tiers'!$C$2:$C$37,MATCH(C2419,'Country Tiers'!$A$2:$A$37,0))</f>
        <v>Tier 3</v>
      </c>
      <c r="E2419" s="12" t="n">
        <f aca="false">INDEX('Country Tiers'!$D$2:$D$37,MATCH(C2419,'Country Tiers'!$A$2:$A$37,0))</f>
        <v>1</v>
      </c>
    </row>
    <row r="2420" customFormat="false" ht="15" hidden="false" customHeight="false" outlineLevel="0" collapsed="false">
      <c r="A2420" s="12" t="s">
        <v>139</v>
      </c>
      <c r="B2420" s="12" t="s">
        <v>50</v>
      </c>
      <c r="C2420" s="12" t="s">
        <v>291</v>
      </c>
      <c r="D2420" s="12" t="str">
        <f aca="false">INDEX('Country Tiers'!$C$2:$C$37,MATCH(C2420,'Country Tiers'!$A$2:$A$37,0))</f>
        <v>Tier 3</v>
      </c>
      <c r="E2420" s="12" t="n">
        <f aca="false">INDEX('Country Tiers'!$D$2:$D$37,MATCH(C2420,'Country Tiers'!$A$2:$A$37,0))</f>
        <v>1</v>
      </c>
    </row>
    <row r="2421" customFormat="false" ht="15" hidden="false" customHeight="false" outlineLevel="0" collapsed="false">
      <c r="A2421" s="12" t="s">
        <v>139</v>
      </c>
      <c r="B2421" s="12" t="s">
        <v>50</v>
      </c>
      <c r="C2421" s="12" t="s">
        <v>292</v>
      </c>
      <c r="D2421" s="12" t="str">
        <f aca="false">INDEX('Country Tiers'!$C$2:$C$37,MATCH(C2421,'Country Tiers'!$A$2:$A$37,0))</f>
        <v>Tier 2</v>
      </c>
      <c r="E2421" s="12" t="n">
        <f aca="false">INDEX('Country Tiers'!$D$2:$D$37,MATCH(C2421,'Country Tiers'!$A$2:$A$37,0))</f>
        <v>2</v>
      </c>
    </row>
    <row r="2422" customFormat="false" ht="15" hidden="false" customHeight="false" outlineLevel="0" collapsed="false">
      <c r="A2422" s="12" t="s">
        <v>139</v>
      </c>
      <c r="B2422" s="12" t="s">
        <v>50</v>
      </c>
      <c r="C2422" s="12" t="s">
        <v>293</v>
      </c>
      <c r="D2422" s="12" t="str">
        <f aca="false">INDEX('Country Tiers'!$C$2:$C$37,MATCH(C2422,'Country Tiers'!$A$2:$A$37,0))</f>
        <v>Tier 3</v>
      </c>
      <c r="E2422" s="12" t="n">
        <f aca="false">INDEX('Country Tiers'!$D$2:$D$37,MATCH(C2422,'Country Tiers'!$A$2:$A$37,0))</f>
        <v>1</v>
      </c>
    </row>
    <row r="2423" customFormat="false" ht="15" hidden="false" customHeight="false" outlineLevel="0" collapsed="false">
      <c r="A2423" s="12" t="s">
        <v>139</v>
      </c>
      <c r="B2423" s="12" t="s">
        <v>50</v>
      </c>
      <c r="C2423" s="12" t="s">
        <v>294</v>
      </c>
      <c r="D2423" s="12" t="str">
        <f aca="false">INDEX('Country Tiers'!$C$2:$C$37,MATCH(C2423,'Country Tiers'!$A$2:$A$37,0))</f>
        <v>Tier 3</v>
      </c>
      <c r="E2423" s="12" t="n">
        <f aca="false">INDEX('Country Tiers'!$D$2:$D$37,MATCH(C2423,'Country Tiers'!$A$2:$A$37,0))</f>
        <v>1</v>
      </c>
    </row>
    <row r="2424" customFormat="false" ht="15" hidden="false" customHeight="false" outlineLevel="0" collapsed="false">
      <c r="A2424" s="12" t="s">
        <v>139</v>
      </c>
      <c r="B2424" s="12" t="s">
        <v>50</v>
      </c>
      <c r="C2424" s="12" t="s">
        <v>295</v>
      </c>
      <c r="D2424" s="12" t="str">
        <f aca="false">INDEX('Country Tiers'!$C$2:$C$37,MATCH(C2424,'Country Tiers'!$A$2:$A$37,0))</f>
        <v>Tier 3</v>
      </c>
      <c r="E2424" s="12" t="n">
        <f aca="false">INDEX('Country Tiers'!$D$2:$D$37,MATCH(C2424,'Country Tiers'!$A$2:$A$37,0))</f>
        <v>1</v>
      </c>
    </row>
    <row r="2425" customFormat="false" ht="15" hidden="false" customHeight="false" outlineLevel="0" collapsed="false">
      <c r="A2425" s="12" t="s">
        <v>139</v>
      </c>
      <c r="B2425" s="12" t="s">
        <v>50</v>
      </c>
      <c r="C2425" s="12" t="s">
        <v>296</v>
      </c>
      <c r="D2425" s="12" t="str">
        <f aca="false">INDEX('Country Tiers'!$C$2:$C$37,MATCH(C2425,'Country Tiers'!$A$2:$A$37,0))</f>
        <v>Tier 3</v>
      </c>
      <c r="E2425" s="12" t="n">
        <f aca="false">INDEX('Country Tiers'!$D$2:$D$37,MATCH(C2425,'Country Tiers'!$A$2:$A$37,0))</f>
        <v>1</v>
      </c>
    </row>
    <row r="2426" customFormat="false" ht="15" hidden="false" customHeight="false" outlineLevel="0" collapsed="false">
      <c r="A2426" s="12" t="s">
        <v>139</v>
      </c>
      <c r="B2426" s="12" t="s">
        <v>50</v>
      </c>
      <c r="C2426" s="12" t="s">
        <v>298</v>
      </c>
      <c r="D2426" s="12" t="str">
        <f aca="false">INDEX('Country Tiers'!$C$2:$C$37,MATCH(C2426,'Country Tiers'!$A$2:$A$37,0))</f>
        <v>Tier 1</v>
      </c>
      <c r="E2426" s="12" t="n">
        <f aca="false">INDEX('Country Tiers'!$D$2:$D$37,MATCH(C2426,'Country Tiers'!$A$2:$A$37,0))</f>
        <v>3</v>
      </c>
    </row>
    <row r="2427" customFormat="false" ht="15" hidden="false" customHeight="false" outlineLevel="0" collapsed="false">
      <c r="A2427" s="12" t="s">
        <v>139</v>
      </c>
      <c r="B2427" s="12" t="s">
        <v>50</v>
      </c>
      <c r="C2427" s="12" t="s">
        <v>299</v>
      </c>
      <c r="D2427" s="12" t="str">
        <f aca="false">INDEX('Country Tiers'!$C$2:$C$37,MATCH(C2427,'Country Tiers'!$A$2:$A$37,0))</f>
        <v>Tier 3</v>
      </c>
      <c r="E2427" s="12" t="n">
        <f aca="false">INDEX('Country Tiers'!$D$2:$D$37,MATCH(C2427,'Country Tiers'!$A$2:$A$37,0))</f>
        <v>1</v>
      </c>
    </row>
    <row r="2428" customFormat="false" ht="15" hidden="false" customHeight="false" outlineLevel="0" collapsed="false">
      <c r="A2428" s="12" t="s">
        <v>139</v>
      </c>
      <c r="B2428" s="12" t="s">
        <v>50</v>
      </c>
      <c r="C2428" s="12" t="s">
        <v>300</v>
      </c>
      <c r="D2428" s="12" t="str">
        <f aca="false">INDEX('Country Tiers'!$C$2:$C$37,MATCH(C2428,'Country Tiers'!$A$2:$A$37,0))</f>
        <v>Tier 3</v>
      </c>
      <c r="E2428" s="12" t="n">
        <f aca="false">INDEX('Country Tiers'!$D$2:$D$37,MATCH(C2428,'Country Tiers'!$A$2:$A$37,0))</f>
        <v>1</v>
      </c>
    </row>
    <row r="2429" customFormat="false" ht="15" hidden="false" customHeight="false" outlineLevel="0" collapsed="false">
      <c r="A2429" s="12" t="s">
        <v>139</v>
      </c>
      <c r="B2429" s="12" t="s">
        <v>50</v>
      </c>
      <c r="C2429" s="12" t="s">
        <v>301</v>
      </c>
      <c r="D2429" s="12" t="str">
        <f aca="false">INDEX('Country Tiers'!$C$2:$C$37,MATCH(C2429,'Country Tiers'!$A$2:$A$37,0))</f>
        <v>Tier 3</v>
      </c>
      <c r="E2429" s="12" t="n">
        <f aca="false">INDEX('Country Tiers'!$D$2:$D$37,MATCH(C2429,'Country Tiers'!$A$2:$A$37,0))</f>
        <v>1</v>
      </c>
    </row>
    <row r="2430" customFormat="false" ht="15" hidden="false" customHeight="false" outlineLevel="0" collapsed="false">
      <c r="A2430" s="12" t="s">
        <v>139</v>
      </c>
      <c r="B2430" s="12" t="s">
        <v>50</v>
      </c>
      <c r="C2430" s="12" t="s">
        <v>302</v>
      </c>
      <c r="D2430" s="12" t="str">
        <f aca="false">INDEX('Country Tiers'!$C$2:$C$37,MATCH(C2430,'Country Tiers'!$A$2:$A$37,0))</f>
        <v>Tier 3</v>
      </c>
      <c r="E2430" s="12" t="n">
        <f aca="false">INDEX('Country Tiers'!$D$2:$D$37,MATCH(C2430,'Country Tiers'!$A$2:$A$37,0))</f>
        <v>1</v>
      </c>
    </row>
    <row r="2431" customFormat="false" ht="15" hidden="false" customHeight="false" outlineLevel="0" collapsed="false">
      <c r="A2431" s="12" t="s">
        <v>139</v>
      </c>
      <c r="B2431" s="12" t="s">
        <v>50</v>
      </c>
      <c r="C2431" s="12" t="s">
        <v>305</v>
      </c>
      <c r="D2431" s="12" t="str">
        <f aca="false">INDEX('Country Tiers'!$C$2:$C$37,MATCH(C2431,'Country Tiers'!$A$2:$A$37,0))</f>
        <v>Tier 3</v>
      </c>
      <c r="E2431" s="12" t="n">
        <f aca="false">INDEX('Country Tiers'!$D$2:$D$37,MATCH(C2431,'Country Tiers'!$A$2:$A$37,0))</f>
        <v>1</v>
      </c>
    </row>
    <row r="2432" customFormat="false" ht="15" hidden="false" customHeight="false" outlineLevel="0" collapsed="false">
      <c r="A2432" s="12" t="s">
        <v>139</v>
      </c>
      <c r="B2432" s="12" t="s">
        <v>50</v>
      </c>
      <c r="C2432" s="12" t="s">
        <v>306</v>
      </c>
      <c r="D2432" s="12" t="str">
        <f aca="false">INDEX('Country Tiers'!$C$2:$C$37,MATCH(C2432,'Country Tiers'!$A$2:$A$37,0))</f>
        <v>Tier 3</v>
      </c>
      <c r="E2432" s="12" t="n">
        <f aca="false">INDEX('Country Tiers'!$D$2:$D$37,MATCH(C2432,'Country Tiers'!$A$2:$A$37,0))</f>
        <v>1</v>
      </c>
    </row>
    <row r="2433" customFormat="false" ht="15" hidden="false" customHeight="false" outlineLevel="0" collapsed="false">
      <c r="A2433" s="12" t="s">
        <v>139</v>
      </c>
      <c r="B2433" s="12" t="s">
        <v>50</v>
      </c>
      <c r="C2433" s="12" t="s">
        <v>307</v>
      </c>
      <c r="D2433" s="12" t="str">
        <f aca="false">INDEX('Country Tiers'!$C$2:$C$37,MATCH(C2433,'Country Tiers'!$A$2:$A$37,0))</f>
        <v>Tier 2</v>
      </c>
      <c r="E2433" s="12" t="n">
        <f aca="false">INDEX('Country Tiers'!$D$2:$D$37,MATCH(C2433,'Country Tiers'!$A$2:$A$37,0))</f>
        <v>2</v>
      </c>
    </row>
    <row r="2434" customFormat="false" ht="15" hidden="false" customHeight="false" outlineLevel="0" collapsed="false">
      <c r="A2434" s="12" t="s">
        <v>139</v>
      </c>
      <c r="B2434" s="12" t="s">
        <v>50</v>
      </c>
      <c r="C2434" s="12" t="s">
        <v>308</v>
      </c>
      <c r="D2434" s="12" t="str">
        <f aca="false">INDEX('Country Tiers'!$C$2:$C$37,MATCH(C2434,'Country Tiers'!$A$2:$A$37,0))</f>
        <v>Tier 3</v>
      </c>
      <c r="E2434" s="12" t="n">
        <f aca="false">INDEX('Country Tiers'!$D$2:$D$37,MATCH(C2434,'Country Tiers'!$A$2:$A$37,0))</f>
        <v>1</v>
      </c>
    </row>
    <row r="2435" customFormat="false" ht="15" hidden="false" customHeight="false" outlineLevel="0" collapsed="false">
      <c r="A2435" s="12" t="s">
        <v>139</v>
      </c>
      <c r="B2435" s="12" t="s">
        <v>50</v>
      </c>
      <c r="C2435" s="12" t="s">
        <v>313</v>
      </c>
      <c r="D2435" s="12" t="str">
        <f aca="false">INDEX('Country Tiers'!$C$2:$C$37,MATCH(C2435,'Country Tiers'!$A$2:$A$37,0))</f>
        <v>Tier 1</v>
      </c>
      <c r="E2435" s="12" t="n">
        <f aca="false">INDEX('Country Tiers'!$D$2:$D$37,MATCH(C2435,'Country Tiers'!$A$2:$A$37,0))</f>
        <v>3</v>
      </c>
    </row>
    <row r="2436" customFormat="false" ht="15" hidden="false" customHeight="false" outlineLevel="0" collapsed="false">
      <c r="A2436" s="12" t="s">
        <v>140</v>
      </c>
      <c r="B2436" s="12" t="s">
        <v>47</v>
      </c>
      <c r="C2436" s="12" t="s">
        <v>274</v>
      </c>
      <c r="D2436" s="12" t="str">
        <f aca="false">INDEX('Country Tiers'!$C$2:$C$37,MATCH(C2436,'Country Tiers'!$A$2:$A$37,0))</f>
        <v>Tier 3</v>
      </c>
      <c r="E2436" s="12" t="n">
        <f aca="false">INDEX('Country Tiers'!$D$2:$D$37,MATCH(C2436,'Country Tiers'!$A$2:$A$37,0))</f>
        <v>1</v>
      </c>
    </row>
    <row r="2437" customFormat="false" ht="15" hidden="false" customHeight="false" outlineLevel="0" collapsed="false">
      <c r="A2437" s="12" t="s">
        <v>140</v>
      </c>
      <c r="B2437" s="12" t="s">
        <v>47</v>
      </c>
      <c r="C2437" s="12" t="s">
        <v>277</v>
      </c>
      <c r="D2437" s="12" t="str">
        <f aca="false">INDEX('Country Tiers'!$C$2:$C$37,MATCH(C2437,'Country Tiers'!$A$2:$A$37,0))</f>
        <v>Tier 1</v>
      </c>
      <c r="E2437" s="12" t="n">
        <f aca="false">INDEX('Country Tiers'!$D$2:$D$37,MATCH(C2437,'Country Tiers'!$A$2:$A$37,0))</f>
        <v>3</v>
      </c>
    </row>
    <row r="2438" customFormat="false" ht="15" hidden="false" customHeight="false" outlineLevel="0" collapsed="false">
      <c r="A2438" s="12" t="s">
        <v>140</v>
      </c>
      <c r="B2438" s="12" t="s">
        <v>47</v>
      </c>
      <c r="C2438" s="12" t="s">
        <v>278</v>
      </c>
      <c r="D2438" s="12" t="str">
        <f aca="false">INDEX('Country Tiers'!$C$2:$C$37,MATCH(C2438,'Country Tiers'!$A$2:$A$37,0))</f>
        <v>Tier 3</v>
      </c>
      <c r="E2438" s="12" t="n">
        <f aca="false">INDEX('Country Tiers'!$D$2:$D$37,MATCH(C2438,'Country Tiers'!$A$2:$A$37,0))</f>
        <v>1</v>
      </c>
    </row>
    <row r="2439" customFormat="false" ht="15" hidden="false" customHeight="false" outlineLevel="0" collapsed="false">
      <c r="A2439" s="12" t="s">
        <v>140</v>
      </c>
      <c r="B2439" s="12" t="s">
        <v>47</v>
      </c>
      <c r="C2439" s="12" t="s">
        <v>279</v>
      </c>
      <c r="D2439" s="12" t="str">
        <f aca="false">INDEX('Country Tiers'!$C$2:$C$37,MATCH(C2439,'Country Tiers'!$A$2:$A$37,0))</f>
        <v>Tier 1</v>
      </c>
      <c r="E2439" s="12" t="n">
        <f aca="false">INDEX('Country Tiers'!$D$2:$D$37,MATCH(C2439,'Country Tiers'!$A$2:$A$37,0))</f>
        <v>3</v>
      </c>
    </row>
    <row r="2440" customFormat="false" ht="15" hidden="false" customHeight="false" outlineLevel="0" collapsed="false">
      <c r="A2440" s="12" t="s">
        <v>140</v>
      </c>
      <c r="B2440" s="12" t="s">
        <v>47</v>
      </c>
      <c r="C2440" s="12" t="s">
        <v>280</v>
      </c>
      <c r="D2440" s="12" t="str">
        <f aca="false">INDEX('Country Tiers'!$C$2:$C$37,MATCH(C2440,'Country Tiers'!$A$2:$A$37,0))</f>
        <v>Tier 3</v>
      </c>
      <c r="E2440" s="12" t="n">
        <f aca="false">INDEX('Country Tiers'!$D$2:$D$37,MATCH(C2440,'Country Tiers'!$A$2:$A$37,0))</f>
        <v>1</v>
      </c>
    </row>
    <row r="2441" customFormat="false" ht="15" hidden="false" customHeight="false" outlineLevel="0" collapsed="false">
      <c r="A2441" s="12" t="s">
        <v>140</v>
      </c>
      <c r="B2441" s="12" t="s">
        <v>47</v>
      </c>
      <c r="C2441" s="12" t="s">
        <v>281</v>
      </c>
      <c r="D2441" s="12" t="str">
        <f aca="false">INDEX('Country Tiers'!$C$2:$C$37,MATCH(C2441,'Country Tiers'!$A$2:$A$37,0))</f>
        <v>Tier 3</v>
      </c>
      <c r="E2441" s="12" t="n">
        <f aca="false">INDEX('Country Tiers'!$D$2:$D$37,MATCH(C2441,'Country Tiers'!$A$2:$A$37,0))</f>
        <v>1</v>
      </c>
    </row>
    <row r="2442" customFormat="false" ht="15" hidden="false" customHeight="false" outlineLevel="0" collapsed="false">
      <c r="A2442" s="12" t="s">
        <v>140</v>
      </c>
      <c r="B2442" s="12" t="s">
        <v>47</v>
      </c>
      <c r="C2442" s="12" t="s">
        <v>282</v>
      </c>
      <c r="D2442" s="12" t="str">
        <f aca="false">INDEX('Country Tiers'!$C$2:$C$37,MATCH(C2442,'Country Tiers'!$A$2:$A$37,0))</f>
        <v>Tier 3</v>
      </c>
      <c r="E2442" s="12" t="n">
        <f aca="false">INDEX('Country Tiers'!$D$2:$D$37,MATCH(C2442,'Country Tiers'!$A$2:$A$37,0))</f>
        <v>1</v>
      </c>
    </row>
    <row r="2443" customFormat="false" ht="15" hidden="false" customHeight="false" outlineLevel="0" collapsed="false">
      <c r="A2443" s="12" t="s">
        <v>140</v>
      </c>
      <c r="B2443" s="12" t="s">
        <v>47</v>
      </c>
      <c r="C2443" s="12" t="s">
        <v>283</v>
      </c>
      <c r="D2443" s="12" t="str">
        <f aca="false">INDEX('Country Tiers'!$C$2:$C$37,MATCH(C2443,'Country Tiers'!$A$2:$A$37,0))</f>
        <v>Tier 3</v>
      </c>
      <c r="E2443" s="12" t="n">
        <f aca="false">INDEX('Country Tiers'!$D$2:$D$37,MATCH(C2443,'Country Tiers'!$A$2:$A$37,0))</f>
        <v>1</v>
      </c>
    </row>
    <row r="2444" customFormat="false" ht="15" hidden="false" customHeight="false" outlineLevel="0" collapsed="false">
      <c r="A2444" s="12" t="s">
        <v>140</v>
      </c>
      <c r="B2444" s="12" t="s">
        <v>47</v>
      </c>
      <c r="C2444" s="12" t="s">
        <v>284</v>
      </c>
      <c r="D2444" s="12" t="str">
        <f aca="false">INDEX('Country Tiers'!$C$2:$C$37,MATCH(C2444,'Country Tiers'!$A$2:$A$37,0))</f>
        <v>Tier 3</v>
      </c>
      <c r="E2444" s="12" t="n">
        <f aca="false">INDEX('Country Tiers'!$D$2:$D$37,MATCH(C2444,'Country Tiers'!$A$2:$A$37,0))</f>
        <v>1</v>
      </c>
    </row>
    <row r="2445" customFormat="false" ht="15" hidden="false" customHeight="false" outlineLevel="0" collapsed="false">
      <c r="A2445" s="12" t="s">
        <v>140</v>
      </c>
      <c r="B2445" s="12" t="s">
        <v>47</v>
      </c>
      <c r="C2445" s="12" t="s">
        <v>285</v>
      </c>
      <c r="D2445" s="12" t="str">
        <f aca="false">INDEX('Country Tiers'!$C$2:$C$37,MATCH(C2445,'Country Tiers'!$A$2:$A$37,0))</f>
        <v>Tier 3</v>
      </c>
      <c r="E2445" s="12" t="n">
        <f aca="false">INDEX('Country Tiers'!$D$2:$D$37,MATCH(C2445,'Country Tiers'!$A$2:$A$37,0))</f>
        <v>1</v>
      </c>
    </row>
    <row r="2446" customFormat="false" ht="15" hidden="false" customHeight="false" outlineLevel="0" collapsed="false">
      <c r="A2446" s="12" t="s">
        <v>140</v>
      </c>
      <c r="B2446" s="12" t="s">
        <v>47</v>
      </c>
      <c r="C2446" s="12" t="s">
        <v>286</v>
      </c>
      <c r="D2446" s="12" t="str">
        <f aca="false">INDEX('Country Tiers'!$C$2:$C$37,MATCH(C2446,'Country Tiers'!$A$2:$A$37,0))</f>
        <v>Tier 1</v>
      </c>
      <c r="E2446" s="12" t="n">
        <f aca="false">INDEX('Country Tiers'!$D$2:$D$37,MATCH(C2446,'Country Tiers'!$A$2:$A$37,0))</f>
        <v>3</v>
      </c>
    </row>
    <row r="2447" customFormat="false" ht="15" hidden="false" customHeight="false" outlineLevel="0" collapsed="false">
      <c r="A2447" s="12" t="s">
        <v>140</v>
      </c>
      <c r="B2447" s="12" t="s">
        <v>47</v>
      </c>
      <c r="C2447" s="12" t="s">
        <v>287</v>
      </c>
      <c r="D2447" s="12" t="str">
        <f aca="false">INDEX('Country Tiers'!$C$2:$C$37,MATCH(C2447,'Country Tiers'!$A$2:$A$37,0))</f>
        <v>Tier 1</v>
      </c>
      <c r="E2447" s="12" t="n">
        <f aca="false">INDEX('Country Tiers'!$D$2:$D$37,MATCH(C2447,'Country Tiers'!$A$2:$A$37,0))</f>
        <v>3</v>
      </c>
    </row>
    <row r="2448" customFormat="false" ht="15" hidden="false" customHeight="false" outlineLevel="0" collapsed="false">
      <c r="A2448" s="12" t="s">
        <v>140</v>
      </c>
      <c r="B2448" s="12" t="s">
        <v>47</v>
      </c>
      <c r="C2448" s="12" t="s">
        <v>288</v>
      </c>
      <c r="D2448" s="12" t="str">
        <f aca="false">INDEX('Country Tiers'!$C$2:$C$37,MATCH(C2448,'Country Tiers'!$A$2:$A$37,0))</f>
        <v>Tier 3</v>
      </c>
      <c r="E2448" s="12" t="n">
        <f aca="false">INDEX('Country Tiers'!$D$2:$D$37,MATCH(C2448,'Country Tiers'!$A$2:$A$37,0))</f>
        <v>1</v>
      </c>
    </row>
    <row r="2449" customFormat="false" ht="15" hidden="false" customHeight="false" outlineLevel="0" collapsed="false">
      <c r="A2449" s="12" t="s">
        <v>140</v>
      </c>
      <c r="B2449" s="12" t="s">
        <v>47</v>
      </c>
      <c r="C2449" s="12" t="s">
        <v>289</v>
      </c>
      <c r="D2449" s="12" t="str">
        <f aca="false">INDEX('Country Tiers'!$C$2:$C$37,MATCH(C2449,'Country Tiers'!$A$2:$A$37,0))</f>
        <v>Tier 3</v>
      </c>
      <c r="E2449" s="12" t="n">
        <f aca="false">INDEX('Country Tiers'!$D$2:$D$37,MATCH(C2449,'Country Tiers'!$A$2:$A$37,0))</f>
        <v>1</v>
      </c>
    </row>
    <row r="2450" customFormat="false" ht="15" hidden="false" customHeight="false" outlineLevel="0" collapsed="false">
      <c r="A2450" s="12" t="s">
        <v>140</v>
      </c>
      <c r="B2450" s="12" t="s">
        <v>47</v>
      </c>
      <c r="C2450" s="12" t="s">
        <v>290</v>
      </c>
      <c r="D2450" s="12" t="str">
        <f aca="false">INDEX('Country Tiers'!$C$2:$C$37,MATCH(C2450,'Country Tiers'!$A$2:$A$37,0))</f>
        <v>Tier 3</v>
      </c>
      <c r="E2450" s="12" t="n">
        <f aca="false">INDEX('Country Tiers'!$D$2:$D$37,MATCH(C2450,'Country Tiers'!$A$2:$A$37,0))</f>
        <v>1</v>
      </c>
    </row>
    <row r="2451" customFormat="false" ht="15" hidden="false" customHeight="false" outlineLevel="0" collapsed="false">
      <c r="A2451" s="12" t="s">
        <v>140</v>
      </c>
      <c r="B2451" s="12" t="s">
        <v>47</v>
      </c>
      <c r="C2451" s="12" t="s">
        <v>291</v>
      </c>
      <c r="D2451" s="12" t="str">
        <f aca="false">INDEX('Country Tiers'!$C$2:$C$37,MATCH(C2451,'Country Tiers'!$A$2:$A$37,0))</f>
        <v>Tier 3</v>
      </c>
      <c r="E2451" s="12" t="n">
        <f aca="false">INDEX('Country Tiers'!$D$2:$D$37,MATCH(C2451,'Country Tiers'!$A$2:$A$37,0))</f>
        <v>1</v>
      </c>
    </row>
    <row r="2452" customFormat="false" ht="15" hidden="false" customHeight="false" outlineLevel="0" collapsed="false">
      <c r="A2452" s="12" t="s">
        <v>140</v>
      </c>
      <c r="B2452" s="12" t="s">
        <v>47</v>
      </c>
      <c r="C2452" s="12" t="s">
        <v>292</v>
      </c>
      <c r="D2452" s="12" t="str">
        <f aca="false">INDEX('Country Tiers'!$C$2:$C$37,MATCH(C2452,'Country Tiers'!$A$2:$A$37,0))</f>
        <v>Tier 2</v>
      </c>
      <c r="E2452" s="12" t="n">
        <f aca="false">INDEX('Country Tiers'!$D$2:$D$37,MATCH(C2452,'Country Tiers'!$A$2:$A$37,0))</f>
        <v>2</v>
      </c>
    </row>
    <row r="2453" customFormat="false" ht="15" hidden="false" customHeight="false" outlineLevel="0" collapsed="false">
      <c r="A2453" s="12" t="s">
        <v>140</v>
      </c>
      <c r="B2453" s="12" t="s">
        <v>47</v>
      </c>
      <c r="C2453" s="12" t="s">
        <v>293</v>
      </c>
      <c r="D2453" s="12" t="str">
        <f aca="false">INDEX('Country Tiers'!$C$2:$C$37,MATCH(C2453,'Country Tiers'!$A$2:$A$37,0))</f>
        <v>Tier 3</v>
      </c>
      <c r="E2453" s="12" t="n">
        <f aca="false">INDEX('Country Tiers'!$D$2:$D$37,MATCH(C2453,'Country Tiers'!$A$2:$A$37,0))</f>
        <v>1</v>
      </c>
    </row>
    <row r="2454" customFormat="false" ht="15" hidden="false" customHeight="false" outlineLevel="0" collapsed="false">
      <c r="A2454" s="12" t="s">
        <v>140</v>
      </c>
      <c r="B2454" s="12" t="s">
        <v>47</v>
      </c>
      <c r="C2454" s="12" t="s">
        <v>295</v>
      </c>
      <c r="D2454" s="12" t="str">
        <f aca="false">INDEX('Country Tiers'!$C$2:$C$37,MATCH(C2454,'Country Tiers'!$A$2:$A$37,0))</f>
        <v>Tier 3</v>
      </c>
      <c r="E2454" s="12" t="n">
        <f aca="false">INDEX('Country Tiers'!$D$2:$D$37,MATCH(C2454,'Country Tiers'!$A$2:$A$37,0))</f>
        <v>1</v>
      </c>
    </row>
    <row r="2455" customFormat="false" ht="15" hidden="false" customHeight="false" outlineLevel="0" collapsed="false">
      <c r="A2455" s="12" t="s">
        <v>140</v>
      </c>
      <c r="B2455" s="12" t="s">
        <v>47</v>
      </c>
      <c r="C2455" s="12" t="s">
        <v>296</v>
      </c>
      <c r="D2455" s="12" t="str">
        <f aca="false">INDEX('Country Tiers'!$C$2:$C$37,MATCH(C2455,'Country Tiers'!$A$2:$A$37,0))</f>
        <v>Tier 3</v>
      </c>
      <c r="E2455" s="12" t="n">
        <f aca="false">INDEX('Country Tiers'!$D$2:$D$37,MATCH(C2455,'Country Tiers'!$A$2:$A$37,0))</f>
        <v>1</v>
      </c>
    </row>
    <row r="2456" customFormat="false" ht="15" hidden="false" customHeight="false" outlineLevel="0" collapsed="false">
      <c r="A2456" s="12" t="s">
        <v>140</v>
      </c>
      <c r="B2456" s="12" t="s">
        <v>47</v>
      </c>
      <c r="C2456" s="12" t="s">
        <v>297</v>
      </c>
      <c r="D2456" s="12" t="str">
        <f aca="false">INDEX('Country Tiers'!$C$2:$C$37,MATCH(C2456,'Country Tiers'!$A$2:$A$37,0))</f>
        <v>Tier 2</v>
      </c>
      <c r="E2456" s="12" t="n">
        <f aca="false">INDEX('Country Tiers'!$D$2:$D$37,MATCH(C2456,'Country Tiers'!$A$2:$A$37,0))</f>
        <v>2</v>
      </c>
    </row>
    <row r="2457" customFormat="false" ht="15" hidden="false" customHeight="false" outlineLevel="0" collapsed="false">
      <c r="A2457" s="12" t="s">
        <v>140</v>
      </c>
      <c r="B2457" s="12" t="s">
        <v>47</v>
      </c>
      <c r="C2457" s="12" t="s">
        <v>298</v>
      </c>
      <c r="D2457" s="12" t="str">
        <f aca="false">INDEX('Country Tiers'!$C$2:$C$37,MATCH(C2457,'Country Tiers'!$A$2:$A$37,0))</f>
        <v>Tier 1</v>
      </c>
      <c r="E2457" s="12" t="n">
        <f aca="false">INDEX('Country Tiers'!$D$2:$D$37,MATCH(C2457,'Country Tiers'!$A$2:$A$37,0))</f>
        <v>3</v>
      </c>
    </row>
    <row r="2458" customFormat="false" ht="15" hidden="false" customHeight="false" outlineLevel="0" collapsed="false">
      <c r="A2458" s="12" t="s">
        <v>140</v>
      </c>
      <c r="B2458" s="12" t="s">
        <v>47</v>
      </c>
      <c r="C2458" s="12" t="s">
        <v>299</v>
      </c>
      <c r="D2458" s="12" t="str">
        <f aca="false">INDEX('Country Tiers'!$C$2:$C$37,MATCH(C2458,'Country Tiers'!$A$2:$A$37,0))</f>
        <v>Tier 3</v>
      </c>
      <c r="E2458" s="12" t="n">
        <f aca="false">INDEX('Country Tiers'!$D$2:$D$37,MATCH(C2458,'Country Tiers'!$A$2:$A$37,0))</f>
        <v>1</v>
      </c>
    </row>
    <row r="2459" customFormat="false" ht="15" hidden="false" customHeight="false" outlineLevel="0" collapsed="false">
      <c r="A2459" s="12" t="s">
        <v>140</v>
      </c>
      <c r="B2459" s="12" t="s">
        <v>47</v>
      </c>
      <c r="C2459" s="12" t="s">
        <v>300</v>
      </c>
      <c r="D2459" s="12" t="str">
        <f aca="false">INDEX('Country Tiers'!$C$2:$C$37,MATCH(C2459,'Country Tiers'!$A$2:$A$37,0))</f>
        <v>Tier 3</v>
      </c>
      <c r="E2459" s="12" t="n">
        <f aca="false">INDEX('Country Tiers'!$D$2:$D$37,MATCH(C2459,'Country Tiers'!$A$2:$A$37,0))</f>
        <v>1</v>
      </c>
    </row>
    <row r="2460" customFormat="false" ht="15" hidden="false" customHeight="false" outlineLevel="0" collapsed="false">
      <c r="A2460" s="12" t="s">
        <v>140</v>
      </c>
      <c r="B2460" s="12" t="s">
        <v>47</v>
      </c>
      <c r="C2460" s="12" t="s">
        <v>301</v>
      </c>
      <c r="D2460" s="12" t="str">
        <f aca="false">INDEX('Country Tiers'!$C$2:$C$37,MATCH(C2460,'Country Tiers'!$A$2:$A$37,0))</f>
        <v>Tier 3</v>
      </c>
      <c r="E2460" s="12" t="n">
        <f aca="false">INDEX('Country Tiers'!$D$2:$D$37,MATCH(C2460,'Country Tiers'!$A$2:$A$37,0))</f>
        <v>1</v>
      </c>
    </row>
    <row r="2461" customFormat="false" ht="15" hidden="false" customHeight="false" outlineLevel="0" collapsed="false">
      <c r="A2461" s="12" t="s">
        <v>140</v>
      </c>
      <c r="B2461" s="12" t="s">
        <v>47</v>
      </c>
      <c r="C2461" s="12" t="s">
        <v>302</v>
      </c>
      <c r="D2461" s="12" t="str">
        <f aca="false">INDEX('Country Tiers'!$C$2:$C$37,MATCH(C2461,'Country Tiers'!$A$2:$A$37,0))</f>
        <v>Tier 3</v>
      </c>
      <c r="E2461" s="12" t="n">
        <f aca="false">INDEX('Country Tiers'!$D$2:$D$37,MATCH(C2461,'Country Tiers'!$A$2:$A$37,0))</f>
        <v>1</v>
      </c>
    </row>
    <row r="2462" customFormat="false" ht="15" hidden="false" customHeight="false" outlineLevel="0" collapsed="false">
      <c r="A2462" s="12" t="s">
        <v>140</v>
      </c>
      <c r="B2462" s="12" t="s">
        <v>47</v>
      </c>
      <c r="C2462" s="12" t="s">
        <v>305</v>
      </c>
      <c r="D2462" s="12" t="str">
        <f aca="false">INDEX('Country Tiers'!$C$2:$C$37,MATCH(C2462,'Country Tiers'!$A$2:$A$37,0))</f>
        <v>Tier 3</v>
      </c>
      <c r="E2462" s="12" t="n">
        <f aca="false">INDEX('Country Tiers'!$D$2:$D$37,MATCH(C2462,'Country Tiers'!$A$2:$A$37,0))</f>
        <v>1</v>
      </c>
    </row>
    <row r="2463" customFormat="false" ht="15" hidden="false" customHeight="false" outlineLevel="0" collapsed="false">
      <c r="A2463" s="12" t="s">
        <v>140</v>
      </c>
      <c r="B2463" s="12" t="s">
        <v>47</v>
      </c>
      <c r="C2463" s="12" t="s">
        <v>306</v>
      </c>
      <c r="D2463" s="12" t="str">
        <f aca="false">INDEX('Country Tiers'!$C$2:$C$37,MATCH(C2463,'Country Tiers'!$A$2:$A$37,0))</f>
        <v>Tier 3</v>
      </c>
      <c r="E2463" s="12" t="n">
        <f aca="false">INDEX('Country Tiers'!$D$2:$D$37,MATCH(C2463,'Country Tiers'!$A$2:$A$37,0))</f>
        <v>1</v>
      </c>
    </row>
    <row r="2464" customFormat="false" ht="15" hidden="false" customHeight="false" outlineLevel="0" collapsed="false">
      <c r="A2464" s="12" t="s">
        <v>140</v>
      </c>
      <c r="B2464" s="12" t="s">
        <v>47</v>
      </c>
      <c r="C2464" s="12" t="s">
        <v>307</v>
      </c>
      <c r="D2464" s="12" t="str">
        <f aca="false">INDEX('Country Tiers'!$C$2:$C$37,MATCH(C2464,'Country Tiers'!$A$2:$A$37,0))</f>
        <v>Tier 2</v>
      </c>
      <c r="E2464" s="12" t="n">
        <f aca="false">INDEX('Country Tiers'!$D$2:$D$37,MATCH(C2464,'Country Tiers'!$A$2:$A$37,0))</f>
        <v>2</v>
      </c>
    </row>
    <row r="2465" customFormat="false" ht="15" hidden="false" customHeight="false" outlineLevel="0" collapsed="false">
      <c r="A2465" s="12" t="s">
        <v>140</v>
      </c>
      <c r="B2465" s="12" t="s">
        <v>47</v>
      </c>
      <c r="C2465" s="12" t="s">
        <v>308</v>
      </c>
      <c r="D2465" s="12" t="str">
        <f aca="false">INDEX('Country Tiers'!$C$2:$C$37,MATCH(C2465,'Country Tiers'!$A$2:$A$37,0))</f>
        <v>Tier 3</v>
      </c>
      <c r="E2465" s="12" t="n">
        <f aca="false">INDEX('Country Tiers'!$D$2:$D$37,MATCH(C2465,'Country Tiers'!$A$2:$A$37,0))</f>
        <v>1</v>
      </c>
    </row>
    <row r="2466" customFormat="false" ht="15" hidden="false" customHeight="false" outlineLevel="0" collapsed="false">
      <c r="A2466" s="12" t="s">
        <v>140</v>
      </c>
      <c r="B2466" s="12" t="s">
        <v>47</v>
      </c>
      <c r="C2466" s="12" t="s">
        <v>313</v>
      </c>
      <c r="D2466" s="12" t="str">
        <f aca="false">INDEX('Country Tiers'!$C$2:$C$37,MATCH(C2466,'Country Tiers'!$A$2:$A$37,0))</f>
        <v>Tier 1</v>
      </c>
      <c r="E2466" s="12" t="n">
        <f aca="false">INDEX('Country Tiers'!$D$2:$D$37,MATCH(C2466,'Country Tiers'!$A$2:$A$37,0))</f>
        <v>3</v>
      </c>
    </row>
    <row r="2467" customFormat="false" ht="15" hidden="false" customHeight="false" outlineLevel="0" collapsed="false">
      <c r="A2467" s="12" t="s">
        <v>140</v>
      </c>
      <c r="B2467" s="12" t="s">
        <v>40</v>
      </c>
      <c r="C2467" s="12" t="s">
        <v>272</v>
      </c>
      <c r="D2467" s="12" t="str">
        <f aca="false">INDEX('Country Tiers'!$C$2:$C$37,MATCH(C2467,'Country Tiers'!$A$2:$A$37,0))</f>
        <v>Tier 2</v>
      </c>
      <c r="E2467" s="12" t="n">
        <f aca="false">INDEX('Country Tiers'!$D$2:$D$37,MATCH(C2467,'Country Tiers'!$A$2:$A$37,0))</f>
        <v>2</v>
      </c>
    </row>
    <row r="2468" customFormat="false" ht="15" hidden="false" customHeight="false" outlineLevel="0" collapsed="false">
      <c r="A2468" s="12" t="s">
        <v>140</v>
      </c>
      <c r="B2468" s="12" t="s">
        <v>40</v>
      </c>
      <c r="C2468" s="12" t="s">
        <v>303</v>
      </c>
      <c r="D2468" s="12" t="str">
        <f aca="false">INDEX('Country Tiers'!$C$2:$C$37,MATCH(C2468,'Country Tiers'!$A$2:$A$37,0))</f>
        <v>Tier 2</v>
      </c>
      <c r="E2468" s="12" t="n">
        <f aca="false">INDEX('Country Tiers'!$D$2:$D$37,MATCH(C2468,'Country Tiers'!$A$2:$A$37,0))</f>
        <v>2</v>
      </c>
    </row>
    <row r="2469" customFormat="false" ht="15" hidden="false" customHeight="false" outlineLevel="0" collapsed="false">
      <c r="A2469" s="12" t="s">
        <v>140</v>
      </c>
      <c r="B2469" s="12" t="s">
        <v>67</v>
      </c>
      <c r="C2469" s="12" t="s">
        <v>274</v>
      </c>
      <c r="D2469" s="12" t="str">
        <f aca="false">INDEX('Country Tiers'!$C$2:$C$37,MATCH(C2469,'Country Tiers'!$A$2:$A$37,0))</f>
        <v>Tier 3</v>
      </c>
      <c r="E2469" s="12" t="n">
        <f aca="false">INDEX('Country Tiers'!$D$2:$D$37,MATCH(C2469,'Country Tiers'!$A$2:$A$37,0))</f>
        <v>1</v>
      </c>
    </row>
    <row r="2470" customFormat="false" ht="15" hidden="false" customHeight="false" outlineLevel="0" collapsed="false">
      <c r="A2470" s="12" t="s">
        <v>140</v>
      </c>
      <c r="B2470" s="12" t="s">
        <v>67</v>
      </c>
      <c r="C2470" s="12" t="s">
        <v>277</v>
      </c>
      <c r="D2470" s="12" t="str">
        <f aca="false">INDEX('Country Tiers'!$C$2:$C$37,MATCH(C2470,'Country Tiers'!$A$2:$A$37,0))</f>
        <v>Tier 1</v>
      </c>
      <c r="E2470" s="12" t="n">
        <f aca="false">INDEX('Country Tiers'!$D$2:$D$37,MATCH(C2470,'Country Tiers'!$A$2:$A$37,0))</f>
        <v>3</v>
      </c>
    </row>
    <row r="2471" customFormat="false" ht="15" hidden="false" customHeight="false" outlineLevel="0" collapsed="false">
      <c r="A2471" s="12" t="s">
        <v>140</v>
      </c>
      <c r="B2471" s="12" t="s">
        <v>67</v>
      </c>
      <c r="C2471" s="12" t="s">
        <v>278</v>
      </c>
      <c r="D2471" s="12" t="str">
        <f aca="false">INDEX('Country Tiers'!$C$2:$C$37,MATCH(C2471,'Country Tiers'!$A$2:$A$37,0))</f>
        <v>Tier 3</v>
      </c>
      <c r="E2471" s="12" t="n">
        <f aca="false">INDEX('Country Tiers'!$D$2:$D$37,MATCH(C2471,'Country Tiers'!$A$2:$A$37,0))</f>
        <v>1</v>
      </c>
    </row>
    <row r="2472" customFormat="false" ht="15" hidden="false" customHeight="false" outlineLevel="0" collapsed="false">
      <c r="A2472" s="12" t="s">
        <v>140</v>
      </c>
      <c r="B2472" s="12" t="s">
        <v>67</v>
      </c>
      <c r="C2472" s="12" t="s">
        <v>280</v>
      </c>
      <c r="D2472" s="12" t="str">
        <f aca="false">INDEX('Country Tiers'!$C$2:$C$37,MATCH(C2472,'Country Tiers'!$A$2:$A$37,0))</f>
        <v>Tier 3</v>
      </c>
      <c r="E2472" s="12" t="n">
        <f aca="false">INDEX('Country Tiers'!$D$2:$D$37,MATCH(C2472,'Country Tiers'!$A$2:$A$37,0))</f>
        <v>1</v>
      </c>
    </row>
    <row r="2473" customFormat="false" ht="15" hidden="false" customHeight="false" outlineLevel="0" collapsed="false">
      <c r="A2473" s="12" t="s">
        <v>140</v>
      </c>
      <c r="B2473" s="12" t="s">
        <v>67</v>
      </c>
      <c r="C2473" s="12" t="s">
        <v>281</v>
      </c>
      <c r="D2473" s="12" t="str">
        <f aca="false">INDEX('Country Tiers'!$C$2:$C$37,MATCH(C2473,'Country Tiers'!$A$2:$A$37,0))</f>
        <v>Tier 3</v>
      </c>
      <c r="E2473" s="12" t="n">
        <f aca="false">INDEX('Country Tiers'!$D$2:$D$37,MATCH(C2473,'Country Tiers'!$A$2:$A$37,0))</f>
        <v>1</v>
      </c>
    </row>
    <row r="2474" customFormat="false" ht="15" hidden="false" customHeight="false" outlineLevel="0" collapsed="false">
      <c r="A2474" s="12" t="s">
        <v>140</v>
      </c>
      <c r="B2474" s="12" t="s">
        <v>67</v>
      </c>
      <c r="C2474" s="12" t="s">
        <v>282</v>
      </c>
      <c r="D2474" s="12" t="str">
        <f aca="false">INDEX('Country Tiers'!$C$2:$C$37,MATCH(C2474,'Country Tiers'!$A$2:$A$37,0))</f>
        <v>Tier 3</v>
      </c>
      <c r="E2474" s="12" t="n">
        <f aca="false">INDEX('Country Tiers'!$D$2:$D$37,MATCH(C2474,'Country Tiers'!$A$2:$A$37,0))</f>
        <v>1</v>
      </c>
    </row>
    <row r="2475" customFormat="false" ht="15" hidden="false" customHeight="false" outlineLevel="0" collapsed="false">
      <c r="A2475" s="12" t="s">
        <v>140</v>
      </c>
      <c r="B2475" s="12" t="s">
        <v>67</v>
      </c>
      <c r="C2475" s="12" t="s">
        <v>283</v>
      </c>
      <c r="D2475" s="12" t="str">
        <f aca="false">INDEX('Country Tiers'!$C$2:$C$37,MATCH(C2475,'Country Tiers'!$A$2:$A$37,0))</f>
        <v>Tier 3</v>
      </c>
      <c r="E2475" s="12" t="n">
        <f aca="false">INDEX('Country Tiers'!$D$2:$D$37,MATCH(C2475,'Country Tiers'!$A$2:$A$37,0))</f>
        <v>1</v>
      </c>
    </row>
    <row r="2476" customFormat="false" ht="15" hidden="false" customHeight="false" outlineLevel="0" collapsed="false">
      <c r="A2476" s="12" t="s">
        <v>140</v>
      </c>
      <c r="B2476" s="12" t="s">
        <v>67</v>
      </c>
      <c r="C2476" s="12" t="s">
        <v>284</v>
      </c>
      <c r="D2476" s="12" t="str">
        <f aca="false">INDEX('Country Tiers'!$C$2:$C$37,MATCH(C2476,'Country Tiers'!$A$2:$A$37,0))</f>
        <v>Tier 3</v>
      </c>
      <c r="E2476" s="12" t="n">
        <f aca="false">INDEX('Country Tiers'!$D$2:$D$37,MATCH(C2476,'Country Tiers'!$A$2:$A$37,0))</f>
        <v>1</v>
      </c>
    </row>
    <row r="2477" customFormat="false" ht="15" hidden="false" customHeight="false" outlineLevel="0" collapsed="false">
      <c r="A2477" s="12" t="s">
        <v>140</v>
      </c>
      <c r="B2477" s="12" t="s">
        <v>67</v>
      </c>
      <c r="C2477" s="12" t="s">
        <v>285</v>
      </c>
      <c r="D2477" s="12" t="str">
        <f aca="false">INDEX('Country Tiers'!$C$2:$C$37,MATCH(C2477,'Country Tiers'!$A$2:$A$37,0))</f>
        <v>Tier 3</v>
      </c>
      <c r="E2477" s="12" t="n">
        <f aca="false">INDEX('Country Tiers'!$D$2:$D$37,MATCH(C2477,'Country Tiers'!$A$2:$A$37,0))</f>
        <v>1</v>
      </c>
    </row>
    <row r="2478" customFormat="false" ht="15" hidden="false" customHeight="false" outlineLevel="0" collapsed="false">
      <c r="A2478" s="12" t="s">
        <v>140</v>
      </c>
      <c r="B2478" s="12" t="s">
        <v>67</v>
      </c>
      <c r="C2478" s="12" t="s">
        <v>286</v>
      </c>
      <c r="D2478" s="12" t="str">
        <f aca="false">INDEX('Country Tiers'!$C$2:$C$37,MATCH(C2478,'Country Tiers'!$A$2:$A$37,0))</f>
        <v>Tier 1</v>
      </c>
      <c r="E2478" s="12" t="n">
        <f aca="false">INDEX('Country Tiers'!$D$2:$D$37,MATCH(C2478,'Country Tiers'!$A$2:$A$37,0))</f>
        <v>3</v>
      </c>
    </row>
    <row r="2479" customFormat="false" ht="15" hidden="false" customHeight="false" outlineLevel="0" collapsed="false">
      <c r="A2479" s="12" t="s">
        <v>140</v>
      </c>
      <c r="B2479" s="12" t="s">
        <v>67</v>
      </c>
      <c r="C2479" s="12" t="s">
        <v>287</v>
      </c>
      <c r="D2479" s="12" t="str">
        <f aca="false">INDEX('Country Tiers'!$C$2:$C$37,MATCH(C2479,'Country Tiers'!$A$2:$A$37,0))</f>
        <v>Tier 1</v>
      </c>
      <c r="E2479" s="12" t="n">
        <f aca="false">INDEX('Country Tiers'!$D$2:$D$37,MATCH(C2479,'Country Tiers'!$A$2:$A$37,0))</f>
        <v>3</v>
      </c>
    </row>
    <row r="2480" customFormat="false" ht="15" hidden="false" customHeight="false" outlineLevel="0" collapsed="false">
      <c r="A2480" s="12" t="s">
        <v>140</v>
      </c>
      <c r="B2480" s="12" t="s">
        <v>67</v>
      </c>
      <c r="C2480" s="12" t="s">
        <v>288</v>
      </c>
      <c r="D2480" s="12" t="str">
        <f aca="false">INDEX('Country Tiers'!$C$2:$C$37,MATCH(C2480,'Country Tiers'!$A$2:$A$37,0))</f>
        <v>Tier 3</v>
      </c>
      <c r="E2480" s="12" t="n">
        <f aca="false">INDEX('Country Tiers'!$D$2:$D$37,MATCH(C2480,'Country Tiers'!$A$2:$A$37,0))</f>
        <v>1</v>
      </c>
    </row>
    <row r="2481" customFormat="false" ht="15" hidden="false" customHeight="false" outlineLevel="0" collapsed="false">
      <c r="A2481" s="12" t="s">
        <v>140</v>
      </c>
      <c r="B2481" s="12" t="s">
        <v>67</v>
      </c>
      <c r="C2481" s="12" t="s">
        <v>289</v>
      </c>
      <c r="D2481" s="12" t="str">
        <f aca="false">INDEX('Country Tiers'!$C$2:$C$37,MATCH(C2481,'Country Tiers'!$A$2:$A$37,0))</f>
        <v>Tier 3</v>
      </c>
      <c r="E2481" s="12" t="n">
        <f aca="false">INDEX('Country Tiers'!$D$2:$D$37,MATCH(C2481,'Country Tiers'!$A$2:$A$37,0))</f>
        <v>1</v>
      </c>
    </row>
    <row r="2482" customFormat="false" ht="15" hidden="false" customHeight="false" outlineLevel="0" collapsed="false">
      <c r="A2482" s="12" t="s">
        <v>140</v>
      </c>
      <c r="B2482" s="12" t="s">
        <v>67</v>
      </c>
      <c r="C2482" s="12" t="s">
        <v>290</v>
      </c>
      <c r="D2482" s="12" t="str">
        <f aca="false">INDEX('Country Tiers'!$C$2:$C$37,MATCH(C2482,'Country Tiers'!$A$2:$A$37,0))</f>
        <v>Tier 3</v>
      </c>
      <c r="E2482" s="12" t="n">
        <f aca="false">INDEX('Country Tiers'!$D$2:$D$37,MATCH(C2482,'Country Tiers'!$A$2:$A$37,0))</f>
        <v>1</v>
      </c>
    </row>
    <row r="2483" customFormat="false" ht="15" hidden="false" customHeight="false" outlineLevel="0" collapsed="false">
      <c r="A2483" s="12" t="s">
        <v>140</v>
      </c>
      <c r="B2483" s="12" t="s">
        <v>67</v>
      </c>
      <c r="C2483" s="12" t="s">
        <v>291</v>
      </c>
      <c r="D2483" s="12" t="str">
        <f aca="false">INDEX('Country Tiers'!$C$2:$C$37,MATCH(C2483,'Country Tiers'!$A$2:$A$37,0))</f>
        <v>Tier 3</v>
      </c>
      <c r="E2483" s="12" t="n">
        <f aca="false">INDEX('Country Tiers'!$D$2:$D$37,MATCH(C2483,'Country Tiers'!$A$2:$A$37,0))</f>
        <v>1</v>
      </c>
    </row>
    <row r="2484" customFormat="false" ht="15" hidden="false" customHeight="false" outlineLevel="0" collapsed="false">
      <c r="A2484" s="12" t="s">
        <v>140</v>
      </c>
      <c r="B2484" s="12" t="s">
        <v>67</v>
      </c>
      <c r="C2484" s="12" t="s">
        <v>292</v>
      </c>
      <c r="D2484" s="12" t="str">
        <f aca="false">INDEX('Country Tiers'!$C$2:$C$37,MATCH(C2484,'Country Tiers'!$A$2:$A$37,0))</f>
        <v>Tier 2</v>
      </c>
      <c r="E2484" s="12" t="n">
        <f aca="false">INDEX('Country Tiers'!$D$2:$D$37,MATCH(C2484,'Country Tiers'!$A$2:$A$37,0))</f>
        <v>2</v>
      </c>
    </row>
    <row r="2485" customFormat="false" ht="15" hidden="false" customHeight="false" outlineLevel="0" collapsed="false">
      <c r="A2485" s="12" t="s">
        <v>140</v>
      </c>
      <c r="B2485" s="12" t="s">
        <v>67</v>
      </c>
      <c r="C2485" s="12" t="s">
        <v>293</v>
      </c>
      <c r="D2485" s="12" t="str">
        <f aca="false">INDEX('Country Tiers'!$C$2:$C$37,MATCH(C2485,'Country Tiers'!$A$2:$A$37,0))</f>
        <v>Tier 3</v>
      </c>
      <c r="E2485" s="12" t="n">
        <f aca="false">INDEX('Country Tiers'!$D$2:$D$37,MATCH(C2485,'Country Tiers'!$A$2:$A$37,0))</f>
        <v>1</v>
      </c>
    </row>
    <row r="2486" customFormat="false" ht="15" hidden="false" customHeight="false" outlineLevel="0" collapsed="false">
      <c r="A2486" s="12" t="s">
        <v>140</v>
      </c>
      <c r="B2486" s="12" t="s">
        <v>67</v>
      </c>
      <c r="C2486" s="12" t="s">
        <v>295</v>
      </c>
      <c r="D2486" s="12" t="str">
        <f aca="false">INDEX('Country Tiers'!$C$2:$C$37,MATCH(C2486,'Country Tiers'!$A$2:$A$37,0))</f>
        <v>Tier 3</v>
      </c>
      <c r="E2486" s="12" t="n">
        <f aca="false">INDEX('Country Tiers'!$D$2:$D$37,MATCH(C2486,'Country Tiers'!$A$2:$A$37,0))</f>
        <v>1</v>
      </c>
    </row>
    <row r="2487" customFormat="false" ht="15" hidden="false" customHeight="false" outlineLevel="0" collapsed="false">
      <c r="A2487" s="12" t="s">
        <v>140</v>
      </c>
      <c r="B2487" s="12" t="s">
        <v>67</v>
      </c>
      <c r="C2487" s="12" t="s">
        <v>296</v>
      </c>
      <c r="D2487" s="12" t="str">
        <f aca="false">INDEX('Country Tiers'!$C$2:$C$37,MATCH(C2487,'Country Tiers'!$A$2:$A$37,0))</f>
        <v>Tier 3</v>
      </c>
      <c r="E2487" s="12" t="n">
        <f aca="false">INDEX('Country Tiers'!$D$2:$D$37,MATCH(C2487,'Country Tiers'!$A$2:$A$37,0))</f>
        <v>1</v>
      </c>
    </row>
    <row r="2488" customFormat="false" ht="15" hidden="false" customHeight="false" outlineLevel="0" collapsed="false">
      <c r="A2488" s="12" t="s">
        <v>140</v>
      </c>
      <c r="B2488" s="12" t="s">
        <v>67</v>
      </c>
      <c r="C2488" s="12" t="s">
        <v>297</v>
      </c>
      <c r="D2488" s="12" t="str">
        <f aca="false">INDEX('Country Tiers'!$C$2:$C$37,MATCH(C2488,'Country Tiers'!$A$2:$A$37,0))</f>
        <v>Tier 2</v>
      </c>
      <c r="E2488" s="12" t="n">
        <f aca="false">INDEX('Country Tiers'!$D$2:$D$37,MATCH(C2488,'Country Tiers'!$A$2:$A$37,0))</f>
        <v>2</v>
      </c>
    </row>
    <row r="2489" customFormat="false" ht="15" hidden="false" customHeight="false" outlineLevel="0" collapsed="false">
      <c r="A2489" s="12" t="s">
        <v>140</v>
      </c>
      <c r="B2489" s="12" t="s">
        <v>67</v>
      </c>
      <c r="C2489" s="12" t="s">
        <v>298</v>
      </c>
      <c r="D2489" s="12" t="str">
        <f aca="false">INDEX('Country Tiers'!$C$2:$C$37,MATCH(C2489,'Country Tiers'!$A$2:$A$37,0))</f>
        <v>Tier 1</v>
      </c>
      <c r="E2489" s="12" t="n">
        <f aca="false">INDEX('Country Tiers'!$D$2:$D$37,MATCH(C2489,'Country Tiers'!$A$2:$A$37,0))</f>
        <v>3</v>
      </c>
    </row>
    <row r="2490" customFormat="false" ht="15" hidden="false" customHeight="false" outlineLevel="0" collapsed="false">
      <c r="A2490" s="12" t="s">
        <v>140</v>
      </c>
      <c r="B2490" s="12" t="s">
        <v>67</v>
      </c>
      <c r="C2490" s="12" t="s">
        <v>299</v>
      </c>
      <c r="D2490" s="12" t="str">
        <f aca="false">INDEX('Country Tiers'!$C$2:$C$37,MATCH(C2490,'Country Tiers'!$A$2:$A$37,0))</f>
        <v>Tier 3</v>
      </c>
      <c r="E2490" s="12" t="n">
        <f aca="false">INDEX('Country Tiers'!$D$2:$D$37,MATCH(C2490,'Country Tiers'!$A$2:$A$37,0))</f>
        <v>1</v>
      </c>
    </row>
    <row r="2491" customFormat="false" ht="15" hidden="false" customHeight="false" outlineLevel="0" collapsed="false">
      <c r="A2491" s="12" t="s">
        <v>140</v>
      </c>
      <c r="B2491" s="12" t="s">
        <v>67</v>
      </c>
      <c r="C2491" s="12" t="s">
        <v>300</v>
      </c>
      <c r="D2491" s="12" t="str">
        <f aca="false">INDEX('Country Tiers'!$C$2:$C$37,MATCH(C2491,'Country Tiers'!$A$2:$A$37,0))</f>
        <v>Tier 3</v>
      </c>
      <c r="E2491" s="12" t="n">
        <f aca="false">INDEX('Country Tiers'!$D$2:$D$37,MATCH(C2491,'Country Tiers'!$A$2:$A$37,0))</f>
        <v>1</v>
      </c>
    </row>
    <row r="2492" customFormat="false" ht="15" hidden="false" customHeight="false" outlineLevel="0" collapsed="false">
      <c r="A2492" s="12" t="s">
        <v>140</v>
      </c>
      <c r="B2492" s="12" t="s">
        <v>67</v>
      </c>
      <c r="C2492" s="12" t="s">
        <v>301</v>
      </c>
      <c r="D2492" s="12" t="str">
        <f aca="false">INDEX('Country Tiers'!$C$2:$C$37,MATCH(C2492,'Country Tiers'!$A$2:$A$37,0))</f>
        <v>Tier 3</v>
      </c>
      <c r="E2492" s="12" t="n">
        <f aca="false">INDEX('Country Tiers'!$D$2:$D$37,MATCH(C2492,'Country Tiers'!$A$2:$A$37,0))</f>
        <v>1</v>
      </c>
    </row>
    <row r="2493" customFormat="false" ht="15" hidden="false" customHeight="false" outlineLevel="0" collapsed="false">
      <c r="A2493" s="12" t="s">
        <v>140</v>
      </c>
      <c r="B2493" s="12" t="s">
        <v>67</v>
      </c>
      <c r="C2493" s="12" t="s">
        <v>302</v>
      </c>
      <c r="D2493" s="12" t="str">
        <f aca="false">INDEX('Country Tiers'!$C$2:$C$37,MATCH(C2493,'Country Tiers'!$A$2:$A$37,0))</f>
        <v>Tier 3</v>
      </c>
      <c r="E2493" s="12" t="n">
        <f aca="false">INDEX('Country Tiers'!$D$2:$D$37,MATCH(C2493,'Country Tiers'!$A$2:$A$37,0))</f>
        <v>1</v>
      </c>
    </row>
    <row r="2494" customFormat="false" ht="15" hidden="false" customHeight="false" outlineLevel="0" collapsed="false">
      <c r="A2494" s="12" t="s">
        <v>140</v>
      </c>
      <c r="B2494" s="12" t="s">
        <v>67</v>
      </c>
      <c r="C2494" s="12" t="s">
        <v>305</v>
      </c>
      <c r="D2494" s="12" t="str">
        <f aca="false">INDEX('Country Tiers'!$C$2:$C$37,MATCH(C2494,'Country Tiers'!$A$2:$A$37,0))</f>
        <v>Tier 3</v>
      </c>
      <c r="E2494" s="12" t="n">
        <f aca="false">INDEX('Country Tiers'!$D$2:$D$37,MATCH(C2494,'Country Tiers'!$A$2:$A$37,0))</f>
        <v>1</v>
      </c>
    </row>
    <row r="2495" customFormat="false" ht="15" hidden="false" customHeight="false" outlineLevel="0" collapsed="false">
      <c r="A2495" s="12" t="s">
        <v>140</v>
      </c>
      <c r="B2495" s="12" t="s">
        <v>67</v>
      </c>
      <c r="C2495" s="12" t="s">
        <v>306</v>
      </c>
      <c r="D2495" s="12" t="str">
        <f aca="false">INDEX('Country Tiers'!$C$2:$C$37,MATCH(C2495,'Country Tiers'!$A$2:$A$37,0))</f>
        <v>Tier 3</v>
      </c>
      <c r="E2495" s="12" t="n">
        <f aca="false">INDEX('Country Tiers'!$D$2:$D$37,MATCH(C2495,'Country Tiers'!$A$2:$A$37,0))</f>
        <v>1</v>
      </c>
    </row>
    <row r="2496" customFormat="false" ht="15" hidden="false" customHeight="false" outlineLevel="0" collapsed="false">
      <c r="A2496" s="12" t="s">
        <v>140</v>
      </c>
      <c r="B2496" s="12" t="s">
        <v>67</v>
      </c>
      <c r="C2496" s="12" t="s">
        <v>307</v>
      </c>
      <c r="D2496" s="12" t="str">
        <f aca="false">INDEX('Country Tiers'!$C$2:$C$37,MATCH(C2496,'Country Tiers'!$A$2:$A$37,0))</f>
        <v>Tier 2</v>
      </c>
      <c r="E2496" s="12" t="n">
        <f aca="false">INDEX('Country Tiers'!$D$2:$D$37,MATCH(C2496,'Country Tiers'!$A$2:$A$37,0))</f>
        <v>2</v>
      </c>
    </row>
    <row r="2497" customFormat="false" ht="15" hidden="false" customHeight="false" outlineLevel="0" collapsed="false">
      <c r="A2497" s="12" t="s">
        <v>140</v>
      </c>
      <c r="B2497" s="12" t="s">
        <v>67</v>
      </c>
      <c r="C2497" s="12" t="s">
        <v>308</v>
      </c>
      <c r="D2497" s="12" t="str">
        <f aca="false">INDEX('Country Tiers'!$C$2:$C$37,MATCH(C2497,'Country Tiers'!$A$2:$A$37,0))</f>
        <v>Tier 3</v>
      </c>
      <c r="E2497" s="12" t="n">
        <f aca="false">INDEX('Country Tiers'!$D$2:$D$37,MATCH(C2497,'Country Tiers'!$A$2:$A$37,0))</f>
        <v>1</v>
      </c>
    </row>
    <row r="2498" customFormat="false" ht="15" hidden="false" customHeight="false" outlineLevel="0" collapsed="false">
      <c r="A2498" s="12" t="s">
        <v>140</v>
      </c>
      <c r="B2498" s="12" t="s">
        <v>67</v>
      </c>
      <c r="C2498" s="12" t="s">
        <v>313</v>
      </c>
      <c r="D2498" s="12" t="str">
        <f aca="false">INDEX('Country Tiers'!$C$2:$C$37,MATCH(C2498,'Country Tiers'!$A$2:$A$37,0))</f>
        <v>Tier 1</v>
      </c>
      <c r="E2498" s="12" t="n">
        <f aca="false">INDEX('Country Tiers'!$D$2:$D$37,MATCH(C2498,'Country Tiers'!$A$2:$A$37,0))</f>
        <v>3</v>
      </c>
    </row>
    <row r="2499" customFormat="false" ht="15" hidden="false" customHeight="false" outlineLevel="0" collapsed="false">
      <c r="A2499" s="12" t="s">
        <v>140</v>
      </c>
      <c r="B2499" s="12" t="s">
        <v>73</v>
      </c>
      <c r="C2499" s="12" t="s">
        <v>274</v>
      </c>
      <c r="D2499" s="12" t="str">
        <f aca="false">INDEX('Country Tiers'!$C$2:$C$37,MATCH(C2499,'Country Tiers'!$A$2:$A$37,0))</f>
        <v>Tier 3</v>
      </c>
      <c r="E2499" s="12" t="n">
        <f aca="false">INDEX('Country Tiers'!$D$2:$D$37,MATCH(C2499,'Country Tiers'!$A$2:$A$37,0))</f>
        <v>1</v>
      </c>
    </row>
    <row r="2500" customFormat="false" ht="15" hidden="false" customHeight="false" outlineLevel="0" collapsed="false">
      <c r="A2500" s="12" t="s">
        <v>140</v>
      </c>
      <c r="B2500" s="12" t="s">
        <v>73</v>
      </c>
      <c r="C2500" s="12" t="s">
        <v>277</v>
      </c>
      <c r="D2500" s="12" t="str">
        <f aca="false">INDEX('Country Tiers'!$C$2:$C$37,MATCH(C2500,'Country Tiers'!$A$2:$A$37,0))</f>
        <v>Tier 1</v>
      </c>
      <c r="E2500" s="12" t="n">
        <f aca="false">INDEX('Country Tiers'!$D$2:$D$37,MATCH(C2500,'Country Tiers'!$A$2:$A$37,0))</f>
        <v>3</v>
      </c>
    </row>
    <row r="2501" customFormat="false" ht="15" hidden="false" customHeight="false" outlineLevel="0" collapsed="false">
      <c r="A2501" s="12" t="s">
        <v>140</v>
      </c>
      <c r="B2501" s="12" t="s">
        <v>73</v>
      </c>
      <c r="C2501" s="12" t="s">
        <v>278</v>
      </c>
      <c r="D2501" s="12" t="str">
        <f aca="false">INDEX('Country Tiers'!$C$2:$C$37,MATCH(C2501,'Country Tiers'!$A$2:$A$37,0))</f>
        <v>Tier 3</v>
      </c>
      <c r="E2501" s="12" t="n">
        <f aca="false">INDEX('Country Tiers'!$D$2:$D$37,MATCH(C2501,'Country Tiers'!$A$2:$A$37,0))</f>
        <v>1</v>
      </c>
    </row>
    <row r="2502" customFormat="false" ht="15" hidden="false" customHeight="false" outlineLevel="0" collapsed="false">
      <c r="A2502" s="12" t="s">
        <v>140</v>
      </c>
      <c r="B2502" s="12" t="s">
        <v>73</v>
      </c>
      <c r="C2502" s="12" t="s">
        <v>280</v>
      </c>
      <c r="D2502" s="12" t="str">
        <f aca="false">INDEX('Country Tiers'!$C$2:$C$37,MATCH(C2502,'Country Tiers'!$A$2:$A$37,0))</f>
        <v>Tier 3</v>
      </c>
      <c r="E2502" s="12" t="n">
        <f aca="false">INDEX('Country Tiers'!$D$2:$D$37,MATCH(C2502,'Country Tiers'!$A$2:$A$37,0))</f>
        <v>1</v>
      </c>
    </row>
    <row r="2503" customFormat="false" ht="15" hidden="false" customHeight="false" outlineLevel="0" collapsed="false">
      <c r="A2503" s="12" t="s">
        <v>140</v>
      </c>
      <c r="B2503" s="12" t="s">
        <v>73</v>
      </c>
      <c r="C2503" s="12" t="s">
        <v>281</v>
      </c>
      <c r="D2503" s="12" t="str">
        <f aca="false">INDEX('Country Tiers'!$C$2:$C$37,MATCH(C2503,'Country Tiers'!$A$2:$A$37,0))</f>
        <v>Tier 3</v>
      </c>
      <c r="E2503" s="12" t="n">
        <f aca="false">INDEX('Country Tiers'!$D$2:$D$37,MATCH(C2503,'Country Tiers'!$A$2:$A$37,0))</f>
        <v>1</v>
      </c>
    </row>
    <row r="2504" customFormat="false" ht="15" hidden="false" customHeight="false" outlineLevel="0" collapsed="false">
      <c r="A2504" s="12" t="s">
        <v>140</v>
      </c>
      <c r="B2504" s="12" t="s">
        <v>73</v>
      </c>
      <c r="C2504" s="12" t="s">
        <v>282</v>
      </c>
      <c r="D2504" s="12" t="str">
        <f aca="false">INDEX('Country Tiers'!$C$2:$C$37,MATCH(C2504,'Country Tiers'!$A$2:$A$37,0))</f>
        <v>Tier 3</v>
      </c>
      <c r="E2504" s="12" t="n">
        <f aca="false">INDEX('Country Tiers'!$D$2:$D$37,MATCH(C2504,'Country Tiers'!$A$2:$A$37,0))</f>
        <v>1</v>
      </c>
    </row>
    <row r="2505" customFormat="false" ht="15" hidden="false" customHeight="false" outlineLevel="0" collapsed="false">
      <c r="A2505" s="12" t="s">
        <v>140</v>
      </c>
      <c r="B2505" s="12" t="s">
        <v>73</v>
      </c>
      <c r="C2505" s="12" t="s">
        <v>283</v>
      </c>
      <c r="D2505" s="12" t="str">
        <f aca="false">INDEX('Country Tiers'!$C$2:$C$37,MATCH(C2505,'Country Tiers'!$A$2:$A$37,0))</f>
        <v>Tier 3</v>
      </c>
      <c r="E2505" s="12" t="n">
        <f aca="false">INDEX('Country Tiers'!$D$2:$D$37,MATCH(C2505,'Country Tiers'!$A$2:$A$37,0))</f>
        <v>1</v>
      </c>
    </row>
    <row r="2506" customFormat="false" ht="15" hidden="false" customHeight="false" outlineLevel="0" collapsed="false">
      <c r="A2506" s="12" t="s">
        <v>140</v>
      </c>
      <c r="B2506" s="12" t="s">
        <v>73</v>
      </c>
      <c r="C2506" s="12" t="s">
        <v>284</v>
      </c>
      <c r="D2506" s="12" t="str">
        <f aca="false">INDEX('Country Tiers'!$C$2:$C$37,MATCH(C2506,'Country Tiers'!$A$2:$A$37,0))</f>
        <v>Tier 3</v>
      </c>
      <c r="E2506" s="12" t="n">
        <f aca="false">INDEX('Country Tiers'!$D$2:$D$37,MATCH(C2506,'Country Tiers'!$A$2:$A$37,0))</f>
        <v>1</v>
      </c>
    </row>
    <row r="2507" customFormat="false" ht="15" hidden="false" customHeight="false" outlineLevel="0" collapsed="false">
      <c r="A2507" s="12" t="s">
        <v>140</v>
      </c>
      <c r="B2507" s="12" t="s">
        <v>73</v>
      </c>
      <c r="C2507" s="12" t="s">
        <v>285</v>
      </c>
      <c r="D2507" s="12" t="str">
        <f aca="false">INDEX('Country Tiers'!$C$2:$C$37,MATCH(C2507,'Country Tiers'!$A$2:$A$37,0))</f>
        <v>Tier 3</v>
      </c>
      <c r="E2507" s="12" t="n">
        <f aca="false">INDEX('Country Tiers'!$D$2:$D$37,MATCH(C2507,'Country Tiers'!$A$2:$A$37,0))</f>
        <v>1</v>
      </c>
    </row>
    <row r="2508" customFormat="false" ht="15" hidden="false" customHeight="false" outlineLevel="0" collapsed="false">
      <c r="A2508" s="12" t="s">
        <v>140</v>
      </c>
      <c r="B2508" s="12" t="s">
        <v>73</v>
      </c>
      <c r="C2508" s="12" t="s">
        <v>286</v>
      </c>
      <c r="D2508" s="12" t="str">
        <f aca="false">INDEX('Country Tiers'!$C$2:$C$37,MATCH(C2508,'Country Tiers'!$A$2:$A$37,0))</f>
        <v>Tier 1</v>
      </c>
      <c r="E2508" s="12" t="n">
        <f aca="false">INDEX('Country Tiers'!$D$2:$D$37,MATCH(C2508,'Country Tiers'!$A$2:$A$37,0))</f>
        <v>3</v>
      </c>
    </row>
    <row r="2509" customFormat="false" ht="15" hidden="false" customHeight="false" outlineLevel="0" collapsed="false">
      <c r="A2509" s="12" t="s">
        <v>140</v>
      </c>
      <c r="B2509" s="12" t="s">
        <v>73</v>
      </c>
      <c r="C2509" s="12" t="s">
        <v>287</v>
      </c>
      <c r="D2509" s="12" t="str">
        <f aca="false">INDEX('Country Tiers'!$C$2:$C$37,MATCH(C2509,'Country Tiers'!$A$2:$A$37,0))</f>
        <v>Tier 1</v>
      </c>
      <c r="E2509" s="12" t="n">
        <f aca="false">INDEX('Country Tiers'!$D$2:$D$37,MATCH(C2509,'Country Tiers'!$A$2:$A$37,0))</f>
        <v>3</v>
      </c>
    </row>
    <row r="2510" customFormat="false" ht="15" hidden="false" customHeight="false" outlineLevel="0" collapsed="false">
      <c r="A2510" s="12" t="s">
        <v>140</v>
      </c>
      <c r="B2510" s="12" t="s">
        <v>73</v>
      </c>
      <c r="C2510" s="12" t="s">
        <v>288</v>
      </c>
      <c r="D2510" s="12" t="str">
        <f aca="false">INDEX('Country Tiers'!$C$2:$C$37,MATCH(C2510,'Country Tiers'!$A$2:$A$37,0))</f>
        <v>Tier 3</v>
      </c>
      <c r="E2510" s="12" t="n">
        <f aca="false">INDEX('Country Tiers'!$D$2:$D$37,MATCH(C2510,'Country Tiers'!$A$2:$A$37,0))</f>
        <v>1</v>
      </c>
    </row>
    <row r="2511" customFormat="false" ht="15" hidden="false" customHeight="false" outlineLevel="0" collapsed="false">
      <c r="A2511" s="12" t="s">
        <v>140</v>
      </c>
      <c r="B2511" s="12" t="s">
        <v>73</v>
      </c>
      <c r="C2511" s="12" t="s">
        <v>289</v>
      </c>
      <c r="D2511" s="12" t="str">
        <f aca="false">INDEX('Country Tiers'!$C$2:$C$37,MATCH(C2511,'Country Tiers'!$A$2:$A$37,0))</f>
        <v>Tier 3</v>
      </c>
      <c r="E2511" s="12" t="n">
        <f aca="false">INDEX('Country Tiers'!$D$2:$D$37,MATCH(C2511,'Country Tiers'!$A$2:$A$37,0))</f>
        <v>1</v>
      </c>
    </row>
    <row r="2512" customFormat="false" ht="15" hidden="false" customHeight="false" outlineLevel="0" collapsed="false">
      <c r="A2512" s="12" t="s">
        <v>140</v>
      </c>
      <c r="B2512" s="12" t="s">
        <v>73</v>
      </c>
      <c r="C2512" s="12" t="s">
        <v>290</v>
      </c>
      <c r="D2512" s="12" t="str">
        <f aca="false">INDEX('Country Tiers'!$C$2:$C$37,MATCH(C2512,'Country Tiers'!$A$2:$A$37,0))</f>
        <v>Tier 3</v>
      </c>
      <c r="E2512" s="12" t="n">
        <f aca="false">INDEX('Country Tiers'!$D$2:$D$37,MATCH(C2512,'Country Tiers'!$A$2:$A$37,0))</f>
        <v>1</v>
      </c>
    </row>
    <row r="2513" customFormat="false" ht="15" hidden="false" customHeight="false" outlineLevel="0" collapsed="false">
      <c r="A2513" s="12" t="s">
        <v>140</v>
      </c>
      <c r="B2513" s="12" t="s">
        <v>73</v>
      </c>
      <c r="C2513" s="12" t="s">
        <v>291</v>
      </c>
      <c r="D2513" s="12" t="str">
        <f aca="false">INDEX('Country Tiers'!$C$2:$C$37,MATCH(C2513,'Country Tiers'!$A$2:$A$37,0))</f>
        <v>Tier 3</v>
      </c>
      <c r="E2513" s="12" t="n">
        <f aca="false">INDEX('Country Tiers'!$D$2:$D$37,MATCH(C2513,'Country Tiers'!$A$2:$A$37,0))</f>
        <v>1</v>
      </c>
    </row>
    <row r="2514" customFormat="false" ht="15" hidden="false" customHeight="false" outlineLevel="0" collapsed="false">
      <c r="A2514" s="12" t="s">
        <v>140</v>
      </c>
      <c r="B2514" s="12" t="s">
        <v>73</v>
      </c>
      <c r="C2514" s="12" t="s">
        <v>292</v>
      </c>
      <c r="D2514" s="12" t="str">
        <f aca="false">INDEX('Country Tiers'!$C$2:$C$37,MATCH(C2514,'Country Tiers'!$A$2:$A$37,0))</f>
        <v>Tier 2</v>
      </c>
      <c r="E2514" s="12" t="n">
        <f aca="false">INDEX('Country Tiers'!$D$2:$D$37,MATCH(C2514,'Country Tiers'!$A$2:$A$37,0))</f>
        <v>2</v>
      </c>
    </row>
    <row r="2515" customFormat="false" ht="15" hidden="false" customHeight="false" outlineLevel="0" collapsed="false">
      <c r="A2515" s="12" t="s">
        <v>140</v>
      </c>
      <c r="B2515" s="12" t="s">
        <v>73</v>
      </c>
      <c r="C2515" s="12" t="s">
        <v>293</v>
      </c>
      <c r="D2515" s="12" t="str">
        <f aca="false">INDEX('Country Tiers'!$C$2:$C$37,MATCH(C2515,'Country Tiers'!$A$2:$A$37,0))</f>
        <v>Tier 3</v>
      </c>
      <c r="E2515" s="12" t="n">
        <f aca="false">INDEX('Country Tiers'!$D$2:$D$37,MATCH(C2515,'Country Tiers'!$A$2:$A$37,0))</f>
        <v>1</v>
      </c>
    </row>
    <row r="2516" customFormat="false" ht="15" hidden="false" customHeight="false" outlineLevel="0" collapsed="false">
      <c r="A2516" s="12" t="s">
        <v>140</v>
      </c>
      <c r="B2516" s="12" t="s">
        <v>73</v>
      </c>
      <c r="C2516" s="12" t="s">
        <v>295</v>
      </c>
      <c r="D2516" s="12" t="str">
        <f aca="false">INDEX('Country Tiers'!$C$2:$C$37,MATCH(C2516,'Country Tiers'!$A$2:$A$37,0))</f>
        <v>Tier 3</v>
      </c>
      <c r="E2516" s="12" t="n">
        <f aca="false">INDEX('Country Tiers'!$D$2:$D$37,MATCH(C2516,'Country Tiers'!$A$2:$A$37,0))</f>
        <v>1</v>
      </c>
    </row>
    <row r="2517" customFormat="false" ht="15" hidden="false" customHeight="false" outlineLevel="0" collapsed="false">
      <c r="A2517" s="12" t="s">
        <v>140</v>
      </c>
      <c r="B2517" s="12" t="s">
        <v>73</v>
      </c>
      <c r="C2517" s="12" t="s">
        <v>296</v>
      </c>
      <c r="D2517" s="12" t="str">
        <f aca="false">INDEX('Country Tiers'!$C$2:$C$37,MATCH(C2517,'Country Tiers'!$A$2:$A$37,0))</f>
        <v>Tier 3</v>
      </c>
      <c r="E2517" s="12" t="n">
        <f aca="false">INDEX('Country Tiers'!$D$2:$D$37,MATCH(C2517,'Country Tiers'!$A$2:$A$37,0))</f>
        <v>1</v>
      </c>
    </row>
    <row r="2518" customFormat="false" ht="15" hidden="false" customHeight="false" outlineLevel="0" collapsed="false">
      <c r="A2518" s="12" t="s">
        <v>140</v>
      </c>
      <c r="B2518" s="12" t="s">
        <v>73</v>
      </c>
      <c r="C2518" s="12" t="s">
        <v>297</v>
      </c>
      <c r="D2518" s="12" t="str">
        <f aca="false">INDEX('Country Tiers'!$C$2:$C$37,MATCH(C2518,'Country Tiers'!$A$2:$A$37,0))</f>
        <v>Tier 2</v>
      </c>
      <c r="E2518" s="12" t="n">
        <f aca="false">INDEX('Country Tiers'!$D$2:$D$37,MATCH(C2518,'Country Tiers'!$A$2:$A$37,0))</f>
        <v>2</v>
      </c>
    </row>
    <row r="2519" customFormat="false" ht="15" hidden="false" customHeight="false" outlineLevel="0" collapsed="false">
      <c r="A2519" s="12" t="s">
        <v>140</v>
      </c>
      <c r="B2519" s="12" t="s">
        <v>73</v>
      </c>
      <c r="C2519" s="12" t="s">
        <v>298</v>
      </c>
      <c r="D2519" s="12" t="str">
        <f aca="false">INDEX('Country Tiers'!$C$2:$C$37,MATCH(C2519,'Country Tiers'!$A$2:$A$37,0))</f>
        <v>Tier 1</v>
      </c>
      <c r="E2519" s="12" t="n">
        <f aca="false">INDEX('Country Tiers'!$D$2:$D$37,MATCH(C2519,'Country Tiers'!$A$2:$A$37,0))</f>
        <v>3</v>
      </c>
    </row>
    <row r="2520" customFormat="false" ht="15" hidden="false" customHeight="false" outlineLevel="0" collapsed="false">
      <c r="A2520" s="12" t="s">
        <v>140</v>
      </c>
      <c r="B2520" s="12" t="s">
        <v>73</v>
      </c>
      <c r="C2520" s="12" t="s">
        <v>299</v>
      </c>
      <c r="D2520" s="12" t="str">
        <f aca="false">INDEX('Country Tiers'!$C$2:$C$37,MATCH(C2520,'Country Tiers'!$A$2:$A$37,0))</f>
        <v>Tier 3</v>
      </c>
      <c r="E2520" s="12" t="n">
        <f aca="false">INDEX('Country Tiers'!$D$2:$D$37,MATCH(C2520,'Country Tiers'!$A$2:$A$37,0))</f>
        <v>1</v>
      </c>
    </row>
    <row r="2521" customFormat="false" ht="15" hidden="false" customHeight="false" outlineLevel="0" collapsed="false">
      <c r="A2521" s="12" t="s">
        <v>140</v>
      </c>
      <c r="B2521" s="12" t="s">
        <v>73</v>
      </c>
      <c r="C2521" s="12" t="s">
        <v>300</v>
      </c>
      <c r="D2521" s="12" t="str">
        <f aca="false">INDEX('Country Tiers'!$C$2:$C$37,MATCH(C2521,'Country Tiers'!$A$2:$A$37,0))</f>
        <v>Tier 3</v>
      </c>
      <c r="E2521" s="12" t="n">
        <f aca="false">INDEX('Country Tiers'!$D$2:$D$37,MATCH(C2521,'Country Tiers'!$A$2:$A$37,0))</f>
        <v>1</v>
      </c>
    </row>
    <row r="2522" customFormat="false" ht="15" hidden="false" customHeight="false" outlineLevel="0" collapsed="false">
      <c r="A2522" s="12" t="s">
        <v>140</v>
      </c>
      <c r="B2522" s="12" t="s">
        <v>73</v>
      </c>
      <c r="C2522" s="12" t="s">
        <v>301</v>
      </c>
      <c r="D2522" s="12" t="str">
        <f aca="false">INDEX('Country Tiers'!$C$2:$C$37,MATCH(C2522,'Country Tiers'!$A$2:$A$37,0))</f>
        <v>Tier 3</v>
      </c>
      <c r="E2522" s="12" t="n">
        <f aca="false">INDEX('Country Tiers'!$D$2:$D$37,MATCH(C2522,'Country Tiers'!$A$2:$A$37,0))</f>
        <v>1</v>
      </c>
    </row>
    <row r="2523" customFormat="false" ht="15" hidden="false" customHeight="false" outlineLevel="0" collapsed="false">
      <c r="A2523" s="12" t="s">
        <v>140</v>
      </c>
      <c r="B2523" s="12" t="s">
        <v>73</v>
      </c>
      <c r="C2523" s="12" t="s">
        <v>302</v>
      </c>
      <c r="D2523" s="12" t="str">
        <f aca="false">INDEX('Country Tiers'!$C$2:$C$37,MATCH(C2523,'Country Tiers'!$A$2:$A$37,0))</f>
        <v>Tier 3</v>
      </c>
      <c r="E2523" s="12" t="n">
        <f aca="false">INDEX('Country Tiers'!$D$2:$D$37,MATCH(C2523,'Country Tiers'!$A$2:$A$37,0))</f>
        <v>1</v>
      </c>
    </row>
    <row r="2524" customFormat="false" ht="15" hidden="false" customHeight="false" outlineLevel="0" collapsed="false">
      <c r="A2524" s="12" t="s">
        <v>140</v>
      </c>
      <c r="B2524" s="12" t="s">
        <v>73</v>
      </c>
      <c r="C2524" s="12" t="s">
        <v>305</v>
      </c>
      <c r="D2524" s="12" t="str">
        <f aca="false">INDEX('Country Tiers'!$C$2:$C$37,MATCH(C2524,'Country Tiers'!$A$2:$A$37,0))</f>
        <v>Tier 3</v>
      </c>
      <c r="E2524" s="12" t="n">
        <f aca="false">INDEX('Country Tiers'!$D$2:$D$37,MATCH(C2524,'Country Tiers'!$A$2:$A$37,0))</f>
        <v>1</v>
      </c>
    </row>
    <row r="2525" customFormat="false" ht="15" hidden="false" customHeight="false" outlineLevel="0" collapsed="false">
      <c r="A2525" s="12" t="s">
        <v>140</v>
      </c>
      <c r="B2525" s="12" t="s">
        <v>73</v>
      </c>
      <c r="C2525" s="12" t="s">
        <v>306</v>
      </c>
      <c r="D2525" s="12" t="str">
        <f aca="false">INDEX('Country Tiers'!$C$2:$C$37,MATCH(C2525,'Country Tiers'!$A$2:$A$37,0))</f>
        <v>Tier 3</v>
      </c>
      <c r="E2525" s="12" t="n">
        <f aca="false">INDEX('Country Tiers'!$D$2:$D$37,MATCH(C2525,'Country Tiers'!$A$2:$A$37,0))</f>
        <v>1</v>
      </c>
    </row>
    <row r="2526" customFormat="false" ht="15" hidden="false" customHeight="false" outlineLevel="0" collapsed="false">
      <c r="A2526" s="12" t="s">
        <v>140</v>
      </c>
      <c r="B2526" s="12" t="s">
        <v>73</v>
      </c>
      <c r="C2526" s="12" t="s">
        <v>307</v>
      </c>
      <c r="D2526" s="12" t="str">
        <f aca="false">INDEX('Country Tiers'!$C$2:$C$37,MATCH(C2526,'Country Tiers'!$A$2:$A$37,0))</f>
        <v>Tier 2</v>
      </c>
      <c r="E2526" s="12" t="n">
        <f aca="false">INDEX('Country Tiers'!$D$2:$D$37,MATCH(C2526,'Country Tiers'!$A$2:$A$37,0))</f>
        <v>2</v>
      </c>
    </row>
    <row r="2527" customFormat="false" ht="15" hidden="false" customHeight="false" outlineLevel="0" collapsed="false">
      <c r="A2527" s="12" t="s">
        <v>140</v>
      </c>
      <c r="B2527" s="12" t="s">
        <v>73</v>
      </c>
      <c r="C2527" s="12" t="s">
        <v>308</v>
      </c>
      <c r="D2527" s="12" t="str">
        <f aca="false">INDEX('Country Tiers'!$C$2:$C$37,MATCH(C2527,'Country Tiers'!$A$2:$A$37,0))</f>
        <v>Tier 3</v>
      </c>
      <c r="E2527" s="12" t="n">
        <f aca="false">INDEX('Country Tiers'!$D$2:$D$37,MATCH(C2527,'Country Tiers'!$A$2:$A$37,0))</f>
        <v>1</v>
      </c>
    </row>
    <row r="2528" customFormat="false" ht="15" hidden="false" customHeight="false" outlineLevel="0" collapsed="false">
      <c r="A2528" s="12" t="s">
        <v>140</v>
      </c>
      <c r="B2528" s="12" t="s">
        <v>73</v>
      </c>
      <c r="C2528" s="12" t="s">
        <v>309</v>
      </c>
      <c r="D2528" s="12" t="str">
        <f aca="false">INDEX('Country Tiers'!$C$2:$C$37,MATCH(C2528,'Country Tiers'!$A$2:$A$37,0))</f>
        <v>Tier 1</v>
      </c>
      <c r="E2528" s="12" t="n">
        <f aca="false">INDEX('Country Tiers'!$D$2:$D$37,MATCH(C2528,'Country Tiers'!$A$2:$A$37,0))</f>
        <v>3</v>
      </c>
    </row>
    <row r="2529" customFormat="false" ht="15" hidden="false" customHeight="false" outlineLevel="0" collapsed="false">
      <c r="A2529" s="12" t="s">
        <v>140</v>
      </c>
      <c r="B2529" s="12" t="s">
        <v>73</v>
      </c>
      <c r="C2529" s="12" t="s">
        <v>313</v>
      </c>
      <c r="D2529" s="12" t="str">
        <f aca="false">INDEX('Country Tiers'!$C$2:$C$37,MATCH(C2529,'Country Tiers'!$A$2:$A$37,0))</f>
        <v>Tier 1</v>
      </c>
      <c r="E2529" s="12" t="n">
        <f aca="false">INDEX('Country Tiers'!$D$2:$D$37,MATCH(C2529,'Country Tiers'!$A$2:$A$37,0))</f>
        <v>3</v>
      </c>
    </row>
    <row r="2530" customFormat="false" ht="15" hidden="false" customHeight="false" outlineLevel="0" collapsed="false">
      <c r="A2530" s="12" t="s">
        <v>140</v>
      </c>
      <c r="B2530" s="12" t="s">
        <v>50</v>
      </c>
      <c r="C2530" s="12" t="s">
        <v>272</v>
      </c>
      <c r="D2530" s="12" t="str">
        <f aca="false">INDEX('Country Tiers'!$C$2:$C$37,MATCH(C2530,'Country Tiers'!$A$2:$A$37,0))</f>
        <v>Tier 2</v>
      </c>
      <c r="E2530" s="12" t="n">
        <f aca="false">INDEX('Country Tiers'!$D$2:$D$37,MATCH(C2530,'Country Tiers'!$A$2:$A$37,0))</f>
        <v>2</v>
      </c>
    </row>
    <row r="2531" customFormat="false" ht="15" hidden="false" customHeight="false" outlineLevel="0" collapsed="false">
      <c r="A2531" s="12" t="s">
        <v>140</v>
      </c>
      <c r="B2531" s="12" t="s">
        <v>50</v>
      </c>
      <c r="C2531" s="12" t="s">
        <v>274</v>
      </c>
      <c r="D2531" s="12" t="str">
        <f aca="false">INDEX('Country Tiers'!$C$2:$C$37,MATCH(C2531,'Country Tiers'!$A$2:$A$37,0))</f>
        <v>Tier 3</v>
      </c>
      <c r="E2531" s="12" t="n">
        <f aca="false">INDEX('Country Tiers'!$D$2:$D$37,MATCH(C2531,'Country Tiers'!$A$2:$A$37,0))</f>
        <v>1</v>
      </c>
    </row>
    <row r="2532" customFormat="false" ht="15" hidden="false" customHeight="false" outlineLevel="0" collapsed="false">
      <c r="A2532" s="12" t="s">
        <v>140</v>
      </c>
      <c r="B2532" s="12" t="s">
        <v>50</v>
      </c>
      <c r="C2532" s="12" t="s">
        <v>277</v>
      </c>
      <c r="D2532" s="12" t="str">
        <f aca="false">INDEX('Country Tiers'!$C$2:$C$37,MATCH(C2532,'Country Tiers'!$A$2:$A$37,0))</f>
        <v>Tier 1</v>
      </c>
      <c r="E2532" s="12" t="n">
        <f aca="false">INDEX('Country Tiers'!$D$2:$D$37,MATCH(C2532,'Country Tiers'!$A$2:$A$37,0))</f>
        <v>3</v>
      </c>
    </row>
    <row r="2533" customFormat="false" ht="15" hidden="false" customHeight="false" outlineLevel="0" collapsed="false">
      <c r="A2533" s="12" t="s">
        <v>140</v>
      </c>
      <c r="B2533" s="12" t="s">
        <v>50</v>
      </c>
      <c r="C2533" s="12" t="s">
        <v>278</v>
      </c>
      <c r="D2533" s="12" t="str">
        <f aca="false">INDEX('Country Tiers'!$C$2:$C$37,MATCH(C2533,'Country Tiers'!$A$2:$A$37,0))</f>
        <v>Tier 3</v>
      </c>
      <c r="E2533" s="12" t="n">
        <f aca="false">INDEX('Country Tiers'!$D$2:$D$37,MATCH(C2533,'Country Tiers'!$A$2:$A$37,0))</f>
        <v>1</v>
      </c>
    </row>
    <row r="2534" customFormat="false" ht="15" hidden="false" customHeight="false" outlineLevel="0" collapsed="false">
      <c r="A2534" s="12" t="s">
        <v>140</v>
      </c>
      <c r="B2534" s="12" t="s">
        <v>50</v>
      </c>
      <c r="C2534" s="12" t="s">
        <v>279</v>
      </c>
      <c r="D2534" s="12" t="str">
        <f aca="false">INDEX('Country Tiers'!$C$2:$C$37,MATCH(C2534,'Country Tiers'!$A$2:$A$37,0))</f>
        <v>Tier 1</v>
      </c>
      <c r="E2534" s="12" t="n">
        <f aca="false">INDEX('Country Tiers'!$D$2:$D$37,MATCH(C2534,'Country Tiers'!$A$2:$A$37,0))</f>
        <v>3</v>
      </c>
    </row>
    <row r="2535" customFormat="false" ht="15" hidden="false" customHeight="false" outlineLevel="0" collapsed="false">
      <c r="A2535" s="12" t="s">
        <v>140</v>
      </c>
      <c r="B2535" s="12" t="s">
        <v>50</v>
      </c>
      <c r="C2535" s="12" t="s">
        <v>280</v>
      </c>
      <c r="D2535" s="12" t="str">
        <f aca="false">INDEX('Country Tiers'!$C$2:$C$37,MATCH(C2535,'Country Tiers'!$A$2:$A$37,0))</f>
        <v>Tier 3</v>
      </c>
      <c r="E2535" s="12" t="n">
        <f aca="false">INDEX('Country Tiers'!$D$2:$D$37,MATCH(C2535,'Country Tiers'!$A$2:$A$37,0))</f>
        <v>1</v>
      </c>
    </row>
    <row r="2536" customFormat="false" ht="15" hidden="false" customHeight="false" outlineLevel="0" collapsed="false">
      <c r="A2536" s="12" t="s">
        <v>140</v>
      </c>
      <c r="B2536" s="12" t="s">
        <v>50</v>
      </c>
      <c r="C2536" s="12" t="s">
        <v>281</v>
      </c>
      <c r="D2536" s="12" t="str">
        <f aca="false">INDEX('Country Tiers'!$C$2:$C$37,MATCH(C2536,'Country Tiers'!$A$2:$A$37,0))</f>
        <v>Tier 3</v>
      </c>
      <c r="E2536" s="12" t="n">
        <f aca="false">INDEX('Country Tiers'!$D$2:$D$37,MATCH(C2536,'Country Tiers'!$A$2:$A$37,0))</f>
        <v>1</v>
      </c>
    </row>
    <row r="2537" customFormat="false" ht="15" hidden="false" customHeight="false" outlineLevel="0" collapsed="false">
      <c r="A2537" s="12" t="s">
        <v>140</v>
      </c>
      <c r="B2537" s="12" t="s">
        <v>50</v>
      </c>
      <c r="C2537" s="12" t="s">
        <v>282</v>
      </c>
      <c r="D2537" s="12" t="str">
        <f aca="false">INDEX('Country Tiers'!$C$2:$C$37,MATCH(C2537,'Country Tiers'!$A$2:$A$37,0))</f>
        <v>Tier 3</v>
      </c>
      <c r="E2537" s="12" t="n">
        <f aca="false">INDEX('Country Tiers'!$D$2:$D$37,MATCH(C2537,'Country Tiers'!$A$2:$A$37,0))</f>
        <v>1</v>
      </c>
    </row>
    <row r="2538" customFormat="false" ht="15" hidden="false" customHeight="false" outlineLevel="0" collapsed="false">
      <c r="A2538" s="12" t="s">
        <v>140</v>
      </c>
      <c r="B2538" s="12" t="s">
        <v>50</v>
      </c>
      <c r="C2538" s="12" t="s">
        <v>283</v>
      </c>
      <c r="D2538" s="12" t="str">
        <f aca="false">INDEX('Country Tiers'!$C$2:$C$37,MATCH(C2538,'Country Tiers'!$A$2:$A$37,0))</f>
        <v>Tier 3</v>
      </c>
      <c r="E2538" s="12" t="n">
        <f aca="false">INDEX('Country Tiers'!$D$2:$D$37,MATCH(C2538,'Country Tiers'!$A$2:$A$37,0))</f>
        <v>1</v>
      </c>
    </row>
    <row r="2539" customFormat="false" ht="15" hidden="false" customHeight="false" outlineLevel="0" collapsed="false">
      <c r="A2539" s="12" t="s">
        <v>140</v>
      </c>
      <c r="B2539" s="12" t="s">
        <v>50</v>
      </c>
      <c r="C2539" s="12" t="s">
        <v>284</v>
      </c>
      <c r="D2539" s="12" t="str">
        <f aca="false">INDEX('Country Tiers'!$C$2:$C$37,MATCH(C2539,'Country Tiers'!$A$2:$A$37,0))</f>
        <v>Tier 3</v>
      </c>
      <c r="E2539" s="12" t="n">
        <f aca="false">INDEX('Country Tiers'!$D$2:$D$37,MATCH(C2539,'Country Tiers'!$A$2:$A$37,0))</f>
        <v>1</v>
      </c>
    </row>
    <row r="2540" customFormat="false" ht="15" hidden="false" customHeight="false" outlineLevel="0" collapsed="false">
      <c r="A2540" s="12" t="s">
        <v>140</v>
      </c>
      <c r="B2540" s="12" t="s">
        <v>50</v>
      </c>
      <c r="C2540" s="12" t="s">
        <v>285</v>
      </c>
      <c r="D2540" s="12" t="str">
        <f aca="false">INDEX('Country Tiers'!$C$2:$C$37,MATCH(C2540,'Country Tiers'!$A$2:$A$37,0))</f>
        <v>Tier 3</v>
      </c>
      <c r="E2540" s="12" t="n">
        <f aca="false">INDEX('Country Tiers'!$D$2:$D$37,MATCH(C2540,'Country Tiers'!$A$2:$A$37,0))</f>
        <v>1</v>
      </c>
    </row>
    <row r="2541" customFormat="false" ht="15" hidden="false" customHeight="false" outlineLevel="0" collapsed="false">
      <c r="A2541" s="12" t="s">
        <v>140</v>
      </c>
      <c r="B2541" s="12" t="s">
        <v>50</v>
      </c>
      <c r="C2541" s="12" t="s">
        <v>286</v>
      </c>
      <c r="D2541" s="12" t="str">
        <f aca="false">INDEX('Country Tiers'!$C$2:$C$37,MATCH(C2541,'Country Tiers'!$A$2:$A$37,0))</f>
        <v>Tier 1</v>
      </c>
      <c r="E2541" s="12" t="n">
        <f aca="false">INDEX('Country Tiers'!$D$2:$D$37,MATCH(C2541,'Country Tiers'!$A$2:$A$37,0))</f>
        <v>3</v>
      </c>
    </row>
    <row r="2542" customFormat="false" ht="15" hidden="false" customHeight="false" outlineLevel="0" collapsed="false">
      <c r="A2542" s="12" t="s">
        <v>140</v>
      </c>
      <c r="B2542" s="12" t="s">
        <v>50</v>
      </c>
      <c r="C2542" s="12" t="s">
        <v>287</v>
      </c>
      <c r="D2542" s="12" t="str">
        <f aca="false">INDEX('Country Tiers'!$C$2:$C$37,MATCH(C2542,'Country Tiers'!$A$2:$A$37,0))</f>
        <v>Tier 1</v>
      </c>
      <c r="E2542" s="12" t="n">
        <f aca="false">INDEX('Country Tiers'!$D$2:$D$37,MATCH(C2542,'Country Tiers'!$A$2:$A$37,0))</f>
        <v>3</v>
      </c>
    </row>
    <row r="2543" customFormat="false" ht="15" hidden="false" customHeight="false" outlineLevel="0" collapsed="false">
      <c r="A2543" s="12" t="s">
        <v>140</v>
      </c>
      <c r="B2543" s="12" t="s">
        <v>50</v>
      </c>
      <c r="C2543" s="12" t="s">
        <v>288</v>
      </c>
      <c r="D2543" s="12" t="str">
        <f aca="false">INDEX('Country Tiers'!$C$2:$C$37,MATCH(C2543,'Country Tiers'!$A$2:$A$37,0))</f>
        <v>Tier 3</v>
      </c>
      <c r="E2543" s="12" t="n">
        <f aca="false">INDEX('Country Tiers'!$D$2:$D$37,MATCH(C2543,'Country Tiers'!$A$2:$A$37,0))</f>
        <v>1</v>
      </c>
    </row>
    <row r="2544" customFormat="false" ht="15" hidden="false" customHeight="false" outlineLevel="0" collapsed="false">
      <c r="A2544" s="12" t="s">
        <v>140</v>
      </c>
      <c r="B2544" s="12" t="s">
        <v>50</v>
      </c>
      <c r="C2544" s="12" t="s">
        <v>289</v>
      </c>
      <c r="D2544" s="12" t="str">
        <f aca="false">INDEX('Country Tiers'!$C$2:$C$37,MATCH(C2544,'Country Tiers'!$A$2:$A$37,0))</f>
        <v>Tier 3</v>
      </c>
      <c r="E2544" s="12" t="n">
        <f aca="false">INDEX('Country Tiers'!$D$2:$D$37,MATCH(C2544,'Country Tiers'!$A$2:$A$37,0))</f>
        <v>1</v>
      </c>
    </row>
    <row r="2545" customFormat="false" ht="15" hidden="false" customHeight="false" outlineLevel="0" collapsed="false">
      <c r="A2545" s="12" t="s">
        <v>140</v>
      </c>
      <c r="B2545" s="12" t="s">
        <v>50</v>
      </c>
      <c r="C2545" s="12" t="s">
        <v>290</v>
      </c>
      <c r="D2545" s="12" t="str">
        <f aca="false">INDEX('Country Tiers'!$C$2:$C$37,MATCH(C2545,'Country Tiers'!$A$2:$A$37,0))</f>
        <v>Tier 3</v>
      </c>
      <c r="E2545" s="12" t="n">
        <f aca="false">INDEX('Country Tiers'!$D$2:$D$37,MATCH(C2545,'Country Tiers'!$A$2:$A$37,0))</f>
        <v>1</v>
      </c>
    </row>
    <row r="2546" customFormat="false" ht="15" hidden="false" customHeight="false" outlineLevel="0" collapsed="false">
      <c r="A2546" s="12" t="s">
        <v>140</v>
      </c>
      <c r="B2546" s="12" t="s">
        <v>50</v>
      </c>
      <c r="C2546" s="12" t="s">
        <v>291</v>
      </c>
      <c r="D2546" s="12" t="str">
        <f aca="false">INDEX('Country Tiers'!$C$2:$C$37,MATCH(C2546,'Country Tiers'!$A$2:$A$37,0))</f>
        <v>Tier 3</v>
      </c>
      <c r="E2546" s="12" t="n">
        <f aca="false">INDEX('Country Tiers'!$D$2:$D$37,MATCH(C2546,'Country Tiers'!$A$2:$A$37,0))</f>
        <v>1</v>
      </c>
    </row>
    <row r="2547" customFormat="false" ht="15" hidden="false" customHeight="false" outlineLevel="0" collapsed="false">
      <c r="A2547" s="12" t="s">
        <v>140</v>
      </c>
      <c r="B2547" s="12" t="s">
        <v>50</v>
      </c>
      <c r="C2547" s="12" t="s">
        <v>292</v>
      </c>
      <c r="D2547" s="12" t="str">
        <f aca="false">INDEX('Country Tiers'!$C$2:$C$37,MATCH(C2547,'Country Tiers'!$A$2:$A$37,0))</f>
        <v>Tier 2</v>
      </c>
      <c r="E2547" s="12" t="n">
        <f aca="false">INDEX('Country Tiers'!$D$2:$D$37,MATCH(C2547,'Country Tiers'!$A$2:$A$37,0))</f>
        <v>2</v>
      </c>
    </row>
    <row r="2548" customFormat="false" ht="15" hidden="false" customHeight="false" outlineLevel="0" collapsed="false">
      <c r="A2548" s="12" t="s">
        <v>140</v>
      </c>
      <c r="B2548" s="12" t="s">
        <v>50</v>
      </c>
      <c r="C2548" s="12" t="s">
        <v>293</v>
      </c>
      <c r="D2548" s="12" t="str">
        <f aca="false">INDEX('Country Tiers'!$C$2:$C$37,MATCH(C2548,'Country Tiers'!$A$2:$A$37,0))</f>
        <v>Tier 3</v>
      </c>
      <c r="E2548" s="12" t="n">
        <f aca="false">INDEX('Country Tiers'!$D$2:$D$37,MATCH(C2548,'Country Tiers'!$A$2:$A$37,0))</f>
        <v>1</v>
      </c>
    </row>
    <row r="2549" customFormat="false" ht="15" hidden="false" customHeight="false" outlineLevel="0" collapsed="false">
      <c r="A2549" s="12" t="s">
        <v>140</v>
      </c>
      <c r="B2549" s="12" t="s">
        <v>50</v>
      </c>
      <c r="C2549" s="12" t="s">
        <v>295</v>
      </c>
      <c r="D2549" s="12" t="str">
        <f aca="false">INDEX('Country Tiers'!$C$2:$C$37,MATCH(C2549,'Country Tiers'!$A$2:$A$37,0))</f>
        <v>Tier 3</v>
      </c>
      <c r="E2549" s="12" t="n">
        <f aca="false">INDEX('Country Tiers'!$D$2:$D$37,MATCH(C2549,'Country Tiers'!$A$2:$A$37,0))</f>
        <v>1</v>
      </c>
    </row>
    <row r="2550" customFormat="false" ht="15" hidden="false" customHeight="false" outlineLevel="0" collapsed="false">
      <c r="A2550" s="12" t="s">
        <v>140</v>
      </c>
      <c r="B2550" s="12" t="s">
        <v>50</v>
      </c>
      <c r="C2550" s="12" t="s">
        <v>296</v>
      </c>
      <c r="D2550" s="12" t="str">
        <f aca="false">INDEX('Country Tiers'!$C$2:$C$37,MATCH(C2550,'Country Tiers'!$A$2:$A$37,0))</f>
        <v>Tier 3</v>
      </c>
      <c r="E2550" s="12" t="n">
        <f aca="false">INDEX('Country Tiers'!$D$2:$D$37,MATCH(C2550,'Country Tiers'!$A$2:$A$37,0))</f>
        <v>1</v>
      </c>
    </row>
    <row r="2551" customFormat="false" ht="15" hidden="false" customHeight="false" outlineLevel="0" collapsed="false">
      <c r="A2551" s="12" t="s">
        <v>140</v>
      </c>
      <c r="B2551" s="12" t="s">
        <v>50</v>
      </c>
      <c r="C2551" s="12" t="s">
        <v>297</v>
      </c>
      <c r="D2551" s="12" t="str">
        <f aca="false">INDEX('Country Tiers'!$C$2:$C$37,MATCH(C2551,'Country Tiers'!$A$2:$A$37,0))</f>
        <v>Tier 2</v>
      </c>
      <c r="E2551" s="12" t="n">
        <f aca="false">INDEX('Country Tiers'!$D$2:$D$37,MATCH(C2551,'Country Tiers'!$A$2:$A$37,0))</f>
        <v>2</v>
      </c>
    </row>
    <row r="2552" customFormat="false" ht="15" hidden="false" customHeight="false" outlineLevel="0" collapsed="false">
      <c r="A2552" s="12" t="s">
        <v>140</v>
      </c>
      <c r="B2552" s="12" t="s">
        <v>50</v>
      </c>
      <c r="C2552" s="12" t="s">
        <v>298</v>
      </c>
      <c r="D2552" s="12" t="str">
        <f aca="false">INDEX('Country Tiers'!$C$2:$C$37,MATCH(C2552,'Country Tiers'!$A$2:$A$37,0))</f>
        <v>Tier 1</v>
      </c>
      <c r="E2552" s="12" t="n">
        <f aca="false">INDEX('Country Tiers'!$D$2:$D$37,MATCH(C2552,'Country Tiers'!$A$2:$A$37,0))</f>
        <v>3</v>
      </c>
    </row>
    <row r="2553" customFormat="false" ht="15" hidden="false" customHeight="false" outlineLevel="0" collapsed="false">
      <c r="A2553" s="12" t="s">
        <v>140</v>
      </c>
      <c r="B2553" s="12" t="s">
        <v>50</v>
      </c>
      <c r="C2553" s="12" t="s">
        <v>299</v>
      </c>
      <c r="D2553" s="12" t="str">
        <f aca="false">INDEX('Country Tiers'!$C$2:$C$37,MATCH(C2553,'Country Tiers'!$A$2:$A$37,0))</f>
        <v>Tier 3</v>
      </c>
      <c r="E2553" s="12" t="n">
        <f aca="false">INDEX('Country Tiers'!$D$2:$D$37,MATCH(C2553,'Country Tiers'!$A$2:$A$37,0))</f>
        <v>1</v>
      </c>
    </row>
    <row r="2554" customFormat="false" ht="15" hidden="false" customHeight="false" outlineLevel="0" collapsed="false">
      <c r="A2554" s="12" t="s">
        <v>140</v>
      </c>
      <c r="B2554" s="12" t="s">
        <v>50</v>
      </c>
      <c r="C2554" s="12" t="s">
        <v>300</v>
      </c>
      <c r="D2554" s="12" t="str">
        <f aca="false">INDEX('Country Tiers'!$C$2:$C$37,MATCH(C2554,'Country Tiers'!$A$2:$A$37,0))</f>
        <v>Tier 3</v>
      </c>
      <c r="E2554" s="12" t="n">
        <f aca="false">INDEX('Country Tiers'!$D$2:$D$37,MATCH(C2554,'Country Tiers'!$A$2:$A$37,0))</f>
        <v>1</v>
      </c>
    </row>
    <row r="2555" customFormat="false" ht="15" hidden="false" customHeight="false" outlineLevel="0" collapsed="false">
      <c r="A2555" s="12" t="s">
        <v>140</v>
      </c>
      <c r="B2555" s="12" t="s">
        <v>50</v>
      </c>
      <c r="C2555" s="12" t="s">
        <v>301</v>
      </c>
      <c r="D2555" s="12" t="str">
        <f aca="false">INDEX('Country Tiers'!$C$2:$C$37,MATCH(C2555,'Country Tiers'!$A$2:$A$37,0))</f>
        <v>Tier 3</v>
      </c>
      <c r="E2555" s="12" t="n">
        <f aca="false">INDEX('Country Tiers'!$D$2:$D$37,MATCH(C2555,'Country Tiers'!$A$2:$A$37,0))</f>
        <v>1</v>
      </c>
    </row>
    <row r="2556" customFormat="false" ht="15" hidden="false" customHeight="false" outlineLevel="0" collapsed="false">
      <c r="A2556" s="12" t="s">
        <v>140</v>
      </c>
      <c r="B2556" s="12" t="s">
        <v>50</v>
      </c>
      <c r="C2556" s="12" t="s">
        <v>302</v>
      </c>
      <c r="D2556" s="12" t="str">
        <f aca="false">INDEX('Country Tiers'!$C$2:$C$37,MATCH(C2556,'Country Tiers'!$A$2:$A$37,0))</f>
        <v>Tier 3</v>
      </c>
      <c r="E2556" s="12" t="n">
        <f aca="false">INDEX('Country Tiers'!$D$2:$D$37,MATCH(C2556,'Country Tiers'!$A$2:$A$37,0))</f>
        <v>1</v>
      </c>
    </row>
    <row r="2557" customFormat="false" ht="15" hidden="false" customHeight="false" outlineLevel="0" collapsed="false">
      <c r="A2557" s="12" t="s">
        <v>140</v>
      </c>
      <c r="B2557" s="12" t="s">
        <v>50</v>
      </c>
      <c r="C2557" s="12" t="s">
        <v>303</v>
      </c>
      <c r="D2557" s="12" t="str">
        <f aca="false">INDEX('Country Tiers'!$C$2:$C$37,MATCH(C2557,'Country Tiers'!$A$2:$A$37,0))</f>
        <v>Tier 2</v>
      </c>
      <c r="E2557" s="12" t="n">
        <f aca="false">INDEX('Country Tiers'!$D$2:$D$37,MATCH(C2557,'Country Tiers'!$A$2:$A$37,0))</f>
        <v>2</v>
      </c>
    </row>
    <row r="2558" customFormat="false" ht="15" hidden="false" customHeight="false" outlineLevel="0" collapsed="false">
      <c r="A2558" s="12" t="s">
        <v>140</v>
      </c>
      <c r="B2558" s="12" t="s">
        <v>50</v>
      </c>
      <c r="C2558" s="12" t="s">
        <v>305</v>
      </c>
      <c r="D2558" s="12" t="str">
        <f aca="false">INDEX('Country Tiers'!$C$2:$C$37,MATCH(C2558,'Country Tiers'!$A$2:$A$37,0))</f>
        <v>Tier 3</v>
      </c>
      <c r="E2558" s="12" t="n">
        <f aca="false">INDEX('Country Tiers'!$D$2:$D$37,MATCH(C2558,'Country Tiers'!$A$2:$A$37,0))</f>
        <v>1</v>
      </c>
    </row>
    <row r="2559" customFormat="false" ht="15" hidden="false" customHeight="false" outlineLevel="0" collapsed="false">
      <c r="A2559" s="12" t="s">
        <v>140</v>
      </c>
      <c r="B2559" s="12" t="s">
        <v>50</v>
      </c>
      <c r="C2559" s="12" t="s">
        <v>306</v>
      </c>
      <c r="D2559" s="12" t="str">
        <f aca="false">INDEX('Country Tiers'!$C$2:$C$37,MATCH(C2559,'Country Tiers'!$A$2:$A$37,0))</f>
        <v>Tier 3</v>
      </c>
      <c r="E2559" s="12" t="n">
        <f aca="false">INDEX('Country Tiers'!$D$2:$D$37,MATCH(C2559,'Country Tiers'!$A$2:$A$37,0))</f>
        <v>1</v>
      </c>
    </row>
    <row r="2560" customFormat="false" ht="15" hidden="false" customHeight="false" outlineLevel="0" collapsed="false">
      <c r="A2560" s="12" t="s">
        <v>140</v>
      </c>
      <c r="B2560" s="12" t="s">
        <v>50</v>
      </c>
      <c r="C2560" s="12" t="s">
        <v>307</v>
      </c>
      <c r="D2560" s="12" t="str">
        <f aca="false">INDEX('Country Tiers'!$C$2:$C$37,MATCH(C2560,'Country Tiers'!$A$2:$A$37,0))</f>
        <v>Tier 2</v>
      </c>
      <c r="E2560" s="12" t="n">
        <f aca="false">INDEX('Country Tiers'!$D$2:$D$37,MATCH(C2560,'Country Tiers'!$A$2:$A$37,0))</f>
        <v>2</v>
      </c>
    </row>
    <row r="2561" customFormat="false" ht="15" hidden="false" customHeight="false" outlineLevel="0" collapsed="false">
      <c r="A2561" s="12" t="s">
        <v>140</v>
      </c>
      <c r="B2561" s="12" t="s">
        <v>50</v>
      </c>
      <c r="C2561" s="12" t="s">
        <v>308</v>
      </c>
      <c r="D2561" s="12" t="str">
        <f aca="false">INDEX('Country Tiers'!$C$2:$C$37,MATCH(C2561,'Country Tiers'!$A$2:$A$37,0))</f>
        <v>Tier 3</v>
      </c>
      <c r="E2561" s="12" t="n">
        <f aca="false">INDEX('Country Tiers'!$D$2:$D$37,MATCH(C2561,'Country Tiers'!$A$2:$A$37,0))</f>
        <v>1</v>
      </c>
    </row>
    <row r="2562" customFormat="false" ht="15" hidden="false" customHeight="false" outlineLevel="0" collapsed="false">
      <c r="A2562" s="12" t="s">
        <v>140</v>
      </c>
      <c r="B2562" s="12" t="s">
        <v>50</v>
      </c>
      <c r="C2562" s="12" t="s">
        <v>309</v>
      </c>
      <c r="D2562" s="12" t="str">
        <f aca="false">INDEX('Country Tiers'!$C$2:$C$37,MATCH(C2562,'Country Tiers'!$A$2:$A$37,0))</f>
        <v>Tier 1</v>
      </c>
      <c r="E2562" s="12" t="n">
        <f aca="false">INDEX('Country Tiers'!$D$2:$D$37,MATCH(C2562,'Country Tiers'!$A$2:$A$37,0))</f>
        <v>3</v>
      </c>
    </row>
    <row r="2563" customFormat="false" ht="15" hidden="false" customHeight="false" outlineLevel="0" collapsed="false">
      <c r="A2563" s="12" t="s">
        <v>140</v>
      </c>
      <c r="B2563" s="12" t="s">
        <v>50</v>
      </c>
      <c r="C2563" s="12" t="s">
        <v>313</v>
      </c>
      <c r="D2563" s="12" t="str">
        <f aca="false">INDEX('Country Tiers'!$C$2:$C$37,MATCH(C2563,'Country Tiers'!$A$2:$A$37,0))</f>
        <v>Tier 1</v>
      </c>
      <c r="E2563" s="12" t="n">
        <f aca="false">INDEX('Country Tiers'!$D$2:$D$37,MATCH(C2563,'Country Tiers'!$A$2:$A$37,0))</f>
        <v>3</v>
      </c>
    </row>
    <row r="2564" customFormat="false" ht="15" hidden="false" customHeight="false" outlineLevel="0" collapsed="false">
      <c r="A2564" s="12" t="s">
        <v>140</v>
      </c>
      <c r="B2564" s="12" t="s">
        <v>115</v>
      </c>
      <c r="C2564" s="12" t="s">
        <v>274</v>
      </c>
      <c r="D2564" s="12" t="str">
        <f aca="false">INDEX('Country Tiers'!$C$2:$C$37,MATCH(C2564,'Country Tiers'!$A$2:$A$37,0))</f>
        <v>Tier 3</v>
      </c>
      <c r="E2564" s="12" t="n">
        <f aca="false">INDEX('Country Tiers'!$D$2:$D$37,MATCH(C2564,'Country Tiers'!$A$2:$A$37,0))</f>
        <v>1</v>
      </c>
    </row>
    <row r="2565" customFormat="false" ht="15" hidden="false" customHeight="false" outlineLevel="0" collapsed="false">
      <c r="A2565" s="12" t="s">
        <v>140</v>
      </c>
      <c r="B2565" s="12" t="s">
        <v>115</v>
      </c>
      <c r="C2565" s="12" t="s">
        <v>277</v>
      </c>
      <c r="D2565" s="12" t="str">
        <f aca="false">INDEX('Country Tiers'!$C$2:$C$37,MATCH(C2565,'Country Tiers'!$A$2:$A$37,0))</f>
        <v>Tier 1</v>
      </c>
      <c r="E2565" s="12" t="n">
        <f aca="false">INDEX('Country Tiers'!$D$2:$D$37,MATCH(C2565,'Country Tiers'!$A$2:$A$37,0))</f>
        <v>3</v>
      </c>
    </row>
    <row r="2566" customFormat="false" ht="15" hidden="false" customHeight="false" outlineLevel="0" collapsed="false">
      <c r="A2566" s="12" t="s">
        <v>140</v>
      </c>
      <c r="B2566" s="12" t="s">
        <v>115</v>
      </c>
      <c r="C2566" s="12" t="s">
        <v>278</v>
      </c>
      <c r="D2566" s="12" t="str">
        <f aca="false">INDEX('Country Tiers'!$C$2:$C$37,MATCH(C2566,'Country Tiers'!$A$2:$A$37,0))</f>
        <v>Tier 3</v>
      </c>
      <c r="E2566" s="12" t="n">
        <f aca="false">INDEX('Country Tiers'!$D$2:$D$37,MATCH(C2566,'Country Tiers'!$A$2:$A$37,0))</f>
        <v>1</v>
      </c>
    </row>
    <row r="2567" customFormat="false" ht="15" hidden="false" customHeight="false" outlineLevel="0" collapsed="false">
      <c r="A2567" s="12" t="s">
        <v>140</v>
      </c>
      <c r="B2567" s="12" t="s">
        <v>115</v>
      </c>
      <c r="C2567" s="12" t="s">
        <v>280</v>
      </c>
      <c r="D2567" s="12" t="str">
        <f aca="false">INDEX('Country Tiers'!$C$2:$C$37,MATCH(C2567,'Country Tiers'!$A$2:$A$37,0))</f>
        <v>Tier 3</v>
      </c>
      <c r="E2567" s="12" t="n">
        <f aca="false">INDEX('Country Tiers'!$D$2:$D$37,MATCH(C2567,'Country Tiers'!$A$2:$A$37,0))</f>
        <v>1</v>
      </c>
    </row>
    <row r="2568" customFormat="false" ht="15" hidden="false" customHeight="false" outlineLevel="0" collapsed="false">
      <c r="A2568" s="12" t="s">
        <v>140</v>
      </c>
      <c r="B2568" s="12" t="s">
        <v>115</v>
      </c>
      <c r="C2568" s="12" t="s">
        <v>281</v>
      </c>
      <c r="D2568" s="12" t="str">
        <f aca="false">INDEX('Country Tiers'!$C$2:$C$37,MATCH(C2568,'Country Tiers'!$A$2:$A$37,0))</f>
        <v>Tier 3</v>
      </c>
      <c r="E2568" s="12" t="n">
        <f aca="false">INDEX('Country Tiers'!$D$2:$D$37,MATCH(C2568,'Country Tiers'!$A$2:$A$37,0))</f>
        <v>1</v>
      </c>
    </row>
    <row r="2569" customFormat="false" ht="15" hidden="false" customHeight="false" outlineLevel="0" collapsed="false">
      <c r="A2569" s="12" t="s">
        <v>140</v>
      </c>
      <c r="B2569" s="12" t="s">
        <v>115</v>
      </c>
      <c r="C2569" s="12" t="s">
        <v>282</v>
      </c>
      <c r="D2569" s="12" t="str">
        <f aca="false">INDEX('Country Tiers'!$C$2:$C$37,MATCH(C2569,'Country Tiers'!$A$2:$A$37,0))</f>
        <v>Tier 3</v>
      </c>
      <c r="E2569" s="12" t="n">
        <f aca="false">INDEX('Country Tiers'!$D$2:$D$37,MATCH(C2569,'Country Tiers'!$A$2:$A$37,0))</f>
        <v>1</v>
      </c>
    </row>
    <row r="2570" customFormat="false" ht="15" hidden="false" customHeight="false" outlineLevel="0" collapsed="false">
      <c r="A2570" s="12" t="s">
        <v>140</v>
      </c>
      <c r="B2570" s="12" t="s">
        <v>115</v>
      </c>
      <c r="C2570" s="12" t="s">
        <v>283</v>
      </c>
      <c r="D2570" s="12" t="str">
        <f aca="false">INDEX('Country Tiers'!$C$2:$C$37,MATCH(C2570,'Country Tiers'!$A$2:$A$37,0))</f>
        <v>Tier 3</v>
      </c>
      <c r="E2570" s="12" t="n">
        <f aca="false">INDEX('Country Tiers'!$D$2:$D$37,MATCH(C2570,'Country Tiers'!$A$2:$A$37,0))</f>
        <v>1</v>
      </c>
    </row>
    <row r="2571" customFormat="false" ht="15" hidden="false" customHeight="false" outlineLevel="0" collapsed="false">
      <c r="A2571" s="12" t="s">
        <v>140</v>
      </c>
      <c r="B2571" s="12" t="s">
        <v>115</v>
      </c>
      <c r="C2571" s="12" t="s">
        <v>284</v>
      </c>
      <c r="D2571" s="12" t="str">
        <f aca="false">INDEX('Country Tiers'!$C$2:$C$37,MATCH(C2571,'Country Tiers'!$A$2:$A$37,0))</f>
        <v>Tier 3</v>
      </c>
      <c r="E2571" s="12" t="n">
        <f aca="false">INDEX('Country Tiers'!$D$2:$D$37,MATCH(C2571,'Country Tiers'!$A$2:$A$37,0))</f>
        <v>1</v>
      </c>
    </row>
    <row r="2572" customFormat="false" ht="15" hidden="false" customHeight="false" outlineLevel="0" collapsed="false">
      <c r="A2572" s="12" t="s">
        <v>140</v>
      </c>
      <c r="B2572" s="12" t="s">
        <v>115</v>
      </c>
      <c r="C2572" s="12" t="s">
        <v>285</v>
      </c>
      <c r="D2572" s="12" t="str">
        <f aca="false">INDEX('Country Tiers'!$C$2:$C$37,MATCH(C2572,'Country Tiers'!$A$2:$A$37,0))</f>
        <v>Tier 3</v>
      </c>
      <c r="E2572" s="12" t="n">
        <f aca="false">INDEX('Country Tiers'!$D$2:$D$37,MATCH(C2572,'Country Tiers'!$A$2:$A$37,0))</f>
        <v>1</v>
      </c>
    </row>
    <row r="2573" customFormat="false" ht="15" hidden="false" customHeight="false" outlineLevel="0" collapsed="false">
      <c r="A2573" s="12" t="s">
        <v>140</v>
      </c>
      <c r="B2573" s="12" t="s">
        <v>115</v>
      </c>
      <c r="C2573" s="12" t="s">
        <v>286</v>
      </c>
      <c r="D2573" s="12" t="str">
        <f aca="false">INDEX('Country Tiers'!$C$2:$C$37,MATCH(C2573,'Country Tiers'!$A$2:$A$37,0))</f>
        <v>Tier 1</v>
      </c>
      <c r="E2573" s="12" t="n">
        <f aca="false">INDEX('Country Tiers'!$D$2:$D$37,MATCH(C2573,'Country Tiers'!$A$2:$A$37,0))</f>
        <v>3</v>
      </c>
    </row>
    <row r="2574" customFormat="false" ht="15" hidden="false" customHeight="false" outlineLevel="0" collapsed="false">
      <c r="A2574" s="12" t="s">
        <v>140</v>
      </c>
      <c r="B2574" s="12" t="s">
        <v>115</v>
      </c>
      <c r="C2574" s="12" t="s">
        <v>287</v>
      </c>
      <c r="D2574" s="12" t="str">
        <f aca="false">INDEX('Country Tiers'!$C$2:$C$37,MATCH(C2574,'Country Tiers'!$A$2:$A$37,0))</f>
        <v>Tier 1</v>
      </c>
      <c r="E2574" s="12" t="n">
        <f aca="false">INDEX('Country Tiers'!$D$2:$D$37,MATCH(C2574,'Country Tiers'!$A$2:$A$37,0))</f>
        <v>3</v>
      </c>
    </row>
    <row r="2575" customFormat="false" ht="15" hidden="false" customHeight="false" outlineLevel="0" collapsed="false">
      <c r="A2575" s="12" t="s">
        <v>140</v>
      </c>
      <c r="B2575" s="12" t="s">
        <v>115</v>
      </c>
      <c r="C2575" s="12" t="s">
        <v>288</v>
      </c>
      <c r="D2575" s="12" t="str">
        <f aca="false">INDEX('Country Tiers'!$C$2:$C$37,MATCH(C2575,'Country Tiers'!$A$2:$A$37,0))</f>
        <v>Tier 3</v>
      </c>
      <c r="E2575" s="12" t="n">
        <f aca="false">INDEX('Country Tiers'!$D$2:$D$37,MATCH(C2575,'Country Tiers'!$A$2:$A$37,0))</f>
        <v>1</v>
      </c>
    </row>
    <row r="2576" customFormat="false" ht="15" hidden="false" customHeight="false" outlineLevel="0" collapsed="false">
      <c r="A2576" s="12" t="s">
        <v>140</v>
      </c>
      <c r="B2576" s="12" t="s">
        <v>115</v>
      </c>
      <c r="C2576" s="12" t="s">
        <v>289</v>
      </c>
      <c r="D2576" s="12" t="str">
        <f aca="false">INDEX('Country Tiers'!$C$2:$C$37,MATCH(C2576,'Country Tiers'!$A$2:$A$37,0))</f>
        <v>Tier 3</v>
      </c>
      <c r="E2576" s="12" t="n">
        <f aca="false">INDEX('Country Tiers'!$D$2:$D$37,MATCH(C2576,'Country Tiers'!$A$2:$A$37,0))</f>
        <v>1</v>
      </c>
    </row>
    <row r="2577" customFormat="false" ht="15" hidden="false" customHeight="false" outlineLevel="0" collapsed="false">
      <c r="A2577" s="12" t="s">
        <v>140</v>
      </c>
      <c r="B2577" s="12" t="s">
        <v>115</v>
      </c>
      <c r="C2577" s="12" t="s">
        <v>290</v>
      </c>
      <c r="D2577" s="12" t="str">
        <f aca="false">INDEX('Country Tiers'!$C$2:$C$37,MATCH(C2577,'Country Tiers'!$A$2:$A$37,0))</f>
        <v>Tier 3</v>
      </c>
      <c r="E2577" s="12" t="n">
        <f aca="false">INDEX('Country Tiers'!$D$2:$D$37,MATCH(C2577,'Country Tiers'!$A$2:$A$37,0))</f>
        <v>1</v>
      </c>
    </row>
    <row r="2578" customFormat="false" ht="15" hidden="false" customHeight="false" outlineLevel="0" collapsed="false">
      <c r="A2578" s="12" t="s">
        <v>140</v>
      </c>
      <c r="B2578" s="12" t="s">
        <v>115</v>
      </c>
      <c r="C2578" s="12" t="s">
        <v>291</v>
      </c>
      <c r="D2578" s="12" t="str">
        <f aca="false">INDEX('Country Tiers'!$C$2:$C$37,MATCH(C2578,'Country Tiers'!$A$2:$A$37,0))</f>
        <v>Tier 3</v>
      </c>
      <c r="E2578" s="12" t="n">
        <f aca="false">INDEX('Country Tiers'!$D$2:$D$37,MATCH(C2578,'Country Tiers'!$A$2:$A$37,0))</f>
        <v>1</v>
      </c>
    </row>
    <row r="2579" customFormat="false" ht="15" hidden="false" customHeight="false" outlineLevel="0" collapsed="false">
      <c r="A2579" s="12" t="s">
        <v>140</v>
      </c>
      <c r="B2579" s="12" t="s">
        <v>115</v>
      </c>
      <c r="C2579" s="12" t="s">
        <v>292</v>
      </c>
      <c r="D2579" s="12" t="str">
        <f aca="false">INDEX('Country Tiers'!$C$2:$C$37,MATCH(C2579,'Country Tiers'!$A$2:$A$37,0))</f>
        <v>Tier 2</v>
      </c>
      <c r="E2579" s="12" t="n">
        <f aca="false">INDEX('Country Tiers'!$D$2:$D$37,MATCH(C2579,'Country Tiers'!$A$2:$A$37,0))</f>
        <v>2</v>
      </c>
    </row>
    <row r="2580" customFormat="false" ht="15" hidden="false" customHeight="false" outlineLevel="0" collapsed="false">
      <c r="A2580" s="12" t="s">
        <v>140</v>
      </c>
      <c r="B2580" s="12" t="s">
        <v>115</v>
      </c>
      <c r="C2580" s="12" t="s">
        <v>293</v>
      </c>
      <c r="D2580" s="12" t="str">
        <f aca="false">INDEX('Country Tiers'!$C$2:$C$37,MATCH(C2580,'Country Tiers'!$A$2:$A$37,0))</f>
        <v>Tier 3</v>
      </c>
      <c r="E2580" s="12" t="n">
        <f aca="false">INDEX('Country Tiers'!$D$2:$D$37,MATCH(C2580,'Country Tiers'!$A$2:$A$37,0))</f>
        <v>1</v>
      </c>
    </row>
    <row r="2581" customFormat="false" ht="15" hidden="false" customHeight="false" outlineLevel="0" collapsed="false">
      <c r="A2581" s="12" t="s">
        <v>140</v>
      </c>
      <c r="B2581" s="12" t="s">
        <v>115</v>
      </c>
      <c r="C2581" s="12" t="s">
        <v>295</v>
      </c>
      <c r="D2581" s="12" t="str">
        <f aca="false">INDEX('Country Tiers'!$C$2:$C$37,MATCH(C2581,'Country Tiers'!$A$2:$A$37,0))</f>
        <v>Tier 3</v>
      </c>
      <c r="E2581" s="12" t="n">
        <f aca="false">INDEX('Country Tiers'!$D$2:$D$37,MATCH(C2581,'Country Tiers'!$A$2:$A$37,0))</f>
        <v>1</v>
      </c>
    </row>
    <row r="2582" customFormat="false" ht="15" hidden="false" customHeight="false" outlineLevel="0" collapsed="false">
      <c r="A2582" s="12" t="s">
        <v>140</v>
      </c>
      <c r="B2582" s="12" t="s">
        <v>115</v>
      </c>
      <c r="C2582" s="12" t="s">
        <v>296</v>
      </c>
      <c r="D2582" s="12" t="str">
        <f aca="false">INDEX('Country Tiers'!$C$2:$C$37,MATCH(C2582,'Country Tiers'!$A$2:$A$37,0))</f>
        <v>Tier 3</v>
      </c>
      <c r="E2582" s="12" t="n">
        <f aca="false">INDEX('Country Tiers'!$D$2:$D$37,MATCH(C2582,'Country Tiers'!$A$2:$A$37,0))</f>
        <v>1</v>
      </c>
    </row>
    <row r="2583" customFormat="false" ht="15" hidden="false" customHeight="false" outlineLevel="0" collapsed="false">
      <c r="A2583" s="12" t="s">
        <v>140</v>
      </c>
      <c r="B2583" s="12" t="s">
        <v>115</v>
      </c>
      <c r="C2583" s="12" t="s">
        <v>297</v>
      </c>
      <c r="D2583" s="12" t="str">
        <f aca="false">INDEX('Country Tiers'!$C$2:$C$37,MATCH(C2583,'Country Tiers'!$A$2:$A$37,0))</f>
        <v>Tier 2</v>
      </c>
      <c r="E2583" s="12" t="n">
        <f aca="false">INDEX('Country Tiers'!$D$2:$D$37,MATCH(C2583,'Country Tiers'!$A$2:$A$37,0))</f>
        <v>2</v>
      </c>
    </row>
    <row r="2584" customFormat="false" ht="15" hidden="false" customHeight="false" outlineLevel="0" collapsed="false">
      <c r="A2584" s="12" t="s">
        <v>140</v>
      </c>
      <c r="B2584" s="12" t="s">
        <v>115</v>
      </c>
      <c r="C2584" s="12" t="s">
        <v>298</v>
      </c>
      <c r="D2584" s="12" t="str">
        <f aca="false">INDEX('Country Tiers'!$C$2:$C$37,MATCH(C2584,'Country Tiers'!$A$2:$A$37,0))</f>
        <v>Tier 1</v>
      </c>
      <c r="E2584" s="12" t="n">
        <f aca="false">INDEX('Country Tiers'!$D$2:$D$37,MATCH(C2584,'Country Tiers'!$A$2:$A$37,0))</f>
        <v>3</v>
      </c>
    </row>
    <row r="2585" customFormat="false" ht="15" hidden="false" customHeight="false" outlineLevel="0" collapsed="false">
      <c r="A2585" s="12" t="s">
        <v>140</v>
      </c>
      <c r="B2585" s="12" t="s">
        <v>115</v>
      </c>
      <c r="C2585" s="12" t="s">
        <v>299</v>
      </c>
      <c r="D2585" s="12" t="str">
        <f aca="false">INDEX('Country Tiers'!$C$2:$C$37,MATCH(C2585,'Country Tiers'!$A$2:$A$37,0))</f>
        <v>Tier 3</v>
      </c>
      <c r="E2585" s="12" t="n">
        <f aca="false">INDEX('Country Tiers'!$D$2:$D$37,MATCH(C2585,'Country Tiers'!$A$2:$A$37,0))</f>
        <v>1</v>
      </c>
    </row>
    <row r="2586" customFormat="false" ht="15" hidden="false" customHeight="false" outlineLevel="0" collapsed="false">
      <c r="A2586" s="12" t="s">
        <v>140</v>
      </c>
      <c r="B2586" s="12" t="s">
        <v>115</v>
      </c>
      <c r="C2586" s="12" t="s">
        <v>300</v>
      </c>
      <c r="D2586" s="12" t="str">
        <f aca="false">INDEX('Country Tiers'!$C$2:$C$37,MATCH(C2586,'Country Tiers'!$A$2:$A$37,0))</f>
        <v>Tier 3</v>
      </c>
      <c r="E2586" s="12" t="n">
        <f aca="false">INDEX('Country Tiers'!$D$2:$D$37,MATCH(C2586,'Country Tiers'!$A$2:$A$37,0))</f>
        <v>1</v>
      </c>
    </row>
    <row r="2587" customFormat="false" ht="15" hidden="false" customHeight="false" outlineLevel="0" collapsed="false">
      <c r="A2587" s="12" t="s">
        <v>140</v>
      </c>
      <c r="B2587" s="12" t="s">
        <v>115</v>
      </c>
      <c r="C2587" s="12" t="s">
        <v>301</v>
      </c>
      <c r="D2587" s="12" t="str">
        <f aca="false">INDEX('Country Tiers'!$C$2:$C$37,MATCH(C2587,'Country Tiers'!$A$2:$A$37,0))</f>
        <v>Tier 3</v>
      </c>
      <c r="E2587" s="12" t="n">
        <f aca="false">INDEX('Country Tiers'!$D$2:$D$37,MATCH(C2587,'Country Tiers'!$A$2:$A$37,0))</f>
        <v>1</v>
      </c>
    </row>
    <row r="2588" customFormat="false" ht="15" hidden="false" customHeight="false" outlineLevel="0" collapsed="false">
      <c r="A2588" s="12" t="s">
        <v>140</v>
      </c>
      <c r="B2588" s="12" t="s">
        <v>115</v>
      </c>
      <c r="C2588" s="12" t="s">
        <v>305</v>
      </c>
      <c r="D2588" s="12" t="str">
        <f aca="false">INDEX('Country Tiers'!$C$2:$C$37,MATCH(C2588,'Country Tiers'!$A$2:$A$37,0))</f>
        <v>Tier 3</v>
      </c>
      <c r="E2588" s="12" t="n">
        <f aca="false">INDEX('Country Tiers'!$D$2:$D$37,MATCH(C2588,'Country Tiers'!$A$2:$A$37,0))</f>
        <v>1</v>
      </c>
    </row>
    <row r="2589" customFormat="false" ht="15" hidden="false" customHeight="false" outlineLevel="0" collapsed="false">
      <c r="A2589" s="12" t="s">
        <v>140</v>
      </c>
      <c r="B2589" s="12" t="s">
        <v>115</v>
      </c>
      <c r="C2589" s="12" t="s">
        <v>306</v>
      </c>
      <c r="D2589" s="12" t="str">
        <f aca="false">INDEX('Country Tiers'!$C$2:$C$37,MATCH(C2589,'Country Tiers'!$A$2:$A$37,0))</f>
        <v>Tier 3</v>
      </c>
      <c r="E2589" s="12" t="n">
        <f aca="false">INDEX('Country Tiers'!$D$2:$D$37,MATCH(C2589,'Country Tiers'!$A$2:$A$37,0))</f>
        <v>1</v>
      </c>
    </row>
    <row r="2590" customFormat="false" ht="15" hidden="false" customHeight="false" outlineLevel="0" collapsed="false">
      <c r="A2590" s="12" t="s">
        <v>140</v>
      </c>
      <c r="B2590" s="12" t="s">
        <v>115</v>
      </c>
      <c r="C2590" s="12" t="s">
        <v>307</v>
      </c>
      <c r="D2590" s="12" t="str">
        <f aca="false">INDEX('Country Tiers'!$C$2:$C$37,MATCH(C2590,'Country Tiers'!$A$2:$A$37,0))</f>
        <v>Tier 2</v>
      </c>
      <c r="E2590" s="12" t="n">
        <f aca="false">INDEX('Country Tiers'!$D$2:$D$37,MATCH(C2590,'Country Tiers'!$A$2:$A$37,0))</f>
        <v>2</v>
      </c>
    </row>
    <row r="2591" customFormat="false" ht="15" hidden="false" customHeight="false" outlineLevel="0" collapsed="false">
      <c r="A2591" s="12" t="s">
        <v>140</v>
      </c>
      <c r="B2591" s="12" t="s">
        <v>115</v>
      </c>
      <c r="C2591" s="12" t="s">
        <v>308</v>
      </c>
      <c r="D2591" s="12" t="str">
        <f aca="false">INDEX('Country Tiers'!$C$2:$C$37,MATCH(C2591,'Country Tiers'!$A$2:$A$37,0))</f>
        <v>Tier 3</v>
      </c>
      <c r="E2591" s="12" t="n">
        <f aca="false">INDEX('Country Tiers'!$D$2:$D$37,MATCH(C2591,'Country Tiers'!$A$2:$A$37,0))</f>
        <v>1</v>
      </c>
    </row>
    <row r="2592" customFormat="false" ht="15" hidden="false" customHeight="false" outlineLevel="0" collapsed="false">
      <c r="A2592" s="12" t="s">
        <v>140</v>
      </c>
      <c r="B2592" s="12" t="s">
        <v>115</v>
      </c>
      <c r="C2592" s="12" t="s">
        <v>313</v>
      </c>
      <c r="D2592" s="12" t="str">
        <f aca="false">INDEX('Country Tiers'!$C$2:$C$37,MATCH(C2592,'Country Tiers'!$A$2:$A$37,0))</f>
        <v>Tier 1</v>
      </c>
      <c r="E2592" s="12" t="n">
        <f aca="false">INDEX('Country Tiers'!$D$2:$D$37,MATCH(C2592,'Country Tiers'!$A$2:$A$37,0))</f>
        <v>3</v>
      </c>
    </row>
    <row r="2593" customFormat="false" ht="15" hidden="false" customHeight="false" outlineLevel="0" collapsed="false">
      <c r="A2593" s="12" t="s">
        <v>140</v>
      </c>
      <c r="B2593" s="12" t="s">
        <v>61</v>
      </c>
      <c r="C2593" s="12" t="s">
        <v>274</v>
      </c>
      <c r="D2593" s="12" t="str">
        <f aca="false">INDEX('Country Tiers'!$C$2:$C$37,MATCH(C2593,'Country Tiers'!$A$2:$A$37,0))</f>
        <v>Tier 3</v>
      </c>
      <c r="E2593" s="12" t="n">
        <f aca="false">INDEX('Country Tiers'!$D$2:$D$37,MATCH(C2593,'Country Tiers'!$A$2:$A$37,0))</f>
        <v>1</v>
      </c>
    </row>
    <row r="2594" customFormat="false" ht="15" hidden="false" customHeight="false" outlineLevel="0" collapsed="false">
      <c r="A2594" s="12" t="s">
        <v>140</v>
      </c>
      <c r="B2594" s="12" t="s">
        <v>61</v>
      </c>
      <c r="C2594" s="12" t="s">
        <v>277</v>
      </c>
      <c r="D2594" s="12" t="str">
        <f aca="false">INDEX('Country Tiers'!$C$2:$C$37,MATCH(C2594,'Country Tiers'!$A$2:$A$37,0))</f>
        <v>Tier 1</v>
      </c>
      <c r="E2594" s="12" t="n">
        <f aca="false">INDEX('Country Tiers'!$D$2:$D$37,MATCH(C2594,'Country Tiers'!$A$2:$A$37,0))</f>
        <v>3</v>
      </c>
    </row>
    <row r="2595" customFormat="false" ht="15" hidden="false" customHeight="false" outlineLevel="0" collapsed="false">
      <c r="A2595" s="12" t="s">
        <v>140</v>
      </c>
      <c r="B2595" s="12" t="s">
        <v>61</v>
      </c>
      <c r="C2595" s="12" t="s">
        <v>278</v>
      </c>
      <c r="D2595" s="12" t="str">
        <f aca="false">INDEX('Country Tiers'!$C$2:$C$37,MATCH(C2595,'Country Tiers'!$A$2:$A$37,0))</f>
        <v>Tier 3</v>
      </c>
      <c r="E2595" s="12" t="n">
        <f aca="false">INDEX('Country Tiers'!$D$2:$D$37,MATCH(C2595,'Country Tiers'!$A$2:$A$37,0))</f>
        <v>1</v>
      </c>
    </row>
    <row r="2596" customFormat="false" ht="15" hidden="false" customHeight="false" outlineLevel="0" collapsed="false">
      <c r="A2596" s="12" t="s">
        <v>140</v>
      </c>
      <c r="B2596" s="12" t="s">
        <v>61</v>
      </c>
      <c r="C2596" s="12" t="s">
        <v>280</v>
      </c>
      <c r="D2596" s="12" t="str">
        <f aca="false">INDEX('Country Tiers'!$C$2:$C$37,MATCH(C2596,'Country Tiers'!$A$2:$A$37,0))</f>
        <v>Tier 3</v>
      </c>
      <c r="E2596" s="12" t="n">
        <f aca="false">INDEX('Country Tiers'!$D$2:$D$37,MATCH(C2596,'Country Tiers'!$A$2:$A$37,0))</f>
        <v>1</v>
      </c>
    </row>
    <row r="2597" customFormat="false" ht="15" hidden="false" customHeight="false" outlineLevel="0" collapsed="false">
      <c r="A2597" s="12" t="s">
        <v>140</v>
      </c>
      <c r="B2597" s="12" t="s">
        <v>61</v>
      </c>
      <c r="C2597" s="12" t="s">
        <v>281</v>
      </c>
      <c r="D2597" s="12" t="str">
        <f aca="false">INDEX('Country Tiers'!$C$2:$C$37,MATCH(C2597,'Country Tiers'!$A$2:$A$37,0))</f>
        <v>Tier 3</v>
      </c>
      <c r="E2597" s="12" t="n">
        <f aca="false">INDEX('Country Tiers'!$D$2:$D$37,MATCH(C2597,'Country Tiers'!$A$2:$A$37,0))</f>
        <v>1</v>
      </c>
    </row>
    <row r="2598" customFormat="false" ht="15" hidden="false" customHeight="false" outlineLevel="0" collapsed="false">
      <c r="A2598" s="12" t="s">
        <v>140</v>
      </c>
      <c r="B2598" s="12" t="s">
        <v>61</v>
      </c>
      <c r="C2598" s="12" t="s">
        <v>282</v>
      </c>
      <c r="D2598" s="12" t="str">
        <f aca="false">INDEX('Country Tiers'!$C$2:$C$37,MATCH(C2598,'Country Tiers'!$A$2:$A$37,0))</f>
        <v>Tier 3</v>
      </c>
      <c r="E2598" s="12" t="n">
        <f aca="false">INDEX('Country Tiers'!$D$2:$D$37,MATCH(C2598,'Country Tiers'!$A$2:$A$37,0))</f>
        <v>1</v>
      </c>
    </row>
    <row r="2599" customFormat="false" ht="15" hidden="false" customHeight="false" outlineLevel="0" collapsed="false">
      <c r="A2599" s="12" t="s">
        <v>140</v>
      </c>
      <c r="B2599" s="12" t="s">
        <v>61</v>
      </c>
      <c r="C2599" s="12" t="s">
        <v>283</v>
      </c>
      <c r="D2599" s="12" t="str">
        <f aca="false">INDEX('Country Tiers'!$C$2:$C$37,MATCH(C2599,'Country Tiers'!$A$2:$A$37,0))</f>
        <v>Tier 3</v>
      </c>
      <c r="E2599" s="12" t="n">
        <f aca="false">INDEX('Country Tiers'!$D$2:$D$37,MATCH(C2599,'Country Tiers'!$A$2:$A$37,0))</f>
        <v>1</v>
      </c>
    </row>
    <row r="2600" customFormat="false" ht="15" hidden="false" customHeight="false" outlineLevel="0" collapsed="false">
      <c r="A2600" s="12" t="s">
        <v>140</v>
      </c>
      <c r="B2600" s="12" t="s">
        <v>61</v>
      </c>
      <c r="C2600" s="12" t="s">
        <v>284</v>
      </c>
      <c r="D2600" s="12" t="str">
        <f aca="false">INDEX('Country Tiers'!$C$2:$C$37,MATCH(C2600,'Country Tiers'!$A$2:$A$37,0))</f>
        <v>Tier 3</v>
      </c>
      <c r="E2600" s="12" t="n">
        <f aca="false">INDEX('Country Tiers'!$D$2:$D$37,MATCH(C2600,'Country Tiers'!$A$2:$A$37,0))</f>
        <v>1</v>
      </c>
    </row>
    <row r="2601" customFormat="false" ht="15" hidden="false" customHeight="false" outlineLevel="0" collapsed="false">
      <c r="A2601" s="12" t="s">
        <v>140</v>
      </c>
      <c r="B2601" s="12" t="s">
        <v>61</v>
      </c>
      <c r="C2601" s="12" t="s">
        <v>285</v>
      </c>
      <c r="D2601" s="12" t="str">
        <f aca="false">INDEX('Country Tiers'!$C$2:$C$37,MATCH(C2601,'Country Tiers'!$A$2:$A$37,0))</f>
        <v>Tier 3</v>
      </c>
      <c r="E2601" s="12" t="n">
        <f aca="false">INDEX('Country Tiers'!$D$2:$D$37,MATCH(C2601,'Country Tiers'!$A$2:$A$37,0))</f>
        <v>1</v>
      </c>
    </row>
    <row r="2602" customFormat="false" ht="15" hidden="false" customHeight="false" outlineLevel="0" collapsed="false">
      <c r="A2602" s="12" t="s">
        <v>140</v>
      </c>
      <c r="B2602" s="12" t="s">
        <v>61</v>
      </c>
      <c r="C2602" s="12" t="s">
        <v>286</v>
      </c>
      <c r="D2602" s="12" t="str">
        <f aca="false">INDEX('Country Tiers'!$C$2:$C$37,MATCH(C2602,'Country Tiers'!$A$2:$A$37,0))</f>
        <v>Tier 1</v>
      </c>
      <c r="E2602" s="12" t="n">
        <f aca="false">INDEX('Country Tiers'!$D$2:$D$37,MATCH(C2602,'Country Tiers'!$A$2:$A$37,0))</f>
        <v>3</v>
      </c>
    </row>
    <row r="2603" customFormat="false" ht="15" hidden="false" customHeight="false" outlineLevel="0" collapsed="false">
      <c r="A2603" s="12" t="s">
        <v>140</v>
      </c>
      <c r="B2603" s="12" t="s">
        <v>61</v>
      </c>
      <c r="C2603" s="12" t="s">
        <v>287</v>
      </c>
      <c r="D2603" s="12" t="str">
        <f aca="false">INDEX('Country Tiers'!$C$2:$C$37,MATCH(C2603,'Country Tiers'!$A$2:$A$37,0))</f>
        <v>Tier 1</v>
      </c>
      <c r="E2603" s="12" t="n">
        <f aca="false">INDEX('Country Tiers'!$D$2:$D$37,MATCH(C2603,'Country Tiers'!$A$2:$A$37,0))</f>
        <v>3</v>
      </c>
    </row>
    <row r="2604" customFormat="false" ht="15" hidden="false" customHeight="false" outlineLevel="0" collapsed="false">
      <c r="A2604" s="12" t="s">
        <v>140</v>
      </c>
      <c r="B2604" s="12" t="s">
        <v>61</v>
      </c>
      <c r="C2604" s="12" t="s">
        <v>288</v>
      </c>
      <c r="D2604" s="12" t="str">
        <f aca="false">INDEX('Country Tiers'!$C$2:$C$37,MATCH(C2604,'Country Tiers'!$A$2:$A$37,0))</f>
        <v>Tier 3</v>
      </c>
      <c r="E2604" s="12" t="n">
        <f aca="false">INDEX('Country Tiers'!$D$2:$D$37,MATCH(C2604,'Country Tiers'!$A$2:$A$37,0))</f>
        <v>1</v>
      </c>
    </row>
    <row r="2605" customFormat="false" ht="15" hidden="false" customHeight="false" outlineLevel="0" collapsed="false">
      <c r="A2605" s="12" t="s">
        <v>140</v>
      </c>
      <c r="B2605" s="12" t="s">
        <v>61</v>
      </c>
      <c r="C2605" s="12" t="s">
        <v>289</v>
      </c>
      <c r="D2605" s="12" t="str">
        <f aca="false">INDEX('Country Tiers'!$C$2:$C$37,MATCH(C2605,'Country Tiers'!$A$2:$A$37,0))</f>
        <v>Tier 3</v>
      </c>
      <c r="E2605" s="12" t="n">
        <f aca="false">INDEX('Country Tiers'!$D$2:$D$37,MATCH(C2605,'Country Tiers'!$A$2:$A$37,0))</f>
        <v>1</v>
      </c>
    </row>
    <row r="2606" customFormat="false" ht="15" hidden="false" customHeight="false" outlineLevel="0" collapsed="false">
      <c r="A2606" s="12" t="s">
        <v>140</v>
      </c>
      <c r="B2606" s="12" t="s">
        <v>61</v>
      </c>
      <c r="C2606" s="12" t="s">
        <v>290</v>
      </c>
      <c r="D2606" s="12" t="str">
        <f aca="false">INDEX('Country Tiers'!$C$2:$C$37,MATCH(C2606,'Country Tiers'!$A$2:$A$37,0))</f>
        <v>Tier 3</v>
      </c>
      <c r="E2606" s="12" t="n">
        <f aca="false">INDEX('Country Tiers'!$D$2:$D$37,MATCH(C2606,'Country Tiers'!$A$2:$A$37,0))</f>
        <v>1</v>
      </c>
    </row>
    <row r="2607" customFormat="false" ht="15" hidden="false" customHeight="false" outlineLevel="0" collapsed="false">
      <c r="A2607" s="12" t="s">
        <v>140</v>
      </c>
      <c r="B2607" s="12" t="s">
        <v>61</v>
      </c>
      <c r="C2607" s="12" t="s">
        <v>291</v>
      </c>
      <c r="D2607" s="12" t="str">
        <f aca="false">INDEX('Country Tiers'!$C$2:$C$37,MATCH(C2607,'Country Tiers'!$A$2:$A$37,0))</f>
        <v>Tier 3</v>
      </c>
      <c r="E2607" s="12" t="n">
        <f aca="false">INDEX('Country Tiers'!$D$2:$D$37,MATCH(C2607,'Country Tiers'!$A$2:$A$37,0))</f>
        <v>1</v>
      </c>
    </row>
    <row r="2608" customFormat="false" ht="15" hidden="false" customHeight="false" outlineLevel="0" collapsed="false">
      <c r="A2608" s="12" t="s">
        <v>140</v>
      </c>
      <c r="B2608" s="12" t="s">
        <v>61</v>
      </c>
      <c r="C2608" s="12" t="s">
        <v>292</v>
      </c>
      <c r="D2608" s="12" t="str">
        <f aca="false">INDEX('Country Tiers'!$C$2:$C$37,MATCH(C2608,'Country Tiers'!$A$2:$A$37,0))</f>
        <v>Tier 2</v>
      </c>
      <c r="E2608" s="12" t="n">
        <f aca="false">INDEX('Country Tiers'!$D$2:$D$37,MATCH(C2608,'Country Tiers'!$A$2:$A$37,0))</f>
        <v>2</v>
      </c>
    </row>
    <row r="2609" customFormat="false" ht="15" hidden="false" customHeight="false" outlineLevel="0" collapsed="false">
      <c r="A2609" s="12" t="s">
        <v>140</v>
      </c>
      <c r="B2609" s="12" t="s">
        <v>61</v>
      </c>
      <c r="C2609" s="12" t="s">
        <v>293</v>
      </c>
      <c r="D2609" s="12" t="str">
        <f aca="false">INDEX('Country Tiers'!$C$2:$C$37,MATCH(C2609,'Country Tiers'!$A$2:$A$37,0))</f>
        <v>Tier 3</v>
      </c>
      <c r="E2609" s="12" t="n">
        <f aca="false">INDEX('Country Tiers'!$D$2:$D$37,MATCH(C2609,'Country Tiers'!$A$2:$A$37,0))</f>
        <v>1</v>
      </c>
    </row>
    <row r="2610" customFormat="false" ht="15" hidden="false" customHeight="false" outlineLevel="0" collapsed="false">
      <c r="A2610" s="12" t="s">
        <v>140</v>
      </c>
      <c r="B2610" s="12" t="s">
        <v>61</v>
      </c>
      <c r="C2610" s="12" t="s">
        <v>295</v>
      </c>
      <c r="D2610" s="12" t="str">
        <f aca="false">INDEX('Country Tiers'!$C$2:$C$37,MATCH(C2610,'Country Tiers'!$A$2:$A$37,0))</f>
        <v>Tier 3</v>
      </c>
      <c r="E2610" s="12" t="n">
        <f aca="false">INDEX('Country Tiers'!$D$2:$D$37,MATCH(C2610,'Country Tiers'!$A$2:$A$37,0))</f>
        <v>1</v>
      </c>
    </row>
    <row r="2611" customFormat="false" ht="15" hidden="false" customHeight="false" outlineLevel="0" collapsed="false">
      <c r="A2611" s="12" t="s">
        <v>140</v>
      </c>
      <c r="B2611" s="12" t="s">
        <v>61</v>
      </c>
      <c r="C2611" s="12" t="s">
        <v>296</v>
      </c>
      <c r="D2611" s="12" t="str">
        <f aca="false">INDEX('Country Tiers'!$C$2:$C$37,MATCH(C2611,'Country Tiers'!$A$2:$A$37,0))</f>
        <v>Tier 3</v>
      </c>
      <c r="E2611" s="12" t="n">
        <f aca="false">INDEX('Country Tiers'!$D$2:$D$37,MATCH(C2611,'Country Tiers'!$A$2:$A$37,0))</f>
        <v>1</v>
      </c>
    </row>
    <row r="2612" customFormat="false" ht="15" hidden="false" customHeight="false" outlineLevel="0" collapsed="false">
      <c r="A2612" s="12" t="s">
        <v>140</v>
      </c>
      <c r="B2612" s="12" t="s">
        <v>61</v>
      </c>
      <c r="C2612" s="12" t="s">
        <v>297</v>
      </c>
      <c r="D2612" s="12" t="str">
        <f aca="false">INDEX('Country Tiers'!$C$2:$C$37,MATCH(C2612,'Country Tiers'!$A$2:$A$37,0))</f>
        <v>Tier 2</v>
      </c>
      <c r="E2612" s="12" t="n">
        <f aca="false">INDEX('Country Tiers'!$D$2:$D$37,MATCH(C2612,'Country Tiers'!$A$2:$A$37,0))</f>
        <v>2</v>
      </c>
    </row>
    <row r="2613" customFormat="false" ht="15" hidden="false" customHeight="false" outlineLevel="0" collapsed="false">
      <c r="A2613" s="12" t="s">
        <v>140</v>
      </c>
      <c r="B2613" s="12" t="s">
        <v>61</v>
      </c>
      <c r="C2613" s="12" t="s">
        <v>298</v>
      </c>
      <c r="D2613" s="12" t="str">
        <f aca="false">INDEX('Country Tiers'!$C$2:$C$37,MATCH(C2613,'Country Tiers'!$A$2:$A$37,0))</f>
        <v>Tier 1</v>
      </c>
      <c r="E2613" s="12" t="n">
        <f aca="false">INDEX('Country Tiers'!$D$2:$D$37,MATCH(C2613,'Country Tiers'!$A$2:$A$37,0))</f>
        <v>3</v>
      </c>
    </row>
    <row r="2614" customFormat="false" ht="15" hidden="false" customHeight="false" outlineLevel="0" collapsed="false">
      <c r="A2614" s="12" t="s">
        <v>140</v>
      </c>
      <c r="B2614" s="12" t="s">
        <v>61</v>
      </c>
      <c r="C2614" s="12" t="s">
        <v>299</v>
      </c>
      <c r="D2614" s="12" t="str">
        <f aca="false">INDEX('Country Tiers'!$C$2:$C$37,MATCH(C2614,'Country Tiers'!$A$2:$A$37,0))</f>
        <v>Tier 3</v>
      </c>
      <c r="E2614" s="12" t="n">
        <f aca="false">INDEX('Country Tiers'!$D$2:$D$37,MATCH(C2614,'Country Tiers'!$A$2:$A$37,0))</f>
        <v>1</v>
      </c>
    </row>
    <row r="2615" customFormat="false" ht="15" hidden="false" customHeight="false" outlineLevel="0" collapsed="false">
      <c r="A2615" s="12" t="s">
        <v>140</v>
      </c>
      <c r="B2615" s="12" t="s">
        <v>61</v>
      </c>
      <c r="C2615" s="12" t="s">
        <v>300</v>
      </c>
      <c r="D2615" s="12" t="str">
        <f aca="false">INDEX('Country Tiers'!$C$2:$C$37,MATCH(C2615,'Country Tiers'!$A$2:$A$37,0))</f>
        <v>Tier 3</v>
      </c>
      <c r="E2615" s="12" t="n">
        <f aca="false">INDEX('Country Tiers'!$D$2:$D$37,MATCH(C2615,'Country Tiers'!$A$2:$A$37,0))</f>
        <v>1</v>
      </c>
    </row>
    <row r="2616" customFormat="false" ht="15" hidden="false" customHeight="false" outlineLevel="0" collapsed="false">
      <c r="A2616" s="12" t="s">
        <v>140</v>
      </c>
      <c r="B2616" s="12" t="s">
        <v>61</v>
      </c>
      <c r="C2616" s="12" t="s">
        <v>301</v>
      </c>
      <c r="D2616" s="12" t="str">
        <f aca="false">INDEX('Country Tiers'!$C$2:$C$37,MATCH(C2616,'Country Tiers'!$A$2:$A$37,0))</f>
        <v>Tier 3</v>
      </c>
      <c r="E2616" s="12" t="n">
        <f aca="false">INDEX('Country Tiers'!$D$2:$D$37,MATCH(C2616,'Country Tiers'!$A$2:$A$37,0))</f>
        <v>1</v>
      </c>
    </row>
    <row r="2617" customFormat="false" ht="15" hidden="false" customHeight="false" outlineLevel="0" collapsed="false">
      <c r="A2617" s="12" t="s">
        <v>140</v>
      </c>
      <c r="B2617" s="12" t="s">
        <v>61</v>
      </c>
      <c r="C2617" s="12" t="s">
        <v>302</v>
      </c>
      <c r="D2617" s="12" t="str">
        <f aca="false">INDEX('Country Tiers'!$C$2:$C$37,MATCH(C2617,'Country Tiers'!$A$2:$A$37,0))</f>
        <v>Tier 3</v>
      </c>
      <c r="E2617" s="12" t="n">
        <f aca="false">INDEX('Country Tiers'!$D$2:$D$37,MATCH(C2617,'Country Tiers'!$A$2:$A$37,0))</f>
        <v>1</v>
      </c>
    </row>
    <row r="2618" customFormat="false" ht="15" hidden="false" customHeight="false" outlineLevel="0" collapsed="false">
      <c r="A2618" s="12" t="s">
        <v>140</v>
      </c>
      <c r="B2618" s="12" t="s">
        <v>61</v>
      </c>
      <c r="C2618" s="12" t="s">
        <v>305</v>
      </c>
      <c r="D2618" s="12" t="str">
        <f aca="false">INDEX('Country Tiers'!$C$2:$C$37,MATCH(C2618,'Country Tiers'!$A$2:$A$37,0))</f>
        <v>Tier 3</v>
      </c>
      <c r="E2618" s="12" t="n">
        <f aca="false">INDEX('Country Tiers'!$D$2:$D$37,MATCH(C2618,'Country Tiers'!$A$2:$A$37,0))</f>
        <v>1</v>
      </c>
    </row>
    <row r="2619" customFormat="false" ht="15" hidden="false" customHeight="false" outlineLevel="0" collapsed="false">
      <c r="A2619" s="12" t="s">
        <v>140</v>
      </c>
      <c r="B2619" s="12" t="s">
        <v>61</v>
      </c>
      <c r="C2619" s="12" t="s">
        <v>306</v>
      </c>
      <c r="D2619" s="12" t="str">
        <f aca="false">INDEX('Country Tiers'!$C$2:$C$37,MATCH(C2619,'Country Tiers'!$A$2:$A$37,0))</f>
        <v>Tier 3</v>
      </c>
      <c r="E2619" s="12" t="n">
        <f aca="false">INDEX('Country Tiers'!$D$2:$D$37,MATCH(C2619,'Country Tiers'!$A$2:$A$37,0))</f>
        <v>1</v>
      </c>
    </row>
    <row r="2620" customFormat="false" ht="15" hidden="false" customHeight="false" outlineLevel="0" collapsed="false">
      <c r="A2620" s="12" t="s">
        <v>140</v>
      </c>
      <c r="B2620" s="12" t="s">
        <v>61</v>
      </c>
      <c r="C2620" s="12" t="s">
        <v>307</v>
      </c>
      <c r="D2620" s="12" t="str">
        <f aca="false">INDEX('Country Tiers'!$C$2:$C$37,MATCH(C2620,'Country Tiers'!$A$2:$A$37,0))</f>
        <v>Tier 2</v>
      </c>
      <c r="E2620" s="12" t="n">
        <f aca="false">INDEX('Country Tiers'!$D$2:$D$37,MATCH(C2620,'Country Tiers'!$A$2:$A$37,0))</f>
        <v>2</v>
      </c>
    </row>
    <row r="2621" customFormat="false" ht="15" hidden="false" customHeight="false" outlineLevel="0" collapsed="false">
      <c r="A2621" s="12" t="s">
        <v>140</v>
      </c>
      <c r="B2621" s="12" t="s">
        <v>61</v>
      </c>
      <c r="C2621" s="12" t="s">
        <v>308</v>
      </c>
      <c r="D2621" s="12" t="str">
        <f aca="false">INDEX('Country Tiers'!$C$2:$C$37,MATCH(C2621,'Country Tiers'!$A$2:$A$37,0))</f>
        <v>Tier 3</v>
      </c>
      <c r="E2621" s="12" t="n">
        <f aca="false">INDEX('Country Tiers'!$D$2:$D$37,MATCH(C2621,'Country Tiers'!$A$2:$A$37,0))</f>
        <v>1</v>
      </c>
    </row>
    <row r="2622" customFormat="false" ht="15" hidden="false" customHeight="false" outlineLevel="0" collapsed="false">
      <c r="A2622" s="12" t="s">
        <v>140</v>
      </c>
      <c r="B2622" s="12" t="s">
        <v>61</v>
      </c>
      <c r="C2622" s="12" t="s">
        <v>309</v>
      </c>
      <c r="D2622" s="12" t="str">
        <f aca="false">INDEX('Country Tiers'!$C$2:$C$37,MATCH(C2622,'Country Tiers'!$A$2:$A$37,0))</f>
        <v>Tier 1</v>
      </c>
      <c r="E2622" s="12" t="n">
        <f aca="false">INDEX('Country Tiers'!$D$2:$D$37,MATCH(C2622,'Country Tiers'!$A$2:$A$37,0))</f>
        <v>3</v>
      </c>
    </row>
    <row r="2623" customFormat="false" ht="15" hidden="false" customHeight="false" outlineLevel="0" collapsed="false">
      <c r="A2623" s="12" t="s">
        <v>140</v>
      </c>
      <c r="B2623" s="12" t="s">
        <v>61</v>
      </c>
      <c r="C2623" s="12" t="s">
        <v>313</v>
      </c>
      <c r="D2623" s="12" t="str">
        <f aca="false">INDEX('Country Tiers'!$C$2:$C$37,MATCH(C2623,'Country Tiers'!$A$2:$A$37,0))</f>
        <v>Tier 1</v>
      </c>
      <c r="E2623" s="12" t="n">
        <f aca="false">INDEX('Country Tiers'!$D$2:$D$37,MATCH(C2623,'Country Tiers'!$A$2:$A$37,0))</f>
        <v>3</v>
      </c>
    </row>
    <row r="2624" customFormat="false" ht="15" hidden="false" customHeight="false" outlineLevel="0" collapsed="false">
      <c r="A2624" s="12" t="s">
        <v>141</v>
      </c>
      <c r="B2624" s="12" t="s">
        <v>47</v>
      </c>
      <c r="C2624" s="12" t="s">
        <v>311</v>
      </c>
      <c r="D2624" s="12" t="str">
        <f aca="false">INDEX('Country Tiers'!$C$2:$C$37,MATCH(C2624,'Country Tiers'!$A$2:$A$37,0))</f>
        <v>Tier 1</v>
      </c>
      <c r="E2624" s="12" t="n">
        <f aca="false">INDEX('Country Tiers'!$D$2:$D$37,MATCH(C2624,'Country Tiers'!$A$2:$A$37,0))</f>
        <v>3</v>
      </c>
    </row>
    <row r="2625" customFormat="false" ht="15" hidden="false" customHeight="false" outlineLevel="0" collapsed="false">
      <c r="A2625" s="12" t="s">
        <v>142</v>
      </c>
      <c r="B2625" s="12" t="s">
        <v>38</v>
      </c>
      <c r="C2625" s="12" t="s">
        <v>272</v>
      </c>
      <c r="D2625" s="12" t="str">
        <f aca="false">INDEX('Country Tiers'!$C$2:$C$37,MATCH(C2625,'Country Tiers'!$A$2:$A$37,0))</f>
        <v>Tier 2</v>
      </c>
      <c r="E2625" s="12" t="n">
        <f aca="false">INDEX('Country Tiers'!$D$2:$D$37,MATCH(C2625,'Country Tiers'!$A$2:$A$37,0))</f>
        <v>2</v>
      </c>
    </row>
    <row r="2626" customFormat="false" ht="15" hidden="false" customHeight="false" outlineLevel="0" collapsed="false">
      <c r="A2626" s="12" t="s">
        <v>142</v>
      </c>
      <c r="B2626" s="12" t="s">
        <v>38</v>
      </c>
      <c r="C2626" s="12" t="s">
        <v>313</v>
      </c>
      <c r="D2626" s="12" t="str">
        <f aca="false">INDEX('Country Tiers'!$C$2:$C$37,MATCH(C2626,'Country Tiers'!$A$2:$A$37,0))</f>
        <v>Tier 1</v>
      </c>
      <c r="E2626" s="12" t="n">
        <f aca="false">INDEX('Country Tiers'!$D$2:$D$37,MATCH(C2626,'Country Tiers'!$A$2:$A$37,0))</f>
        <v>3</v>
      </c>
    </row>
    <row r="2627" customFormat="false" ht="15" hidden="false" customHeight="false" outlineLevel="0" collapsed="false">
      <c r="A2627" s="12" t="s">
        <v>143</v>
      </c>
      <c r="B2627" s="12" t="s">
        <v>67</v>
      </c>
      <c r="C2627" s="12" t="s">
        <v>311</v>
      </c>
      <c r="D2627" s="12" t="str">
        <f aca="false">INDEX('Country Tiers'!$C$2:$C$37,MATCH(C2627,'Country Tiers'!$A$2:$A$37,0))</f>
        <v>Tier 1</v>
      </c>
      <c r="E2627" s="12" t="n">
        <f aca="false">INDEX('Country Tiers'!$D$2:$D$37,MATCH(C2627,'Country Tiers'!$A$2:$A$37,0))</f>
        <v>3</v>
      </c>
    </row>
    <row r="2628" customFormat="false" ht="15" hidden="false" customHeight="false" outlineLevel="0" collapsed="false">
      <c r="A2628" s="12" t="s">
        <v>144</v>
      </c>
      <c r="B2628" s="12" t="s">
        <v>70</v>
      </c>
      <c r="C2628" s="12" t="s">
        <v>311</v>
      </c>
      <c r="D2628" s="12" t="str">
        <f aca="false">INDEX('Country Tiers'!$C$2:$C$37,MATCH(C2628,'Country Tiers'!$A$2:$A$37,0))</f>
        <v>Tier 1</v>
      </c>
      <c r="E2628" s="12" t="n">
        <f aca="false">INDEX('Country Tiers'!$D$2:$D$37,MATCH(C2628,'Country Tiers'!$A$2:$A$37,0))</f>
        <v>3</v>
      </c>
    </row>
    <row r="2629" customFormat="false" ht="15" hidden="false" customHeight="false" outlineLevel="0" collapsed="false">
      <c r="A2629" s="12" t="s">
        <v>144</v>
      </c>
      <c r="B2629" s="12" t="s">
        <v>47</v>
      </c>
      <c r="C2629" s="12" t="s">
        <v>311</v>
      </c>
      <c r="D2629" s="12" t="str">
        <f aca="false">INDEX('Country Tiers'!$C$2:$C$37,MATCH(C2629,'Country Tiers'!$A$2:$A$37,0))</f>
        <v>Tier 1</v>
      </c>
      <c r="E2629" s="12" t="n">
        <f aca="false">INDEX('Country Tiers'!$D$2:$D$37,MATCH(C2629,'Country Tiers'!$A$2:$A$37,0))</f>
        <v>3</v>
      </c>
    </row>
    <row r="2630" customFormat="false" ht="15" hidden="false" customHeight="false" outlineLevel="0" collapsed="false">
      <c r="A2630" s="12" t="s">
        <v>144</v>
      </c>
      <c r="B2630" s="12" t="s">
        <v>57</v>
      </c>
      <c r="C2630" s="12" t="s">
        <v>311</v>
      </c>
      <c r="D2630" s="12" t="str">
        <f aca="false">INDEX('Country Tiers'!$C$2:$C$37,MATCH(C2630,'Country Tiers'!$A$2:$A$37,0))</f>
        <v>Tier 1</v>
      </c>
      <c r="E2630" s="12" t="n">
        <f aca="false">INDEX('Country Tiers'!$D$2:$D$37,MATCH(C2630,'Country Tiers'!$A$2:$A$37,0))</f>
        <v>3</v>
      </c>
    </row>
    <row r="2631" customFormat="false" ht="15" hidden="false" customHeight="false" outlineLevel="0" collapsed="false">
      <c r="A2631" s="12" t="s">
        <v>144</v>
      </c>
      <c r="B2631" s="12" t="s">
        <v>44</v>
      </c>
      <c r="C2631" s="12" t="s">
        <v>272</v>
      </c>
      <c r="D2631" s="12" t="str">
        <f aca="false">INDEX('Country Tiers'!$C$2:$C$37,MATCH(C2631,'Country Tiers'!$A$2:$A$37,0))</f>
        <v>Tier 2</v>
      </c>
      <c r="E2631" s="12" t="n">
        <f aca="false">INDEX('Country Tiers'!$D$2:$D$37,MATCH(C2631,'Country Tiers'!$A$2:$A$37,0))</f>
        <v>2</v>
      </c>
    </row>
    <row r="2632" customFormat="false" ht="15" hidden="false" customHeight="false" outlineLevel="0" collapsed="false">
      <c r="A2632" s="12" t="s">
        <v>144</v>
      </c>
      <c r="B2632" s="12" t="s">
        <v>44</v>
      </c>
      <c r="C2632" s="12" t="s">
        <v>279</v>
      </c>
      <c r="D2632" s="12" t="str">
        <f aca="false">INDEX('Country Tiers'!$C$2:$C$37,MATCH(C2632,'Country Tiers'!$A$2:$A$37,0))</f>
        <v>Tier 1</v>
      </c>
      <c r="E2632" s="12" t="n">
        <f aca="false">INDEX('Country Tiers'!$D$2:$D$37,MATCH(C2632,'Country Tiers'!$A$2:$A$37,0))</f>
        <v>3</v>
      </c>
    </row>
    <row r="2633" customFormat="false" ht="15" hidden="false" customHeight="false" outlineLevel="0" collapsed="false">
      <c r="A2633" s="12" t="s">
        <v>144</v>
      </c>
      <c r="B2633" s="12" t="s">
        <v>44</v>
      </c>
      <c r="C2633" s="12" t="s">
        <v>309</v>
      </c>
      <c r="D2633" s="12" t="str">
        <f aca="false">INDEX('Country Tiers'!$C$2:$C$37,MATCH(C2633,'Country Tiers'!$A$2:$A$37,0))</f>
        <v>Tier 1</v>
      </c>
      <c r="E2633" s="12" t="n">
        <f aca="false">INDEX('Country Tiers'!$D$2:$D$37,MATCH(C2633,'Country Tiers'!$A$2:$A$37,0))</f>
        <v>3</v>
      </c>
    </row>
    <row r="2634" customFormat="false" ht="15" hidden="false" customHeight="false" outlineLevel="0" collapsed="false">
      <c r="A2634" s="12" t="s">
        <v>145</v>
      </c>
      <c r="B2634" s="12" t="s">
        <v>47</v>
      </c>
      <c r="C2634" s="12" t="s">
        <v>311</v>
      </c>
      <c r="D2634" s="12" t="str">
        <f aca="false">INDEX('Country Tiers'!$C$2:$C$37,MATCH(C2634,'Country Tiers'!$A$2:$A$37,0))</f>
        <v>Tier 1</v>
      </c>
      <c r="E2634" s="12" t="n">
        <f aca="false">INDEX('Country Tiers'!$D$2:$D$37,MATCH(C2634,'Country Tiers'!$A$2:$A$37,0))</f>
        <v>3</v>
      </c>
    </row>
    <row r="2635" customFormat="false" ht="15" hidden="false" customHeight="false" outlineLevel="0" collapsed="false">
      <c r="A2635" s="12" t="s">
        <v>146</v>
      </c>
      <c r="B2635" s="12" t="s">
        <v>44</v>
      </c>
      <c r="C2635" s="12" t="s">
        <v>272</v>
      </c>
      <c r="D2635" s="12" t="str">
        <f aca="false">INDEX('Country Tiers'!$C$2:$C$37,MATCH(C2635,'Country Tiers'!$A$2:$A$37,0))</f>
        <v>Tier 2</v>
      </c>
      <c r="E2635" s="12" t="n">
        <f aca="false">INDEX('Country Tiers'!$D$2:$D$37,MATCH(C2635,'Country Tiers'!$A$2:$A$37,0))</f>
        <v>2</v>
      </c>
    </row>
    <row r="2636" customFormat="false" ht="15" hidden="false" customHeight="false" outlineLevel="0" collapsed="false">
      <c r="A2636" s="12" t="s">
        <v>147</v>
      </c>
      <c r="B2636" s="12" t="s">
        <v>35</v>
      </c>
      <c r="C2636" s="12" t="s">
        <v>274</v>
      </c>
      <c r="D2636" s="12" t="str">
        <f aca="false">INDEX('Country Tiers'!$C$2:$C$37,MATCH(C2636,'Country Tiers'!$A$2:$A$37,0))</f>
        <v>Tier 3</v>
      </c>
      <c r="E2636" s="12" t="n">
        <f aca="false">INDEX('Country Tiers'!$D$2:$D$37,MATCH(C2636,'Country Tiers'!$A$2:$A$37,0))</f>
        <v>1</v>
      </c>
    </row>
    <row r="2637" customFormat="false" ht="15" hidden="false" customHeight="false" outlineLevel="0" collapsed="false">
      <c r="A2637" s="12" t="s">
        <v>147</v>
      </c>
      <c r="B2637" s="12" t="s">
        <v>35</v>
      </c>
      <c r="C2637" s="12" t="s">
        <v>277</v>
      </c>
      <c r="D2637" s="12" t="str">
        <f aca="false">INDEX('Country Tiers'!$C$2:$C$37,MATCH(C2637,'Country Tiers'!$A$2:$A$37,0))</f>
        <v>Tier 1</v>
      </c>
      <c r="E2637" s="12" t="n">
        <f aca="false">INDEX('Country Tiers'!$D$2:$D$37,MATCH(C2637,'Country Tiers'!$A$2:$A$37,0))</f>
        <v>3</v>
      </c>
    </row>
    <row r="2638" customFormat="false" ht="15" hidden="false" customHeight="false" outlineLevel="0" collapsed="false">
      <c r="A2638" s="12" t="s">
        <v>147</v>
      </c>
      <c r="B2638" s="12" t="s">
        <v>35</v>
      </c>
      <c r="C2638" s="12" t="s">
        <v>278</v>
      </c>
      <c r="D2638" s="12" t="str">
        <f aca="false">INDEX('Country Tiers'!$C$2:$C$37,MATCH(C2638,'Country Tiers'!$A$2:$A$37,0))</f>
        <v>Tier 3</v>
      </c>
      <c r="E2638" s="12" t="n">
        <f aca="false">INDEX('Country Tiers'!$D$2:$D$37,MATCH(C2638,'Country Tiers'!$A$2:$A$37,0))</f>
        <v>1</v>
      </c>
    </row>
    <row r="2639" customFormat="false" ht="15" hidden="false" customHeight="false" outlineLevel="0" collapsed="false">
      <c r="A2639" s="12" t="s">
        <v>147</v>
      </c>
      <c r="B2639" s="12" t="s">
        <v>35</v>
      </c>
      <c r="C2639" s="12" t="s">
        <v>280</v>
      </c>
      <c r="D2639" s="12" t="str">
        <f aca="false">INDEX('Country Tiers'!$C$2:$C$37,MATCH(C2639,'Country Tiers'!$A$2:$A$37,0))</f>
        <v>Tier 3</v>
      </c>
      <c r="E2639" s="12" t="n">
        <f aca="false">INDEX('Country Tiers'!$D$2:$D$37,MATCH(C2639,'Country Tiers'!$A$2:$A$37,0))</f>
        <v>1</v>
      </c>
    </row>
    <row r="2640" customFormat="false" ht="15" hidden="false" customHeight="false" outlineLevel="0" collapsed="false">
      <c r="A2640" s="12" t="s">
        <v>147</v>
      </c>
      <c r="B2640" s="12" t="s">
        <v>35</v>
      </c>
      <c r="C2640" s="12" t="s">
        <v>282</v>
      </c>
      <c r="D2640" s="12" t="str">
        <f aca="false">INDEX('Country Tiers'!$C$2:$C$37,MATCH(C2640,'Country Tiers'!$A$2:$A$37,0))</f>
        <v>Tier 3</v>
      </c>
      <c r="E2640" s="12" t="n">
        <f aca="false">INDEX('Country Tiers'!$D$2:$D$37,MATCH(C2640,'Country Tiers'!$A$2:$A$37,0))</f>
        <v>1</v>
      </c>
    </row>
    <row r="2641" customFormat="false" ht="15" hidden="false" customHeight="false" outlineLevel="0" collapsed="false">
      <c r="A2641" s="12" t="s">
        <v>147</v>
      </c>
      <c r="B2641" s="12" t="s">
        <v>35</v>
      </c>
      <c r="C2641" s="12" t="s">
        <v>283</v>
      </c>
      <c r="D2641" s="12" t="str">
        <f aca="false">INDEX('Country Tiers'!$C$2:$C$37,MATCH(C2641,'Country Tiers'!$A$2:$A$37,0))</f>
        <v>Tier 3</v>
      </c>
      <c r="E2641" s="12" t="n">
        <f aca="false">INDEX('Country Tiers'!$D$2:$D$37,MATCH(C2641,'Country Tiers'!$A$2:$A$37,0))</f>
        <v>1</v>
      </c>
    </row>
    <row r="2642" customFormat="false" ht="15" hidden="false" customHeight="false" outlineLevel="0" collapsed="false">
      <c r="A2642" s="12" t="s">
        <v>147</v>
      </c>
      <c r="B2642" s="12" t="s">
        <v>35</v>
      </c>
      <c r="C2642" s="12" t="s">
        <v>285</v>
      </c>
      <c r="D2642" s="12" t="str">
        <f aca="false">INDEX('Country Tiers'!$C$2:$C$37,MATCH(C2642,'Country Tiers'!$A$2:$A$37,0))</f>
        <v>Tier 3</v>
      </c>
      <c r="E2642" s="12" t="n">
        <f aca="false">INDEX('Country Tiers'!$D$2:$D$37,MATCH(C2642,'Country Tiers'!$A$2:$A$37,0))</f>
        <v>1</v>
      </c>
    </row>
    <row r="2643" customFormat="false" ht="15" hidden="false" customHeight="false" outlineLevel="0" collapsed="false">
      <c r="A2643" s="12" t="s">
        <v>147</v>
      </c>
      <c r="B2643" s="12" t="s">
        <v>35</v>
      </c>
      <c r="C2643" s="12" t="s">
        <v>286</v>
      </c>
      <c r="D2643" s="12" t="str">
        <f aca="false">INDEX('Country Tiers'!$C$2:$C$37,MATCH(C2643,'Country Tiers'!$A$2:$A$37,0))</f>
        <v>Tier 1</v>
      </c>
      <c r="E2643" s="12" t="n">
        <f aca="false">INDEX('Country Tiers'!$D$2:$D$37,MATCH(C2643,'Country Tiers'!$A$2:$A$37,0))</f>
        <v>3</v>
      </c>
    </row>
    <row r="2644" customFormat="false" ht="15" hidden="false" customHeight="false" outlineLevel="0" collapsed="false">
      <c r="A2644" s="12" t="s">
        <v>147</v>
      </c>
      <c r="B2644" s="12" t="s">
        <v>35</v>
      </c>
      <c r="C2644" s="12" t="s">
        <v>287</v>
      </c>
      <c r="D2644" s="12" t="str">
        <f aca="false">INDEX('Country Tiers'!$C$2:$C$37,MATCH(C2644,'Country Tiers'!$A$2:$A$37,0))</f>
        <v>Tier 1</v>
      </c>
      <c r="E2644" s="12" t="n">
        <f aca="false">INDEX('Country Tiers'!$D$2:$D$37,MATCH(C2644,'Country Tiers'!$A$2:$A$37,0))</f>
        <v>3</v>
      </c>
    </row>
    <row r="2645" customFormat="false" ht="15" hidden="false" customHeight="false" outlineLevel="0" collapsed="false">
      <c r="A2645" s="12" t="s">
        <v>147</v>
      </c>
      <c r="B2645" s="12" t="s">
        <v>35</v>
      </c>
      <c r="C2645" s="12" t="s">
        <v>288</v>
      </c>
      <c r="D2645" s="12" t="str">
        <f aca="false">INDEX('Country Tiers'!$C$2:$C$37,MATCH(C2645,'Country Tiers'!$A$2:$A$37,0))</f>
        <v>Tier 3</v>
      </c>
      <c r="E2645" s="12" t="n">
        <f aca="false">INDEX('Country Tiers'!$D$2:$D$37,MATCH(C2645,'Country Tiers'!$A$2:$A$37,0))</f>
        <v>1</v>
      </c>
    </row>
    <row r="2646" customFormat="false" ht="15" hidden="false" customHeight="false" outlineLevel="0" collapsed="false">
      <c r="A2646" s="12" t="s">
        <v>147</v>
      </c>
      <c r="B2646" s="12" t="s">
        <v>35</v>
      </c>
      <c r="C2646" s="12" t="s">
        <v>289</v>
      </c>
      <c r="D2646" s="12" t="str">
        <f aca="false">INDEX('Country Tiers'!$C$2:$C$37,MATCH(C2646,'Country Tiers'!$A$2:$A$37,0))</f>
        <v>Tier 3</v>
      </c>
      <c r="E2646" s="12" t="n">
        <f aca="false">INDEX('Country Tiers'!$D$2:$D$37,MATCH(C2646,'Country Tiers'!$A$2:$A$37,0))</f>
        <v>1</v>
      </c>
    </row>
    <row r="2647" customFormat="false" ht="15" hidden="false" customHeight="false" outlineLevel="0" collapsed="false">
      <c r="A2647" s="12" t="s">
        <v>147</v>
      </c>
      <c r="B2647" s="12" t="s">
        <v>35</v>
      </c>
      <c r="C2647" s="12" t="s">
        <v>291</v>
      </c>
      <c r="D2647" s="12" t="str">
        <f aca="false">INDEX('Country Tiers'!$C$2:$C$37,MATCH(C2647,'Country Tiers'!$A$2:$A$37,0))</f>
        <v>Tier 3</v>
      </c>
      <c r="E2647" s="12" t="n">
        <f aca="false">INDEX('Country Tiers'!$D$2:$D$37,MATCH(C2647,'Country Tiers'!$A$2:$A$37,0))</f>
        <v>1</v>
      </c>
    </row>
    <row r="2648" customFormat="false" ht="15" hidden="false" customHeight="false" outlineLevel="0" collapsed="false">
      <c r="A2648" s="12" t="s">
        <v>147</v>
      </c>
      <c r="B2648" s="12" t="s">
        <v>35</v>
      </c>
      <c r="C2648" s="12" t="s">
        <v>296</v>
      </c>
      <c r="D2648" s="12" t="str">
        <f aca="false">INDEX('Country Tiers'!$C$2:$C$37,MATCH(C2648,'Country Tiers'!$A$2:$A$37,0))</f>
        <v>Tier 3</v>
      </c>
      <c r="E2648" s="12" t="n">
        <f aca="false">INDEX('Country Tiers'!$D$2:$D$37,MATCH(C2648,'Country Tiers'!$A$2:$A$37,0))</f>
        <v>1</v>
      </c>
    </row>
    <row r="2649" customFormat="false" ht="15" hidden="false" customHeight="false" outlineLevel="0" collapsed="false">
      <c r="A2649" s="12" t="s">
        <v>147</v>
      </c>
      <c r="B2649" s="12" t="s">
        <v>35</v>
      </c>
      <c r="C2649" s="12" t="s">
        <v>297</v>
      </c>
      <c r="D2649" s="12" t="str">
        <f aca="false">INDEX('Country Tiers'!$C$2:$C$37,MATCH(C2649,'Country Tiers'!$A$2:$A$37,0))</f>
        <v>Tier 2</v>
      </c>
      <c r="E2649" s="12" t="n">
        <f aca="false">INDEX('Country Tiers'!$D$2:$D$37,MATCH(C2649,'Country Tiers'!$A$2:$A$37,0))</f>
        <v>2</v>
      </c>
    </row>
    <row r="2650" customFormat="false" ht="15" hidden="false" customHeight="false" outlineLevel="0" collapsed="false">
      <c r="A2650" s="12" t="s">
        <v>147</v>
      </c>
      <c r="B2650" s="12" t="s">
        <v>35</v>
      </c>
      <c r="C2650" s="12" t="s">
        <v>298</v>
      </c>
      <c r="D2650" s="12" t="str">
        <f aca="false">INDEX('Country Tiers'!$C$2:$C$37,MATCH(C2650,'Country Tiers'!$A$2:$A$37,0))</f>
        <v>Tier 1</v>
      </c>
      <c r="E2650" s="12" t="n">
        <f aca="false">INDEX('Country Tiers'!$D$2:$D$37,MATCH(C2650,'Country Tiers'!$A$2:$A$37,0))</f>
        <v>3</v>
      </c>
    </row>
    <row r="2651" customFormat="false" ht="15" hidden="false" customHeight="false" outlineLevel="0" collapsed="false">
      <c r="A2651" s="12" t="s">
        <v>147</v>
      </c>
      <c r="B2651" s="12" t="s">
        <v>35</v>
      </c>
      <c r="C2651" s="12" t="s">
        <v>299</v>
      </c>
      <c r="D2651" s="12" t="str">
        <f aca="false">INDEX('Country Tiers'!$C$2:$C$37,MATCH(C2651,'Country Tiers'!$A$2:$A$37,0))</f>
        <v>Tier 3</v>
      </c>
      <c r="E2651" s="12" t="n">
        <f aca="false">INDEX('Country Tiers'!$D$2:$D$37,MATCH(C2651,'Country Tiers'!$A$2:$A$37,0))</f>
        <v>1</v>
      </c>
    </row>
    <row r="2652" customFormat="false" ht="15" hidden="false" customHeight="false" outlineLevel="0" collapsed="false">
      <c r="A2652" s="12" t="s">
        <v>147</v>
      </c>
      <c r="B2652" s="12" t="s">
        <v>35</v>
      </c>
      <c r="C2652" s="12" t="s">
        <v>300</v>
      </c>
      <c r="D2652" s="12" t="str">
        <f aca="false">INDEX('Country Tiers'!$C$2:$C$37,MATCH(C2652,'Country Tiers'!$A$2:$A$37,0))</f>
        <v>Tier 3</v>
      </c>
      <c r="E2652" s="12" t="n">
        <f aca="false">INDEX('Country Tiers'!$D$2:$D$37,MATCH(C2652,'Country Tiers'!$A$2:$A$37,0))</f>
        <v>1</v>
      </c>
    </row>
    <row r="2653" customFormat="false" ht="15" hidden="false" customHeight="false" outlineLevel="0" collapsed="false">
      <c r="A2653" s="12" t="s">
        <v>147</v>
      </c>
      <c r="B2653" s="12" t="s">
        <v>35</v>
      </c>
      <c r="C2653" s="12" t="s">
        <v>301</v>
      </c>
      <c r="D2653" s="12" t="str">
        <f aca="false">INDEX('Country Tiers'!$C$2:$C$37,MATCH(C2653,'Country Tiers'!$A$2:$A$37,0))</f>
        <v>Tier 3</v>
      </c>
      <c r="E2653" s="12" t="n">
        <f aca="false">INDEX('Country Tiers'!$D$2:$D$37,MATCH(C2653,'Country Tiers'!$A$2:$A$37,0))</f>
        <v>1</v>
      </c>
    </row>
    <row r="2654" customFormat="false" ht="15" hidden="false" customHeight="false" outlineLevel="0" collapsed="false">
      <c r="A2654" s="12" t="s">
        <v>147</v>
      </c>
      <c r="B2654" s="12" t="s">
        <v>35</v>
      </c>
      <c r="C2654" s="12" t="s">
        <v>302</v>
      </c>
      <c r="D2654" s="12" t="str">
        <f aca="false">INDEX('Country Tiers'!$C$2:$C$37,MATCH(C2654,'Country Tiers'!$A$2:$A$37,0))</f>
        <v>Tier 3</v>
      </c>
      <c r="E2654" s="12" t="n">
        <f aca="false">INDEX('Country Tiers'!$D$2:$D$37,MATCH(C2654,'Country Tiers'!$A$2:$A$37,0))</f>
        <v>1</v>
      </c>
    </row>
    <row r="2655" customFormat="false" ht="15" hidden="false" customHeight="false" outlineLevel="0" collapsed="false">
      <c r="A2655" s="12" t="s">
        <v>147</v>
      </c>
      <c r="B2655" s="12" t="s">
        <v>35</v>
      </c>
      <c r="C2655" s="12" t="s">
        <v>305</v>
      </c>
      <c r="D2655" s="12" t="str">
        <f aca="false">INDEX('Country Tiers'!$C$2:$C$37,MATCH(C2655,'Country Tiers'!$A$2:$A$37,0))</f>
        <v>Tier 3</v>
      </c>
      <c r="E2655" s="12" t="n">
        <f aca="false">INDEX('Country Tiers'!$D$2:$D$37,MATCH(C2655,'Country Tiers'!$A$2:$A$37,0))</f>
        <v>1</v>
      </c>
    </row>
    <row r="2656" customFormat="false" ht="15" hidden="false" customHeight="false" outlineLevel="0" collapsed="false">
      <c r="A2656" s="12" t="s">
        <v>147</v>
      </c>
      <c r="B2656" s="12" t="s">
        <v>35</v>
      </c>
      <c r="C2656" s="12" t="s">
        <v>306</v>
      </c>
      <c r="D2656" s="12" t="str">
        <f aca="false">INDEX('Country Tiers'!$C$2:$C$37,MATCH(C2656,'Country Tiers'!$A$2:$A$37,0))</f>
        <v>Tier 3</v>
      </c>
      <c r="E2656" s="12" t="n">
        <f aca="false">INDEX('Country Tiers'!$D$2:$D$37,MATCH(C2656,'Country Tiers'!$A$2:$A$37,0))</f>
        <v>1</v>
      </c>
    </row>
    <row r="2657" customFormat="false" ht="15" hidden="false" customHeight="false" outlineLevel="0" collapsed="false">
      <c r="A2657" s="12" t="s">
        <v>147</v>
      </c>
      <c r="B2657" s="12" t="s">
        <v>35</v>
      </c>
      <c r="C2657" s="12" t="s">
        <v>307</v>
      </c>
      <c r="D2657" s="12" t="str">
        <f aca="false">INDEX('Country Tiers'!$C$2:$C$37,MATCH(C2657,'Country Tiers'!$A$2:$A$37,0))</f>
        <v>Tier 2</v>
      </c>
      <c r="E2657" s="12" t="n">
        <f aca="false">INDEX('Country Tiers'!$D$2:$D$37,MATCH(C2657,'Country Tiers'!$A$2:$A$37,0))</f>
        <v>2</v>
      </c>
    </row>
    <row r="2658" customFormat="false" ht="15" hidden="false" customHeight="false" outlineLevel="0" collapsed="false">
      <c r="A2658" s="12" t="s">
        <v>147</v>
      </c>
      <c r="B2658" s="12" t="s">
        <v>35</v>
      </c>
      <c r="C2658" s="12" t="s">
        <v>308</v>
      </c>
      <c r="D2658" s="12" t="str">
        <f aca="false">INDEX('Country Tiers'!$C$2:$C$37,MATCH(C2658,'Country Tiers'!$A$2:$A$37,0))</f>
        <v>Tier 3</v>
      </c>
      <c r="E2658" s="12" t="n">
        <f aca="false">INDEX('Country Tiers'!$D$2:$D$37,MATCH(C2658,'Country Tiers'!$A$2:$A$37,0))</f>
        <v>1</v>
      </c>
    </row>
    <row r="2659" customFormat="false" ht="15" hidden="false" customHeight="false" outlineLevel="0" collapsed="false">
      <c r="A2659" s="12" t="s">
        <v>147</v>
      </c>
      <c r="B2659" s="12" t="s">
        <v>35</v>
      </c>
      <c r="C2659" s="12" t="s">
        <v>309</v>
      </c>
      <c r="D2659" s="12" t="str">
        <f aca="false">INDEX('Country Tiers'!$C$2:$C$37,MATCH(C2659,'Country Tiers'!$A$2:$A$37,0))</f>
        <v>Tier 1</v>
      </c>
      <c r="E2659" s="12" t="n">
        <f aca="false">INDEX('Country Tiers'!$D$2:$D$37,MATCH(C2659,'Country Tiers'!$A$2:$A$37,0))</f>
        <v>3</v>
      </c>
    </row>
    <row r="2660" customFormat="false" ht="15" hidden="false" customHeight="false" outlineLevel="0" collapsed="false">
      <c r="A2660" s="12" t="s">
        <v>147</v>
      </c>
      <c r="B2660" s="12" t="s">
        <v>35</v>
      </c>
      <c r="C2660" s="12" t="s">
        <v>313</v>
      </c>
      <c r="D2660" s="12" t="str">
        <f aca="false">INDEX('Country Tiers'!$C$2:$C$37,MATCH(C2660,'Country Tiers'!$A$2:$A$37,0))</f>
        <v>Tier 1</v>
      </c>
      <c r="E2660" s="12" t="n">
        <f aca="false">INDEX('Country Tiers'!$D$2:$D$37,MATCH(C2660,'Country Tiers'!$A$2:$A$37,0))</f>
        <v>3</v>
      </c>
    </row>
    <row r="2661" customFormat="false" ht="15" hidden="false" customHeight="false" outlineLevel="0" collapsed="false">
      <c r="A2661" s="12" t="s">
        <v>147</v>
      </c>
      <c r="B2661" s="12" t="s">
        <v>40</v>
      </c>
      <c r="C2661" s="12" t="s">
        <v>272</v>
      </c>
      <c r="D2661" s="12" t="str">
        <f aca="false">INDEX('Country Tiers'!$C$2:$C$37,MATCH(C2661,'Country Tiers'!$A$2:$A$37,0))</f>
        <v>Tier 2</v>
      </c>
      <c r="E2661" s="12" t="n">
        <f aca="false">INDEX('Country Tiers'!$D$2:$D$37,MATCH(C2661,'Country Tiers'!$A$2:$A$37,0))</f>
        <v>2</v>
      </c>
    </row>
    <row r="2662" customFormat="false" ht="15" hidden="false" customHeight="false" outlineLevel="0" collapsed="false">
      <c r="A2662" s="12" t="s">
        <v>147</v>
      </c>
      <c r="B2662" s="12" t="s">
        <v>38</v>
      </c>
      <c r="C2662" s="12" t="s">
        <v>274</v>
      </c>
      <c r="D2662" s="12" t="str">
        <f aca="false">INDEX('Country Tiers'!$C$2:$C$37,MATCH(C2662,'Country Tiers'!$A$2:$A$37,0))</f>
        <v>Tier 3</v>
      </c>
      <c r="E2662" s="12" t="n">
        <f aca="false">INDEX('Country Tiers'!$D$2:$D$37,MATCH(C2662,'Country Tiers'!$A$2:$A$37,0))</f>
        <v>1</v>
      </c>
    </row>
    <row r="2663" customFormat="false" ht="15" hidden="false" customHeight="false" outlineLevel="0" collapsed="false">
      <c r="A2663" s="12" t="s">
        <v>147</v>
      </c>
      <c r="B2663" s="12" t="s">
        <v>38</v>
      </c>
      <c r="C2663" s="12" t="s">
        <v>277</v>
      </c>
      <c r="D2663" s="12" t="str">
        <f aca="false">INDEX('Country Tiers'!$C$2:$C$37,MATCH(C2663,'Country Tiers'!$A$2:$A$37,0))</f>
        <v>Tier 1</v>
      </c>
      <c r="E2663" s="12" t="n">
        <f aca="false">INDEX('Country Tiers'!$D$2:$D$37,MATCH(C2663,'Country Tiers'!$A$2:$A$37,0))</f>
        <v>3</v>
      </c>
    </row>
    <row r="2664" customFormat="false" ht="15" hidden="false" customHeight="false" outlineLevel="0" collapsed="false">
      <c r="A2664" s="12" t="s">
        <v>147</v>
      </c>
      <c r="B2664" s="12" t="s">
        <v>38</v>
      </c>
      <c r="C2664" s="12" t="s">
        <v>278</v>
      </c>
      <c r="D2664" s="12" t="str">
        <f aca="false">INDEX('Country Tiers'!$C$2:$C$37,MATCH(C2664,'Country Tiers'!$A$2:$A$37,0))</f>
        <v>Tier 3</v>
      </c>
      <c r="E2664" s="12" t="n">
        <f aca="false">INDEX('Country Tiers'!$D$2:$D$37,MATCH(C2664,'Country Tiers'!$A$2:$A$37,0))</f>
        <v>1</v>
      </c>
    </row>
    <row r="2665" customFormat="false" ht="15" hidden="false" customHeight="false" outlineLevel="0" collapsed="false">
      <c r="A2665" s="12" t="s">
        <v>147</v>
      </c>
      <c r="B2665" s="12" t="s">
        <v>38</v>
      </c>
      <c r="C2665" s="12" t="s">
        <v>280</v>
      </c>
      <c r="D2665" s="12" t="str">
        <f aca="false">INDEX('Country Tiers'!$C$2:$C$37,MATCH(C2665,'Country Tiers'!$A$2:$A$37,0))</f>
        <v>Tier 3</v>
      </c>
      <c r="E2665" s="12" t="n">
        <f aca="false">INDEX('Country Tiers'!$D$2:$D$37,MATCH(C2665,'Country Tiers'!$A$2:$A$37,0))</f>
        <v>1</v>
      </c>
    </row>
    <row r="2666" customFormat="false" ht="15" hidden="false" customHeight="false" outlineLevel="0" collapsed="false">
      <c r="A2666" s="12" t="s">
        <v>147</v>
      </c>
      <c r="B2666" s="12" t="s">
        <v>38</v>
      </c>
      <c r="C2666" s="12" t="s">
        <v>282</v>
      </c>
      <c r="D2666" s="12" t="str">
        <f aca="false">INDEX('Country Tiers'!$C$2:$C$37,MATCH(C2666,'Country Tiers'!$A$2:$A$37,0))</f>
        <v>Tier 3</v>
      </c>
      <c r="E2666" s="12" t="n">
        <f aca="false">INDEX('Country Tiers'!$D$2:$D$37,MATCH(C2666,'Country Tiers'!$A$2:$A$37,0))</f>
        <v>1</v>
      </c>
    </row>
    <row r="2667" customFormat="false" ht="15" hidden="false" customHeight="false" outlineLevel="0" collapsed="false">
      <c r="A2667" s="12" t="s">
        <v>147</v>
      </c>
      <c r="B2667" s="12" t="s">
        <v>38</v>
      </c>
      <c r="C2667" s="12" t="s">
        <v>283</v>
      </c>
      <c r="D2667" s="12" t="str">
        <f aca="false">INDEX('Country Tiers'!$C$2:$C$37,MATCH(C2667,'Country Tiers'!$A$2:$A$37,0))</f>
        <v>Tier 3</v>
      </c>
      <c r="E2667" s="12" t="n">
        <f aca="false">INDEX('Country Tiers'!$D$2:$D$37,MATCH(C2667,'Country Tiers'!$A$2:$A$37,0))</f>
        <v>1</v>
      </c>
    </row>
    <row r="2668" customFormat="false" ht="15" hidden="false" customHeight="false" outlineLevel="0" collapsed="false">
      <c r="A2668" s="12" t="s">
        <v>147</v>
      </c>
      <c r="B2668" s="12" t="s">
        <v>38</v>
      </c>
      <c r="C2668" s="12" t="s">
        <v>285</v>
      </c>
      <c r="D2668" s="12" t="str">
        <f aca="false">INDEX('Country Tiers'!$C$2:$C$37,MATCH(C2668,'Country Tiers'!$A$2:$A$37,0))</f>
        <v>Tier 3</v>
      </c>
      <c r="E2668" s="12" t="n">
        <f aca="false">INDEX('Country Tiers'!$D$2:$D$37,MATCH(C2668,'Country Tiers'!$A$2:$A$37,0))</f>
        <v>1</v>
      </c>
    </row>
    <row r="2669" customFormat="false" ht="15" hidden="false" customHeight="false" outlineLevel="0" collapsed="false">
      <c r="A2669" s="12" t="s">
        <v>147</v>
      </c>
      <c r="B2669" s="12" t="s">
        <v>38</v>
      </c>
      <c r="C2669" s="12" t="s">
        <v>286</v>
      </c>
      <c r="D2669" s="12" t="str">
        <f aca="false">INDEX('Country Tiers'!$C$2:$C$37,MATCH(C2669,'Country Tiers'!$A$2:$A$37,0))</f>
        <v>Tier 1</v>
      </c>
      <c r="E2669" s="12" t="n">
        <f aca="false">INDEX('Country Tiers'!$D$2:$D$37,MATCH(C2669,'Country Tiers'!$A$2:$A$37,0))</f>
        <v>3</v>
      </c>
    </row>
    <row r="2670" customFormat="false" ht="15" hidden="false" customHeight="false" outlineLevel="0" collapsed="false">
      <c r="A2670" s="12" t="s">
        <v>147</v>
      </c>
      <c r="B2670" s="12" t="s">
        <v>38</v>
      </c>
      <c r="C2670" s="12" t="s">
        <v>287</v>
      </c>
      <c r="D2670" s="12" t="str">
        <f aca="false">INDEX('Country Tiers'!$C$2:$C$37,MATCH(C2670,'Country Tiers'!$A$2:$A$37,0))</f>
        <v>Tier 1</v>
      </c>
      <c r="E2670" s="12" t="n">
        <f aca="false">INDEX('Country Tiers'!$D$2:$D$37,MATCH(C2670,'Country Tiers'!$A$2:$A$37,0))</f>
        <v>3</v>
      </c>
    </row>
    <row r="2671" customFormat="false" ht="15" hidden="false" customHeight="false" outlineLevel="0" collapsed="false">
      <c r="A2671" s="12" t="s">
        <v>147</v>
      </c>
      <c r="B2671" s="12" t="s">
        <v>38</v>
      </c>
      <c r="C2671" s="12" t="s">
        <v>288</v>
      </c>
      <c r="D2671" s="12" t="str">
        <f aca="false">INDEX('Country Tiers'!$C$2:$C$37,MATCH(C2671,'Country Tiers'!$A$2:$A$37,0))</f>
        <v>Tier 3</v>
      </c>
      <c r="E2671" s="12" t="n">
        <f aca="false">INDEX('Country Tiers'!$D$2:$D$37,MATCH(C2671,'Country Tiers'!$A$2:$A$37,0))</f>
        <v>1</v>
      </c>
    </row>
    <row r="2672" customFormat="false" ht="15" hidden="false" customHeight="false" outlineLevel="0" collapsed="false">
      <c r="A2672" s="12" t="s">
        <v>147</v>
      </c>
      <c r="B2672" s="12" t="s">
        <v>38</v>
      </c>
      <c r="C2672" s="12" t="s">
        <v>289</v>
      </c>
      <c r="D2672" s="12" t="str">
        <f aca="false">INDEX('Country Tiers'!$C$2:$C$37,MATCH(C2672,'Country Tiers'!$A$2:$A$37,0))</f>
        <v>Tier 3</v>
      </c>
      <c r="E2672" s="12" t="n">
        <f aca="false">INDEX('Country Tiers'!$D$2:$D$37,MATCH(C2672,'Country Tiers'!$A$2:$A$37,0))</f>
        <v>1</v>
      </c>
    </row>
    <row r="2673" customFormat="false" ht="15" hidden="false" customHeight="false" outlineLevel="0" collapsed="false">
      <c r="A2673" s="12" t="s">
        <v>147</v>
      </c>
      <c r="B2673" s="12" t="s">
        <v>38</v>
      </c>
      <c r="C2673" s="12" t="s">
        <v>291</v>
      </c>
      <c r="D2673" s="12" t="str">
        <f aca="false">INDEX('Country Tiers'!$C$2:$C$37,MATCH(C2673,'Country Tiers'!$A$2:$A$37,0))</f>
        <v>Tier 3</v>
      </c>
      <c r="E2673" s="12" t="n">
        <f aca="false">INDEX('Country Tiers'!$D$2:$D$37,MATCH(C2673,'Country Tiers'!$A$2:$A$37,0))</f>
        <v>1</v>
      </c>
    </row>
    <row r="2674" customFormat="false" ht="15" hidden="false" customHeight="false" outlineLevel="0" collapsed="false">
      <c r="A2674" s="12" t="s">
        <v>147</v>
      </c>
      <c r="B2674" s="12" t="s">
        <v>38</v>
      </c>
      <c r="C2674" s="12" t="s">
        <v>296</v>
      </c>
      <c r="D2674" s="12" t="str">
        <f aca="false">INDEX('Country Tiers'!$C$2:$C$37,MATCH(C2674,'Country Tiers'!$A$2:$A$37,0))</f>
        <v>Tier 3</v>
      </c>
      <c r="E2674" s="12" t="n">
        <f aca="false">INDEX('Country Tiers'!$D$2:$D$37,MATCH(C2674,'Country Tiers'!$A$2:$A$37,0))</f>
        <v>1</v>
      </c>
    </row>
    <row r="2675" customFormat="false" ht="15" hidden="false" customHeight="false" outlineLevel="0" collapsed="false">
      <c r="A2675" s="12" t="s">
        <v>147</v>
      </c>
      <c r="B2675" s="12" t="s">
        <v>38</v>
      </c>
      <c r="C2675" s="12" t="s">
        <v>297</v>
      </c>
      <c r="D2675" s="12" t="str">
        <f aca="false">INDEX('Country Tiers'!$C$2:$C$37,MATCH(C2675,'Country Tiers'!$A$2:$A$37,0))</f>
        <v>Tier 2</v>
      </c>
      <c r="E2675" s="12" t="n">
        <f aca="false">INDEX('Country Tiers'!$D$2:$D$37,MATCH(C2675,'Country Tiers'!$A$2:$A$37,0))</f>
        <v>2</v>
      </c>
    </row>
    <row r="2676" customFormat="false" ht="15" hidden="false" customHeight="false" outlineLevel="0" collapsed="false">
      <c r="A2676" s="12" t="s">
        <v>147</v>
      </c>
      <c r="B2676" s="12" t="s">
        <v>38</v>
      </c>
      <c r="C2676" s="12" t="s">
        <v>298</v>
      </c>
      <c r="D2676" s="12" t="str">
        <f aca="false">INDEX('Country Tiers'!$C$2:$C$37,MATCH(C2676,'Country Tiers'!$A$2:$A$37,0))</f>
        <v>Tier 1</v>
      </c>
      <c r="E2676" s="12" t="n">
        <f aca="false">INDEX('Country Tiers'!$D$2:$D$37,MATCH(C2676,'Country Tiers'!$A$2:$A$37,0))</f>
        <v>3</v>
      </c>
    </row>
    <row r="2677" customFormat="false" ht="15" hidden="false" customHeight="false" outlineLevel="0" collapsed="false">
      <c r="A2677" s="12" t="s">
        <v>147</v>
      </c>
      <c r="B2677" s="12" t="s">
        <v>38</v>
      </c>
      <c r="C2677" s="12" t="s">
        <v>299</v>
      </c>
      <c r="D2677" s="12" t="str">
        <f aca="false">INDEX('Country Tiers'!$C$2:$C$37,MATCH(C2677,'Country Tiers'!$A$2:$A$37,0))</f>
        <v>Tier 3</v>
      </c>
      <c r="E2677" s="12" t="n">
        <f aca="false">INDEX('Country Tiers'!$D$2:$D$37,MATCH(C2677,'Country Tiers'!$A$2:$A$37,0))</f>
        <v>1</v>
      </c>
    </row>
    <row r="2678" customFormat="false" ht="15" hidden="false" customHeight="false" outlineLevel="0" collapsed="false">
      <c r="A2678" s="12" t="s">
        <v>147</v>
      </c>
      <c r="B2678" s="12" t="s">
        <v>38</v>
      </c>
      <c r="C2678" s="12" t="s">
        <v>300</v>
      </c>
      <c r="D2678" s="12" t="str">
        <f aca="false">INDEX('Country Tiers'!$C$2:$C$37,MATCH(C2678,'Country Tiers'!$A$2:$A$37,0))</f>
        <v>Tier 3</v>
      </c>
      <c r="E2678" s="12" t="n">
        <f aca="false">INDEX('Country Tiers'!$D$2:$D$37,MATCH(C2678,'Country Tiers'!$A$2:$A$37,0))</f>
        <v>1</v>
      </c>
    </row>
    <row r="2679" customFormat="false" ht="15" hidden="false" customHeight="false" outlineLevel="0" collapsed="false">
      <c r="A2679" s="12" t="s">
        <v>147</v>
      </c>
      <c r="B2679" s="12" t="s">
        <v>38</v>
      </c>
      <c r="C2679" s="12" t="s">
        <v>301</v>
      </c>
      <c r="D2679" s="12" t="str">
        <f aca="false">INDEX('Country Tiers'!$C$2:$C$37,MATCH(C2679,'Country Tiers'!$A$2:$A$37,0))</f>
        <v>Tier 3</v>
      </c>
      <c r="E2679" s="12" t="n">
        <f aca="false">INDEX('Country Tiers'!$D$2:$D$37,MATCH(C2679,'Country Tiers'!$A$2:$A$37,0))</f>
        <v>1</v>
      </c>
    </row>
    <row r="2680" customFormat="false" ht="15" hidden="false" customHeight="false" outlineLevel="0" collapsed="false">
      <c r="A2680" s="12" t="s">
        <v>147</v>
      </c>
      <c r="B2680" s="12" t="s">
        <v>38</v>
      </c>
      <c r="C2680" s="12" t="s">
        <v>302</v>
      </c>
      <c r="D2680" s="12" t="str">
        <f aca="false">INDEX('Country Tiers'!$C$2:$C$37,MATCH(C2680,'Country Tiers'!$A$2:$A$37,0))</f>
        <v>Tier 3</v>
      </c>
      <c r="E2680" s="12" t="n">
        <f aca="false">INDEX('Country Tiers'!$D$2:$D$37,MATCH(C2680,'Country Tiers'!$A$2:$A$37,0))</f>
        <v>1</v>
      </c>
    </row>
    <row r="2681" customFormat="false" ht="15" hidden="false" customHeight="false" outlineLevel="0" collapsed="false">
      <c r="A2681" s="12" t="s">
        <v>147</v>
      </c>
      <c r="B2681" s="12" t="s">
        <v>38</v>
      </c>
      <c r="C2681" s="12" t="s">
        <v>305</v>
      </c>
      <c r="D2681" s="12" t="str">
        <f aca="false">INDEX('Country Tiers'!$C$2:$C$37,MATCH(C2681,'Country Tiers'!$A$2:$A$37,0))</f>
        <v>Tier 3</v>
      </c>
      <c r="E2681" s="12" t="n">
        <f aca="false">INDEX('Country Tiers'!$D$2:$D$37,MATCH(C2681,'Country Tiers'!$A$2:$A$37,0))</f>
        <v>1</v>
      </c>
    </row>
    <row r="2682" customFormat="false" ht="15" hidden="false" customHeight="false" outlineLevel="0" collapsed="false">
      <c r="A2682" s="12" t="s">
        <v>147</v>
      </c>
      <c r="B2682" s="12" t="s">
        <v>38</v>
      </c>
      <c r="C2682" s="12" t="s">
        <v>306</v>
      </c>
      <c r="D2682" s="12" t="str">
        <f aca="false">INDEX('Country Tiers'!$C$2:$C$37,MATCH(C2682,'Country Tiers'!$A$2:$A$37,0))</f>
        <v>Tier 3</v>
      </c>
      <c r="E2682" s="12" t="n">
        <f aca="false">INDEX('Country Tiers'!$D$2:$D$37,MATCH(C2682,'Country Tiers'!$A$2:$A$37,0))</f>
        <v>1</v>
      </c>
    </row>
    <row r="2683" customFormat="false" ht="15" hidden="false" customHeight="false" outlineLevel="0" collapsed="false">
      <c r="A2683" s="12" t="s">
        <v>147</v>
      </c>
      <c r="B2683" s="12" t="s">
        <v>38</v>
      </c>
      <c r="C2683" s="12" t="s">
        <v>307</v>
      </c>
      <c r="D2683" s="12" t="str">
        <f aca="false">INDEX('Country Tiers'!$C$2:$C$37,MATCH(C2683,'Country Tiers'!$A$2:$A$37,0))</f>
        <v>Tier 2</v>
      </c>
      <c r="E2683" s="12" t="n">
        <f aca="false">INDEX('Country Tiers'!$D$2:$D$37,MATCH(C2683,'Country Tiers'!$A$2:$A$37,0))</f>
        <v>2</v>
      </c>
    </row>
    <row r="2684" customFormat="false" ht="15" hidden="false" customHeight="false" outlineLevel="0" collapsed="false">
      <c r="A2684" s="12" t="s">
        <v>147</v>
      </c>
      <c r="B2684" s="12" t="s">
        <v>38</v>
      </c>
      <c r="C2684" s="12" t="s">
        <v>308</v>
      </c>
      <c r="D2684" s="12" t="str">
        <f aca="false">INDEX('Country Tiers'!$C$2:$C$37,MATCH(C2684,'Country Tiers'!$A$2:$A$37,0))</f>
        <v>Tier 3</v>
      </c>
      <c r="E2684" s="12" t="n">
        <f aca="false">INDEX('Country Tiers'!$D$2:$D$37,MATCH(C2684,'Country Tiers'!$A$2:$A$37,0))</f>
        <v>1</v>
      </c>
    </row>
    <row r="2685" customFormat="false" ht="15" hidden="false" customHeight="false" outlineLevel="0" collapsed="false">
      <c r="A2685" s="12" t="s">
        <v>147</v>
      </c>
      <c r="B2685" s="12" t="s">
        <v>38</v>
      </c>
      <c r="C2685" s="12" t="s">
        <v>309</v>
      </c>
      <c r="D2685" s="12" t="str">
        <f aca="false">INDEX('Country Tiers'!$C$2:$C$37,MATCH(C2685,'Country Tiers'!$A$2:$A$37,0))</f>
        <v>Tier 1</v>
      </c>
      <c r="E2685" s="12" t="n">
        <f aca="false">INDEX('Country Tiers'!$D$2:$D$37,MATCH(C2685,'Country Tiers'!$A$2:$A$37,0))</f>
        <v>3</v>
      </c>
    </row>
    <row r="2686" customFormat="false" ht="15" hidden="false" customHeight="false" outlineLevel="0" collapsed="false">
      <c r="A2686" s="12" t="s">
        <v>147</v>
      </c>
      <c r="B2686" s="12" t="s">
        <v>38</v>
      </c>
      <c r="C2686" s="12" t="s">
        <v>313</v>
      </c>
      <c r="D2686" s="12" t="str">
        <f aca="false">INDEX('Country Tiers'!$C$2:$C$37,MATCH(C2686,'Country Tiers'!$A$2:$A$37,0))</f>
        <v>Tier 1</v>
      </c>
      <c r="E2686" s="12" t="n">
        <f aca="false">INDEX('Country Tiers'!$D$2:$D$37,MATCH(C2686,'Country Tiers'!$A$2:$A$37,0))</f>
        <v>3</v>
      </c>
    </row>
    <row r="2687" customFormat="false" ht="15" hidden="false" customHeight="false" outlineLevel="0" collapsed="false">
      <c r="A2687" s="12" t="s">
        <v>148</v>
      </c>
      <c r="B2687" s="12" t="s">
        <v>47</v>
      </c>
      <c r="C2687" s="12" t="s">
        <v>274</v>
      </c>
      <c r="D2687" s="12" t="str">
        <f aca="false">INDEX('Country Tiers'!$C$2:$C$37,MATCH(C2687,'Country Tiers'!$A$2:$A$37,0))</f>
        <v>Tier 3</v>
      </c>
      <c r="E2687" s="12" t="n">
        <f aca="false">INDEX('Country Tiers'!$D$2:$D$37,MATCH(C2687,'Country Tiers'!$A$2:$A$37,0))</f>
        <v>1</v>
      </c>
    </row>
    <row r="2688" customFormat="false" ht="15" hidden="false" customHeight="false" outlineLevel="0" collapsed="false">
      <c r="A2688" s="12" t="s">
        <v>148</v>
      </c>
      <c r="B2688" s="12" t="s">
        <v>47</v>
      </c>
      <c r="C2688" s="12" t="s">
        <v>277</v>
      </c>
      <c r="D2688" s="12" t="str">
        <f aca="false">INDEX('Country Tiers'!$C$2:$C$37,MATCH(C2688,'Country Tiers'!$A$2:$A$37,0))</f>
        <v>Tier 1</v>
      </c>
      <c r="E2688" s="12" t="n">
        <f aca="false">INDEX('Country Tiers'!$D$2:$D$37,MATCH(C2688,'Country Tiers'!$A$2:$A$37,0))</f>
        <v>3</v>
      </c>
    </row>
    <row r="2689" customFormat="false" ht="15" hidden="false" customHeight="false" outlineLevel="0" collapsed="false">
      <c r="A2689" s="12" t="s">
        <v>148</v>
      </c>
      <c r="B2689" s="12" t="s">
        <v>47</v>
      </c>
      <c r="C2689" s="12" t="s">
        <v>278</v>
      </c>
      <c r="D2689" s="12" t="str">
        <f aca="false">INDEX('Country Tiers'!$C$2:$C$37,MATCH(C2689,'Country Tiers'!$A$2:$A$37,0))</f>
        <v>Tier 3</v>
      </c>
      <c r="E2689" s="12" t="n">
        <f aca="false">INDEX('Country Tiers'!$D$2:$D$37,MATCH(C2689,'Country Tiers'!$A$2:$A$37,0))</f>
        <v>1</v>
      </c>
    </row>
    <row r="2690" customFormat="false" ht="15" hidden="false" customHeight="false" outlineLevel="0" collapsed="false">
      <c r="A2690" s="12" t="s">
        <v>148</v>
      </c>
      <c r="B2690" s="12" t="s">
        <v>47</v>
      </c>
      <c r="C2690" s="12" t="s">
        <v>281</v>
      </c>
      <c r="D2690" s="12" t="str">
        <f aca="false">INDEX('Country Tiers'!$C$2:$C$37,MATCH(C2690,'Country Tiers'!$A$2:$A$37,0))</f>
        <v>Tier 3</v>
      </c>
      <c r="E2690" s="12" t="n">
        <f aca="false">INDEX('Country Tiers'!$D$2:$D$37,MATCH(C2690,'Country Tiers'!$A$2:$A$37,0))</f>
        <v>1</v>
      </c>
    </row>
    <row r="2691" customFormat="false" ht="15" hidden="false" customHeight="false" outlineLevel="0" collapsed="false">
      <c r="A2691" s="12" t="s">
        <v>148</v>
      </c>
      <c r="B2691" s="12" t="s">
        <v>47</v>
      </c>
      <c r="C2691" s="12" t="s">
        <v>282</v>
      </c>
      <c r="D2691" s="12" t="str">
        <f aca="false">INDEX('Country Tiers'!$C$2:$C$37,MATCH(C2691,'Country Tiers'!$A$2:$A$37,0))</f>
        <v>Tier 3</v>
      </c>
      <c r="E2691" s="12" t="n">
        <f aca="false">INDEX('Country Tiers'!$D$2:$D$37,MATCH(C2691,'Country Tiers'!$A$2:$A$37,0))</f>
        <v>1</v>
      </c>
    </row>
    <row r="2692" customFormat="false" ht="15" hidden="false" customHeight="false" outlineLevel="0" collapsed="false">
      <c r="A2692" s="12" t="s">
        <v>148</v>
      </c>
      <c r="B2692" s="12" t="s">
        <v>47</v>
      </c>
      <c r="C2692" s="12" t="s">
        <v>283</v>
      </c>
      <c r="D2692" s="12" t="str">
        <f aca="false">INDEX('Country Tiers'!$C$2:$C$37,MATCH(C2692,'Country Tiers'!$A$2:$A$37,0))</f>
        <v>Tier 3</v>
      </c>
      <c r="E2692" s="12" t="n">
        <f aca="false">INDEX('Country Tiers'!$D$2:$D$37,MATCH(C2692,'Country Tiers'!$A$2:$A$37,0))</f>
        <v>1</v>
      </c>
    </row>
    <row r="2693" customFormat="false" ht="15" hidden="false" customHeight="false" outlineLevel="0" collapsed="false">
      <c r="A2693" s="12" t="s">
        <v>148</v>
      </c>
      <c r="B2693" s="12" t="s">
        <v>47</v>
      </c>
      <c r="C2693" s="12" t="s">
        <v>284</v>
      </c>
      <c r="D2693" s="12" t="str">
        <f aca="false">INDEX('Country Tiers'!$C$2:$C$37,MATCH(C2693,'Country Tiers'!$A$2:$A$37,0))</f>
        <v>Tier 3</v>
      </c>
      <c r="E2693" s="12" t="n">
        <f aca="false">INDEX('Country Tiers'!$D$2:$D$37,MATCH(C2693,'Country Tiers'!$A$2:$A$37,0))</f>
        <v>1</v>
      </c>
    </row>
    <row r="2694" customFormat="false" ht="15" hidden="false" customHeight="false" outlineLevel="0" collapsed="false">
      <c r="A2694" s="12" t="s">
        <v>148</v>
      </c>
      <c r="B2694" s="12" t="s">
        <v>47</v>
      </c>
      <c r="C2694" s="12" t="s">
        <v>285</v>
      </c>
      <c r="D2694" s="12" t="str">
        <f aca="false">INDEX('Country Tiers'!$C$2:$C$37,MATCH(C2694,'Country Tiers'!$A$2:$A$37,0))</f>
        <v>Tier 3</v>
      </c>
      <c r="E2694" s="12" t="n">
        <f aca="false">INDEX('Country Tiers'!$D$2:$D$37,MATCH(C2694,'Country Tiers'!$A$2:$A$37,0))</f>
        <v>1</v>
      </c>
    </row>
    <row r="2695" customFormat="false" ht="15" hidden="false" customHeight="false" outlineLevel="0" collapsed="false">
      <c r="A2695" s="12" t="s">
        <v>148</v>
      </c>
      <c r="B2695" s="12" t="s">
        <v>47</v>
      </c>
      <c r="C2695" s="12" t="s">
        <v>286</v>
      </c>
      <c r="D2695" s="12" t="str">
        <f aca="false">INDEX('Country Tiers'!$C$2:$C$37,MATCH(C2695,'Country Tiers'!$A$2:$A$37,0))</f>
        <v>Tier 1</v>
      </c>
      <c r="E2695" s="12" t="n">
        <f aca="false">INDEX('Country Tiers'!$D$2:$D$37,MATCH(C2695,'Country Tiers'!$A$2:$A$37,0))</f>
        <v>3</v>
      </c>
    </row>
    <row r="2696" customFormat="false" ht="15" hidden="false" customHeight="false" outlineLevel="0" collapsed="false">
      <c r="A2696" s="12" t="s">
        <v>148</v>
      </c>
      <c r="B2696" s="12" t="s">
        <v>47</v>
      </c>
      <c r="C2696" s="12" t="s">
        <v>287</v>
      </c>
      <c r="D2696" s="12" t="str">
        <f aca="false">INDEX('Country Tiers'!$C$2:$C$37,MATCH(C2696,'Country Tiers'!$A$2:$A$37,0))</f>
        <v>Tier 1</v>
      </c>
      <c r="E2696" s="12" t="n">
        <f aca="false">INDEX('Country Tiers'!$D$2:$D$37,MATCH(C2696,'Country Tiers'!$A$2:$A$37,0))</f>
        <v>3</v>
      </c>
    </row>
    <row r="2697" customFormat="false" ht="15" hidden="false" customHeight="false" outlineLevel="0" collapsed="false">
      <c r="A2697" s="12" t="s">
        <v>148</v>
      </c>
      <c r="B2697" s="12" t="s">
        <v>47</v>
      </c>
      <c r="C2697" s="12" t="s">
        <v>290</v>
      </c>
      <c r="D2697" s="12" t="str">
        <f aca="false">INDEX('Country Tiers'!$C$2:$C$37,MATCH(C2697,'Country Tiers'!$A$2:$A$37,0))</f>
        <v>Tier 3</v>
      </c>
      <c r="E2697" s="12" t="n">
        <f aca="false">INDEX('Country Tiers'!$D$2:$D$37,MATCH(C2697,'Country Tiers'!$A$2:$A$37,0))</f>
        <v>1</v>
      </c>
    </row>
    <row r="2698" customFormat="false" ht="15" hidden="false" customHeight="false" outlineLevel="0" collapsed="false">
      <c r="A2698" s="12" t="s">
        <v>148</v>
      </c>
      <c r="B2698" s="12" t="s">
        <v>47</v>
      </c>
      <c r="C2698" s="12" t="s">
        <v>291</v>
      </c>
      <c r="D2698" s="12" t="str">
        <f aca="false">INDEX('Country Tiers'!$C$2:$C$37,MATCH(C2698,'Country Tiers'!$A$2:$A$37,0))</f>
        <v>Tier 3</v>
      </c>
      <c r="E2698" s="12" t="n">
        <f aca="false">INDEX('Country Tiers'!$D$2:$D$37,MATCH(C2698,'Country Tiers'!$A$2:$A$37,0))</f>
        <v>1</v>
      </c>
    </row>
    <row r="2699" customFormat="false" ht="15" hidden="false" customHeight="false" outlineLevel="0" collapsed="false">
      <c r="A2699" s="12" t="s">
        <v>148</v>
      </c>
      <c r="B2699" s="12" t="s">
        <v>47</v>
      </c>
      <c r="C2699" s="12" t="s">
        <v>292</v>
      </c>
      <c r="D2699" s="12" t="str">
        <f aca="false">INDEX('Country Tiers'!$C$2:$C$37,MATCH(C2699,'Country Tiers'!$A$2:$A$37,0))</f>
        <v>Tier 2</v>
      </c>
      <c r="E2699" s="12" t="n">
        <f aca="false">INDEX('Country Tiers'!$D$2:$D$37,MATCH(C2699,'Country Tiers'!$A$2:$A$37,0))</f>
        <v>2</v>
      </c>
    </row>
    <row r="2700" customFormat="false" ht="15" hidden="false" customHeight="false" outlineLevel="0" collapsed="false">
      <c r="A2700" s="12" t="s">
        <v>148</v>
      </c>
      <c r="B2700" s="12" t="s">
        <v>47</v>
      </c>
      <c r="C2700" s="12" t="s">
        <v>293</v>
      </c>
      <c r="D2700" s="12" t="str">
        <f aca="false">INDEX('Country Tiers'!$C$2:$C$37,MATCH(C2700,'Country Tiers'!$A$2:$A$37,0))</f>
        <v>Tier 3</v>
      </c>
      <c r="E2700" s="12" t="n">
        <f aca="false">INDEX('Country Tiers'!$D$2:$D$37,MATCH(C2700,'Country Tiers'!$A$2:$A$37,0))</f>
        <v>1</v>
      </c>
    </row>
    <row r="2701" customFormat="false" ht="15" hidden="false" customHeight="false" outlineLevel="0" collapsed="false">
      <c r="A2701" s="12" t="s">
        <v>148</v>
      </c>
      <c r="B2701" s="12" t="s">
        <v>47</v>
      </c>
      <c r="C2701" s="12" t="s">
        <v>295</v>
      </c>
      <c r="D2701" s="12" t="str">
        <f aca="false">INDEX('Country Tiers'!$C$2:$C$37,MATCH(C2701,'Country Tiers'!$A$2:$A$37,0))</f>
        <v>Tier 3</v>
      </c>
      <c r="E2701" s="12" t="n">
        <f aca="false">INDEX('Country Tiers'!$D$2:$D$37,MATCH(C2701,'Country Tiers'!$A$2:$A$37,0))</f>
        <v>1</v>
      </c>
    </row>
    <row r="2702" customFormat="false" ht="15" hidden="false" customHeight="false" outlineLevel="0" collapsed="false">
      <c r="A2702" s="12" t="s">
        <v>148</v>
      </c>
      <c r="B2702" s="12" t="s">
        <v>47</v>
      </c>
      <c r="C2702" s="12" t="s">
        <v>297</v>
      </c>
      <c r="D2702" s="12" t="str">
        <f aca="false">INDEX('Country Tiers'!$C$2:$C$37,MATCH(C2702,'Country Tiers'!$A$2:$A$37,0))</f>
        <v>Tier 2</v>
      </c>
      <c r="E2702" s="12" t="n">
        <f aca="false">INDEX('Country Tiers'!$D$2:$D$37,MATCH(C2702,'Country Tiers'!$A$2:$A$37,0))</f>
        <v>2</v>
      </c>
    </row>
    <row r="2703" customFormat="false" ht="15" hidden="false" customHeight="false" outlineLevel="0" collapsed="false">
      <c r="A2703" s="12" t="s">
        <v>148</v>
      </c>
      <c r="B2703" s="12" t="s">
        <v>47</v>
      </c>
      <c r="C2703" s="12" t="s">
        <v>298</v>
      </c>
      <c r="D2703" s="12" t="str">
        <f aca="false">INDEX('Country Tiers'!$C$2:$C$37,MATCH(C2703,'Country Tiers'!$A$2:$A$37,0))</f>
        <v>Tier 1</v>
      </c>
      <c r="E2703" s="12" t="n">
        <f aca="false">INDEX('Country Tiers'!$D$2:$D$37,MATCH(C2703,'Country Tiers'!$A$2:$A$37,0))</f>
        <v>3</v>
      </c>
    </row>
    <row r="2704" customFormat="false" ht="15" hidden="false" customHeight="false" outlineLevel="0" collapsed="false">
      <c r="A2704" s="12" t="s">
        <v>148</v>
      </c>
      <c r="B2704" s="12" t="s">
        <v>47</v>
      </c>
      <c r="C2704" s="12" t="s">
        <v>299</v>
      </c>
      <c r="D2704" s="12" t="str">
        <f aca="false">INDEX('Country Tiers'!$C$2:$C$37,MATCH(C2704,'Country Tiers'!$A$2:$A$37,0))</f>
        <v>Tier 3</v>
      </c>
      <c r="E2704" s="12" t="n">
        <f aca="false">INDEX('Country Tiers'!$D$2:$D$37,MATCH(C2704,'Country Tiers'!$A$2:$A$37,0))</f>
        <v>1</v>
      </c>
    </row>
    <row r="2705" customFormat="false" ht="15" hidden="false" customHeight="false" outlineLevel="0" collapsed="false">
      <c r="A2705" s="12" t="s">
        <v>148</v>
      </c>
      <c r="B2705" s="12" t="s">
        <v>47</v>
      </c>
      <c r="C2705" s="12" t="s">
        <v>300</v>
      </c>
      <c r="D2705" s="12" t="str">
        <f aca="false">INDEX('Country Tiers'!$C$2:$C$37,MATCH(C2705,'Country Tiers'!$A$2:$A$37,0))</f>
        <v>Tier 3</v>
      </c>
      <c r="E2705" s="12" t="n">
        <f aca="false">INDEX('Country Tiers'!$D$2:$D$37,MATCH(C2705,'Country Tiers'!$A$2:$A$37,0))</f>
        <v>1</v>
      </c>
    </row>
    <row r="2706" customFormat="false" ht="15" hidden="false" customHeight="false" outlineLevel="0" collapsed="false">
      <c r="A2706" s="12" t="s">
        <v>148</v>
      </c>
      <c r="B2706" s="12" t="s">
        <v>47</v>
      </c>
      <c r="C2706" s="12" t="s">
        <v>301</v>
      </c>
      <c r="D2706" s="12" t="str">
        <f aca="false">INDEX('Country Tiers'!$C$2:$C$37,MATCH(C2706,'Country Tiers'!$A$2:$A$37,0))</f>
        <v>Tier 3</v>
      </c>
      <c r="E2706" s="12" t="n">
        <f aca="false">INDEX('Country Tiers'!$D$2:$D$37,MATCH(C2706,'Country Tiers'!$A$2:$A$37,0))</f>
        <v>1</v>
      </c>
    </row>
    <row r="2707" customFormat="false" ht="15" hidden="false" customHeight="false" outlineLevel="0" collapsed="false">
      <c r="A2707" s="12" t="s">
        <v>148</v>
      </c>
      <c r="B2707" s="12" t="s">
        <v>47</v>
      </c>
      <c r="C2707" s="12" t="s">
        <v>302</v>
      </c>
      <c r="D2707" s="12" t="str">
        <f aca="false">INDEX('Country Tiers'!$C$2:$C$37,MATCH(C2707,'Country Tiers'!$A$2:$A$37,0))</f>
        <v>Tier 3</v>
      </c>
      <c r="E2707" s="12" t="n">
        <f aca="false">INDEX('Country Tiers'!$D$2:$D$37,MATCH(C2707,'Country Tiers'!$A$2:$A$37,0))</f>
        <v>1</v>
      </c>
    </row>
    <row r="2708" customFormat="false" ht="15" hidden="false" customHeight="false" outlineLevel="0" collapsed="false">
      <c r="A2708" s="12" t="s">
        <v>148</v>
      </c>
      <c r="B2708" s="12" t="s">
        <v>47</v>
      </c>
      <c r="C2708" s="12" t="s">
        <v>305</v>
      </c>
      <c r="D2708" s="12" t="str">
        <f aca="false">INDEX('Country Tiers'!$C$2:$C$37,MATCH(C2708,'Country Tiers'!$A$2:$A$37,0))</f>
        <v>Tier 3</v>
      </c>
      <c r="E2708" s="12" t="n">
        <f aca="false">INDEX('Country Tiers'!$D$2:$D$37,MATCH(C2708,'Country Tiers'!$A$2:$A$37,0))</f>
        <v>1</v>
      </c>
    </row>
    <row r="2709" customFormat="false" ht="15" hidden="false" customHeight="false" outlineLevel="0" collapsed="false">
      <c r="A2709" s="12" t="s">
        <v>148</v>
      </c>
      <c r="B2709" s="12" t="s">
        <v>47</v>
      </c>
      <c r="C2709" s="12" t="s">
        <v>306</v>
      </c>
      <c r="D2709" s="12" t="str">
        <f aca="false">INDEX('Country Tiers'!$C$2:$C$37,MATCH(C2709,'Country Tiers'!$A$2:$A$37,0))</f>
        <v>Tier 3</v>
      </c>
      <c r="E2709" s="12" t="n">
        <f aca="false">INDEX('Country Tiers'!$D$2:$D$37,MATCH(C2709,'Country Tiers'!$A$2:$A$37,0))</f>
        <v>1</v>
      </c>
    </row>
    <row r="2710" customFormat="false" ht="15" hidden="false" customHeight="false" outlineLevel="0" collapsed="false">
      <c r="A2710" s="12" t="s">
        <v>148</v>
      </c>
      <c r="B2710" s="12" t="s">
        <v>47</v>
      </c>
      <c r="C2710" s="12" t="s">
        <v>307</v>
      </c>
      <c r="D2710" s="12" t="str">
        <f aca="false">INDEX('Country Tiers'!$C$2:$C$37,MATCH(C2710,'Country Tiers'!$A$2:$A$37,0))</f>
        <v>Tier 2</v>
      </c>
      <c r="E2710" s="12" t="n">
        <f aca="false">INDEX('Country Tiers'!$D$2:$D$37,MATCH(C2710,'Country Tiers'!$A$2:$A$37,0))</f>
        <v>2</v>
      </c>
    </row>
    <row r="2711" customFormat="false" ht="15" hidden="false" customHeight="false" outlineLevel="0" collapsed="false">
      <c r="A2711" s="12" t="s">
        <v>148</v>
      </c>
      <c r="B2711" s="12" t="s">
        <v>47</v>
      </c>
      <c r="C2711" s="12" t="s">
        <v>308</v>
      </c>
      <c r="D2711" s="12" t="str">
        <f aca="false">INDEX('Country Tiers'!$C$2:$C$37,MATCH(C2711,'Country Tiers'!$A$2:$A$37,0))</f>
        <v>Tier 3</v>
      </c>
      <c r="E2711" s="12" t="n">
        <f aca="false">INDEX('Country Tiers'!$D$2:$D$37,MATCH(C2711,'Country Tiers'!$A$2:$A$37,0))</f>
        <v>1</v>
      </c>
    </row>
    <row r="2712" customFormat="false" ht="15" hidden="false" customHeight="false" outlineLevel="0" collapsed="false">
      <c r="A2712" s="12" t="s">
        <v>148</v>
      </c>
      <c r="B2712" s="12" t="s">
        <v>47</v>
      </c>
      <c r="C2712" s="12" t="s">
        <v>313</v>
      </c>
      <c r="D2712" s="12" t="str">
        <f aca="false">INDEX('Country Tiers'!$C$2:$C$37,MATCH(C2712,'Country Tiers'!$A$2:$A$37,0))</f>
        <v>Tier 1</v>
      </c>
      <c r="E2712" s="12" t="n">
        <f aca="false">INDEX('Country Tiers'!$D$2:$D$37,MATCH(C2712,'Country Tiers'!$A$2:$A$37,0))</f>
        <v>3</v>
      </c>
    </row>
    <row r="2713" customFormat="false" ht="15" hidden="false" customHeight="false" outlineLevel="0" collapsed="false">
      <c r="A2713" s="12" t="s">
        <v>148</v>
      </c>
      <c r="B2713" s="12" t="s">
        <v>44</v>
      </c>
      <c r="C2713" s="12" t="s">
        <v>274</v>
      </c>
      <c r="D2713" s="12" t="str">
        <f aca="false">INDEX('Country Tiers'!$C$2:$C$37,MATCH(C2713,'Country Tiers'!$A$2:$A$37,0))</f>
        <v>Tier 3</v>
      </c>
      <c r="E2713" s="12" t="n">
        <f aca="false">INDEX('Country Tiers'!$D$2:$D$37,MATCH(C2713,'Country Tiers'!$A$2:$A$37,0))</f>
        <v>1</v>
      </c>
    </row>
    <row r="2714" customFormat="false" ht="15" hidden="false" customHeight="false" outlineLevel="0" collapsed="false">
      <c r="A2714" s="12" t="s">
        <v>148</v>
      </c>
      <c r="B2714" s="12" t="s">
        <v>44</v>
      </c>
      <c r="C2714" s="12" t="s">
        <v>277</v>
      </c>
      <c r="D2714" s="12" t="str">
        <f aca="false">INDEX('Country Tiers'!$C$2:$C$37,MATCH(C2714,'Country Tiers'!$A$2:$A$37,0))</f>
        <v>Tier 1</v>
      </c>
      <c r="E2714" s="12" t="n">
        <f aca="false">INDEX('Country Tiers'!$D$2:$D$37,MATCH(C2714,'Country Tiers'!$A$2:$A$37,0))</f>
        <v>3</v>
      </c>
    </row>
    <row r="2715" customFormat="false" ht="15" hidden="false" customHeight="false" outlineLevel="0" collapsed="false">
      <c r="A2715" s="12" t="s">
        <v>148</v>
      </c>
      <c r="B2715" s="12" t="s">
        <v>44</v>
      </c>
      <c r="C2715" s="12" t="s">
        <v>278</v>
      </c>
      <c r="D2715" s="12" t="str">
        <f aca="false">INDEX('Country Tiers'!$C$2:$C$37,MATCH(C2715,'Country Tiers'!$A$2:$A$37,0))</f>
        <v>Tier 3</v>
      </c>
      <c r="E2715" s="12" t="n">
        <f aca="false">INDEX('Country Tiers'!$D$2:$D$37,MATCH(C2715,'Country Tiers'!$A$2:$A$37,0))</f>
        <v>1</v>
      </c>
    </row>
    <row r="2716" customFormat="false" ht="15" hidden="false" customHeight="false" outlineLevel="0" collapsed="false">
      <c r="A2716" s="12" t="s">
        <v>148</v>
      </c>
      <c r="B2716" s="12" t="s">
        <v>44</v>
      </c>
      <c r="C2716" s="12" t="s">
        <v>279</v>
      </c>
      <c r="D2716" s="12" t="str">
        <f aca="false">INDEX('Country Tiers'!$C$2:$C$37,MATCH(C2716,'Country Tiers'!$A$2:$A$37,0))</f>
        <v>Tier 1</v>
      </c>
      <c r="E2716" s="12" t="n">
        <f aca="false">INDEX('Country Tiers'!$D$2:$D$37,MATCH(C2716,'Country Tiers'!$A$2:$A$37,0))</f>
        <v>3</v>
      </c>
    </row>
    <row r="2717" customFormat="false" ht="15" hidden="false" customHeight="false" outlineLevel="0" collapsed="false">
      <c r="A2717" s="12" t="s">
        <v>148</v>
      </c>
      <c r="B2717" s="12" t="s">
        <v>44</v>
      </c>
      <c r="C2717" s="12" t="s">
        <v>281</v>
      </c>
      <c r="D2717" s="12" t="str">
        <f aca="false">INDEX('Country Tiers'!$C$2:$C$37,MATCH(C2717,'Country Tiers'!$A$2:$A$37,0))</f>
        <v>Tier 3</v>
      </c>
      <c r="E2717" s="12" t="n">
        <f aca="false">INDEX('Country Tiers'!$D$2:$D$37,MATCH(C2717,'Country Tiers'!$A$2:$A$37,0))</f>
        <v>1</v>
      </c>
    </row>
    <row r="2718" customFormat="false" ht="15" hidden="false" customHeight="false" outlineLevel="0" collapsed="false">
      <c r="A2718" s="12" t="s">
        <v>148</v>
      </c>
      <c r="B2718" s="12" t="s">
        <v>44</v>
      </c>
      <c r="C2718" s="12" t="s">
        <v>282</v>
      </c>
      <c r="D2718" s="12" t="str">
        <f aca="false">INDEX('Country Tiers'!$C$2:$C$37,MATCH(C2718,'Country Tiers'!$A$2:$A$37,0))</f>
        <v>Tier 3</v>
      </c>
      <c r="E2718" s="12" t="n">
        <f aca="false">INDEX('Country Tiers'!$D$2:$D$37,MATCH(C2718,'Country Tiers'!$A$2:$A$37,0))</f>
        <v>1</v>
      </c>
    </row>
    <row r="2719" customFormat="false" ht="15" hidden="false" customHeight="false" outlineLevel="0" collapsed="false">
      <c r="A2719" s="12" t="s">
        <v>148</v>
      </c>
      <c r="B2719" s="12" t="s">
        <v>44</v>
      </c>
      <c r="C2719" s="12" t="s">
        <v>283</v>
      </c>
      <c r="D2719" s="12" t="str">
        <f aca="false">INDEX('Country Tiers'!$C$2:$C$37,MATCH(C2719,'Country Tiers'!$A$2:$A$37,0))</f>
        <v>Tier 3</v>
      </c>
      <c r="E2719" s="12" t="n">
        <f aca="false">INDEX('Country Tiers'!$D$2:$D$37,MATCH(C2719,'Country Tiers'!$A$2:$A$37,0))</f>
        <v>1</v>
      </c>
    </row>
    <row r="2720" customFormat="false" ht="15" hidden="false" customHeight="false" outlineLevel="0" collapsed="false">
      <c r="A2720" s="12" t="s">
        <v>148</v>
      </c>
      <c r="B2720" s="12" t="s">
        <v>44</v>
      </c>
      <c r="C2720" s="12" t="s">
        <v>284</v>
      </c>
      <c r="D2720" s="12" t="str">
        <f aca="false">INDEX('Country Tiers'!$C$2:$C$37,MATCH(C2720,'Country Tiers'!$A$2:$A$37,0))</f>
        <v>Tier 3</v>
      </c>
      <c r="E2720" s="12" t="n">
        <f aca="false">INDEX('Country Tiers'!$D$2:$D$37,MATCH(C2720,'Country Tiers'!$A$2:$A$37,0))</f>
        <v>1</v>
      </c>
    </row>
    <row r="2721" customFormat="false" ht="15" hidden="false" customHeight="false" outlineLevel="0" collapsed="false">
      <c r="A2721" s="12" t="s">
        <v>148</v>
      </c>
      <c r="B2721" s="12" t="s">
        <v>44</v>
      </c>
      <c r="C2721" s="12" t="s">
        <v>285</v>
      </c>
      <c r="D2721" s="12" t="str">
        <f aca="false">INDEX('Country Tiers'!$C$2:$C$37,MATCH(C2721,'Country Tiers'!$A$2:$A$37,0))</f>
        <v>Tier 3</v>
      </c>
      <c r="E2721" s="12" t="n">
        <f aca="false">INDEX('Country Tiers'!$D$2:$D$37,MATCH(C2721,'Country Tiers'!$A$2:$A$37,0))</f>
        <v>1</v>
      </c>
    </row>
    <row r="2722" customFormat="false" ht="15" hidden="false" customHeight="false" outlineLevel="0" collapsed="false">
      <c r="A2722" s="12" t="s">
        <v>148</v>
      </c>
      <c r="B2722" s="12" t="s">
        <v>44</v>
      </c>
      <c r="C2722" s="12" t="s">
        <v>286</v>
      </c>
      <c r="D2722" s="12" t="str">
        <f aca="false">INDEX('Country Tiers'!$C$2:$C$37,MATCH(C2722,'Country Tiers'!$A$2:$A$37,0))</f>
        <v>Tier 1</v>
      </c>
      <c r="E2722" s="12" t="n">
        <f aca="false">INDEX('Country Tiers'!$D$2:$D$37,MATCH(C2722,'Country Tiers'!$A$2:$A$37,0))</f>
        <v>3</v>
      </c>
    </row>
    <row r="2723" customFormat="false" ht="15" hidden="false" customHeight="false" outlineLevel="0" collapsed="false">
      <c r="A2723" s="12" t="s">
        <v>148</v>
      </c>
      <c r="B2723" s="12" t="s">
        <v>44</v>
      </c>
      <c r="C2723" s="12" t="s">
        <v>287</v>
      </c>
      <c r="D2723" s="12" t="str">
        <f aca="false">INDEX('Country Tiers'!$C$2:$C$37,MATCH(C2723,'Country Tiers'!$A$2:$A$37,0))</f>
        <v>Tier 1</v>
      </c>
      <c r="E2723" s="12" t="n">
        <f aca="false">INDEX('Country Tiers'!$D$2:$D$37,MATCH(C2723,'Country Tiers'!$A$2:$A$37,0))</f>
        <v>3</v>
      </c>
    </row>
    <row r="2724" customFormat="false" ht="15" hidden="false" customHeight="false" outlineLevel="0" collapsed="false">
      <c r="A2724" s="12" t="s">
        <v>148</v>
      </c>
      <c r="B2724" s="12" t="s">
        <v>44</v>
      </c>
      <c r="C2724" s="12" t="s">
        <v>290</v>
      </c>
      <c r="D2724" s="12" t="str">
        <f aca="false">INDEX('Country Tiers'!$C$2:$C$37,MATCH(C2724,'Country Tiers'!$A$2:$A$37,0))</f>
        <v>Tier 3</v>
      </c>
      <c r="E2724" s="12" t="n">
        <f aca="false">INDEX('Country Tiers'!$D$2:$D$37,MATCH(C2724,'Country Tiers'!$A$2:$A$37,0))</f>
        <v>1</v>
      </c>
    </row>
    <row r="2725" customFormat="false" ht="15" hidden="false" customHeight="false" outlineLevel="0" collapsed="false">
      <c r="A2725" s="12" t="s">
        <v>148</v>
      </c>
      <c r="B2725" s="12" t="s">
        <v>44</v>
      </c>
      <c r="C2725" s="12" t="s">
        <v>291</v>
      </c>
      <c r="D2725" s="12" t="str">
        <f aca="false">INDEX('Country Tiers'!$C$2:$C$37,MATCH(C2725,'Country Tiers'!$A$2:$A$37,0))</f>
        <v>Tier 3</v>
      </c>
      <c r="E2725" s="12" t="n">
        <f aca="false">INDEX('Country Tiers'!$D$2:$D$37,MATCH(C2725,'Country Tiers'!$A$2:$A$37,0))</f>
        <v>1</v>
      </c>
    </row>
    <row r="2726" customFormat="false" ht="15" hidden="false" customHeight="false" outlineLevel="0" collapsed="false">
      <c r="A2726" s="12" t="s">
        <v>148</v>
      </c>
      <c r="B2726" s="12" t="s">
        <v>44</v>
      </c>
      <c r="C2726" s="12" t="s">
        <v>292</v>
      </c>
      <c r="D2726" s="12" t="str">
        <f aca="false">INDEX('Country Tiers'!$C$2:$C$37,MATCH(C2726,'Country Tiers'!$A$2:$A$37,0))</f>
        <v>Tier 2</v>
      </c>
      <c r="E2726" s="12" t="n">
        <f aca="false">INDEX('Country Tiers'!$D$2:$D$37,MATCH(C2726,'Country Tiers'!$A$2:$A$37,0))</f>
        <v>2</v>
      </c>
    </row>
    <row r="2727" customFormat="false" ht="15" hidden="false" customHeight="false" outlineLevel="0" collapsed="false">
      <c r="A2727" s="12" t="s">
        <v>148</v>
      </c>
      <c r="B2727" s="12" t="s">
        <v>44</v>
      </c>
      <c r="C2727" s="12" t="s">
        <v>293</v>
      </c>
      <c r="D2727" s="12" t="str">
        <f aca="false">INDEX('Country Tiers'!$C$2:$C$37,MATCH(C2727,'Country Tiers'!$A$2:$A$37,0))</f>
        <v>Tier 3</v>
      </c>
      <c r="E2727" s="12" t="n">
        <f aca="false">INDEX('Country Tiers'!$D$2:$D$37,MATCH(C2727,'Country Tiers'!$A$2:$A$37,0))</f>
        <v>1</v>
      </c>
    </row>
    <row r="2728" customFormat="false" ht="15" hidden="false" customHeight="false" outlineLevel="0" collapsed="false">
      <c r="A2728" s="12" t="s">
        <v>148</v>
      </c>
      <c r="B2728" s="12" t="s">
        <v>44</v>
      </c>
      <c r="C2728" s="12" t="s">
        <v>295</v>
      </c>
      <c r="D2728" s="12" t="str">
        <f aca="false">INDEX('Country Tiers'!$C$2:$C$37,MATCH(C2728,'Country Tiers'!$A$2:$A$37,0))</f>
        <v>Tier 3</v>
      </c>
      <c r="E2728" s="12" t="n">
        <f aca="false">INDEX('Country Tiers'!$D$2:$D$37,MATCH(C2728,'Country Tiers'!$A$2:$A$37,0))</f>
        <v>1</v>
      </c>
    </row>
    <row r="2729" customFormat="false" ht="15" hidden="false" customHeight="false" outlineLevel="0" collapsed="false">
      <c r="A2729" s="12" t="s">
        <v>148</v>
      </c>
      <c r="B2729" s="12" t="s">
        <v>44</v>
      </c>
      <c r="C2729" s="12" t="s">
        <v>297</v>
      </c>
      <c r="D2729" s="12" t="str">
        <f aca="false">INDEX('Country Tiers'!$C$2:$C$37,MATCH(C2729,'Country Tiers'!$A$2:$A$37,0))</f>
        <v>Tier 2</v>
      </c>
      <c r="E2729" s="12" t="n">
        <f aca="false">INDEX('Country Tiers'!$D$2:$D$37,MATCH(C2729,'Country Tiers'!$A$2:$A$37,0))</f>
        <v>2</v>
      </c>
    </row>
    <row r="2730" customFormat="false" ht="15" hidden="false" customHeight="false" outlineLevel="0" collapsed="false">
      <c r="A2730" s="12" t="s">
        <v>148</v>
      </c>
      <c r="B2730" s="12" t="s">
        <v>44</v>
      </c>
      <c r="C2730" s="12" t="s">
        <v>298</v>
      </c>
      <c r="D2730" s="12" t="str">
        <f aca="false">INDEX('Country Tiers'!$C$2:$C$37,MATCH(C2730,'Country Tiers'!$A$2:$A$37,0))</f>
        <v>Tier 1</v>
      </c>
      <c r="E2730" s="12" t="n">
        <f aca="false">INDEX('Country Tiers'!$D$2:$D$37,MATCH(C2730,'Country Tiers'!$A$2:$A$37,0))</f>
        <v>3</v>
      </c>
    </row>
    <row r="2731" customFormat="false" ht="15" hidden="false" customHeight="false" outlineLevel="0" collapsed="false">
      <c r="A2731" s="12" t="s">
        <v>148</v>
      </c>
      <c r="B2731" s="12" t="s">
        <v>44</v>
      </c>
      <c r="C2731" s="12" t="s">
        <v>299</v>
      </c>
      <c r="D2731" s="12" t="str">
        <f aca="false">INDEX('Country Tiers'!$C$2:$C$37,MATCH(C2731,'Country Tiers'!$A$2:$A$37,0))</f>
        <v>Tier 3</v>
      </c>
      <c r="E2731" s="12" t="n">
        <f aca="false">INDEX('Country Tiers'!$D$2:$D$37,MATCH(C2731,'Country Tiers'!$A$2:$A$37,0))</f>
        <v>1</v>
      </c>
    </row>
    <row r="2732" customFormat="false" ht="15" hidden="false" customHeight="false" outlineLevel="0" collapsed="false">
      <c r="A2732" s="12" t="s">
        <v>148</v>
      </c>
      <c r="B2732" s="12" t="s">
        <v>44</v>
      </c>
      <c r="C2732" s="12" t="s">
        <v>300</v>
      </c>
      <c r="D2732" s="12" t="str">
        <f aca="false">INDEX('Country Tiers'!$C$2:$C$37,MATCH(C2732,'Country Tiers'!$A$2:$A$37,0))</f>
        <v>Tier 3</v>
      </c>
      <c r="E2732" s="12" t="n">
        <f aca="false">INDEX('Country Tiers'!$D$2:$D$37,MATCH(C2732,'Country Tiers'!$A$2:$A$37,0))</f>
        <v>1</v>
      </c>
    </row>
    <row r="2733" customFormat="false" ht="15" hidden="false" customHeight="false" outlineLevel="0" collapsed="false">
      <c r="A2733" s="12" t="s">
        <v>148</v>
      </c>
      <c r="B2733" s="12" t="s">
        <v>44</v>
      </c>
      <c r="C2733" s="12" t="s">
        <v>301</v>
      </c>
      <c r="D2733" s="12" t="str">
        <f aca="false">INDEX('Country Tiers'!$C$2:$C$37,MATCH(C2733,'Country Tiers'!$A$2:$A$37,0))</f>
        <v>Tier 3</v>
      </c>
      <c r="E2733" s="12" t="n">
        <f aca="false">INDEX('Country Tiers'!$D$2:$D$37,MATCH(C2733,'Country Tiers'!$A$2:$A$37,0))</f>
        <v>1</v>
      </c>
    </row>
    <row r="2734" customFormat="false" ht="15" hidden="false" customHeight="false" outlineLevel="0" collapsed="false">
      <c r="A2734" s="12" t="s">
        <v>148</v>
      </c>
      <c r="B2734" s="12" t="s">
        <v>44</v>
      </c>
      <c r="C2734" s="12" t="s">
        <v>302</v>
      </c>
      <c r="D2734" s="12" t="str">
        <f aca="false">INDEX('Country Tiers'!$C$2:$C$37,MATCH(C2734,'Country Tiers'!$A$2:$A$37,0))</f>
        <v>Tier 3</v>
      </c>
      <c r="E2734" s="12" t="n">
        <f aca="false">INDEX('Country Tiers'!$D$2:$D$37,MATCH(C2734,'Country Tiers'!$A$2:$A$37,0))</f>
        <v>1</v>
      </c>
    </row>
    <row r="2735" customFormat="false" ht="15" hidden="false" customHeight="false" outlineLevel="0" collapsed="false">
      <c r="A2735" s="12" t="s">
        <v>148</v>
      </c>
      <c r="B2735" s="12" t="s">
        <v>44</v>
      </c>
      <c r="C2735" s="12" t="s">
        <v>305</v>
      </c>
      <c r="D2735" s="12" t="str">
        <f aca="false">INDEX('Country Tiers'!$C$2:$C$37,MATCH(C2735,'Country Tiers'!$A$2:$A$37,0))</f>
        <v>Tier 3</v>
      </c>
      <c r="E2735" s="12" t="n">
        <f aca="false">INDEX('Country Tiers'!$D$2:$D$37,MATCH(C2735,'Country Tiers'!$A$2:$A$37,0))</f>
        <v>1</v>
      </c>
    </row>
    <row r="2736" customFormat="false" ht="15" hidden="false" customHeight="false" outlineLevel="0" collapsed="false">
      <c r="A2736" s="12" t="s">
        <v>148</v>
      </c>
      <c r="B2736" s="12" t="s">
        <v>44</v>
      </c>
      <c r="C2736" s="12" t="s">
        <v>306</v>
      </c>
      <c r="D2736" s="12" t="str">
        <f aca="false">INDEX('Country Tiers'!$C$2:$C$37,MATCH(C2736,'Country Tiers'!$A$2:$A$37,0))</f>
        <v>Tier 3</v>
      </c>
      <c r="E2736" s="12" t="n">
        <f aca="false">INDEX('Country Tiers'!$D$2:$D$37,MATCH(C2736,'Country Tiers'!$A$2:$A$37,0))</f>
        <v>1</v>
      </c>
    </row>
    <row r="2737" customFormat="false" ht="15" hidden="false" customHeight="false" outlineLevel="0" collapsed="false">
      <c r="A2737" s="12" t="s">
        <v>148</v>
      </c>
      <c r="B2737" s="12" t="s">
        <v>44</v>
      </c>
      <c r="C2737" s="12" t="s">
        <v>307</v>
      </c>
      <c r="D2737" s="12" t="str">
        <f aca="false">INDEX('Country Tiers'!$C$2:$C$37,MATCH(C2737,'Country Tiers'!$A$2:$A$37,0))</f>
        <v>Tier 2</v>
      </c>
      <c r="E2737" s="12" t="n">
        <f aca="false">INDEX('Country Tiers'!$D$2:$D$37,MATCH(C2737,'Country Tiers'!$A$2:$A$37,0))</f>
        <v>2</v>
      </c>
    </row>
    <row r="2738" customFormat="false" ht="15" hidden="false" customHeight="false" outlineLevel="0" collapsed="false">
      <c r="A2738" s="12" t="s">
        <v>148</v>
      </c>
      <c r="B2738" s="12" t="s">
        <v>44</v>
      </c>
      <c r="C2738" s="12" t="s">
        <v>308</v>
      </c>
      <c r="D2738" s="12" t="str">
        <f aca="false">INDEX('Country Tiers'!$C$2:$C$37,MATCH(C2738,'Country Tiers'!$A$2:$A$37,0))</f>
        <v>Tier 3</v>
      </c>
      <c r="E2738" s="12" t="n">
        <f aca="false">INDEX('Country Tiers'!$D$2:$D$37,MATCH(C2738,'Country Tiers'!$A$2:$A$37,0))</f>
        <v>1</v>
      </c>
    </row>
    <row r="2739" customFormat="false" ht="15" hidden="false" customHeight="false" outlineLevel="0" collapsed="false">
      <c r="A2739" s="12" t="s">
        <v>148</v>
      </c>
      <c r="B2739" s="12" t="s">
        <v>44</v>
      </c>
      <c r="C2739" s="12" t="s">
        <v>309</v>
      </c>
      <c r="D2739" s="12" t="str">
        <f aca="false">INDEX('Country Tiers'!$C$2:$C$37,MATCH(C2739,'Country Tiers'!$A$2:$A$37,0))</f>
        <v>Tier 1</v>
      </c>
      <c r="E2739" s="12" t="n">
        <f aca="false">INDEX('Country Tiers'!$D$2:$D$37,MATCH(C2739,'Country Tiers'!$A$2:$A$37,0))</f>
        <v>3</v>
      </c>
    </row>
    <row r="2740" customFormat="false" ht="15" hidden="false" customHeight="false" outlineLevel="0" collapsed="false">
      <c r="A2740" s="12" t="s">
        <v>148</v>
      </c>
      <c r="B2740" s="12" t="s">
        <v>44</v>
      </c>
      <c r="C2740" s="12" t="s">
        <v>313</v>
      </c>
      <c r="D2740" s="12" t="str">
        <f aca="false">INDEX('Country Tiers'!$C$2:$C$37,MATCH(C2740,'Country Tiers'!$A$2:$A$37,0))</f>
        <v>Tier 1</v>
      </c>
      <c r="E2740" s="12" t="n">
        <f aca="false">INDEX('Country Tiers'!$D$2:$D$37,MATCH(C2740,'Country Tiers'!$A$2:$A$37,0))</f>
        <v>3</v>
      </c>
    </row>
    <row r="2741" customFormat="false" ht="15" hidden="false" customHeight="false" outlineLevel="0" collapsed="false">
      <c r="A2741" s="12" t="s">
        <v>149</v>
      </c>
      <c r="B2741" s="12" t="s">
        <v>44</v>
      </c>
      <c r="C2741" s="12" t="s">
        <v>277</v>
      </c>
      <c r="D2741" s="12" t="str">
        <f aca="false">INDEX('Country Tiers'!$C$2:$C$37,MATCH(C2741,'Country Tiers'!$A$2:$A$37,0))</f>
        <v>Tier 1</v>
      </c>
      <c r="E2741" s="12" t="n">
        <f aca="false">INDEX('Country Tiers'!$D$2:$D$37,MATCH(C2741,'Country Tiers'!$A$2:$A$37,0))</f>
        <v>3</v>
      </c>
    </row>
    <row r="2742" customFormat="false" ht="15" hidden="false" customHeight="false" outlineLevel="0" collapsed="false">
      <c r="A2742" s="12" t="s">
        <v>149</v>
      </c>
      <c r="B2742" s="12" t="s">
        <v>44</v>
      </c>
      <c r="C2742" s="12" t="s">
        <v>278</v>
      </c>
      <c r="D2742" s="12" t="str">
        <f aca="false">INDEX('Country Tiers'!$C$2:$C$37,MATCH(C2742,'Country Tiers'!$A$2:$A$37,0))</f>
        <v>Tier 3</v>
      </c>
      <c r="E2742" s="12" t="n">
        <f aca="false">INDEX('Country Tiers'!$D$2:$D$37,MATCH(C2742,'Country Tiers'!$A$2:$A$37,0))</f>
        <v>1</v>
      </c>
    </row>
    <row r="2743" customFormat="false" ht="15" hidden="false" customHeight="false" outlineLevel="0" collapsed="false">
      <c r="A2743" s="12" t="s">
        <v>149</v>
      </c>
      <c r="B2743" s="12" t="s">
        <v>44</v>
      </c>
      <c r="C2743" s="12" t="s">
        <v>283</v>
      </c>
      <c r="D2743" s="12" t="str">
        <f aca="false">INDEX('Country Tiers'!$C$2:$C$37,MATCH(C2743,'Country Tiers'!$A$2:$A$37,0))</f>
        <v>Tier 3</v>
      </c>
      <c r="E2743" s="12" t="n">
        <f aca="false">INDEX('Country Tiers'!$D$2:$D$37,MATCH(C2743,'Country Tiers'!$A$2:$A$37,0))</f>
        <v>1</v>
      </c>
    </row>
    <row r="2744" customFormat="false" ht="15" hidden="false" customHeight="false" outlineLevel="0" collapsed="false">
      <c r="A2744" s="12" t="s">
        <v>149</v>
      </c>
      <c r="B2744" s="12" t="s">
        <v>44</v>
      </c>
      <c r="C2744" s="12" t="s">
        <v>285</v>
      </c>
      <c r="D2744" s="12" t="str">
        <f aca="false">INDEX('Country Tiers'!$C$2:$C$37,MATCH(C2744,'Country Tiers'!$A$2:$A$37,0))</f>
        <v>Tier 3</v>
      </c>
      <c r="E2744" s="12" t="n">
        <f aca="false">INDEX('Country Tiers'!$D$2:$D$37,MATCH(C2744,'Country Tiers'!$A$2:$A$37,0))</f>
        <v>1</v>
      </c>
    </row>
    <row r="2745" customFormat="false" ht="15" hidden="false" customHeight="false" outlineLevel="0" collapsed="false">
      <c r="A2745" s="12" t="s">
        <v>149</v>
      </c>
      <c r="B2745" s="12" t="s">
        <v>44</v>
      </c>
      <c r="C2745" s="12" t="s">
        <v>286</v>
      </c>
      <c r="D2745" s="12" t="str">
        <f aca="false">INDEX('Country Tiers'!$C$2:$C$37,MATCH(C2745,'Country Tiers'!$A$2:$A$37,0))</f>
        <v>Tier 1</v>
      </c>
      <c r="E2745" s="12" t="n">
        <f aca="false">INDEX('Country Tiers'!$D$2:$D$37,MATCH(C2745,'Country Tiers'!$A$2:$A$37,0))</f>
        <v>3</v>
      </c>
    </row>
    <row r="2746" customFormat="false" ht="15" hidden="false" customHeight="false" outlineLevel="0" collapsed="false">
      <c r="A2746" s="12" t="s">
        <v>149</v>
      </c>
      <c r="B2746" s="12" t="s">
        <v>44</v>
      </c>
      <c r="C2746" s="12" t="s">
        <v>288</v>
      </c>
      <c r="D2746" s="12" t="str">
        <f aca="false">INDEX('Country Tiers'!$C$2:$C$37,MATCH(C2746,'Country Tiers'!$A$2:$A$37,0))</f>
        <v>Tier 3</v>
      </c>
      <c r="E2746" s="12" t="n">
        <f aca="false">INDEX('Country Tiers'!$D$2:$D$37,MATCH(C2746,'Country Tiers'!$A$2:$A$37,0))</f>
        <v>1</v>
      </c>
    </row>
    <row r="2747" customFormat="false" ht="15" hidden="false" customHeight="false" outlineLevel="0" collapsed="false">
      <c r="A2747" s="12" t="s">
        <v>149</v>
      </c>
      <c r="B2747" s="12" t="s">
        <v>44</v>
      </c>
      <c r="C2747" s="12" t="s">
        <v>289</v>
      </c>
      <c r="D2747" s="12" t="str">
        <f aca="false">INDEX('Country Tiers'!$C$2:$C$37,MATCH(C2747,'Country Tiers'!$A$2:$A$37,0))</f>
        <v>Tier 3</v>
      </c>
      <c r="E2747" s="12" t="n">
        <f aca="false">INDEX('Country Tiers'!$D$2:$D$37,MATCH(C2747,'Country Tiers'!$A$2:$A$37,0))</f>
        <v>1</v>
      </c>
    </row>
    <row r="2748" customFormat="false" ht="15" hidden="false" customHeight="false" outlineLevel="0" collapsed="false">
      <c r="A2748" s="12" t="s">
        <v>149</v>
      </c>
      <c r="B2748" s="12" t="s">
        <v>44</v>
      </c>
      <c r="C2748" s="12" t="s">
        <v>295</v>
      </c>
      <c r="D2748" s="12" t="str">
        <f aca="false">INDEX('Country Tiers'!$C$2:$C$37,MATCH(C2748,'Country Tiers'!$A$2:$A$37,0))</f>
        <v>Tier 3</v>
      </c>
      <c r="E2748" s="12" t="n">
        <f aca="false">INDEX('Country Tiers'!$D$2:$D$37,MATCH(C2748,'Country Tiers'!$A$2:$A$37,0))</f>
        <v>1</v>
      </c>
    </row>
    <row r="2749" customFormat="false" ht="15" hidden="false" customHeight="false" outlineLevel="0" collapsed="false">
      <c r="A2749" s="12" t="s">
        <v>149</v>
      </c>
      <c r="B2749" s="12" t="s">
        <v>44</v>
      </c>
      <c r="C2749" s="12" t="s">
        <v>296</v>
      </c>
      <c r="D2749" s="12" t="str">
        <f aca="false">INDEX('Country Tiers'!$C$2:$C$37,MATCH(C2749,'Country Tiers'!$A$2:$A$37,0))</f>
        <v>Tier 3</v>
      </c>
      <c r="E2749" s="12" t="n">
        <f aca="false">INDEX('Country Tiers'!$D$2:$D$37,MATCH(C2749,'Country Tiers'!$A$2:$A$37,0))</f>
        <v>1</v>
      </c>
    </row>
    <row r="2750" customFormat="false" ht="15" hidden="false" customHeight="false" outlineLevel="0" collapsed="false">
      <c r="A2750" s="12" t="s">
        <v>149</v>
      </c>
      <c r="B2750" s="12" t="s">
        <v>44</v>
      </c>
      <c r="C2750" s="12" t="s">
        <v>298</v>
      </c>
      <c r="D2750" s="12" t="str">
        <f aca="false">INDEX('Country Tiers'!$C$2:$C$37,MATCH(C2750,'Country Tiers'!$A$2:$A$37,0))</f>
        <v>Tier 1</v>
      </c>
      <c r="E2750" s="12" t="n">
        <f aca="false">INDEX('Country Tiers'!$D$2:$D$37,MATCH(C2750,'Country Tiers'!$A$2:$A$37,0))</f>
        <v>3</v>
      </c>
    </row>
    <row r="2751" customFormat="false" ht="15" hidden="false" customHeight="false" outlineLevel="0" collapsed="false">
      <c r="A2751" s="12" t="s">
        <v>149</v>
      </c>
      <c r="B2751" s="12" t="s">
        <v>44</v>
      </c>
      <c r="C2751" s="12" t="s">
        <v>299</v>
      </c>
      <c r="D2751" s="12" t="str">
        <f aca="false">INDEX('Country Tiers'!$C$2:$C$37,MATCH(C2751,'Country Tiers'!$A$2:$A$37,0))</f>
        <v>Tier 3</v>
      </c>
      <c r="E2751" s="12" t="n">
        <f aca="false">INDEX('Country Tiers'!$D$2:$D$37,MATCH(C2751,'Country Tiers'!$A$2:$A$37,0))</f>
        <v>1</v>
      </c>
    </row>
    <row r="2752" customFormat="false" ht="15" hidden="false" customHeight="false" outlineLevel="0" collapsed="false">
      <c r="A2752" s="12" t="s">
        <v>149</v>
      </c>
      <c r="B2752" s="12" t="s">
        <v>44</v>
      </c>
      <c r="C2752" s="12" t="s">
        <v>300</v>
      </c>
      <c r="D2752" s="12" t="str">
        <f aca="false">INDEX('Country Tiers'!$C$2:$C$37,MATCH(C2752,'Country Tiers'!$A$2:$A$37,0))</f>
        <v>Tier 3</v>
      </c>
      <c r="E2752" s="12" t="n">
        <f aca="false">INDEX('Country Tiers'!$D$2:$D$37,MATCH(C2752,'Country Tiers'!$A$2:$A$37,0))</f>
        <v>1</v>
      </c>
    </row>
    <row r="2753" customFormat="false" ht="15" hidden="false" customHeight="false" outlineLevel="0" collapsed="false">
      <c r="A2753" s="12" t="s">
        <v>149</v>
      </c>
      <c r="B2753" s="12" t="s">
        <v>44</v>
      </c>
      <c r="C2753" s="12" t="s">
        <v>301</v>
      </c>
      <c r="D2753" s="12" t="str">
        <f aca="false">INDEX('Country Tiers'!$C$2:$C$37,MATCH(C2753,'Country Tiers'!$A$2:$A$37,0))</f>
        <v>Tier 3</v>
      </c>
      <c r="E2753" s="12" t="n">
        <f aca="false">INDEX('Country Tiers'!$D$2:$D$37,MATCH(C2753,'Country Tiers'!$A$2:$A$37,0))</f>
        <v>1</v>
      </c>
    </row>
    <row r="2754" customFormat="false" ht="15" hidden="false" customHeight="false" outlineLevel="0" collapsed="false">
      <c r="A2754" s="12" t="s">
        <v>149</v>
      </c>
      <c r="B2754" s="12" t="s">
        <v>44</v>
      </c>
      <c r="C2754" s="12" t="s">
        <v>307</v>
      </c>
      <c r="D2754" s="12" t="str">
        <f aca="false">INDEX('Country Tiers'!$C$2:$C$37,MATCH(C2754,'Country Tiers'!$A$2:$A$37,0))</f>
        <v>Tier 2</v>
      </c>
      <c r="E2754" s="12" t="n">
        <f aca="false">INDEX('Country Tiers'!$D$2:$D$37,MATCH(C2754,'Country Tiers'!$A$2:$A$37,0))</f>
        <v>2</v>
      </c>
    </row>
    <row r="2755" customFormat="false" ht="15" hidden="false" customHeight="false" outlineLevel="0" collapsed="false">
      <c r="A2755" s="12" t="s">
        <v>149</v>
      </c>
      <c r="B2755" s="12" t="s">
        <v>44</v>
      </c>
      <c r="C2755" s="12" t="s">
        <v>308</v>
      </c>
      <c r="D2755" s="12" t="str">
        <f aca="false">INDEX('Country Tiers'!$C$2:$C$37,MATCH(C2755,'Country Tiers'!$A$2:$A$37,0))</f>
        <v>Tier 3</v>
      </c>
      <c r="E2755" s="12" t="n">
        <f aca="false">INDEX('Country Tiers'!$D$2:$D$37,MATCH(C2755,'Country Tiers'!$A$2:$A$37,0))</f>
        <v>1</v>
      </c>
    </row>
    <row r="2756" customFormat="false" ht="15" hidden="false" customHeight="false" outlineLevel="0" collapsed="false">
      <c r="A2756" s="12" t="s">
        <v>149</v>
      </c>
      <c r="B2756" s="12" t="s">
        <v>44</v>
      </c>
      <c r="C2756" s="12" t="s">
        <v>313</v>
      </c>
      <c r="D2756" s="12" t="str">
        <f aca="false">INDEX('Country Tiers'!$C$2:$C$37,MATCH(C2756,'Country Tiers'!$A$2:$A$37,0))</f>
        <v>Tier 1</v>
      </c>
      <c r="E2756" s="12" t="n">
        <f aca="false">INDEX('Country Tiers'!$D$2:$D$37,MATCH(C2756,'Country Tiers'!$A$2:$A$37,0))</f>
        <v>3</v>
      </c>
    </row>
    <row r="2757" customFormat="false" ht="15" hidden="false" customHeight="false" outlineLevel="0" collapsed="false">
      <c r="A2757" s="12" t="s">
        <v>150</v>
      </c>
      <c r="B2757" s="12" t="s">
        <v>38</v>
      </c>
      <c r="C2757" s="12" t="s">
        <v>309</v>
      </c>
      <c r="D2757" s="12" t="str">
        <f aca="false">INDEX('Country Tiers'!$C$2:$C$37,MATCH(C2757,'Country Tiers'!$A$2:$A$37,0))</f>
        <v>Tier 1</v>
      </c>
      <c r="E2757" s="12" t="n">
        <f aca="false">INDEX('Country Tiers'!$D$2:$D$37,MATCH(C2757,'Country Tiers'!$A$2:$A$37,0))</f>
        <v>3</v>
      </c>
    </row>
    <row r="2758" customFormat="false" ht="15" hidden="false" customHeight="false" outlineLevel="0" collapsed="false">
      <c r="A2758" s="12" t="s">
        <v>151</v>
      </c>
      <c r="B2758" s="12" t="s">
        <v>47</v>
      </c>
      <c r="C2758" s="12" t="s">
        <v>311</v>
      </c>
      <c r="D2758" s="12" t="str">
        <f aca="false">INDEX('Country Tiers'!$C$2:$C$37,MATCH(C2758,'Country Tiers'!$A$2:$A$37,0))</f>
        <v>Tier 1</v>
      </c>
      <c r="E2758" s="12" t="n">
        <f aca="false">INDEX('Country Tiers'!$D$2:$D$37,MATCH(C2758,'Country Tiers'!$A$2:$A$37,0))</f>
        <v>3</v>
      </c>
    </row>
    <row r="2759" customFormat="false" ht="15" hidden="false" customHeight="false" outlineLevel="0" collapsed="false">
      <c r="A2759" s="12" t="s">
        <v>151</v>
      </c>
      <c r="B2759" s="12" t="s">
        <v>67</v>
      </c>
      <c r="C2759" s="12" t="s">
        <v>311</v>
      </c>
      <c r="D2759" s="12" t="str">
        <f aca="false">INDEX('Country Tiers'!$C$2:$C$37,MATCH(C2759,'Country Tiers'!$A$2:$A$37,0))</f>
        <v>Tier 1</v>
      </c>
      <c r="E2759" s="12" t="n">
        <f aca="false">INDEX('Country Tiers'!$D$2:$D$37,MATCH(C2759,'Country Tiers'!$A$2:$A$37,0))</f>
        <v>3</v>
      </c>
    </row>
    <row r="2760" customFormat="false" ht="15" hidden="false" customHeight="false" outlineLevel="0" collapsed="false">
      <c r="A2760" s="12" t="s">
        <v>152</v>
      </c>
      <c r="B2760" s="12" t="s">
        <v>47</v>
      </c>
      <c r="C2760" s="12" t="s">
        <v>279</v>
      </c>
      <c r="D2760" s="12" t="str">
        <f aca="false">INDEX('Country Tiers'!$C$2:$C$37,MATCH(C2760,'Country Tiers'!$A$2:$A$37,0))</f>
        <v>Tier 1</v>
      </c>
      <c r="E2760" s="12" t="n">
        <f aca="false">INDEX('Country Tiers'!$D$2:$D$37,MATCH(C2760,'Country Tiers'!$A$2:$A$37,0))</f>
        <v>3</v>
      </c>
    </row>
    <row r="2761" customFormat="false" ht="15" hidden="false" customHeight="false" outlineLevel="0" collapsed="false">
      <c r="A2761" s="12" t="s">
        <v>152</v>
      </c>
      <c r="B2761" s="12" t="s">
        <v>47</v>
      </c>
      <c r="C2761" s="12" t="s">
        <v>311</v>
      </c>
      <c r="D2761" s="12" t="str">
        <f aca="false">INDEX('Country Tiers'!$C$2:$C$37,MATCH(C2761,'Country Tiers'!$A$2:$A$37,0))</f>
        <v>Tier 1</v>
      </c>
      <c r="E2761" s="12" t="n">
        <f aca="false">INDEX('Country Tiers'!$D$2:$D$37,MATCH(C2761,'Country Tiers'!$A$2:$A$37,0))</f>
        <v>3</v>
      </c>
    </row>
    <row r="2762" customFormat="false" ht="15" hidden="false" customHeight="false" outlineLevel="0" collapsed="false">
      <c r="A2762" s="12" t="s">
        <v>152</v>
      </c>
      <c r="B2762" s="12" t="s">
        <v>55</v>
      </c>
      <c r="C2762" s="12" t="s">
        <v>311</v>
      </c>
      <c r="D2762" s="12" t="str">
        <f aca="false">INDEX('Country Tiers'!$C$2:$C$37,MATCH(C2762,'Country Tiers'!$A$2:$A$37,0))</f>
        <v>Tier 1</v>
      </c>
      <c r="E2762" s="12" t="n">
        <f aca="false">INDEX('Country Tiers'!$D$2:$D$37,MATCH(C2762,'Country Tiers'!$A$2:$A$37,0))</f>
        <v>3</v>
      </c>
    </row>
    <row r="2763" customFormat="false" ht="15" hidden="false" customHeight="false" outlineLevel="0" collapsed="false">
      <c r="A2763" s="12" t="s">
        <v>152</v>
      </c>
      <c r="B2763" s="12" t="s">
        <v>44</v>
      </c>
      <c r="C2763" s="12" t="s">
        <v>309</v>
      </c>
      <c r="D2763" s="12" t="str">
        <f aca="false">INDEX('Country Tiers'!$C$2:$C$37,MATCH(C2763,'Country Tiers'!$A$2:$A$37,0))</f>
        <v>Tier 1</v>
      </c>
      <c r="E2763" s="12" t="n">
        <f aca="false">INDEX('Country Tiers'!$D$2:$D$37,MATCH(C2763,'Country Tiers'!$A$2:$A$37,0))</f>
        <v>3</v>
      </c>
    </row>
    <row r="2764" customFormat="false" ht="15" hidden="false" customHeight="false" outlineLevel="0" collapsed="false">
      <c r="A2764" s="12" t="s">
        <v>152</v>
      </c>
      <c r="B2764" s="12" t="s">
        <v>44</v>
      </c>
      <c r="C2764" s="12" t="s">
        <v>311</v>
      </c>
      <c r="D2764" s="12" t="str">
        <f aca="false">INDEX('Country Tiers'!$C$2:$C$37,MATCH(C2764,'Country Tiers'!$A$2:$A$37,0))</f>
        <v>Tier 1</v>
      </c>
      <c r="E2764" s="12" t="n">
        <f aca="false">INDEX('Country Tiers'!$D$2:$D$37,MATCH(C2764,'Country Tiers'!$A$2:$A$37,0))</f>
        <v>3</v>
      </c>
    </row>
    <row r="2765" customFormat="false" ht="15" hidden="false" customHeight="false" outlineLevel="0" collapsed="false">
      <c r="A2765" s="12" t="s">
        <v>153</v>
      </c>
      <c r="B2765" s="12" t="s">
        <v>55</v>
      </c>
      <c r="C2765" s="12" t="s">
        <v>311</v>
      </c>
      <c r="D2765" s="12" t="str">
        <f aca="false">INDEX('Country Tiers'!$C$2:$C$37,MATCH(C2765,'Country Tiers'!$A$2:$A$37,0))</f>
        <v>Tier 1</v>
      </c>
      <c r="E2765" s="12" t="n">
        <f aca="false">INDEX('Country Tiers'!$D$2:$D$37,MATCH(C2765,'Country Tiers'!$A$2:$A$37,0))</f>
        <v>3</v>
      </c>
    </row>
    <row r="2766" customFormat="false" ht="15" hidden="false" customHeight="false" outlineLevel="0" collapsed="false">
      <c r="A2766" s="12" t="s">
        <v>153</v>
      </c>
      <c r="B2766" s="12" t="s">
        <v>35</v>
      </c>
      <c r="C2766" s="12" t="s">
        <v>279</v>
      </c>
      <c r="D2766" s="12" t="str">
        <f aca="false">INDEX('Country Tiers'!$C$2:$C$37,MATCH(C2766,'Country Tiers'!$A$2:$A$37,0))</f>
        <v>Tier 1</v>
      </c>
      <c r="E2766" s="12" t="n">
        <f aca="false">INDEX('Country Tiers'!$D$2:$D$37,MATCH(C2766,'Country Tiers'!$A$2:$A$37,0))</f>
        <v>3</v>
      </c>
    </row>
    <row r="2767" customFormat="false" ht="15" hidden="false" customHeight="false" outlineLevel="0" collapsed="false">
      <c r="A2767" s="12" t="s">
        <v>154</v>
      </c>
      <c r="B2767" s="12" t="s">
        <v>50</v>
      </c>
      <c r="C2767" s="12" t="s">
        <v>272</v>
      </c>
      <c r="D2767" s="12" t="str">
        <f aca="false">INDEX('Country Tiers'!$C$2:$C$37,MATCH(C2767,'Country Tiers'!$A$2:$A$37,0))</f>
        <v>Tier 2</v>
      </c>
      <c r="E2767" s="12" t="n">
        <f aca="false">INDEX('Country Tiers'!$D$2:$D$37,MATCH(C2767,'Country Tiers'!$A$2:$A$37,0))</f>
        <v>2</v>
      </c>
    </row>
    <row r="2768" customFormat="false" ht="15" hidden="false" customHeight="false" outlineLevel="0" collapsed="false">
      <c r="A2768" s="12" t="s">
        <v>155</v>
      </c>
      <c r="B2768" s="12" t="s">
        <v>40</v>
      </c>
      <c r="C2768" s="12" t="s">
        <v>272</v>
      </c>
      <c r="D2768" s="12" t="str">
        <f aca="false">INDEX('Country Tiers'!$C$2:$C$37,MATCH(C2768,'Country Tiers'!$A$2:$A$37,0))</f>
        <v>Tier 2</v>
      </c>
      <c r="E2768" s="12" t="n">
        <f aca="false">INDEX('Country Tiers'!$D$2:$D$37,MATCH(C2768,'Country Tiers'!$A$2:$A$37,0))</f>
        <v>2</v>
      </c>
    </row>
    <row r="2769" customFormat="false" ht="15" hidden="false" customHeight="false" outlineLevel="0" collapsed="false">
      <c r="A2769" s="12" t="s">
        <v>156</v>
      </c>
      <c r="B2769" s="12" t="s">
        <v>47</v>
      </c>
      <c r="C2769" s="12" t="s">
        <v>274</v>
      </c>
      <c r="D2769" s="12" t="str">
        <f aca="false">INDEX('Country Tiers'!$C$2:$C$37,MATCH(C2769,'Country Tiers'!$A$2:$A$37,0))</f>
        <v>Tier 3</v>
      </c>
      <c r="E2769" s="12" t="n">
        <f aca="false">INDEX('Country Tiers'!$D$2:$D$37,MATCH(C2769,'Country Tiers'!$A$2:$A$37,0))</f>
        <v>1</v>
      </c>
    </row>
    <row r="2770" customFormat="false" ht="15" hidden="false" customHeight="false" outlineLevel="0" collapsed="false">
      <c r="A2770" s="12" t="s">
        <v>156</v>
      </c>
      <c r="B2770" s="12" t="s">
        <v>47</v>
      </c>
      <c r="C2770" s="12" t="s">
        <v>277</v>
      </c>
      <c r="D2770" s="12" t="str">
        <f aca="false">INDEX('Country Tiers'!$C$2:$C$37,MATCH(C2770,'Country Tiers'!$A$2:$A$37,0))</f>
        <v>Tier 1</v>
      </c>
      <c r="E2770" s="12" t="n">
        <f aca="false">INDEX('Country Tiers'!$D$2:$D$37,MATCH(C2770,'Country Tiers'!$A$2:$A$37,0))</f>
        <v>3</v>
      </c>
    </row>
    <row r="2771" customFormat="false" ht="15" hidden="false" customHeight="false" outlineLevel="0" collapsed="false">
      <c r="A2771" s="12" t="s">
        <v>156</v>
      </c>
      <c r="B2771" s="12" t="s">
        <v>47</v>
      </c>
      <c r="C2771" s="12" t="s">
        <v>278</v>
      </c>
      <c r="D2771" s="12" t="str">
        <f aca="false">INDEX('Country Tiers'!$C$2:$C$37,MATCH(C2771,'Country Tiers'!$A$2:$A$37,0))</f>
        <v>Tier 3</v>
      </c>
      <c r="E2771" s="12" t="n">
        <f aca="false">INDEX('Country Tiers'!$D$2:$D$37,MATCH(C2771,'Country Tiers'!$A$2:$A$37,0))</f>
        <v>1</v>
      </c>
    </row>
    <row r="2772" customFormat="false" ht="15" hidden="false" customHeight="false" outlineLevel="0" collapsed="false">
      <c r="A2772" s="12" t="s">
        <v>156</v>
      </c>
      <c r="B2772" s="12" t="s">
        <v>47</v>
      </c>
      <c r="C2772" s="12" t="s">
        <v>279</v>
      </c>
      <c r="D2772" s="12" t="str">
        <f aca="false">INDEX('Country Tiers'!$C$2:$C$37,MATCH(C2772,'Country Tiers'!$A$2:$A$37,0))</f>
        <v>Tier 1</v>
      </c>
      <c r="E2772" s="12" t="n">
        <f aca="false">INDEX('Country Tiers'!$D$2:$D$37,MATCH(C2772,'Country Tiers'!$A$2:$A$37,0))</f>
        <v>3</v>
      </c>
    </row>
    <row r="2773" customFormat="false" ht="15" hidden="false" customHeight="false" outlineLevel="0" collapsed="false">
      <c r="A2773" s="12" t="s">
        <v>156</v>
      </c>
      <c r="B2773" s="12" t="s">
        <v>47</v>
      </c>
      <c r="C2773" s="12" t="s">
        <v>280</v>
      </c>
      <c r="D2773" s="12" t="str">
        <f aca="false">INDEX('Country Tiers'!$C$2:$C$37,MATCH(C2773,'Country Tiers'!$A$2:$A$37,0))</f>
        <v>Tier 3</v>
      </c>
      <c r="E2773" s="12" t="n">
        <f aca="false">INDEX('Country Tiers'!$D$2:$D$37,MATCH(C2773,'Country Tiers'!$A$2:$A$37,0))</f>
        <v>1</v>
      </c>
    </row>
    <row r="2774" customFormat="false" ht="15" hidden="false" customHeight="false" outlineLevel="0" collapsed="false">
      <c r="A2774" s="12" t="s">
        <v>156</v>
      </c>
      <c r="B2774" s="12" t="s">
        <v>47</v>
      </c>
      <c r="C2774" s="12" t="s">
        <v>281</v>
      </c>
      <c r="D2774" s="12" t="str">
        <f aca="false">INDEX('Country Tiers'!$C$2:$C$37,MATCH(C2774,'Country Tiers'!$A$2:$A$37,0))</f>
        <v>Tier 3</v>
      </c>
      <c r="E2774" s="12" t="n">
        <f aca="false">INDEX('Country Tiers'!$D$2:$D$37,MATCH(C2774,'Country Tiers'!$A$2:$A$37,0))</f>
        <v>1</v>
      </c>
    </row>
    <row r="2775" customFormat="false" ht="15" hidden="false" customHeight="false" outlineLevel="0" collapsed="false">
      <c r="A2775" s="12" t="s">
        <v>156</v>
      </c>
      <c r="B2775" s="12" t="s">
        <v>47</v>
      </c>
      <c r="C2775" s="12" t="s">
        <v>282</v>
      </c>
      <c r="D2775" s="12" t="str">
        <f aca="false">INDEX('Country Tiers'!$C$2:$C$37,MATCH(C2775,'Country Tiers'!$A$2:$A$37,0))</f>
        <v>Tier 3</v>
      </c>
      <c r="E2775" s="12" t="n">
        <f aca="false">INDEX('Country Tiers'!$D$2:$D$37,MATCH(C2775,'Country Tiers'!$A$2:$A$37,0))</f>
        <v>1</v>
      </c>
    </row>
    <row r="2776" customFormat="false" ht="15" hidden="false" customHeight="false" outlineLevel="0" collapsed="false">
      <c r="A2776" s="12" t="s">
        <v>156</v>
      </c>
      <c r="B2776" s="12" t="s">
        <v>47</v>
      </c>
      <c r="C2776" s="12" t="s">
        <v>283</v>
      </c>
      <c r="D2776" s="12" t="str">
        <f aca="false">INDEX('Country Tiers'!$C$2:$C$37,MATCH(C2776,'Country Tiers'!$A$2:$A$37,0))</f>
        <v>Tier 3</v>
      </c>
      <c r="E2776" s="12" t="n">
        <f aca="false">INDEX('Country Tiers'!$D$2:$D$37,MATCH(C2776,'Country Tiers'!$A$2:$A$37,0))</f>
        <v>1</v>
      </c>
    </row>
    <row r="2777" customFormat="false" ht="15" hidden="false" customHeight="false" outlineLevel="0" collapsed="false">
      <c r="A2777" s="12" t="s">
        <v>156</v>
      </c>
      <c r="B2777" s="12" t="s">
        <v>47</v>
      </c>
      <c r="C2777" s="12" t="s">
        <v>284</v>
      </c>
      <c r="D2777" s="12" t="str">
        <f aca="false">INDEX('Country Tiers'!$C$2:$C$37,MATCH(C2777,'Country Tiers'!$A$2:$A$37,0))</f>
        <v>Tier 3</v>
      </c>
      <c r="E2777" s="12" t="n">
        <f aca="false">INDEX('Country Tiers'!$D$2:$D$37,MATCH(C2777,'Country Tiers'!$A$2:$A$37,0))</f>
        <v>1</v>
      </c>
    </row>
    <row r="2778" customFormat="false" ht="15" hidden="false" customHeight="false" outlineLevel="0" collapsed="false">
      <c r="A2778" s="12" t="s">
        <v>156</v>
      </c>
      <c r="B2778" s="12" t="s">
        <v>47</v>
      </c>
      <c r="C2778" s="12" t="s">
        <v>285</v>
      </c>
      <c r="D2778" s="12" t="str">
        <f aca="false">INDEX('Country Tiers'!$C$2:$C$37,MATCH(C2778,'Country Tiers'!$A$2:$A$37,0))</f>
        <v>Tier 3</v>
      </c>
      <c r="E2778" s="12" t="n">
        <f aca="false">INDEX('Country Tiers'!$D$2:$D$37,MATCH(C2778,'Country Tiers'!$A$2:$A$37,0))</f>
        <v>1</v>
      </c>
    </row>
    <row r="2779" customFormat="false" ht="15" hidden="false" customHeight="false" outlineLevel="0" collapsed="false">
      <c r="A2779" s="12" t="s">
        <v>156</v>
      </c>
      <c r="B2779" s="12" t="s">
        <v>47</v>
      </c>
      <c r="C2779" s="12" t="s">
        <v>286</v>
      </c>
      <c r="D2779" s="12" t="str">
        <f aca="false">INDEX('Country Tiers'!$C$2:$C$37,MATCH(C2779,'Country Tiers'!$A$2:$A$37,0))</f>
        <v>Tier 1</v>
      </c>
      <c r="E2779" s="12" t="n">
        <f aca="false">INDEX('Country Tiers'!$D$2:$D$37,MATCH(C2779,'Country Tiers'!$A$2:$A$37,0))</f>
        <v>3</v>
      </c>
    </row>
    <row r="2780" customFormat="false" ht="15" hidden="false" customHeight="false" outlineLevel="0" collapsed="false">
      <c r="A2780" s="12" t="s">
        <v>156</v>
      </c>
      <c r="B2780" s="12" t="s">
        <v>47</v>
      </c>
      <c r="C2780" s="12" t="s">
        <v>287</v>
      </c>
      <c r="D2780" s="12" t="str">
        <f aca="false">INDEX('Country Tiers'!$C$2:$C$37,MATCH(C2780,'Country Tiers'!$A$2:$A$37,0))</f>
        <v>Tier 1</v>
      </c>
      <c r="E2780" s="12" t="n">
        <f aca="false">INDEX('Country Tiers'!$D$2:$D$37,MATCH(C2780,'Country Tiers'!$A$2:$A$37,0))</f>
        <v>3</v>
      </c>
    </row>
    <row r="2781" customFormat="false" ht="15" hidden="false" customHeight="false" outlineLevel="0" collapsed="false">
      <c r="A2781" s="12" t="s">
        <v>156</v>
      </c>
      <c r="B2781" s="12" t="s">
        <v>47</v>
      </c>
      <c r="C2781" s="12" t="s">
        <v>288</v>
      </c>
      <c r="D2781" s="12" t="str">
        <f aca="false">INDEX('Country Tiers'!$C$2:$C$37,MATCH(C2781,'Country Tiers'!$A$2:$A$37,0))</f>
        <v>Tier 3</v>
      </c>
      <c r="E2781" s="12" t="n">
        <f aca="false">INDEX('Country Tiers'!$D$2:$D$37,MATCH(C2781,'Country Tiers'!$A$2:$A$37,0))</f>
        <v>1</v>
      </c>
    </row>
    <row r="2782" customFormat="false" ht="15" hidden="false" customHeight="false" outlineLevel="0" collapsed="false">
      <c r="A2782" s="12" t="s">
        <v>156</v>
      </c>
      <c r="B2782" s="12" t="s">
        <v>47</v>
      </c>
      <c r="C2782" s="12" t="s">
        <v>289</v>
      </c>
      <c r="D2782" s="12" t="str">
        <f aca="false">INDEX('Country Tiers'!$C$2:$C$37,MATCH(C2782,'Country Tiers'!$A$2:$A$37,0))</f>
        <v>Tier 3</v>
      </c>
      <c r="E2782" s="12" t="n">
        <f aca="false">INDEX('Country Tiers'!$D$2:$D$37,MATCH(C2782,'Country Tiers'!$A$2:$A$37,0))</f>
        <v>1</v>
      </c>
    </row>
    <row r="2783" customFormat="false" ht="15" hidden="false" customHeight="false" outlineLevel="0" collapsed="false">
      <c r="A2783" s="12" t="s">
        <v>156</v>
      </c>
      <c r="B2783" s="12" t="s">
        <v>47</v>
      </c>
      <c r="C2783" s="12" t="s">
        <v>290</v>
      </c>
      <c r="D2783" s="12" t="str">
        <f aca="false">INDEX('Country Tiers'!$C$2:$C$37,MATCH(C2783,'Country Tiers'!$A$2:$A$37,0))</f>
        <v>Tier 3</v>
      </c>
      <c r="E2783" s="12" t="n">
        <f aca="false">INDEX('Country Tiers'!$D$2:$D$37,MATCH(C2783,'Country Tiers'!$A$2:$A$37,0))</f>
        <v>1</v>
      </c>
    </row>
    <row r="2784" customFormat="false" ht="15" hidden="false" customHeight="false" outlineLevel="0" collapsed="false">
      <c r="A2784" s="12" t="s">
        <v>156</v>
      </c>
      <c r="B2784" s="12" t="s">
        <v>47</v>
      </c>
      <c r="C2784" s="12" t="s">
        <v>291</v>
      </c>
      <c r="D2784" s="12" t="str">
        <f aca="false">INDEX('Country Tiers'!$C$2:$C$37,MATCH(C2784,'Country Tiers'!$A$2:$A$37,0))</f>
        <v>Tier 3</v>
      </c>
      <c r="E2784" s="12" t="n">
        <f aca="false">INDEX('Country Tiers'!$D$2:$D$37,MATCH(C2784,'Country Tiers'!$A$2:$A$37,0))</f>
        <v>1</v>
      </c>
    </row>
    <row r="2785" customFormat="false" ht="15" hidden="false" customHeight="false" outlineLevel="0" collapsed="false">
      <c r="A2785" s="12" t="s">
        <v>156</v>
      </c>
      <c r="B2785" s="12" t="s">
        <v>47</v>
      </c>
      <c r="C2785" s="12" t="s">
        <v>292</v>
      </c>
      <c r="D2785" s="12" t="str">
        <f aca="false">INDEX('Country Tiers'!$C$2:$C$37,MATCH(C2785,'Country Tiers'!$A$2:$A$37,0))</f>
        <v>Tier 2</v>
      </c>
      <c r="E2785" s="12" t="n">
        <f aca="false">INDEX('Country Tiers'!$D$2:$D$37,MATCH(C2785,'Country Tiers'!$A$2:$A$37,0))</f>
        <v>2</v>
      </c>
    </row>
    <row r="2786" customFormat="false" ht="15" hidden="false" customHeight="false" outlineLevel="0" collapsed="false">
      <c r="A2786" s="12" t="s">
        <v>156</v>
      </c>
      <c r="B2786" s="12" t="s">
        <v>47</v>
      </c>
      <c r="C2786" s="12" t="s">
        <v>293</v>
      </c>
      <c r="D2786" s="12" t="str">
        <f aca="false">INDEX('Country Tiers'!$C$2:$C$37,MATCH(C2786,'Country Tiers'!$A$2:$A$37,0))</f>
        <v>Tier 3</v>
      </c>
      <c r="E2786" s="12" t="n">
        <f aca="false">INDEX('Country Tiers'!$D$2:$D$37,MATCH(C2786,'Country Tiers'!$A$2:$A$37,0))</f>
        <v>1</v>
      </c>
    </row>
    <row r="2787" customFormat="false" ht="15" hidden="false" customHeight="false" outlineLevel="0" collapsed="false">
      <c r="A2787" s="12" t="s">
        <v>156</v>
      </c>
      <c r="B2787" s="12" t="s">
        <v>47</v>
      </c>
      <c r="C2787" s="12" t="s">
        <v>295</v>
      </c>
      <c r="D2787" s="12" t="str">
        <f aca="false">INDEX('Country Tiers'!$C$2:$C$37,MATCH(C2787,'Country Tiers'!$A$2:$A$37,0))</f>
        <v>Tier 3</v>
      </c>
      <c r="E2787" s="12" t="n">
        <f aca="false">INDEX('Country Tiers'!$D$2:$D$37,MATCH(C2787,'Country Tiers'!$A$2:$A$37,0))</f>
        <v>1</v>
      </c>
    </row>
    <row r="2788" customFormat="false" ht="15" hidden="false" customHeight="false" outlineLevel="0" collapsed="false">
      <c r="A2788" s="12" t="s">
        <v>156</v>
      </c>
      <c r="B2788" s="12" t="s">
        <v>47</v>
      </c>
      <c r="C2788" s="12" t="s">
        <v>296</v>
      </c>
      <c r="D2788" s="12" t="str">
        <f aca="false">INDEX('Country Tiers'!$C$2:$C$37,MATCH(C2788,'Country Tiers'!$A$2:$A$37,0))</f>
        <v>Tier 3</v>
      </c>
      <c r="E2788" s="12" t="n">
        <f aca="false">INDEX('Country Tiers'!$D$2:$D$37,MATCH(C2788,'Country Tiers'!$A$2:$A$37,0))</f>
        <v>1</v>
      </c>
    </row>
    <row r="2789" customFormat="false" ht="15" hidden="false" customHeight="false" outlineLevel="0" collapsed="false">
      <c r="A2789" s="12" t="s">
        <v>156</v>
      </c>
      <c r="B2789" s="12" t="s">
        <v>47</v>
      </c>
      <c r="C2789" s="12" t="s">
        <v>297</v>
      </c>
      <c r="D2789" s="12" t="str">
        <f aca="false">INDEX('Country Tiers'!$C$2:$C$37,MATCH(C2789,'Country Tiers'!$A$2:$A$37,0))</f>
        <v>Tier 2</v>
      </c>
      <c r="E2789" s="12" t="n">
        <f aca="false">INDEX('Country Tiers'!$D$2:$D$37,MATCH(C2789,'Country Tiers'!$A$2:$A$37,0))</f>
        <v>2</v>
      </c>
    </row>
    <row r="2790" customFormat="false" ht="15" hidden="false" customHeight="false" outlineLevel="0" collapsed="false">
      <c r="A2790" s="12" t="s">
        <v>156</v>
      </c>
      <c r="B2790" s="12" t="s">
        <v>47</v>
      </c>
      <c r="C2790" s="12" t="s">
        <v>298</v>
      </c>
      <c r="D2790" s="12" t="str">
        <f aca="false">INDEX('Country Tiers'!$C$2:$C$37,MATCH(C2790,'Country Tiers'!$A$2:$A$37,0))</f>
        <v>Tier 1</v>
      </c>
      <c r="E2790" s="12" t="n">
        <f aca="false">INDEX('Country Tiers'!$D$2:$D$37,MATCH(C2790,'Country Tiers'!$A$2:$A$37,0))</f>
        <v>3</v>
      </c>
    </row>
    <row r="2791" customFormat="false" ht="15" hidden="false" customHeight="false" outlineLevel="0" collapsed="false">
      <c r="A2791" s="12" t="s">
        <v>156</v>
      </c>
      <c r="B2791" s="12" t="s">
        <v>47</v>
      </c>
      <c r="C2791" s="12" t="s">
        <v>299</v>
      </c>
      <c r="D2791" s="12" t="str">
        <f aca="false">INDEX('Country Tiers'!$C$2:$C$37,MATCH(C2791,'Country Tiers'!$A$2:$A$37,0))</f>
        <v>Tier 3</v>
      </c>
      <c r="E2791" s="12" t="n">
        <f aca="false">INDEX('Country Tiers'!$D$2:$D$37,MATCH(C2791,'Country Tiers'!$A$2:$A$37,0))</f>
        <v>1</v>
      </c>
    </row>
    <row r="2792" customFormat="false" ht="15" hidden="false" customHeight="false" outlineLevel="0" collapsed="false">
      <c r="A2792" s="12" t="s">
        <v>156</v>
      </c>
      <c r="B2792" s="12" t="s">
        <v>47</v>
      </c>
      <c r="C2792" s="12" t="s">
        <v>300</v>
      </c>
      <c r="D2792" s="12" t="str">
        <f aca="false">INDEX('Country Tiers'!$C$2:$C$37,MATCH(C2792,'Country Tiers'!$A$2:$A$37,0))</f>
        <v>Tier 3</v>
      </c>
      <c r="E2792" s="12" t="n">
        <f aca="false">INDEX('Country Tiers'!$D$2:$D$37,MATCH(C2792,'Country Tiers'!$A$2:$A$37,0))</f>
        <v>1</v>
      </c>
    </row>
    <row r="2793" customFormat="false" ht="15" hidden="false" customHeight="false" outlineLevel="0" collapsed="false">
      <c r="A2793" s="12" t="s">
        <v>156</v>
      </c>
      <c r="B2793" s="12" t="s">
        <v>47</v>
      </c>
      <c r="C2793" s="12" t="s">
        <v>301</v>
      </c>
      <c r="D2793" s="12" t="str">
        <f aca="false">INDEX('Country Tiers'!$C$2:$C$37,MATCH(C2793,'Country Tiers'!$A$2:$A$37,0))</f>
        <v>Tier 3</v>
      </c>
      <c r="E2793" s="12" t="n">
        <f aca="false">INDEX('Country Tiers'!$D$2:$D$37,MATCH(C2793,'Country Tiers'!$A$2:$A$37,0))</f>
        <v>1</v>
      </c>
    </row>
    <row r="2794" customFormat="false" ht="15" hidden="false" customHeight="false" outlineLevel="0" collapsed="false">
      <c r="A2794" s="12" t="s">
        <v>156</v>
      </c>
      <c r="B2794" s="12" t="s">
        <v>47</v>
      </c>
      <c r="C2794" s="12" t="s">
        <v>302</v>
      </c>
      <c r="D2794" s="12" t="str">
        <f aca="false">INDEX('Country Tiers'!$C$2:$C$37,MATCH(C2794,'Country Tiers'!$A$2:$A$37,0))</f>
        <v>Tier 3</v>
      </c>
      <c r="E2794" s="12" t="n">
        <f aca="false">INDEX('Country Tiers'!$D$2:$D$37,MATCH(C2794,'Country Tiers'!$A$2:$A$37,0))</f>
        <v>1</v>
      </c>
    </row>
    <row r="2795" customFormat="false" ht="15" hidden="false" customHeight="false" outlineLevel="0" collapsed="false">
      <c r="A2795" s="12" t="s">
        <v>156</v>
      </c>
      <c r="B2795" s="12" t="s">
        <v>47</v>
      </c>
      <c r="C2795" s="12" t="s">
        <v>305</v>
      </c>
      <c r="D2795" s="12" t="str">
        <f aca="false">INDEX('Country Tiers'!$C$2:$C$37,MATCH(C2795,'Country Tiers'!$A$2:$A$37,0))</f>
        <v>Tier 3</v>
      </c>
      <c r="E2795" s="12" t="n">
        <f aca="false">INDEX('Country Tiers'!$D$2:$D$37,MATCH(C2795,'Country Tiers'!$A$2:$A$37,0))</f>
        <v>1</v>
      </c>
    </row>
    <row r="2796" customFormat="false" ht="15" hidden="false" customHeight="false" outlineLevel="0" collapsed="false">
      <c r="A2796" s="12" t="s">
        <v>156</v>
      </c>
      <c r="B2796" s="12" t="s">
        <v>47</v>
      </c>
      <c r="C2796" s="12" t="s">
        <v>306</v>
      </c>
      <c r="D2796" s="12" t="str">
        <f aca="false">INDEX('Country Tiers'!$C$2:$C$37,MATCH(C2796,'Country Tiers'!$A$2:$A$37,0))</f>
        <v>Tier 3</v>
      </c>
      <c r="E2796" s="12" t="n">
        <f aca="false">INDEX('Country Tiers'!$D$2:$D$37,MATCH(C2796,'Country Tiers'!$A$2:$A$37,0))</f>
        <v>1</v>
      </c>
    </row>
    <row r="2797" customFormat="false" ht="15" hidden="false" customHeight="false" outlineLevel="0" collapsed="false">
      <c r="A2797" s="12" t="s">
        <v>156</v>
      </c>
      <c r="B2797" s="12" t="s">
        <v>47</v>
      </c>
      <c r="C2797" s="12" t="s">
        <v>307</v>
      </c>
      <c r="D2797" s="12" t="str">
        <f aca="false">INDEX('Country Tiers'!$C$2:$C$37,MATCH(C2797,'Country Tiers'!$A$2:$A$37,0))</f>
        <v>Tier 2</v>
      </c>
      <c r="E2797" s="12" t="n">
        <f aca="false">INDEX('Country Tiers'!$D$2:$D$37,MATCH(C2797,'Country Tiers'!$A$2:$A$37,0))</f>
        <v>2</v>
      </c>
    </row>
    <row r="2798" customFormat="false" ht="15" hidden="false" customHeight="false" outlineLevel="0" collapsed="false">
      <c r="A2798" s="12" t="s">
        <v>156</v>
      </c>
      <c r="B2798" s="12" t="s">
        <v>47</v>
      </c>
      <c r="C2798" s="12" t="s">
        <v>308</v>
      </c>
      <c r="D2798" s="12" t="str">
        <f aca="false">INDEX('Country Tiers'!$C$2:$C$37,MATCH(C2798,'Country Tiers'!$A$2:$A$37,0))</f>
        <v>Tier 3</v>
      </c>
      <c r="E2798" s="12" t="n">
        <f aca="false">INDEX('Country Tiers'!$D$2:$D$37,MATCH(C2798,'Country Tiers'!$A$2:$A$37,0))</f>
        <v>1</v>
      </c>
    </row>
    <row r="2799" customFormat="false" ht="15" hidden="false" customHeight="false" outlineLevel="0" collapsed="false">
      <c r="A2799" s="12" t="s">
        <v>156</v>
      </c>
      <c r="B2799" s="12" t="s">
        <v>47</v>
      </c>
      <c r="C2799" s="12" t="s">
        <v>309</v>
      </c>
      <c r="D2799" s="12" t="str">
        <f aca="false">INDEX('Country Tiers'!$C$2:$C$37,MATCH(C2799,'Country Tiers'!$A$2:$A$37,0))</f>
        <v>Tier 1</v>
      </c>
      <c r="E2799" s="12" t="n">
        <f aca="false">INDEX('Country Tiers'!$D$2:$D$37,MATCH(C2799,'Country Tiers'!$A$2:$A$37,0))</f>
        <v>3</v>
      </c>
    </row>
    <row r="2800" customFormat="false" ht="15" hidden="false" customHeight="false" outlineLevel="0" collapsed="false">
      <c r="A2800" s="12" t="s">
        <v>156</v>
      </c>
      <c r="B2800" s="12" t="s">
        <v>47</v>
      </c>
      <c r="C2800" s="12" t="s">
        <v>313</v>
      </c>
      <c r="D2800" s="12" t="str">
        <f aca="false">INDEX('Country Tiers'!$C$2:$C$37,MATCH(C2800,'Country Tiers'!$A$2:$A$37,0))</f>
        <v>Tier 1</v>
      </c>
      <c r="E2800" s="12" t="n">
        <f aca="false">INDEX('Country Tiers'!$D$2:$D$37,MATCH(C2800,'Country Tiers'!$A$2:$A$37,0))</f>
        <v>3</v>
      </c>
    </row>
    <row r="2801" customFormat="false" ht="15" hidden="false" customHeight="false" outlineLevel="0" collapsed="false">
      <c r="A2801" s="12" t="s">
        <v>156</v>
      </c>
      <c r="B2801" s="12" t="s">
        <v>35</v>
      </c>
      <c r="C2801" s="12" t="s">
        <v>274</v>
      </c>
      <c r="D2801" s="12" t="str">
        <f aca="false">INDEX('Country Tiers'!$C$2:$C$37,MATCH(C2801,'Country Tiers'!$A$2:$A$37,0))</f>
        <v>Tier 3</v>
      </c>
      <c r="E2801" s="12" t="n">
        <f aca="false">INDEX('Country Tiers'!$D$2:$D$37,MATCH(C2801,'Country Tiers'!$A$2:$A$37,0))</f>
        <v>1</v>
      </c>
    </row>
    <row r="2802" customFormat="false" ht="15" hidden="false" customHeight="false" outlineLevel="0" collapsed="false">
      <c r="A2802" s="12" t="s">
        <v>156</v>
      </c>
      <c r="B2802" s="12" t="s">
        <v>35</v>
      </c>
      <c r="C2802" s="12" t="s">
        <v>277</v>
      </c>
      <c r="D2802" s="12" t="str">
        <f aca="false">INDEX('Country Tiers'!$C$2:$C$37,MATCH(C2802,'Country Tiers'!$A$2:$A$37,0))</f>
        <v>Tier 1</v>
      </c>
      <c r="E2802" s="12" t="n">
        <f aca="false">INDEX('Country Tiers'!$D$2:$D$37,MATCH(C2802,'Country Tiers'!$A$2:$A$37,0))</f>
        <v>3</v>
      </c>
    </row>
    <row r="2803" customFormat="false" ht="15" hidden="false" customHeight="false" outlineLevel="0" collapsed="false">
      <c r="A2803" s="12" t="s">
        <v>156</v>
      </c>
      <c r="B2803" s="12" t="s">
        <v>35</v>
      </c>
      <c r="C2803" s="12" t="s">
        <v>280</v>
      </c>
      <c r="D2803" s="12" t="str">
        <f aca="false">INDEX('Country Tiers'!$C$2:$C$37,MATCH(C2803,'Country Tiers'!$A$2:$A$37,0))</f>
        <v>Tier 3</v>
      </c>
      <c r="E2803" s="12" t="n">
        <f aca="false">INDEX('Country Tiers'!$D$2:$D$37,MATCH(C2803,'Country Tiers'!$A$2:$A$37,0))</f>
        <v>1</v>
      </c>
    </row>
    <row r="2804" customFormat="false" ht="15" hidden="false" customHeight="false" outlineLevel="0" collapsed="false">
      <c r="A2804" s="12" t="s">
        <v>156</v>
      </c>
      <c r="B2804" s="12" t="s">
        <v>35</v>
      </c>
      <c r="C2804" s="12" t="s">
        <v>281</v>
      </c>
      <c r="D2804" s="12" t="str">
        <f aca="false">INDEX('Country Tiers'!$C$2:$C$37,MATCH(C2804,'Country Tiers'!$A$2:$A$37,0))</f>
        <v>Tier 3</v>
      </c>
      <c r="E2804" s="12" t="n">
        <f aca="false">INDEX('Country Tiers'!$D$2:$D$37,MATCH(C2804,'Country Tiers'!$A$2:$A$37,0))</f>
        <v>1</v>
      </c>
    </row>
    <row r="2805" customFormat="false" ht="15" hidden="false" customHeight="false" outlineLevel="0" collapsed="false">
      <c r="A2805" s="12" t="s">
        <v>156</v>
      </c>
      <c r="B2805" s="12" t="s">
        <v>35</v>
      </c>
      <c r="C2805" s="12" t="s">
        <v>282</v>
      </c>
      <c r="D2805" s="12" t="str">
        <f aca="false">INDEX('Country Tiers'!$C$2:$C$37,MATCH(C2805,'Country Tiers'!$A$2:$A$37,0))</f>
        <v>Tier 3</v>
      </c>
      <c r="E2805" s="12" t="n">
        <f aca="false">INDEX('Country Tiers'!$D$2:$D$37,MATCH(C2805,'Country Tiers'!$A$2:$A$37,0))</f>
        <v>1</v>
      </c>
    </row>
    <row r="2806" customFormat="false" ht="15" hidden="false" customHeight="false" outlineLevel="0" collapsed="false">
      <c r="A2806" s="12" t="s">
        <v>156</v>
      </c>
      <c r="B2806" s="12" t="s">
        <v>35</v>
      </c>
      <c r="C2806" s="12" t="s">
        <v>283</v>
      </c>
      <c r="D2806" s="12" t="str">
        <f aca="false">INDEX('Country Tiers'!$C$2:$C$37,MATCH(C2806,'Country Tiers'!$A$2:$A$37,0))</f>
        <v>Tier 3</v>
      </c>
      <c r="E2806" s="12" t="n">
        <f aca="false">INDEX('Country Tiers'!$D$2:$D$37,MATCH(C2806,'Country Tiers'!$A$2:$A$37,0))</f>
        <v>1</v>
      </c>
    </row>
    <row r="2807" customFormat="false" ht="15" hidden="false" customHeight="false" outlineLevel="0" collapsed="false">
      <c r="A2807" s="12" t="s">
        <v>156</v>
      </c>
      <c r="B2807" s="12" t="s">
        <v>35</v>
      </c>
      <c r="C2807" s="12" t="s">
        <v>284</v>
      </c>
      <c r="D2807" s="12" t="str">
        <f aca="false">INDEX('Country Tiers'!$C$2:$C$37,MATCH(C2807,'Country Tiers'!$A$2:$A$37,0))</f>
        <v>Tier 3</v>
      </c>
      <c r="E2807" s="12" t="n">
        <f aca="false">INDEX('Country Tiers'!$D$2:$D$37,MATCH(C2807,'Country Tiers'!$A$2:$A$37,0))</f>
        <v>1</v>
      </c>
    </row>
    <row r="2808" customFormat="false" ht="15" hidden="false" customHeight="false" outlineLevel="0" collapsed="false">
      <c r="A2808" s="12" t="s">
        <v>156</v>
      </c>
      <c r="B2808" s="12" t="s">
        <v>35</v>
      </c>
      <c r="C2808" s="12" t="s">
        <v>285</v>
      </c>
      <c r="D2808" s="12" t="str">
        <f aca="false">INDEX('Country Tiers'!$C$2:$C$37,MATCH(C2808,'Country Tiers'!$A$2:$A$37,0))</f>
        <v>Tier 3</v>
      </c>
      <c r="E2808" s="12" t="n">
        <f aca="false">INDEX('Country Tiers'!$D$2:$D$37,MATCH(C2808,'Country Tiers'!$A$2:$A$37,0))</f>
        <v>1</v>
      </c>
    </row>
    <row r="2809" customFormat="false" ht="15" hidden="false" customHeight="false" outlineLevel="0" collapsed="false">
      <c r="A2809" s="12" t="s">
        <v>156</v>
      </c>
      <c r="B2809" s="12" t="s">
        <v>35</v>
      </c>
      <c r="C2809" s="12" t="s">
        <v>286</v>
      </c>
      <c r="D2809" s="12" t="str">
        <f aca="false">INDEX('Country Tiers'!$C$2:$C$37,MATCH(C2809,'Country Tiers'!$A$2:$A$37,0))</f>
        <v>Tier 1</v>
      </c>
      <c r="E2809" s="12" t="n">
        <f aca="false">INDEX('Country Tiers'!$D$2:$D$37,MATCH(C2809,'Country Tiers'!$A$2:$A$37,0))</f>
        <v>3</v>
      </c>
    </row>
    <row r="2810" customFormat="false" ht="15" hidden="false" customHeight="false" outlineLevel="0" collapsed="false">
      <c r="A2810" s="12" t="s">
        <v>156</v>
      </c>
      <c r="B2810" s="12" t="s">
        <v>35</v>
      </c>
      <c r="C2810" s="12" t="s">
        <v>287</v>
      </c>
      <c r="D2810" s="12" t="str">
        <f aca="false">INDEX('Country Tiers'!$C$2:$C$37,MATCH(C2810,'Country Tiers'!$A$2:$A$37,0))</f>
        <v>Tier 1</v>
      </c>
      <c r="E2810" s="12" t="n">
        <f aca="false">INDEX('Country Tiers'!$D$2:$D$37,MATCH(C2810,'Country Tiers'!$A$2:$A$37,0))</f>
        <v>3</v>
      </c>
    </row>
    <row r="2811" customFormat="false" ht="15" hidden="false" customHeight="false" outlineLevel="0" collapsed="false">
      <c r="A2811" s="12" t="s">
        <v>156</v>
      </c>
      <c r="B2811" s="12" t="s">
        <v>35</v>
      </c>
      <c r="C2811" s="12" t="s">
        <v>288</v>
      </c>
      <c r="D2811" s="12" t="str">
        <f aca="false">INDEX('Country Tiers'!$C$2:$C$37,MATCH(C2811,'Country Tiers'!$A$2:$A$37,0))</f>
        <v>Tier 3</v>
      </c>
      <c r="E2811" s="12" t="n">
        <f aca="false">INDEX('Country Tiers'!$D$2:$D$37,MATCH(C2811,'Country Tiers'!$A$2:$A$37,0))</f>
        <v>1</v>
      </c>
    </row>
    <row r="2812" customFormat="false" ht="15" hidden="false" customHeight="false" outlineLevel="0" collapsed="false">
      <c r="A2812" s="12" t="s">
        <v>156</v>
      </c>
      <c r="B2812" s="12" t="s">
        <v>35</v>
      </c>
      <c r="C2812" s="12" t="s">
        <v>289</v>
      </c>
      <c r="D2812" s="12" t="str">
        <f aca="false">INDEX('Country Tiers'!$C$2:$C$37,MATCH(C2812,'Country Tiers'!$A$2:$A$37,0))</f>
        <v>Tier 3</v>
      </c>
      <c r="E2812" s="12" t="n">
        <f aca="false">INDEX('Country Tiers'!$D$2:$D$37,MATCH(C2812,'Country Tiers'!$A$2:$A$37,0))</f>
        <v>1</v>
      </c>
    </row>
    <row r="2813" customFormat="false" ht="15" hidden="false" customHeight="false" outlineLevel="0" collapsed="false">
      <c r="A2813" s="12" t="s">
        <v>156</v>
      </c>
      <c r="B2813" s="12" t="s">
        <v>35</v>
      </c>
      <c r="C2813" s="12" t="s">
        <v>290</v>
      </c>
      <c r="D2813" s="12" t="str">
        <f aca="false">INDEX('Country Tiers'!$C$2:$C$37,MATCH(C2813,'Country Tiers'!$A$2:$A$37,0))</f>
        <v>Tier 3</v>
      </c>
      <c r="E2813" s="12" t="n">
        <f aca="false">INDEX('Country Tiers'!$D$2:$D$37,MATCH(C2813,'Country Tiers'!$A$2:$A$37,0))</f>
        <v>1</v>
      </c>
    </row>
    <row r="2814" customFormat="false" ht="15" hidden="false" customHeight="false" outlineLevel="0" collapsed="false">
      <c r="A2814" s="12" t="s">
        <v>156</v>
      </c>
      <c r="B2814" s="12" t="s">
        <v>35</v>
      </c>
      <c r="C2814" s="12" t="s">
        <v>291</v>
      </c>
      <c r="D2814" s="12" t="str">
        <f aca="false">INDEX('Country Tiers'!$C$2:$C$37,MATCH(C2814,'Country Tiers'!$A$2:$A$37,0))</f>
        <v>Tier 3</v>
      </c>
      <c r="E2814" s="12" t="n">
        <f aca="false">INDEX('Country Tiers'!$D$2:$D$37,MATCH(C2814,'Country Tiers'!$A$2:$A$37,0))</f>
        <v>1</v>
      </c>
    </row>
    <row r="2815" customFormat="false" ht="15" hidden="false" customHeight="false" outlineLevel="0" collapsed="false">
      <c r="A2815" s="12" t="s">
        <v>156</v>
      </c>
      <c r="B2815" s="12" t="s">
        <v>35</v>
      </c>
      <c r="C2815" s="12" t="s">
        <v>292</v>
      </c>
      <c r="D2815" s="12" t="str">
        <f aca="false">INDEX('Country Tiers'!$C$2:$C$37,MATCH(C2815,'Country Tiers'!$A$2:$A$37,0))</f>
        <v>Tier 2</v>
      </c>
      <c r="E2815" s="12" t="n">
        <f aca="false">INDEX('Country Tiers'!$D$2:$D$37,MATCH(C2815,'Country Tiers'!$A$2:$A$37,0))</f>
        <v>2</v>
      </c>
    </row>
    <row r="2816" customFormat="false" ht="15" hidden="false" customHeight="false" outlineLevel="0" collapsed="false">
      <c r="A2816" s="12" t="s">
        <v>156</v>
      </c>
      <c r="B2816" s="12" t="s">
        <v>35</v>
      </c>
      <c r="C2816" s="12" t="s">
        <v>293</v>
      </c>
      <c r="D2816" s="12" t="str">
        <f aca="false">INDEX('Country Tiers'!$C$2:$C$37,MATCH(C2816,'Country Tiers'!$A$2:$A$37,0))</f>
        <v>Tier 3</v>
      </c>
      <c r="E2816" s="12" t="n">
        <f aca="false">INDEX('Country Tiers'!$D$2:$D$37,MATCH(C2816,'Country Tiers'!$A$2:$A$37,0))</f>
        <v>1</v>
      </c>
    </row>
    <row r="2817" customFormat="false" ht="15" hidden="false" customHeight="false" outlineLevel="0" collapsed="false">
      <c r="A2817" s="12" t="s">
        <v>156</v>
      </c>
      <c r="B2817" s="12" t="s">
        <v>35</v>
      </c>
      <c r="C2817" s="12" t="s">
        <v>295</v>
      </c>
      <c r="D2817" s="12" t="str">
        <f aca="false">INDEX('Country Tiers'!$C$2:$C$37,MATCH(C2817,'Country Tiers'!$A$2:$A$37,0))</f>
        <v>Tier 3</v>
      </c>
      <c r="E2817" s="12" t="n">
        <f aca="false">INDEX('Country Tiers'!$D$2:$D$37,MATCH(C2817,'Country Tiers'!$A$2:$A$37,0))</f>
        <v>1</v>
      </c>
    </row>
    <row r="2818" customFormat="false" ht="15" hidden="false" customHeight="false" outlineLevel="0" collapsed="false">
      <c r="A2818" s="12" t="s">
        <v>156</v>
      </c>
      <c r="B2818" s="12" t="s">
        <v>35</v>
      </c>
      <c r="C2818" s="12" t="s">
        <v>296</v>
      </c>
      <c r="D2818" s="12" t="str">
        <f aca="false">INDEX('Country Tiers'!$C$2:$C$37,MATCH(C2818,'Country Tiers'!$A$2:$A$37,0))</f>
        <v>Tier 3</v>
      </c>
      <c r="E2818" s="12" t="n">
        <f aca="false">INDEX('Country Tiers'!$D$2:$D$37,MATCH(C2818,'Country Tiers'!$A$2:$A$37,0))</f>
        <v>1</v>
      </c>
    </row>
    <row r="2819" customFormat="false" ht="15" hidden="false" customHeight="false" outlineLevel="0" collapsed="false">
      <c r="A2819" s="12" t="s">
        <v>156</v>
      </c>
      <c r="B2819" s="12" t="s">
        <v>35</v>
      </c>
      <c r="C2819" s="12" t="s">
        <v>297</v>
      </c>
      <c r="D2819" s="12" t="str">
        <f aca="false">INDEX('Country Tiers'!$C$2:$C$37,MATCH(C2819,'Country Tiers'!$A$2:$A$37,0))</f>
        <v>Tier 2</v>
      </c>
      <c r="E2819" s="12" t="n">
        <f aca="false">INDEX('Country Tiers'!$D$2:$D$37,MATCH(C2819,'Country Tiers'!$A$2:$A$37,0))</f>
        <v>2</v>
      </c>
    </row>
    <row r="2820" customFormat="false" ht="15" hidden="false" customHeight="false" outlineLevel="0" collapsed="false">
      <c r="A2820" s="12" t="s">
        <v>156</v>
      </c>
      <c r="B2820" s="12" t="s">
        <v>35</v>
      </c>
      <c r="C2820" s="12" t="s">
        <v>298</v>
      </c>
      <c r="D2820" s="12" t="str">
        <f aca="false">INDEX('Country Tiers'!$C$2:$C$37,MATCH(C2820,'Country Tiers'!$A$2:$A$37,0))</f>
        <v>Tier 1</v>
      </c>
      <c r="E2820" s="12" t="n">
        <f aca="false">INDEX('Country Tiers'!$D$2:$D$37,MATCH(C2820,'Country Tiers'!$A$2:$A$37,0))</f>
        <v>3</v>
      </c>
    </row>
    <row r="2821" customFormat="false" ht="15" hidden="false" customHeight="false" outlineLevel="0" collapsed="false">
      <c r="A2821" s="12" t="s">
        <v>156</v>
      </c>
      <c r="B2821" s="12" t="s">
        <v>35</v>
      </c>
      <c r="C2821" s="12" t="s">
        <v>299</v>
      </c>
      <c r="D2821" s="12" t="str">
        <f aca="false">INDEX('Country Tiers'!$C$2:$C$37,MATCH(C2821,'Country Tiers'!$A$2:$A$37,0))</f>
        <v>Tier 3</v>
      </c>
      <c r="E2821" s="12" t="n">
        <f aca="false">INDEX('Country Tiers'!$D$2:$D$37,MATCH(C2821,'Country Tiers'!$A$2:$A$37,0))</f>
        <v>1</v>
      </c>
    </row>
    <row r="2822" customFormat="false" ht="15" hidden="false" customHeight="false" outlineLevel="0" collapsed="false">
      <c r="A2822" s="12" t="s">
        <v>156</v>
      </c>
      <c r="B2822" s="12" t="s">
        <v>35</v>
      </c>
      <c r="C2822" s="12" t="s">
        <v>301</v>
      </c>
      <c r="D2822" s="12" t="str">
        <f aca="false">INDEX('Country Tiers'!$C$2:$C$37,MATCH(C2822,'Country Tiers'!$A$2:$A$37,0))</f>
        <v>Tier 3</v>
      </c>
      <c r="E2822" s="12" t="n">
        <f aca="false">INDEX('Country Tiers'!$D$2:$D$37,MATCH(C2822,'Country Tiers'!$A$2:$A$37,0))</f>
        <v>1</v>
      </c>
    </row>
    <row r="2823" customFormat="false" ht="15" hidden="false" customHeight="false" outlineLevel="0" collapsed="false">
      <c r="A2823" s="12" t="s">
        <v>156</v>
      </c>
      <c r="B2823" s="12" t="s">
        <v>35</v>
      </c>
      <c r="C2823" s="12" t="s">
        <v>302</v>
      </c>
      <c r="D2823" s="12" t="str">
        <f aca="false">INDEX('Country Tiers'!$C$2:$C$37,MATCH(C2823,'Country Tiers'!$A$2:$A$37,0))</f>
        <v>Tier 3</v>
      </c>
      <c r="E2823" s="12" t="n">
        <f aca="false">INDEX('Country Tiers'!$D$2:$D$37,MATCH(C2823,'Country Tiers'!$A$2:$A$37,0))</f>
        <v>1</v>
      </c>
    </row>
    <row r="2824" customFormat="false" ht="15" hidden="false" customHeight="false" outlineLevel="0" collapsed="false">
      <c r="A2824" s="12" t="s">
        <v>156</v>
      </c>
      <c r="B2824" s="12" t="s">
        <v>35</v>
      </c>
      <c r="C2824" s="12" t="s">
        <v>305</v>
      </c>
      <c r="D2824" s="12" t="str">
        <f aca="false">INDEX('Country Tiers'!$C$2:$C$37,MATCH(C2824,'Country Tiers'!$A$2:$A$37,0))</f>
        <v>Tier 3</v>
      </c>
      <c r="E2824" s="12" t="n">
        <f aca="false">INDEX('Country Tiers'!$D$2:$D$37,MATCH(C2824,'Country Tiers'!$A$2:$A$37,0))</f>
        <v>1</v>
      </c>
    </row>
    <row r="2825" customFormat="false" ht="15" hidden="false" customHeight="false" outlineLevel="0" collapsed="false">
      <c r="A2825" s="12" t="s">
        <v>156</v>
      </c>
      <c r="B2825" s="12" t="s">
        <v>35</v>
      </c>
      <c r="C2825" s="12" t="s">
        <v>306</v>
      </c>
      <c r="D2825" s="12" t="str">
        <f aca="false">INDEX('Country Tiers'!$C$2:$C$37,MATCH(C2825,'Country Tiers'!$A$2:$A$37,0))</f>
        <v>Tier 3</v>
      </c>
      <c r="E2825" s="12" t="n">
        <f aca="false">INDEX('Country Tiers'!$D$2:$D$37,MATCH(C2825,'Country Tiers'!$A$2:$A$37,0))</f>
        <v>1</v>
      </c>
    </row>
    <row r="2826" customFormat="false" ht="15" hidden="false" customHeight="false" outlineLevel="0" collapsed="false">
      <c r="A2826" s="12" t="s">
        <v>156</v>
      </c>
      <c r="B2826" s="12" t="s">
        <v>35</v>
      </c>
      <c r="C2826" s="12" t="s">
        <v>307</v>
      </c>
      <c r="D2826" s="12" t="str">
        <f aca="false">INDEX('Country Tiers'!$C$2:$C$37,MATCH(C2826,'Country Tiers'!$A$2:$A$37,0))</f>
        <v>Tier 2</v>
      </c>
      <c r="E2826" s="12" t="n">
        <f aca="false">INDEX('Country Tiers'!$D$2:$D$37,MATCH(C2826,'Country Tiers'!$A$2:$A$37,0))</f>
        <v>2</v>
      </c>
    </row>
    <row r="2827" customFormat="false" ht="15" hidden="false" customHeight="false" outlineLevel="0" collapsed="false">
      <c r="A2827" s="12" t="s">
        <v>156</v>
      </c>
      <c r="B2827" s="12" t="s">
        <v>35</v>
      </c>
      <c r="C2827" s="12" t="s">
        <v>308</v>
      </c>
      <c r="D2827" s="12" t="str">
        <f aca="false">INDEX('Country Tiers'!$C$2:$C$37,MATCH(C2827,'Country Tiers'!$A$2:$A$37,0))</f>
        <v>Tier 3</v>
      </c>
      <c r="E2827" s="12" t="n">
        <f aca="false">INDEX('Country Tiers'!$D$2:$D$37,MATCH(C2827,'Country Tiers'!$A$2:$A$37,0))</f>
        <v>1</v>
      </c>
    </row>
    <row r="2828" customFormat="false" ht="15" hidden="false" customHeight="false" outlineLevel="0" collapsed="false">
      <c r="A2828" s="12" t="s">
        <v>156</v>
      </c>
      <c r="B2828" s="12" t="s">
        <v>35</v>
      </c>
      <c r="C2828" s="12" t="s">
        <v>313</v>
      </c>
      <c r="D2828" s="12" t="str">
        <f aca="false">INDEX('Country Tiers'!$C$2:$C$37,MATCH(C2828,'Country Tiers'!$A$2:$A$37,0))</f>
        <v>Tier 1</v>
      </c>
      <c r="E2828" s="12" t="n">
        <f aca="false">INDEX('Country Tiers'!$D$2:$D$37,MATCH(C2828,'Country Tiers'!$A$2:$A$37,0))</f>
        <v>3</v>
      </c>
    </row>
    <row r="2829" customFormat="false" ht="15" hidden="false" customHeight="false" outlineLevel="0" collapsed="false">
      <c r="A2829" s="12" t="s">
        <v>156</v>
      </c>
      <c r="B2829" s="12" t="s">
        <v>44</v>
      </c>
      <c r="C2829" s="12" t="s">
        <v>272</v>
      </c>
      <c r="D2829" s="12" t="str">
        <f aca="false">INDEX('Country Tiers'!$C$2:$C$37,MATCH(C2829,'Country Tiers'!$A$2:$A$37,0))</f>
        <v>Tier 2</v>
      </c>
      <c r="E2829" s="12" t="n">
        <f aca="false">INDEX('Country Tiers'!$D$2:$D$37,MATCH(C2829,'Country Tiers'!$A$2:$A$37,0))</f>
        <v>2</v>
      </c>
    </row>
    <row r="2830" customFormat="false" ht="15" hidden="false" customHeight="false" outlineLevel="0" collapsed="false">
      <c r="A2830" s="12" t="s">
        <v>156</v>
      </c>
      <c r="B2830" s="12" t="s">
        <v>44</v>
      </c>
      <c r="C2830" s="12" t="s">
        <v>274</v>
      </c>
      <c r="D2830" s="12" t="str">
        <f aca="false">INDEX('Country Tiers'!$C$2:$C$37,MATCH(C2830,'Country Tiers'!$A$2:$A$37,0))</f>
        <v>Tier 3</v>
      </c>
      <c r="E2830" s="12" t="n">
        <f aca="false">INDEX('Country Tiers'!$D$2:$D$37,MATCH(C2830,'Country Tiers'!$A$2:$A$37,0))</f>
        <v>1</v>
      </c>
    </row>
    <row r="2831" customFormat="false" ht="15" hidden="false" customHeight="false" outlineLevel="0" collapsed="false">
      <c r="A2831" s="12" t="s">
        <v>156</v>
      </c>
      <c r="B2831" s="12" t="s">
        <v>44</v>
      </c>
      <c r="C2831" s="12" t="s">
        <v>277</v>
      </c>
      <c r="D2831" s="12" t="str">
        <f aca="false">INDEX('Country Tiers'!$C$2:$C$37,MATCH(C2831,'Country Tiers'!$A$2:$A$37,0))</f>
        <v>Tier 1</v>
      </c>
      <c r="E2831" s="12" t="n">
        <f aca="false">INDEX('Country Tiers'!$D$2:$D$37,MATCH(C2831,'Country Tiers'!$A$2:$A$37,0))</f>
        <v>3</v>
      </c>
    </row>
    <row r="2832" customFormat="false" ht="15" hidden="false" customHeight="false" outlineLevel="0" collapsed="false">
      <c r="A2832" s="12" t="s">
        <v>156</v>
      </c>
      <c r="B2832" s="12" t="s">
        <v>44</v>
      </c>
      <c r="C2832" s="12" t="s">
        <v>278</v>
      </c>
      <c r="D2832" s="12" t="str">
        <f aca="false">INDEX('Country Tiers'!$C$2:$C$37,MATCH(C2832,'Country Tiers'!$A$2:$A$37,0))</f>
        <v>Tier 3</v>
      </c>
      <c r="E2832" s="12" t="n">
        <f aca="false">INDEX('Country Tiers'!$D$2:$D$37,MATCH(C2832,'Country Tiers'!$A$2:$A$37,0))</f>
        <v>1</v>
      </c>
    </row>
    <row r="2833" customFormat="false" ht="15" hidden="false" customHeight="false" outlineLevel="0" collapsed="false">
      <c r="A2833" s="12" t="s">
        <v>156</v>
      </c>
      <c r="B2833" s="12" t="s">
        <v>44</v>
      </c>
      <c r="C2833" s="12" t="s">
        <v>280</v>
      </c>
      <c r="D2833" s="12" t="str">
        <f aca="false">INDEX('Country Tiers'!$C$2:$C$37,MATCH(C2833,'Country Tiers'!$A$2:$A$37,0))</f>
        <v>Tier 3</v>
      </c>
      <c r="E2833" s="12" t="n">
        <f aca="false">INDEX('Country Tiers'!$D$2:$D$37,MATCH(C2833,'Country Tiers'!$A$2:$A$37,0))</f>
        <v>1</v>
      </c>
    </row>
    <row r="2834" customFormat="false" ht="15" hidden="false" customHeight="false" outlineLevel="0" collapsed="false">
      <c r="A2834" s="12" t="s">
        <v>156</v>
      </c>
      <c r="B2834" s="12" t="s">
        <v>44</v>
      </c>
      <c r="C2834" s="12" t="s">
        <v>281</v>
      </c>
      <c r="D2834" s="12" t="str">
        <f aca="false">INDEX('Country Tiers'!$C$2:$C$37,MATCH(C2834,'Country Tiers'!$A$2:$A$37,0))</f>
        <v>Tier 3</v>
      </c>
      <c r="E2834" s="12" t="n">
        <f aca="false">INDEX('Country Tiers'!$D$2:$D$37,MATCH(C2834,'Country Tiers'!$A$2:$A$37,0))</f>
        <v>1</v>
      </c>
    </row>
    <row r="2835" customFormat="false" ht="15" hidden="false" customHeight="false" outlineLevel="0" collapsed="false">
      <c r="A2835" s="12" t="s">
        <v>156</v>
      </c>
      <c r="B2835" s="12" t="s">
        <v>44</v>
      </c>
      <c r="C2835" s="12" t="s">
        <v>282</v>
      </c>
      <c r="D2835" s="12" t="str">
        <f aca="false">INDEX('Country Tiers'!$C$2:$C$37,MATCH(C2835,'Country Tiers'!$A$2:$A$37,0))</f>
        <v>Tier 3</v>
      </c>
      <c r="E2835" s="12" t="n">
        <f aca="false">INDEX('Country Tiers'!$D$2:$D$37,MATCH(C2835,'Country Tiers'!$A$2:$A$37,0))</f>
        <v>1</v>
      </c>
    </row>
    <row r="2836" customFormat="false" ht="15" hidden="false" customHeight="false" outlineLevel="0" collapsed="false">
      <c r="A2836" s="12" t="s">
        <v>156</v>
      </c>
      <c r="B2836" s="12" t="s">
        <v>44</v>
      </c>
      <c r="C2836" s="12" t="s">
        <v>283</v>
      </c>
      <c r="D2836" s="12" t="str">
        <f aca="false">INDEX('Country Tiers'!$C$2:$C$37,MATCH(C2836,'Country Tiers'!$A$2:$A$37,0))</f>
        <v>Tier 3</v>
      </c>
      <c r="E2836" s="12" t="n">
        <f aca="false">INDEX('Country Tiers'!$D$2:$D$37,MATCH(C2836,'Country Tiers'!$A$2:$A$37,0))</f>
        <v>1</v>
      </c>
    </row>
    <row r="2837" customFormat="false" ht="15" hidden="false" customHeight="false" outlineLevel="0" collapsed="false">
      <c r="A2837" s="12" t="s">
        <v>156</v>
      </c>
      <c r="B2837" s="12" t="s">
        <v>44</v>
      </c>
      <c r="C2837" s="12" t="s">
        <v>284</v>
      </c>
      <c r="D2837" s="12" t="str">
        <f aca="false">INDEX('Country Tiers'!$C$2:$C$37,MATCH(C2837,'Country Tiers'!$A$2:$A$37,0))</f>
        <v>Tier 3</v>
      </c>
      <c r="E2837" s="12" t="n">
        <f aca="false">INDEX('Country Tiers'!$D$2:$D$37,MATCH(C2837,'Country Tiers'!$A$2:$A$37,0))</f>
        <v>1</v>
      </c>
    </row>
    <row r="2838" customFormat="false" ht="15" hidden="false" customHeight="false" outlineLevel="0" collapsed="false">
      <c r="A2838" s="12" t="s">
        <v>156</v>
      </c>
      <c r="B2838" s="12" t="s">
        <v>44</v>
      </c>
      <c r="C2838" s="12" t="s">
        <v>285</v>
      </c>
      <c r="D2838" s="12" t="str">
        <f aca="false">INDEX('Country Tiers'!$C$2:$C$37,MATCH(C2838,'Country Tiers'!$A$2:$A$37,0))</f>
        <v>Tier 3</v>
      </c>
      <c r="E2838" s="12" t="n">
        <f aca="false">INDEX('Country Tiers'!$D$2:$D$37,MATCH(C2838,'Country Tiers'!$A$2:$A$37,0))</f>
        <v>1</v>
      </c>
    </row>
    <row r="2839" customFormat="false" ht="15" hidden="false" customHeight="false" outlineLevel="0" collapsed="false">
      <c r="A2839" s="12" t="s">
        <v>156</v>
      </c>
      <c r="B2839" s="12" t="s">
        <v>44</v>
      </c>
      <c r="C2839" s="12" t="s">
        <v>286</v>
      </c>
      <c r="D2839" s="12" t="str">
        <f aca="false">INDEX('Country Tiers'!$C$2:$C$37,MATCH(C2839,'Country Tiers'!$A$2:$A$37,0))</f>
        <v>Tier 1</v>
      </c>
      <c r="E2839" s="12" t="n">
        <f aca="false">INDEX('Country Tiers'!$D$2:$D$37,MATCH(C2839,'Country Tiers'!$A$2:$A$37,0))</f>
        <v>3</v>
      </c>
    </row>
    <row r="2840" customFormat="false" ht="15" hidden="false" customHeight="false" outlineLevel="0" collapsed="false">
      <c r="A2840" s="12" t="s">
        <v>156</v>
      </c>
      <c r="B2840" s="12" t="s">
        <v>44</v>
      </c>
      <c r="C2840" s="12" t="s">
        <v>287</v>
      </c>
      <c r="D2840" s="12" t="str">
        <f aca="false">INDEX('Country Tiers'!$C$2:$C$37,MATCH(C2840,'Country Tiers'!$A$2:$A$37,0))</f>
        <v>Tier 1</v>
      </c>
      <c r="E2840" s="12" t="n">
        <f aca="false">INDEX('Country Tiers'!$D$2:$D$37,MATCH(C2840,'Country Tiers'!$A$2:$A$37,0))</f>
        <v>3</v>
      </c>
    </row>
    <row r="2841" customFormat="false" ht="15" hidden="false" customHeight="false" outlineLevel="0" collapsed="false">
      <c r="A2841" s="12" t="s">
        <v>156</v>
      </c>
      <c r="B2841" s="12" t="s">
        <v>44</v>
      </c>
      <c r="C2841" s="12" t="s">
        <v>288</v>
      </c>
      <c r="D2841" s="12" t="str">
        <f aca="false">INDEX('Country Tiers'!$C$2:$C$37,MATCH(C2841,'Country Tiers'!$A$2:$A$37,0))</f>
        <v>Tier 3</v>
      </c>
      <c r="E2841" s="12" t="n">
        <f aca="false">INDEX('Country Tiers'!$D$2:$D$37,MATCH(C2841,'Country Tiers'!$A$2:$A$37,0))</f>
        <v>1</v>
      </c>
    </row>
    <row r="2842" customFormat="false" ht="15" hidden="false" customHeight="false" outlineLevel="0" collapsed="false">
      <c r="A2842" s="12" t="s">
        <v>156</v>
      </c>
      <c r="B2842" s="12" t="s">
        <v>44</v>
      </c>
      <c r="C2842" s="12" t="s">
        <v>289</v>
      </c>
      <c r="D2842" s="12" t="str">
        <f aca="false">INDEX('Country Tiers'!$C$2:$C$37,MATCH(C2842,'Country Tiers'!$A$2:$A$37,0))</f>
        <v>Tier 3</v>
      </c>
      <c r="E2842" s="12" t="n">
        <f aca="false">INDEX('Country Tiers'!$D$2:$D$37,MATCH(C2842,'Country Tiers'!$A$2:$A$37,0))</f>
        <v>1</v>
      </c>
    </row>
    <row r="2843" customFormat="false" ht="15" hidden="false" customHeight="false" outlineLevel="0" collapsed="false">
      <c r="A2843" s="12" t="s">
        <v>156</v>
      </c>
      <c r="B2843" s="12" t="s">
        <v>44</v>
      </c>
      <c r="C2843" s="12" t="s">
        <v>290</v>
      </c>
      <c r="D2843" s="12" t="str">
        <f aca="false">INDEX('Country Tiers'!$C$2:$C$37,MATCH(C2843,'Country Tiers'!$A$2:$A$37,0))</f>
        <v>Tier 3</v>
      </c>
      <c r="E2843" s="12" t="n">
        <f aca="false">INDEX('Country Tiers'!$D$2:$D$37,MATCH(C2843,'Country Tiers'!$A$2:$A$37,0))</f>
        <v>1</v>
      </c>
    </row>
    <row r="2844" customFormat="false" ht="15" hidden="false" customHeight="false" outlineLevel="0" collapsed="false">
      <c r="A2844" s="12" t="s">
        <v>156</v>
      </c>
      <c r="B2844" s="12" t="s">
        <v>44</v>
      </c>
      <c r="C2844" s="12" t="s">
        <v>291</v>
      </c>
      <c r="D2844" s="12" t="str">
        <f aca="false">INDEX('Country Tiers'!$C$2:$C$37,MATCH(C2844,'Country Tiers'!$A$2:$A$37,0))</f>
        <v>Tier 3</v>
      </c>
      <c r="E2844" s="12" t="n">
        <f aca="false">INDEX('Country Tiers'!$D$2:$D$37,MATCH(C2844,'Country Tiers'!$A$2:$A$37,0))</f>
        <v>1</v>
      </c>
    </row>
    <row r="2845" customFormat="false" ht="15" hidden="false" customHeight="false" outlineLevel="0" collapsed="false">
      <c r="A2845" s="12" t="s">
        <v>156</v>
      </c>
      <c r="B2845" s="12" t="s">
        <v>44</v>
      </c>
      <c r="C2845" s="12" t="s">
        <v>292</v>
      </c>
      <c r="D2845" s="12" t="str">
        <f aca="false">INDEX('Country Tiers'!$C$2:$C$37,MATCH(C2845,'Country Tiers'!$A$2:$A$37,0))</f>
        <v>Tier 2</v>
      </c>
      <c r="E2845" s="12" t="n">
        <f aca="false">INDEX('Country Tiers'!$D$2:$D$37,MATCH(C2845,'Country Tiers'!$A$2:$A$37,0))</f>
        <v>2</v>
      </c>
    </row>
    <row r="2846" customFormat="false" ht="15" hidden="false" customHeight="false" outlineLevel="0" collapsed="false">
      <c r="A2846" s="12" t="s">
        <v>156</v>
      </c>
      <c r="B2846" s="12" t="s">
        <v>44</v>
      </c>
      <c r="C2846" s="12" t="s">
        <v>293</v>
      </c>
      <c r="D2846" s="12" t="str">
        <f aca="false">INDEX('Country Tiers'!$C$2:$C$37,MATCH(C2846,'Country Tiers'!$A$2:$A$37,0))</f>
        <v>Tier 3</v>
      </c>
      <c r="E2846" s="12" t="n">
        <f aca="false">INDEX('Country Tiers'!$D$2:$D$37,MATCH(C2846,'Country Tiers'!$A$2:$A$37,0))</f>
        <v>1</v>
      </c>
    </row>
    <row r="2847" customFormat="false" ht="15" hidden="false" customHeight="false" outlineLevel="0" collapsed="false">
      <c r="A2847" s="12" t="s">
        <v>156</v>
      </c>
      <c r="B2847" s="12" t="s">
        <v>44</v>
      </c>
      <c r="C2847" s="12" t="s">
        <v>295</v>
      </c>
      <c r="D2847" s="12" t="str">
        <f aca="false">INDEX('Country Tiers'!$C$2:$C$37,MATCH(C2847,'Country Tiers'!$A$2:$A$37,0))</f>
        <v>Tier 3</v>
      </c>
      <c r="E2847" s="12" t="n">
        <f aca="false">INDEX('Country Tiers'!$D$2:$D$37,MATCH(C2847,'Country Tiers'!$A$2:$A$37,0))</f>
        <v>1</v>
      </c>
    </row>
    <row r="2848" customFormat="false" ht="15" hidden="false" customHeight="false" outlineLevel="0" collapsed="false">
      <c r="A2848" s="12" t="s">
        <v>156</v>
      </c>
      <c r="B2848" s="12" t="s">
        <v>44</v>
      </c>
      <c r="C2848" s="12" t="s">
        <v>296</v>
      </c>
      <c r="D2848" s="12" t="str">
        <f aca="false">INDEX('Country Tiers'!$C$2:$C$37,MATCH(C2848,'Country Tiers'!$A$2:$A$37,0))</f>
        <v>Tier 3</v>
      </c>
      <c r="E2848" s="12" t="n">
        <f aca="false">INDEX('Country Tiers'!$D$2:$D$37,MATCH(C2848,'Country Tiers'!$A$2:$A$37,0))</f>
        <v>1</v>
      </c>
    </row>
    <row r="2849" customFormat="false" ht="15" hidden="false" customHeight="false" outlineLevel="0" collapsed="false">
      <c r="A2849" s="12" t="s">
        <v>156</v>
      </c>
      <c r="B2849" s="12" t="s">
        <v>44</v>
      </c>
      <c r="C2849" s="12" t="s">
        <v>297</v>
      </c>
      <c r="D2849" s="12" t="str">
        <f aca="false">INDEX('Country Tiers'!$C$2:$C$37,MATCH(C2849,'Country Tiers'!$A$2:$A$37,0))</f>
        <v>Tier 2</v>
      </c>
      <c r="E2849" s="12" t="n">
        <f aca="false">INDEX('Country Tiers'!$D$2:$D$37,MATCH(C2849,'Country Tiers'!$A$2:$A$37,0))</f>
        <v>2</v>
      </c>
    </row>
    <row r="2850" customFormat="false" ht="15" hidden="false" customHeight="false" outlineLevel="0" collapsed="false">
      <c r="A2850" s="12" t="s">
        <v>156</v>
      </c>
      <c r="B2850" s="12" t="s">
        <v>44</v>
      </c>
      <c r="C2850" s="12" t="s">
        <v>298</v>
      </c>
      <c r="D2850" s="12" t="str">
        <f aca="false">INDEX('Country Tiers'!$C$2:$C$37,MATCH(C2850,'Country Tiers'!$A$2:$A$37,0))</f>
        <v>Tier 1</v>
      </c>
      <c r="E2850" s="12" t="n">
        <f aca="false">INDEX('Country Tiers'!$D$2:$D$37,MATCH(C2850,'Country Tiers'!$A$2:$A$37,0))</f>
        <v>3</v>
      </c>
    </row>
    <row r="2851" customFormat="false" ht="15" hidden="false" customHeight="false" outlineLevel="0" collapsed="false">
      <c r="A2851" s="12" t="s">
        <v>156</v>
      </c>
      <c r="B2851" s="12" t="s">
        <v>44</v>
      </c>
      <c r="C2851" s="12" t="s">
        <v>299</v>
      </c>
      <c r="D2851" s="12" t="str">
        <f aca="false">INDEX('Country Tiers'!$C$2:$C$37,MATCH(C2851,'Country Tiers'!$A$2:$A$37,0))</f>
        <v>Tier 3</v>
      </c>
      <c r="E2851" s="12" t="n">
        <f aca="false">INDEX('Country Tiers'!$D$2:$D$37,MATCH(C2851,'Country Tiers'!$A$2:$A$37,0))</f>
        <v>1</v>
      </c>
    </row>
    <row r="2852" customFormat="false" ht="15" hidden="false" customHeight="false" outlineLevel="0" collapsed="false">
      <c r="A2852" s="12" t="s">
        <v>156</v>
      </c>
      <c r="B2852" s="12" t="s">
        <v>44</v>
      </c>
      <c r="C2852" s="12" t="s">
        <v>300</v>
      </c>
      <c r="D2852" s="12" t="str">
        <f aca="false">INDEX('Country Tiers'!$C$2:$C$37,MATCH(C2852,'Country Tiers'!$A$2:$A$37,0))</f>
        <v>Tier 3</v>
      </c>
      <c r="E2852" s="12" t="n">
        <f aca="false">INDEX('Country Tiers'!$D$2:$D$37,MATCH(C2852,'Country Tiers'!$A$2:$A$37,0))</f>
        <v>1</v>
      </c>
    </row>
    <row r="2853" customFormat="false" ht="15" hidden="false" customHeight="false" outlineLevel="0" collapsed="false">
      <c r="A2853" s="12" t="s">
        <v>156</v>
      </c>
      <c r="B2853" s="12" t="s">
        <v>44</v>
      </c>
      <c r="C2853" s="12" t="s">
        <v>301</v>
      </c>
      <c r="D2853" s="12" t="str">
        <f aca="false">INDEX('Country Tiers'!$C$2:$C$37,MATCH(C2853,'Country Tiers'!$A$2:$A$37,0))</f>
        <v>Tier 3</v>
      </c>
      <c r="E2853" s="12" t="n">
        <f aca="false">INDEX('Country Tiers'!$D$2:$D$37,MATCH(C2853,'Country Tiers'!$A$2:$A$37,0))</f>
        <v>1</v>
      </c>
    </row>
    <row r="2854" customFormat="false" ht="15" hidden="false" customHeight="false" outlineLevel="0" collapsed="false">
      <c r="A2854" s="12" t="s">
        <v>156</v>
      </c>
      <c r="B2854" s="12" t="s">
        <v>44</v>
      </c>
      <c r="C2854" s="12" t="s">
        <v>302</v>
      </c>
      <c r="D2854" s="12" t="str">
        <f aca="false">INDEX('Country Tiers'!$C$2:$C$37,MATCH(C2854,'Country Tiers'!$A$2:$A$37,0))</f>
        <v>Tier 3</v>
      </c>
      <c r="E2854" s="12" t="n">
        <f aca="false">INDEX('Country Tiers'!$D$2:$D$37,MATCH(C2854,'Country Tiers'!$A$2:$A$37,0))</f>
        <v>1</v>
      </c>
    </row>
    <row r="2855" customFormat="false" ht="15" hidden="false" customHeight="false" outlineLevel="0" collapsed="false">
      <c r="A2855" s="12" t="s">
        <v>156</v>
      </c>
      <c r="B2855" s="12" t="s">
        <v>44</v>
      </c>
      <c r="C2855" s="12" t="s">
        <v>305</v>
      </c>
      <c r="D2855" s="12" t="str">
        <f aca="false">INDEX('Country Tiers'!$C$2:$C$37,MATCH(C2855,'Country Tiers'!$A$2:$A$37,0))</f>
        <v>Tier 3</v>
      </c>
      <c r="E2855" s="12" t="n">
        <f aca="false">INDEX('Country Tiers'!$D$2:$D$37,MATCH(C2855,'Country Tiers'!$A$2:$A$37,0))</f>
        <v>1</v>
      </c>
    </row>
    <row r="2856" customFormat="false" ht="15" hidden="false" customHeight="false" outlineLevel="0" collapsed="false">
      <c r="A2856" s="12" t="s">
        <v>156</v>
      </c>
      <c r="B2856" s="12" t="s">
        <v>44</v>
      </c>
      <c r="C2856" s="12" t="s">
        <v>306</v>
      </c>
      <c r="D2856" s="12" t="str">
        <f aca="false">INDEX('Country Tiers'!$C$2:$C$37,MATCH(C2856,'Country Tiers'!$A$2:$A$37,0))</f>
        <v>Tier 3</v>
      </c>
      <c r="E2856" s="12" t="n">
        <f aca="false">INDEX('Country Tiers'!$D$2:$D$37,MATCH(C2856,'Country Tiers'!$A$2:$A$37,0))</f>
        <v>1</v>
      </c>
    </row>
    <row r="2857" customFormat="false" ht="15" hidden="false" customHeight="false" outlineLevel="0" collapsed="false">
      <c r="A2857" s="12" t="s">
        <v>156</v>
      </c>
      <c r="B2857" s="12" t="s">
        <v>44</v>
      </c>
      <c r="C2857" s="12" t="s">
        <v>307</v>
      </c>
      <c r="D2857" s="12" t="str">
        <f aca="false">INDEX('Country Tiers'!$C$2:$C$37,MATCH(C2857,'Country Tiers'!$A$2:$A$37,0))</f>
        <v>Tier 2</v>
      </c>
      <c r="E2857" s="12" t="n">
        <f aca="false">INDEX('Country Tiers'!$D$2:$D$37,MATCH(C2857,'Country Tiers'!$A$2:$A$37,0))</f>
        <v>2</v>
      </c>
    </row>
    <row r="2858" customFormat="false" ht="15" hidden="false" customHeight="false" outlineLevel="0" collapsed="false">
      <c r="A2858" s="12" t="s">
        <v>156</v>
      </c>
      <c r="B2858" s="12" t="s">
        <v>44</v>
      </c>
      <c r="C2858" s="12" t="s">
        <v>308</v>
      </c>
      <c r="D2858" s="12" t="str">
        <f aca="false">INDEX('Country Tiers'!$C$2:$C$37,MATCH(C2858,'Country Tiers'!$A$2:$A$37,0))</f>
        <v>Tier 3</v>
      </c>
      <c r="E2858" s="12" t="n">
        <f aca="false">INDEX('Country Tiers'!$D$2:$D$37,MATCH(C2858,'Country Tiers'!$A$2:$A$37,0))</f>
        <v>1</v>
      </c>
    </row>
    <row r="2859" customFormat="false" ht="15" hidden="false" customHeight="false" outlineLevel="0" collapsed="false">
      <c r="A2859" s="12" t="s">
        <v>156</v>
      </c>
      <c r="B2859" s="12" t="s">
        <v>44</v>
      </c>
      <c r="C2859" s="12" t="s">
        <v>309</v>
      </c>
      <c r="D2859" s="12" t="str">
        <f aca="false">INDEX('Country Tiers'!$C$2:$C$37,MATCH(C2859,'Country Tiers'!$A$2:$A$37,0))</f>
        <v>Tier 1</v>
      </c>
      <c r="E2859" s="12" t="n">
        <f aca="false">INDEX('Country Tiers'!$D$2:$D$37,MATCH(C2859,'Country Tiers'!$A$2:$A$37,0))</f>
        <v>3</v>
      </c>
    </row>
    <row r="2860" customFormat="false" ht="15" hidden="false" customHeight="false" outlineLevel="0" collapsed="false">
      <c r="A2860" s="12" t="s">
        <v>156</v>
      </c>
      <c r="B2860" s="12" t="s">
        <v>44</v>
      </c>
      <c r="C2860" s="12" t="s">
        <v>311</v>
      </c>
      <c r="D2860" s="12" t="str">
        <f aca="false">INDEX('Country Tiers'!$C$2:$C$37,MATCH(C2860,'Country Tiers'!$A$2:$A$37,0))</f>
        <v>Tier 1</v>
      </c>
      <c r="E2860" s="12" t="n">
        <f aca="false">INDEX('Country Tiers'!$D$2:$D$37,MATCH(C2860,'Country Tiers'!$A$2:$A$37,0))</f>
        <v>3</v>
      </c>
    </row>
    <row r="2861" customFormat="false" ht="15" hidden="false" customHeight="false" outlineLevel="0" collapsed="false">
      <c r="A2861" s="12" t="s">
        <v>156</v>
      </c>
      <c r="B2861" s="12" t="s">
        <v>44</v>
      </c>
      <c r="C2861" s="12" t="s">
        <v>313</v>
      </c>
      <c r="D2861" s="12" t="str">
        <f aca="false">INDEX('Country Tiers'!$C$2:$C$37,MATCH(C2861,'Country Tiers'!$A$2:$A$37,0))</f>
        <v>Tier 1</v>
      </c>
      <c r="E2861" s="12" t="n">
        <f aca="false">INDEX('Country Tiers'!$D$2:$D$37,MATCH(C2861,'Country Tiers'!$A$2:$A$37,0))</f>
        <v>3</v>
      </c>
    </row>
    <row r="2862" customFormat="false" ht="15" hidden="false" customHeight="false" outlineLevel="0" collapsed="false">
      <c r="A2862" s="12" t="s">
        <v>156</v>
      </c>
      <c r="B2862" s="12" t="s">
        <v>38</v>
      </c>
      <c r="C2862" s="12" t="s">
        <v>274</v>
      </c>
      <c r="D2862" s="12" t="str">
        <f aca="false">INDEX('Country Tiers'!$C$2:$C$37,MATCH(C2862,'Country Tiers'!$A$2:$A$37,0))</f>
        <v>Tier 3</v>
      </c>
      <c r="E2862" s="12" t="n">
        <f aca="false">INDEX('Country Tiers'!$D$2:$D$37,MATCH(C2862,'Country Tiers'!$A$2:$A$37,0))</f>
        <v>1</v>
      </c>
    </row>
    <row r="2863" customFormat="false" ht="15" hidden="false" customHeight="false" outlineLevel="0" collapsed="false">
      <c r="A2863" s="12" t="s">
        <v>156</v>
      </c>
      <c r="B2863" s="12" t="s">
        <v>38</v>
      </c>
      <c r="C2863" s="12" t="s">
        <v>277</v>
      </c>
      <c r="D2863" s="12" t="str">
        <f aca="false">INDEX('Country Tiers'!$C$2:$C$37,MATCH(C2863,'Country Tiers'!$A$2:$A$37,0))</f>
        <v>Tier 1</v>
      </c>
      <c r="E2863" s="12" t="n">
        <f aca="false">INDEX('Country Tiers'!$D$2:$D$37,MATCH(C2863,'Country Tiers'!$A$2:$A$37,0))</f>
        <v>3</v>
      </c>
    </row>
    <row r="2864" customFormat="false" ht="15" hidden="false" customHeight="false" outlineLevel="0" collapsed="false">
      <c r="A2864" s="12" t="s">
        <v>156</v>
      </c>
      <c r="B2864" s="12" t="s">
        <v>38</v>
      </c>
      <c r="C2864" s="12" t="s">
        <v>280</v>
      </c>
      <c r="D2864" s="12" t="str">
        <f aca="false">INDEX('Country Tiers'!$C$2:$C$37,MATCH(C2864,'Country Tiers'!$A$2:$A$37,0))</f>
        <v>Tier 3</v>
      </c>
      <c r="E2864" s="12" t="n">
        <f aca="false">INDEX('Country Tiers'!$D$2:$D$37,MATCH(C2864,'Country Tiers'!$A$2:$A$37,0))</f>
        <v>1</v>
      </c>
    </row>
    <row r="2865" customFormat="false" ht="15" hidden="false" customHeight="false" outlineLevel="0" collapsed="false">
      <c r="A2865" s="12" t="s">
        <v>156</v>
      </c>
      <c r="B2865" s="12" t="s">
        <v>38</v>
      </c>
      <c r="C2865" s="12" t="s">
        <v>281</v>
      </c>
      <c r="D2865" s="12" t="str">
        <f aca="false">INDEX('Country Tiers'!$C$2:$C$37,MATCH(C2865,'Country Tiers'!$A$2:$A$37,0))</f>
        <v>Tier 3</v>
      </c>
      <c r="E2865" s="12" t="n">
        <f aca="false">INDEX('Country Tiers'!$D$2:$D$37,MATCH(C2865,'Country Tiers'!$A$2:$A$37,0))</f>
        <v>1</v>
      </c>
    </row>
    <row r="2866" customFormat="false" ht="15" hidden="false" customHeight="false" outlineLevel="0" collapsed="false">
      <c r="A2866" s="12" t="s">
        <v>156</v>
      </c>
      <c r="B2866" s="12" t="s">
        <v>38</v>
      </c>
      <c r="C2866" s="12" t="s">
        <v>282</v>
      </c>
      <c r="D2866" s="12" t="str">
        <f aca="false">INDEX('Country Tiers'!$C$2:$C$37,MATCH(C2866,'Country Tiers'!$A$2:$A$37,0))</f>
        <v>Tier 3</v>
      </c>
      <c r="E2866" s="12" t="n">
        <f aca="false">INDEX('Country Tiers'!$D$2:$D$37,MATCH(C2866,'Country Tiers'!$A$2:$A$37,0))</f>
        <v>1</v>
      </c>
    </row>
    <row r="2867" customFormat="false" ht="15" hidden="false" customHeight="false" outlineLevel="0" collapsed="false">
      <c r="A2867" s="12" t="s">
        <v>156</v>
      </c>
      <c r="B2867" s="12" t="s">
        <v>38</v>
      </c>
      <c r="C2867" s="12" t="s">
        <v>283</v>
      </c>
      <c r="D2867" s="12" t="str">
        <f aca="false">INDEX('Country Tiers'!$C$2:$C$37,MATCH(C2867,'Country Tiers'!$A$2:$A$37,0))</f>
        <v>Tier 3</v>
      </c>
      <c r="E2867" s="12" t="n">
        <f aca="false">INDEX('Country Tiers'!$D$2:$D$37,MATCH(C2867,'Country Tiers'!$A$2:$A$37,0))</f>
        <v>1</v>
      </c>
    </row>
    <row r="2868" customFormat="false" ht="15" hidden="false" customHeight="false" outlineLevel="0" collapsed="false">
      <c r="A2868" s="12" t="s">
        <v>156</v>
      </c>
      <c r="B2868" s="12" t="s">
        <v>38</v>
      </c>
      <c r="C2868" s="12" t="s">
        <v>284</v>
      </c>
      <c r="D2868" s="12" t="str">
        <f aca="false">INDEX('Country Tiers'!$C$2:$C$37,MATCH(C2868,'Country Tiers'!$A$2:$A$37,0))</f>
        <v>Tier 3</v>
      </c>
      <c r="E2868" s="12" t="n">
        <f aca="false">INDEX('Country Tiers'!$D$2:$D$37,MATCH(C2868,'Country Tiers'!$A$2:$A$37,0))</f>
        <v>1</v>
      </c>
    </row>
    <row r="2869" customFormat="false" ht="15" hidden="false" customHeight="false" outlineLevel="0" collapsed="false">
      <c r="A2869" s="12" t="s">
        <v>156</v>
      </c>
      <c r="B2869" s="12" t="s">
        <v>38</v>
      </c>
      <c r="C2869" s="12" t="s">
        <v>285</v>
      </c>
      <c r="D2869" s="12" t="str">
        <f aca="false">INDEX('Country Tiers'!$C$2:$C$37,MATCH(C2869,'Country Tiers'!$A$2:$A$37,0))</f>
        <v>Tier 3</v>
      </c>
      <c r="E2869" s="12" t="n">
        <f aca="false">INDEX('Country Tiers'!$D$2:$D$37,MATCH(C2869,'Country Tiers'!$A$2:$A$37,0))</f>
        <v>1</v>
      </c>
    </row>
    <row r="2870" customFormat="false" ht="15" hidden="false" customHeight="false" outlineLevel="0" collapsed="false">
      <c r="A2870" s="12" t="s">
        <v>156</v>
      </c>
      <c r="B2870" s="12" t="s">
        <v>38</v>
      </c>
      <c r="C2870" s="12" t="s">
        <v>286</v>
      </c>
      <c r="D2870" s="12" t="str">
        <f aca="false">INDEX('Country Tiers'!$C$2:$C$37,MATCH(C2870,'Country Tiers'!$A$2:$A$37,0))</f>
        <v>Tier 1</v>
      </c>
      <c r="E2870" s="12" t="n">
        <f aca="false">INDEX('Country Tiers'!$D$2:$D$37,MATCH(C2870,'Country Tiers'!$A$2:$A$37,0))</f>
        <v>3</v>
      </c>
    </row>
    <row r="2871" customFormat="false" ht="15" hidden="false" customHeight="false" outlineLevel="0" collapsed="false">
      <c r="A2871" s="12" t="s">
        <v>156</v>
      </c>
      <c r="B2871" s="12" t="s">
        <v>38</v>
      </c>
      <c r="C2871" s="12" t="s">
        <v>287</v>
      </c>
      <c r="D2871" s="12" t="str">
        <f aca="false">INDEX('Country Tiers'!$C$2:$C$37,MATCH(C2871,'Country Tiers'!$A$2:$A$37,0))</f>
        <v>Tier 1</v>
      </c>
      <c r="E2871" s="12" t="n">
        <f aca="false">INDEX('Country Tiers'!$D$2:$D$37,MATCH(C2871,'Country Tiers'!$A$2:$A$37,0))</f>
        <v>3</v>
      </c>
    </row>
    <row r="2872" customFormat="false" ht="15" hidden="false" customHeight="false" outlineLevel="0" collapsed="false">
      <c r="A2872" s="12" t="s">
        <v>156</v>
      </c>
      <c r="B2872" s="12" t="s">
        <v>38</v>
      </c>
      <c r="C2872" s="12" t="s">
        <v>288</v>
      </c>
      <c r="D2872" s="12" t="str">
        <f aca="false">INDEX('Country Tiers'!$C$2:$C$37,MATCH(C2872,'Country Tiers'!$A$2:$A$37,0))</f>
        <v>Tier 3</v>
      </c>
      <c r="E2872" s="12" t="n">
        <f aca="false">INDEX('Country Tiers'!$D$2:$D$37,MATCH(C2872,'Country Tiers'!$A$2:$A$37,0))</f>
        <v>1</v>
      </c>
    </row>
    <row r="2873" customFormat="false" ht="15" hidden="false" customHeight="false" outlineLevel="0" collapsed="false">
      <c r="A2873" s="12" t="s">
        <v>156</v>
      </c>
      <c r="B2873" s="12" t="s">
        <v>38</v>
      </c>
      <c r="C2873" s="12" t="s">
        <v>289</v>
      </c>
      <c r="D2873" s="12" t="str">
        <f aca="false">INDEX('Country Tiers'!$C$2:$C$37,MATCH(C2873,'Country Tiers'!$A$2:$A$37,0))</f>
        <v>Tier 3</v>
      </c>
      <c r="E2873" s="12" t="n">
        <f aca="false">INDEX('Country Tiers'!$D$2:$D$37,MATCH(C2873,'Country Tiers'!$A$2:$A$37,0))</f>
        <v>1</v>
      </c>
    </row>
    <row r="2874" customFormat="false" ht="15" hidden="false" customHeight="false" outlineLevel="0" collapsed="false">
      <c r="A2874" s="12" t="s">
        <v>156</v>
      </c>
      <c r="B2874" s="12" t="s">
        <v>38</v>
      </c>
      <c r="C2874" s="12" t="s">
        <v>290</v>
      </c>
      <c r="D2874" s="12" t="str">
        <f aca="false">INDEX('Country Tiers'!$C$2:$C$37,MATCH(C2874,'Country Tiers'!$A$2:$A$37,0))</f>
        <v>Tier 3</v>
      </c>
      <c r="E2874" s="12" t="n">
        <f aca="false">INDEX('Country Tiers'!$D$2:$D$37,MATCH(C2874,'Country Tiers'!$A$2:$A$37,0))</f>
        <v>1</v>
      </c>
    </row>
    <row r="2875" customFormat="false" ht="15" hidden="false" customHeight="false" outlineLevel="0" collapsed="false">
      <c r="A2875" s="12" t="s">
        <v>156</v>
      </c>
      <c r="B2875" s="12" t="s">
        <v>38</v>
      </c>
      <c r="C2875" s="12" t="s">
        <v>291</v>
      </c>
      <c r="D2875" s="12" t="str">
        <f aca="false">INDEX('Country Tiers'!$C$2:$C$37,MATCH(C2875,'Country Tiers'!$A$2:$A$37,0))</f>
        <v>Tier 3</v>
      </c>
      <c r="E2875" s="12" t="n">
        <f aca="false">INDEX('Country Tiers'!$D$2:$D$37,MATCH(C2875,'Country Tiers'!$A$2:$A$37,0))</f>
        <v>1</v>
      </c>
    </row>
    <row r="2876" customFormat="false" ht="15" hidden="false" customHeight="false" outlineLevel="0" collapsed="false">
      <c r="A2876" s="12" t="s">
        <v>156</v>
      </c>
      <c r="B2876" s="12" t="s">
        <v>38</v>
      </c>
      <c r="C2876" s="12" t="s">
        <v>292</v>
      </c>
      <c r="D2876" s="12" t="str">
        <f aca="false">INDEX('Country Tiers'!$C$2:$C$37,MATCH(C2876,'Country Tiers'!$A$2:$A$37,0))</f>
        <v>Tier 2</v>
      </c>
      <c r="E2876" s="12" t="n">
        <f aca="false">INDEX('Country Tiers'!$D$2:$D$37,MATCH(C2876,'Country Tiers'!$A$2:$A$37,0))</f>
        <v>2</v>
      </c>
    </row>
    <row r="2877" customFormat="false" ht="15" hidden="false" customHeight="false" outlineLevel="0" collapsed="false">
      <c r="A2877" s="12" t="s">
        <v>156</v>
      </c>
      <c r="B2877" s="12" t="s">
        <v>38</v>
      </c>
      <c r="C2877" s="12" t="s">
        <v>293</v>
      </c>
      <c r="D2877" s="12" t="str">
        <f aca="false">INDEX('Country Tiers'!$C$2:$C$37,MATCH(C2877,'Country Tiers'!$A$2:$A$37,0))</f>
        <v>Tier 3</v>
      </c>
      <c r="E2877" s="12" t="n">
        <f aca="false">INDEX('Country Tiers'!$D$2:$D$37,MATCH(C2877,'Country Tiers'!$A$2:$A$37,0))</f>
        <v>1</v>
      </c>
    </row>
    <row r="2878" customFormat="false" ht="15" hidden="false" customHeight="false" outlineLevel="0" collapsed="false">
      <c r="A2878" s="12" t="s">
        <v>156</v>
      </c>
      <c r="B2878" s="12" t="s">
        <v>38</v>
      </c>
      <c r="C2878" s="12" t="s">
        <v>295</v>
      </c>
      <c r="D2878" s="12" t="str">
        <f aca="false">INDEX('Country Tiers'!$C$2:$C$37,MATCH(C2878,'Country Tiers'!$A$2:$A$37,0))</f>
        <v>Tier 3</v>
      </c>
      <c r="E2878" s="12" t="n">
        <f aca="false">INDEX('Country Tiers'!$D$2:$D$37,MATCH(C2878,'Country Tiers'!$A$2:$A$37,0))</f>
        <v>1</v>
      </c>
    </row>
    <row r="2879" customFormat="false" ht="15" hidden="false" customHeight="false" outlineLevel="0" collapsed="false">
      <c r="A2879" s="12" t="s">
        <v>156</v>
      </c>
      <c r="B2879" s="12" t="s">
        <v>38</v>
      </c>
      <c r="C2879" s="12" t="s">
        <v>296</v>
      </c>
      <c r="D2879" s="12" t="str">
        <f aca="false">INDEX('Country Tiers'!$C$2:$C$37,MATCH(C2879,'Country Tiers'!$A$2:$A$37,0))</f>
        <v>Tier 3</v>
      </c>
      <c r="E2879" s="12" t="n">
        <f aca="false">INDEX('Country Tiers'!$D$2:$D$37,MATCH(C2879,'Country Tiers'!$A$2:$A$37,0))</f>
        <v>1</v>
      </c>
    </row>
    <row r="2880" customFormat="false" ht="15" hidden="false" customHeight="false" outlineLevel="0" collapsed="false">
      <c r="A2880" s="12" t="s">
        <v>156</v>
      </c>
      <c r="B2880" s="12" t="s">
        <v>38</v>
      </c>
      <c r="C2880" s="12" t="s">
        <v>297</v>
      </c>
      <c r="D2880" s="12" t="str">
        <f aca="false">INDEX('Country Tiers'!$C$2:$C$37,MATCH(C2880,'Country Tiers'!$A$2:$A$37,0))</f>
        <v>Tier 2</v>
      </c>
      <c r="E2880" s="12" t="n">
        <f aca="false">INDEX('Country Tiers'!$D$2:$D$37,MATCH(C2880,'Country Tiers'!$A$2:$A$37,0))</f>
        <v>2</v>
      </c>
    </row>
    <row r="2881" customFormat="false" ht="15" hidden="false" customHeight="false" outlineLevel="0" collapsed="false">
      <c r="A2881" s="12" t="s">
        <v>156</v>
      </c>
      <c r="B2881" s="12" t="s">
        <v>38</v>
      </c>
      <c r="C2881" s="12" t="s">
        <v>298</v>
      </c>
      <c r="D2881" s="12" t="str">
        <f aca="false">INDEX('Country Tiers'!$C$2:$C$37,MATCH(C2881,'Country Tiers'!$A$2:$A$37,0))</f>
        <v>Tier 1</v>
      </c>
      <c r="E2881" s="12" t="n">
        <f aca="false">INDEX('Country Tiers'!$D$2:$D$37,MATCH(C2881,'Country Tiers'!$A$2:$A$37,0))</f>
        <v>3</v>
      </c>
    </row>
    <row r="2882" customFormat="false" ht="15" hidden="false" customHeight="false" outlineLevel="0" collapsed="false">
      <c r="A2882" s="12" t="s">
        <v>156</v>
      </c>
      <c r="B2882" s="12" t="s">
        <v>38</v>
      </c>
      <c r="C2882" s="12" t="s">
        <v>299</v>
      </c>
      <c r="D2882" s="12" t="str">
        <f aca="false">INDEX('Country Tiers'!$C$2:$C$37,MATCH(C2882,'Country Tiers'!$A$2:$A$37,0))</f>
        <v>Tier 3</v>
      </c>
      <c r="E2882" s="12" t="n">
        <f aca="false">INDEX('Country Tiers'!$D$2:$D$37,MATCH(C2882,'Country Tiers'!$A$2:$A$37,0))</f>
        <v>1</v>
      </c>
    </row>
    <row r="2883" customFormat="false" ht="15" hidden="false" customHeight="false" outlineLevel="0" collapsed="false">
      <c r="A2883" s="12" t="s">
        <v>156</v>
      </c>
      <c r="B2883" s="12" t="s">
        <v>38</v>
      </c>
      <c r="C2883" s="12" t="s">
        <v>301</v>
      </c>
      <c r="D2883" s="12" t="str">
        <f aca="false">INDEX('Country Tiers'!$C$2:$C$37,MATCH(C2883,'Country Tiers'!$A$2:$A$37,0))</f>
        <v>Tier 3</v>
      </c>
      <c r="E2883" s="12" t="n">
        <f aca="false">INDEX('Country Tiers'!$D$2:$D$37,MATCH(C2883,'Country Tiers'!$A$2:$A$37,0))</f>
        <v>1</v>
      </c>
    </row>
    <row r="2884" customFormat="false" ht="15" hidden="false" customHeight="false" outlineLevel="0" collapsed="false">
      <c r="A2884" s="12" t="s">
        <v>156</v>
      </c>
      <c r="B2884" s="12" t="s">
        <v>38</v>
      </c>
      <c r="C2884" s="12" t="s">
        <v>302</v>
      </c>
      <c r="D2884" s="12" t="str">
        <f aca="false">INDEX('Country Tiers'!$C$2:$C$37,MATCH(C2884,'Country Tiers'!$A$2:$A$37,0))</f>
        <v>Tier 3</v>
      </c>
      <c r="E2884" s="12" t="n">
        <f aca="false">INDEX('Country Tiers'!$D$2:$D$37,MATCH(C2884,'Country Tiers'!$A$2:$A$37,0))</f>
        <v>1</v>
      </c>
    </row>
    <row r="2885" customFormat="false" ht="15" hidden="false" customHeight="false" outlineLevel="0" collapsed="false">
      <c r="A2885" s="12" t="s">
        <v>156</v>
      </c>
      <c r="B2885" s="12" t="s">
        <v>38</v>
      </c>
      <c r="C2885" s="12" t="s">
        <v>305</v>
      </c>
      <c r="D2885" s="12" t="str">
        <f aca="false">INDEX('Country Tiers'!$C$2:$C$37,MATCH(C2885,'Country Tiers'!$A$2:$A$37,0))</f>
        <v>Tier 3</v>
      </c>
      <c r="E2885" s="12" t="n">
        <f aca="false">INDEX('Country Tiers'!$D$2:$D$37,MATCH(C2885,'Country Tiers'!$A$2:$A$37,0))</f>
        <v>1</v>
      </c>
    </row>
    <row r="2886" customFormat="false" ht="15" hidden="false" customHeight="false" outlineLevel="0" collapsed="false">
      <c r="A2886" s="12" t="s">
        <v>156</v>
      </c>
      <c r="B2886" s="12" t="s">
        <v>38</v>
      </c>
      <c r="C2886" s="12" t="s">
        <v>306</v>
      </c>
      <c r="D2886" s="12" t="str">
        <f aca="false">INDEX('Country Tiers'!$C$2:$C$37,MATCH(C2886,'Country Tiers'!$A$2:$A$37,0))</f>
        <v>Tier 3</v>
      </c>
      <c r="E2886" s="12" t="n">
        <f aca="false">INDEX('Country Tiers'!$D$2:$D$37,MATCH(C2886,'Country Tiers'!$A$2:$A$37,0))</f>
        <v>1</v>
      </c>
    </row>
    <row r="2887" customFormat="false" ht="15" hidden="false" customHeight="false" outlineLevel="0" collapsed="false">
      <c r="A2887" s="12" t="s">
        <v>156</v>
      </c>
      <c r="B2887" s="12" t="s">
        <v>38</v>
      </c>
      <c r="C2887" s="12" t="s">
        <v>307</v>
      </c>
      <c r="D2887" s="12" t="str">
        <f aca="false">INDEX('Country Tiers'!$C$2:$C$37,MATCH(C2887,'Country Tiers'!$A$2:$A$37,0))</f>
        <v>Tier 2</v>
      </c>
      <c r="E2887" s="12" t="n">
        <f aca="false">INDEX('Country Tiers'!$D$2:$D$37,MATCH(C2887,'Country Tiers'!$A$2:$A$37,0))</f>
        <v>2</v>
      </c>
    </row>
    <row r="2888" customFormat="false" ht="15" hidden="false" customHeight="false" outlineLevel="0" collapsed="false">
      <c r="A2888" s="12" t="s">
        <v>156</v>
      </c>
      <c r="B2888" s="12" t="s">
        <v>38</v>
      </c>
      <c r="C2888" s="12" t="s">
        <v>308</v>
      </c>
      <c r="D2888" s="12" t="str">
        <f aca="false">INDEX('Country Tiers'!$C$2:$C$37,MATCH(C2888,'Country Tiers'!$A$2:$A$37,0))</f>
        <v>Tier 3</v>
      </c>
      <c r="E2888" s="12" t="n">
        <f aca="false">INDEX('Country Tiers'!$D$2:$D$37,MATCH(C2888,'Country Tiers'!$A$2:$A$37,0))</f>
        <v>1</v>
      </c>
    </row>
    <row r="2889" customFormat="false" ht="15" hidden="false" customHeight="false" outlineLevel="0" collapsed="false">
      <c r="A2889" s="12" t="s">
        <v>156</v>
      </c>
      <c r="B2889" s="12" t="s">
        <v>38</v>
      </c>
      <c r="C2889" s="12" t="s">
        <v>313</v>
      </c>
      <c r="D2889" s="12" t="str">
        <f aca="false">INDEX('Country Tiers'!$C$2:$C$37,MATCH(C2889,'Country Tiers'!$A$2:$A$37,0))</f>
        <v>Tier 1</v>
      </c>
      <c r="E2889" s="12" t="n">
        <f aca="false">INDEX('Country Tiers'!$D$2:$D$37,MATCH(C2889,'Country Tiers'!$A$2:$A$37,0))</f>
        <v>3</v>
      </c>
    </row>
    <row r="2890" customFormat="false" ht="15" hidden="false" customHeight="false" outlineLevel="0" collapsed="false">
      <c r="A2890" s="12" t="s">
        <v>156</v>
      </c>
      <c r="B2890" s="12" t="s">
        <v>36</v>
      </c>
      <c r="C2890" s="12" t="s">
        <v>303</v>
      </c>
      <c r="D2890" s="12" t="str">
        <f aca="false">INDEX('Country Tiers'!$C$2:$C$37,MATCH(C2890,'Country Tiers'!$A$2:$A$37,0))</f>
        <v>Tier 2</v>
      </c>
      <c r="E2890" s="12" t="n">
        <f aca="false">INDEX('Country Tiers'!$D$2:$D$37,MATCH(C2890,'Country Tiers'!$A$2:$A$37,0))</f>
        <v>2</v>
      </c>
    </row>
    <row r="2891" customFormat="false" ht="15" hidden="false" customHeight="false" outlineLevel="0" collapsed="false">
      <c r="A2891" s="12" t="s">
        <v>157</v>
      </c>
      <c r="B2891" s="12" t="s">
        <v>47</v>
      </c>
      <c r="C2891" s="12" t="s">
        <v>311</v>
      </c>
      <c r="D2891" s="12" t="str">
        <f aca="false">INDEX('Country Tiers'!$C$2:$C$37,MATCH(C2891,'Country Tiers'!$A$2:$A$37,0))</f>
        <v>Tier 1</v>
      </c>
      <c r="E2891" s="12" t="n">
        <f aca="false">INDEX('Country Tiers'!$D$2:$D$37,MATCH(C2891,'Country Tiers'!$A$2:$A$37,0))</f>
        <v>3</v>
      </c>
    </row>
    <row r="2892" customFormat="false" ht="15" hidden="false" customHeight="false" outlineLevel="0" collapsed="false">
      <c r="A2892" s="12" t="s">
        <v>157</v>
      </c>
      <c r="B2892" s="12" t="s">
        <v>38</v>
      </c>
      <c r="C2892" s="12" t="s">
        <v>311</v>
      </c>
      <c r="D2892" s="12" t="str">
        <f aca="false">INDEX('Country Tiers'!$C$2:$C$37,MATCH(C2892,'Country Tiers'!$A$2:$A$37,0))</f>
        <v>Tier 1</v>
      </c>
      <c r="E2892" s="12" t="n">
        <f aca="false">INDEX('Country Tiers'!$D$2:$D$37,MATCH(C2892,'Country Tiers'!$A$2:$A$37,0))</f>
        <v>3</v>
      </c>
    </row>
    <row r="2893" customFormat="false" ht="15" hidden="false" customHeight="false" outlineLevel="0" collapsed="false">
      <c r="A2893" s="12" t="s">
        <v>158</v>
      </c>
      <c r="B2893" s="12" t="s">
        <v>40</v>
      </c>
      <c r="C2893" s="12" t="s">
        <v>272</v>
      </c>
      <c r="D2893" s="12" t="str">
        <f aca="false">INDEX('Country Tiers'!$C$2:$C$37,MATCH(C2893,'Country Tiers'!$A$2:$A$37,0))</f>
        <v>Tier 2</v>
      </c>
      <c r="E2893" s="12" t="n">
        <f aca="false">INDEX('Country Tiers'!$D$2:$D$37,MATCH(C2893,'Country Tiers'!$A$2:$A$37,0))</f>
        <v>2</v>
      </c>
    </row>
    <row r="2894" customFormat="false" ht="15" hidden="false" customHeight="false" outlineLevel="0" collapsed="false">
      <c r="A2894" s="12" t="s">
        <v>159</v>
      </c>
      <c r="B2894" s="12" t="s">
        <v>44</v>
      </c>
      <c r="C2894" s="12" t="s">
        <v>279</v>
      </c>
      <c r="D2894" s="12" t="str">
        <f aca="false">INDEX('Country Tiers'!$C$2:$C$37,MATCH(C2894,'Country Tiers'!$A$2:$A$37,0))</f>
        <v>Tier 1</v>
      </c>
      <c r="E2894" s="12" t="n">
        <f aca="false">INDEX('Country Tiers'!$D$2:$D$37,MATCH(C2894,'Country Tiers'!$A$2:$A$37,0))</f>
        <v>3</v>
      </c>
    </row>
    <row r="2895" customFormat="false" ht="15" hidden="false" customHeight="false" outlineLevel="0" collapsed="false">
      <c r="A2895" s="12" t="s">
        <v>160</v>
      </c>
      <c r="B2895" s="12" t="s">
        <v>115</v>
      </c>
      <c r="C2895" s="12" t="s">
        <v>274</v>
      </c>
      <c r="D2895" s="12" t="str">
        <f aca="false">INDEX('Country Tiers'!$C$2:$C$37,MATCH(C2895,'Country Tiers'!$A$2:$A$37,0))</f>
        <v>Tier 3</v>
      </c>
      <c r="E2895" s="12" t="n">
        <f aca="false">INDEX('Country Tiers'!$D$2:$D$37,MATCH(C2895,'Country Tiers'!$A$2:$A$37,0))</f>
        <v>1</v>
      </c>
    </row>
    <row r="2896" customFormat="false" ht="15" hidden="false" customHeight="false" outlineLevel="0" collapsed="false">
      <c r="A2896" s="12" t="s">
        <v>160</v>
      </c>
      <c r="B2896" s="12" t="s">
        <v>115</v>
      </c>
      <c r="C2896" s="12" t="s">
        <v>277</v>
      </c>
      <c r="D2896" s="12" t="str">
        <f aca="false">INDEX('Country Tiers'!$C$2:$C$37,MATCH(C2896,'Country Tiers'!$A$2:$A$37,0))</f>
        <v>Tier 1</v>
      </c>
      <c r="E2896" s="12" t="n">
        <f aca="false">INDEX('Country Tiers'!$D$2:$D$37,MATCH(C2896,'Country Tiers'!$A$2:$A$37,0))</f>
        <v>3</v>
      </c>
    </row>
    <row r="2897" customFormat="false" ht="15" hidden="false" customHeight="false" outlineLevel="0" collapsed="false">
      <c r="A2897" s="12" t="s">
        <v>160</v>
      </c>
      <c r="B2897" s="12" t="s">
        <v>115</v>
      </c>
      <c r="C2897" s="12" t="s">
        <v>278</v>
      </c>
      <c r="D2897" s="12" t="str">
        <f aca="false">INDEX('Country Tiers'!$C$2:$C$37,MATCH(C2897,'Country Tiers'!$A$2:$A$37,0))</f>
        <v>Tier 3</v>
      </c>
      <c r="E2897" s="12" t="n">
        <f aca="false">INDEX('Country Tiers'!$D$2:$D$37,MATCH(C2897,'Country Tiers'!$A$2:$A$37,0))</f>
        <v>1</v>
      </c>
    </row>
    <row r="2898" customFormat="false" ht="15" hidden="false" customHeight="false" outlineLevel="0" collapsed="false">
      <c r="A2898" s="12" t="s">
        <v>160</v>
      </c>
      <c r="B2898" s="12" t="s">
        <v>115</v>
      </c>
      <c r="C2898" s="12" t="s">
        <v>280</v>
      </c>
      <c r="D2898" s="12" t="str">
        <f aca="false">INDEX('Country Tiers'!$C$2:$C$37,MATCH(C2898,'Country Tiers'!$A$2:$A$37,0))</f>
        <v>Tier 3</v>
      </c>
      <c r="E2898" s="12" t="n">
        <f aca="false">INDEX('Country Tiers'!$D$2:$D$37,MATCH(C2898,'Country Tiers'!$A$2:$A$37,0))</f>
        <v>1</v>
      </c>
    </row>
    <row r="2899" customFormat="false" ht="15" hidden="false" customHeight="false" outlineLevel="0" collapsed="false">
      <c r="A2899" s="12" t="s">
        <v>160</v>
      </c>
      <c r="B2899" s="12" t="s">
        <v>115</v>
      </c>
      <c r="C2899" s="12" t="s">
        <v>281</v>
      </c>
      <c r="D2899" s="12" t="str">
        <f aca="false">INDEX('Country Tiers'!$C$2:$C$37,MATCH(C2899,'Country Tiers'!$A$2:$A$37,0))</f>
        <v>Tier 3</v>
      </c>
      <c r="E2899" s="12" t="n">
        <f aca="false">INDEX('Country Tiers'!$D$2:$D$37,MATCH(C2899,'Country Tiers'!$A$2:$A$37,0))</f>
        <v>1</v>
      </c>
    </row>
    <row r="2900" customFormat="false" ht="15" hidden="false" customHeight="false" outlineLevel="0" collapsed="false">
      <c r="A2900" s="12" t="s">
        <v>160</v>
      </c>
      <c r="B2900" s="12" t="s">
        <v>115</v>
      </c>
      <c r="C2900" s="12" t="s">
        <v>282</v>
      </c>
      <c r="D2900" s="12" t="str">
        <f aca="false">INDEX('Country Tiers'!$C$2:$C$37,MATCH(C2900,'Country Tiers'!$A$2:$A$37,0))</f>
        <v>Tier 3</v>
      </c>
      <c r="E2900" s="12" t="n">
        <f aca="false">INDEX('Country Tiers'!$D$2:$D$37,MATCH(C2900,'Country Tiers'!$A$2:$A$37,0))</f>
        <v>1</v>
      </c>
    </row>
    <row r="2901" customFormat="false" ht="15" hidden="false" customHeight="false" outlineLevel="0" collapsed="false">
      <c r="A2901" s="12" t="s">
        <v>160</v>
      </c>
      <c r="B2901" s="12" t="s">
        <v>115</v>
      </c>
      <c r="C2901" s="12" t="s">
        <v>283</v>
      </c>
      <c r="D2901" s="12" t="str">
        <f aca="false">INDEX('Country Tiers'!$C$2:$C$37,MATCH(C2901,'Country Tiers'!$A$2:$A$37,0))</f>
        <v>Tier 3</v>
      </c>
      <c r="E2901" s="12" t="n">
        <f aca="false">INDEX('Country Tiers'!$D$2:$D$37,MATCH(C2901,'Country Tiers'!$A$2:$A$37,0))</f>
        <v>1</v>
      </c>
    </row>
    <row r="2902" customFormat="false" ht="15" hidden="false" customHeight="false" outlineLevel="0" collapsed="false">
      <c r="A2902" s="12" t="s">
        <v>160</v>
      </c>
      <c r="B2902" s="12" t="s">
        <v>115</v>
      </c>
      <c r="C2902" s="12" t="s">
        <v>284</v>
      </c>
      <c r="D2902" s="12" t="str">
        <f aca="false">INDEX('Country Tiers'!$C$2:$C$37,MATCH(C2902,'Country Tiers'!$A$2:$A$37,0))</f>
        <v>Tier 3</v>
      </c>
      <c r="E2902" s="12" t="n">
        <f aca="false">INDEX('Country Tiers'!$D$2:$D$37,MATCH(C2902,'Country Tiers'!$A$2:$A$37,0))</f>
        <v>1</v>
      </c>
    </row>
    <row r="2903" customFormat="false" ht="15" hidden="false" customHeight="false" outlineLevel="0" collapsed="false">
      <c r="A2903" s="12" t="s">
        <v>160</v>
      </c>
      <c r="B2903" s="12" t="s">
        <v>115</v>
      </c>
      <c r="C2903" s="12" t="s">
        <v>285</v>
      </c>
      <c r="D2903" s="12" t="str">
        <f aca="false">INDEX('Country Tiers'!$C$2:$C$37,MATCH(C2903,'Country Tiers'!$A$2:$A$37,0))</f>
        <v>Tier 3</v>
      </c>
      <c r="E2903" s="12" t="n">
        <f aca="false">INDEX('Country Tiers'!$D$2:$D$37,MATCH(C2903,'Country Tiers'!$A$2:$A$37,0))</f>
        <v>1</v>
      </c>
    </row>
    <row r="2904" customFormat="false" ht="15" hidden="false" customHeight="false" outlineLevel="0" collapsed="false">
      <c r="A2904" s="12" t="s">
        <v>160</v>
      </c>
      <c r="B2904" s="12" t="s">
        <v>115</v>
      </c>
      <c r="C2904" s="12" t="s">
        <v>286</v>
      </c>
      <c r="D2904" s="12" t="str">
        <f aca="false">INDEX('Country Tiers'!$C$2:$C$37,MATCH(C2904,'Country Tiers'!$A$2:$A$37,0))</f>
        <v>Tier 1</v>
      </c>
      <c r="E2904" s="12" t="n">
        <f aca="false">INDEX('Country Tiers'!$D$2:$D$37,MATCH(C2904,'Country Tiers'!$A$2:$A$37,0))</f>
        <v>3</v>
      </c>
    </row>
    <row r="2905" customFormat="false" ht="15" hidden="false" customHeight="false" outlineLevel="0" collapsed="false">
      <c r="A2905" s="12" t="s">
        <v>160</v>
      </c>
      <c r="B2905" s="12" t="s">
        <v>115</v>
      </c>
      <c r="C2905" s="12" t="s">
        <v>287</v>
      </c>
      <c r="D2905" s="12" t="str">
        <f aca="false">INDEX('Country Tiers'!$C$2:$C$37,MATCH(C2905,'Country Tiers'!$A$2:$A$37,0))</f>
        <v>Tier 1</v>
      </c>
      <c r="E2905" s="12" t="n">
        <f aca="false">INDEX('Country Tiers'!$D$2:$D$37,MATCH(C2905,'Country Tiers'!$A$2:$A$37,0))</f>
        <v>3</v>
      </c>
    </row>
    <row r="2906" customFormat="false" ht="15" hidden="false" customHeight="false" outlineLevel="0" collapsed="false">
      <c r="A2906" s="12" t="s">
        <v>160</v>
      </c>
      <c r="B2906" s="12" t="s">
        <v>115</v>
      </c>
      <c r="C2906" s="12" t="s">
        <v>288</v>
      </c>
      <c r="D2906" s="12" t="str">
        <f aca="false">INDEX('Country Tiers'!$C$2:$C$37,MATCH(C2906,'Country Tiers'!$A$2:$A$37,0))</f>
        <v>Tier 3</v>
      </c>
      <c r="E2906" s="12" t="n">
        <f aca="false">INDEX('Country Tiers'!$D$2:$D$37,MATCH(C2906,'Country Tiers'!$A$2:$A$37,0))</f>
        <v>1</v>
      </c>
    </row>
    <row r="2907" customFormat="false" ht="15" hidden="false" customHeight="false" outlineLevel="0" collapsed="false">
      <c r="A2907" s="12" t="s">
        <v>160</v>
      </c>
      <c r="B2907" s="12" t="s">
        <v>115</v>
      </c>
      <c r="C2907" s="12" t="s">
        <v>289</v>
      </c>
      <c r="D2907" s="12" t="str">
        <f aca="false">INDEX('Country Tiers'!$C$2:$C$37,MATCH(C2907,'Country Tiers'!$A$2:$A$37,0))</f>
        <v>Tier 3</v>
      </c>
      <c r="E2907" s="12" t="n">
        <f aca="false">INDEX('Country Tiers'!$D$2:$D$37,MATCH(C2907,'Country Tiers'!$A$2:$A$37,0))</f>
        <v>1</v>
      </c>
    </row>
    <row r="2908" customFormat="false" ht="15" hidden="false" customHeight="false" outlineLevel="0" collapsed="false">
      <c r="A2908" s="12" t="s">
        <v>160</v>
      </c>
      <c r="B2908" s="12" t="s">
        <v>115</v>
      </c>
      <c r="C2908" s="12" t="s">
        <v>290</v>
      </c>
      <c r="D2908" s="12" t="str">
        <f aca="false">INDEX('Country Tiers'!$C$2:$C$37,MATCH(C2908,'Country Tiers'!$A$2:$A$37,0))</f>
        <v>Tier 3</v>
      </c>
      <c r="E2908" s="12" t="n">
        <f aca="false">INDEX('Country Tiers'!$D$2:$D$37,MATCH(C2908,'Country Tiers'!$A$2:$A$37,0))</f>
        <v>1</v>
      </c>
    </row>
    <row r="2909" customFormat="false" ht="15" hidden="false" customHeight="false" outlineLevel="0" collapsed="false">
      <c r="A2909" s="12" t="s">
        <v>160</v>
      </c>
      <c r="B2909" s="12" t="s">
        <v>115</v>
      </c>
      <c r="C2909" s="12" t="s">
        <v>291</v>
      </c>
      <c r="D2909" s="12" t="str">
        <f aca="false">INDEX('Country Tiers'!$C$2:$C$37,MATCH(C2909,'Country Tiers'!$A$2:$A$37,0))</f>
        <v>Tier 3</v>
      </c>
      <c r="E2909" s="12" t="n">
        <f aca="false">INDEX('Country Tiers'!$D$2:$D$37,MATCH(C2909,'Country Tiers'!$A$2:$A$37,0))</f>
        <v>1</v>
      </c>
    </row>
    <row r="2910" customFormat="false" ht="15" hidden="false" customHeight="false" outlineLevel="0" collapsed="false">
      <c r="A2910" s="12" t="s">
        <v>160</v>
      </c>
      <c r="B2910" s="12" t="s">
        <v>115</v>
      </c>
      <c r="C2910" s="12" t="s">
        <v>292</v>
      </c>
      <c r="D2910" s="12" t="str">
        <f aca="false">INDEX('Country Tiers'!$C$2:$C$37,MATCH(C2910,'Country Tiers'!$A$2:$A$37,0))</f>
        <v>Tier 2</v>
      </c>
      <c r="E2910" s="12" t="n">
        <f aca="false">INDEX('Country Tiers'!$D$2:$D$37,MATCH(C2910,'Country Tiers'!$A$2:$A$37,0))</f>
        <v>2</v>
      </c>
    </row>
    <row r="2911" customFormat="false" ht="15" hidden="false" customHeight="false" outlineLevel="0" collapsed="false">
      <c r="A2911" s="12" t="s">
        <v>160</v>
      </c>
      <c r="B2911" s="12" t="s">
        <v>115</v>
      </c>
      <c r="C2911" s="12" t="s">
        <v>293</v>
      </c>
      <c r="D2911" s="12" t="str">
        <f aca="false">INDEX('Country Tiers'!$C$2:$C$37,MATCH(C2911,'Country Tiers'!$A$2:$A$37,0))</f>
        <v>Tier 3</v>
      </c>
      <c r="E2911" s="12" t="n">
        <f aca="false">INDEX('Country Tiers'!$D$2:$D$37,MATCH(C2911,'Country Tiers'!$A$2:$A$37,0))</f>
        <v>1</v>
      </c>
    </row>
    <row r="2912" customFormat="false" ht="15" hidden="false" customHeight="false" outlineLevel="0" collapsed="false">
      <c r="A2912" s="12" t="s">
        <v>160</v>
      </c>
      <c r="B2912" s="12" t="s">
        <v>115</v>
      </c>
      <c r="C2912" s="12" t="s">
        <v>294</v>
      </c>
      <c r="D2912" s="12" t="str">
        <f aca="false">INDEX('Country Tiers'!$C$2:$C$37,MATCH(C2912,'Country Tiers'!$A$2:$A$37,0))</f>
        <v>Tier 3</v>
      </c>
      <c r="E2912" s="12" t="n">
        <f aca="false">INDEX('Country Tiers'!$D$2:$D$37,MATCH(C2912,'Country Tiers'!$A$2:$A$37,0))</f>
        <v>1</v>
      </c>
    </row>
    <row r="2913" customFormat="false" ht="15" hidden="false" customHeight="false" outlineLevel="0" collapsed="false">
      <c r="A2913" s="12" t="s">
        <v>160</v>
      </c>
      <c r="B2913" s="12" t="s">
        <v>115</v>
      </c>
      <c r="C2913" s="12" t="s">
        <v>295</v>
      </c>
      <c r="D2913" s="12" t="str">
        <f aca="false">INDEX('Country Tiers'!$C$2:$C$37,MATCH(C2913,'Country Tiers'!$A$2:$A$37,0))</f>
        <v>Tier 3</v>
      </c>
      <c r="E2913" s="12" t="n">
        <f aca="false">INDEX('Country Tiers'!$D$2:$D$37,MATCH(C2913,'Country Tiers'!$A$2:$A$37,0))</f>
        <v>1</v>
      </c>
    </row>
    <row r="2914" customFormat="false" ht="15" hidden="false" customHeight="false" outlineLevel="0" collapsed="false">
      <c r="A2914" s="12" t="s">
        <v>160</v>
      </c>
      <c r="B2914" s="12" t="s">
        <v>115</v>
      </c>
      <c r="C2914" s="12" t="s">
        <v>296</v>
      </c>
      <c r="D2914" s="12" t="str">
        <f aca="false">INDEX('Country Tiers'!$C$2:$C$37,MATCH(C2914,'Country Tiers'!$A$2:$A$37,0))</f>
        <v>Tier 3</v>
      </c>
      <c r="E2914" s="12" t="n">
        <f aca="false">INDEX('Country Tiers'!$D$2:$D$37,MATCH(C2914,'Country Tiers'!$A$2:$A$37,0))</f>
        <v>1</v>
      </c>
    </row>
    <row r="2915" customFormat="false" ht="15" hidden="false" customHeight="false" outlineLevel="0" collapsed="false">
      <c r="A2915" s="12" t="s">
        <v>160</v>
      </c>
      <c r="B2915" s="12" t="s">
        <v>115</v>
      </c>
      <c r="C2915" s="12" t="s">
        <v>297</v>
      </c>
      <c r="D2915" s="12" t="str">
        <f aca="false">INDEX('Country Tiers'!$C$2:$C$37,MATCH(C2915,'Country Tiers'!$A$2:$A$37,0))</f>
        <v>Tier 2</v>
      </c>
      <c r="E2915" s="12" t="n">
        <f aca="false">INDEX('Country Tiers'!$D$2:$D$37,MATCH(C2915,'Country Tiers'!$A$2:$A$37,0))</f>
        <v>2</v>
      </c>
    </row>
    <row r="2916" customFormat="false" ht="15" hidden="false" customHeight="false" outlineLevel="0" collapsed="false">
      <c r="A2916" s="12" t="s">
        <v>160</v>
      </c>
      <c r="B2916" s="12" t="s">
        <v>115</v>
      </c>
      <c r="C2916" s="12" t="s">
        <v>298</v>
      </c>
      <c r="D2916" s="12" t="str">
        <f aca="false">INDEX('Country Tiers'!$C$2:$C$37,MATCH(C2916,'Country Tiers'!$A$2:$A$37,0))</f>
        <v>Tier 1</v>
      </c>
      <c r="E2916" s="12" t="n">
        <f aca="false">INDEX('Country Tiers'!$D$2:$D$37,MATCH(C2916,'Country Tiers'!$A$2:$A$37,0))</f>
        <v>3</v>
      </c>
    </row>
    <row r="2917" customFormat="false" ht="15" hidden="false" customHeight="false" outlineLevel="0" collapsed="false">
      <c r="A2917" s="12" t="s">
        <v>160</v>
      </c>
      <c r="B2917" s="12" t="s">
        <v>115</v>
      </c>
      <c r="C2917" s="12" t="s">
        <v>299</v>
      </c>
      <c r="D2917" s="12" t="str">
        <f aca="false">INDEX('Country Tiers'!$C$2:$C$37,MATCH(C2917,'Country Tiers'!$A$2:$A$37,0))</f>
        <v>Tier 3</v>
      </c>
      <c r="E2917" s="12" t="n">
        <f aca="false">INDEX('Country Tiers'!$D$2:$D$37,MATCH(C2917,'Country Tiers'!$A$2:$A$37,0))</f>
        <v>1</v>
      </c>
    </row>
    <row r="2918" customFormat="false" ht="15" hidden="false" customHeight="false" outlineLevel="0" collapsed="false">
      <c r="A2918" s="12" t="s">
        <v>160</v>
      </c>
      <c r="B2918" s="12" t="s">
        <v>115</v>
      </c>
      <c r="C2918" s="12" t="s">
        <v>300</v>
      </c>
      <c r="D2918" s="12" t="str">
        <f aca="false">INDEX('Country Tiers'!$C$2:$C$37,MATCH(C2918,'Country Tiers'!$A$2:$A$37,0))</f>
        <v>Tier 3</v>
      </c>
      <c r="E2918" s="12" t="n">
        <f aca="false">INDEX('Country Tiers'!$D$2:$D$37,MATCH(C2918,'Country Tiers'!$A$2:$A$37,0))</f>
        <v>1</v>
      </c>
    </row>
    <row r="2919" customFormat="false" ht="15" hidden="false" customHeight="false" outlineLevel="0" collapsed="false">
      <c r="A2919" s="12" t="s">
        <v>160</v>
      </c>
      <c r="B2919" s="12" t="s">
        <v>115</v>
      </c>
      <c r="C2919" s="12" t="s">
        <v>301</v>
      </c>
      <c r="D2919" s="12" t="str">
        <f aca="false">INDEX('Country Tiers'!$C$2:$C$37,MATCH(C2919,'Country Tiers'!$A$2:$A$37,0))</f>
        <v>Tier 3</v>
      </c>
      <c r="E2919" s="12" t="n">
        <f aca="false">INDEX('Country Tiers'!$D$2:$D$37,MATCH(C2919,'Country Tiers'!$A$2:$A$37,0))</f>
        <v>1</v>
      </c>
    </row>
    <row r="2920" customFormat="false" ht="15" hidden="false" customHeight="false" outlineLevel="0" collapsed="false">
      <c r="A2920" s="12" t="s">
        <v>160</v>
      </c>
      <c r="B2920" s="12" t="s">
        <v>115</v>
      </c>
      <c r="C2920" s="12" t="s">
        <v>302</v>
      </c>
      <c r="D2920" s="12" t="str">
        <f aca="false">INDEX('Country Tiers'!$C$2:$C$37,MATCH(C2920,'Country Tiers'!$A$2:$A$37,0))</f>
        <v>Tier 3</v>
      </c>
      <c r="E2920" s="12" t="n">
        <f aca="false">INDEX('Country Tiers'!$D$2:$D$37,MATCH(C2920,'Country Tiers'!$A$2:$A$37,0))</f>
        <v>1</v>
      </c>
    </row>
    <row r="2921" customFormat="false" ht="15" hidden="false" customHeight="false" outlineLevel="0" collapsed="false">
      <c r="A2921" s="12" t="s">
        <v>160</v>
      </c>
      <c r="B2921" s="12" t="s">
        <v>115</v>
      </c>
      <c r="C2921" s="12" t="s">
        <v>305</v>
      </c>
      <c r="D2921" s="12" t="str">
        <f aca="false">INDEX('Country Tiers'!$C$2:$C$37,MATCH(C2921,'Country Tiers'!$A$2:$A$37,0))</f>
        <v>Tier 3</v>
      </c>
      <c r="E2921" s="12" t="n">
        <f aca="false">INDEX('Country Tiers'!$D$2:$D$37,MATCH(C2921,'Country Tiers'!$A$2:$A$37,0))</f>
        <v>1</v>
      </c>
    </row>
    <row r="2922" customFormat="false" ht="15" hidden="false" customHeight="false" outlineLevel="0" collapsed="false">
      <c r="A2922" s="12" t="s">
        <v>160</v>
      </c>
      <c r="B2922" s="12" t="s">
        <v>115</v>
      </c>
      <c r="C2922" s="12" t="s">
        <v>306</v>
      </c>
      <c r="D2922" s="12" t="str">
        <f aca="false">INDEX('Country Tiers'!$C$2:$C$37,MATCH(C2922,'Country Tiers'!$A$2:$A$37,0))</f>
        <v>Tier 3</v>
      </c>
      <c r="E2922" s="12" t="n">
        <f aca="false">INDEX('Country Tiers'!$D$2:$D$37,MATCH(C2922,'Country Tiers'!$A$2:$A$37,0))</f>
        <v>1</v>
      </c>
    </row>
    <row r="2923" customFormat="false" ht="15" hidden="false" customHeight="false" outlineLevel="0" collapsed="false">
      <c r="A2923" s="12" t="s">
        <v>160</v>
      </c>
      <c r="B2923" s="12" t="s">
        <v>115</v>
      </c>
      <c r="C2923" s="12" t="s">
        <v>307</v>
      </c>
      <c r="D2923" s="12" t="str">
        <f aca="false">INDEX('Country Tiers'!$C$2:$C$37,MATCH(C2923,'Country Tiers'!$A$2:$A$37,0))</f>
        <v>Tier 2</v>
      </c>
      <c r="E2923" s="12" t="n">
        <f aca="false">INDEX('Country Tiers'!$D$2:$D$37,MATCH(C2923,'Country Tiers'!$A$2:$A$37,0))</f>
        <v>2</v>
      </c>
    </row>
    <row r="2924" customFormat="false" ht="15" hidden="false" customHeight="false" outlineLevel="0" collapsed="false">
      <c r="A2924" s="12" t="s">
        <v>160</v>
      </c>
      <c r="B2924" s="12" t="s">
        <v>115</v>
      </c>
      <c r="C2924" s="12" t="s">
        <v>308</v>
      </c>
      <c r="D2924" s="12" t="str">
        <f aca="false">INDEX('Country Tiers'!$C$2:$C$37,MATCH(C2924,'Country Tiers'!$A$2:$A$37,0))</f>
        <v>Tier 3</v>
      </c>
      <c r="E2924" s="12" t="n">
        <f aca="false">INDEX('Country Tiers'!$D$2:$D$37,MATCH(C2924,'Country Tiers'!$A$2:$A$37,0))</f>
        <v>1</v>
      </c>
    </row>
    <row r="2925" customFormat="false" ht="15" hidden="false" customHeight="false" outlineLevel="0" collapsed="false">
      <c r="A2925" s="12" t="s">
        <v>160</v>
      </c>
      <c r="B2925" s="12" t="s">
        <v>115</v>
      </c>
      <c r="C2925" s="12" t="s">
        <v>313</v>
      </c>
      <c r="D2925" s="12" t="str">
        <f aca="false">INDEX('Country Tiers'!$C$2:$C$37,MATCH(C2925,'Country Tiers'!$A$2:$A$37,0))</f>
        <v>Tier 1</v>
      </c>
      <c r="E2925" s="12" t="n">
        <f aca="false">INDEX('Country Tiers'!$D$2:$D$37,MATCH(C2925,'Country Tiers'!$A$2:$A$37,0))</f>
        <v>3</v>
      </c>
    </row>
    <row r="2926" customFormat="false" ht="15" hidden="false" customHeight="false" outlineLevel="0" collapsed="false">
      <c r="A2926" s="12" t="s">
        <v>161</v>
      </c>
      <c r="B2926" s="12" t="s">
        <v>47</v>
      </c>
      <c r="C2926" s="12" t="s">
        <v>311</v>
      </c>
      <c r="D2926" s="12" t="str">
        <f aca="false">INDEX('Country Tiers'!$C$2:$C$37,MATCH(C2926,'Country Tiers'!$A$2:$A$37,0))</f>
        <v>Tier 1</v>
      </c>
      <c r="E2926" s="12" t="n">
        <f aca="false">INDEX('Country Tiers'!$D$2:$D$37,MATCH(C2926,'Country Tiers'!$A$2:$A$37,0))</f>
        <v>3</v>
      </c>
    </row>
    <row r="2927" customFormat="false" ht="15" hidden="false" customHeight="false" outlineLevel="0" collapsed="false">
      <c r="A2927" s="12" t="s">
        <v>161</v>
      </c>
      <c r="B2927" s="12" t="s">
        <v>54</v>
      </c>
      <c r="C2927" s="12" t="s">
        <v>272</v>
      </c>
      <c r="D2927" s="12" t="str">
        <f aca="false">INDEX('Country Tiers'!$C$2:$C$37,MATCH(C2927,'Country Tiers'!$A$2:$A$37,0))</f>
        <v>Tier 2</v>
      </c>
      <c r="E2927" s="12" t="n">
        <f aca="false">INDEX('Country Tiers'!$D$2:$D$37,MATCH(C2927,'Country Tiers'!$A$2:$A$37,0))</f>
        <v>2</v>
      </c>
    </row>
    <row r="2928" customFormat="false" ht="15" hidden="false" customHeight="false" outlineLevel="0" collapsed="false">
      <c r="A2928" s="12" t="s">
        <v>161</v>
      </c>
      <c r="B2928" s="12" t="s">
        <v>55</v>
      </c>
      <c r="C2928" s="12" t="s">
        <v>272</v>
      </c>
      <c r="D2928" s="12" t="str">
        <f aca="false">INDEX('Country Tiers'!$C$2:$C$37,MATCH(C2928,'Country Tiers'!$A$2:$A$37,0))</f>
        <v>Tier 2</v>
      </c>
      <c r="E2928" s="12" t="n">
        <f aca="false">INDEX('Country Tiers'!$D$2:$D$37,MATCH(C2928,'Country Tiers'!$A$2:$A$37,0))</f>
        <v>2</v>
      </c>
    </row>
    <row r="2929" customFormat="false" ht="15" hidden="false" customHeight="false" outlineLevel="0" collapsed="false">
      <c r="A2929" s="12" t="s">
        <v>161</v>
      </c>
      <c r="B2929" s="12" t="s">
        <v>55</v>
      </c>
      <c r="C2929" s="12" t="s">
        <v>274</v>
      </c>
      <c r="D2929" s="12" t="str">
        <f aca="false">INDEX('Country Tiers'!$C$2:$C$37,MATCH(C2929,'Country Tiers'!$A$2:$A$37,0))</f>
        <v>Tier 3</v>
      </c>
      <c r="E2929" s="12" t="n">
        <f aca="false">INDEX('Country Tiers'!$D$2:$D$37,MATCH(C2929,'Country Tiers'!$A$2:$A$37,0))</f>
        <v>1</v>
      </c>
    </row>
    <row r="2930" customFormat="false" ht="15" hidden="false" customHeight="false" outlineLevel="0" collapsed="false">
      <c r="A2930" s="12" t="s">
        <v>161</v>
      </c>
      <c r="B2930" s="12" t="s">
        <v>55</v>
      </c>
      <c r="C2930" s="12" t="s">
        <v>277</v>
      </c>
      <c r="D2930" s="12" t="str">
        <f aca="false">INDEX('Country Tiers'!$C$2:$C$37,MATCH(C2930,'Country Tiers'!$A$2:$A$37,0))</f>
        <v>Tier 1</v>
      </c>
      <c r="E2930" s="12" t="n">
        <f aca="false">INDEX('Country Tiers'!$D$2:$D$37,MATCH(C2930,'Country Tiers'!$A$2:$A$37,0))</f>
        <v>3</v>
      </c>
    </row>
    <row r="2931" customFormat="false" ht="15" hidden="false" customHeight="false" outlineLevel="0" collapsed="false">
      <c r="A2931" s="12" t="s">
        <v>161</v>
      </c>
      <c r="B2931" s="12" t="s">
        <v>55</v>
      </c>
      <c r="C2931" s="12" t="s">
        <v>278</v>
      </c>
      <c r="D2931" s="12" t="str">
        <f aca="false">INDEX('Country Tiers'!$C$2:$C$37,MATCH(C2931,'Country Tiers'!$A$2:$A$37,0))</f>
        <v>Tier 3</v>
      </c>
      <c r="E2931" s="12" t="n">
        <f aca="false">INDEX('Country Tiers'!$D$2:$D$37,MATCH(C2931,'Country Tiers'!$A$2:$A$37,0))</f>
        <v>1</v>
      </c>
    </row>
    <row r="2932" customFormat="false" ht="15" hidden="false" customHeight="false" outlineLevel="0" collapsed="false">
      <c r="A2932" s="12" t="s">
        <v>161</v>
      </c>
      <c r="B2932" s="12" t="s">
        <v>55</v>
      </c>
      <c r="C2932" s="12" t="s">
        <v>280</v>
      </c>
      <c r="D2932" s="12" t="str">
        <f aca="false">INDEX('Country Tiers'!$C$2:$C$37,MATCH(C2932,'Country Tiers'!$A$2:$A$37,0))</f>
        <v>Tier 3</v>
      </c>
      <c r="E2932" s="12" t="n">
        <f aca="false">INDEX('Country Tiers'!$D$2:$D$37,MATCH(C2932,'Country Tiers'!$A$2:$A$37,0))</f>
        <v>1</v>
      </c>
    </row>
    <row r="2933" customFormat="false" ht="15" hidden="false" customHeight="false" outlineLevel="0" collapsed="false">
      <c r="A2933" s="12" t="s">
        <v>161</v>
      </c>
      <c r="B2933" s="12" t="s">
        <v>55</v>
      </c>
      <c r="C2933" s="12" t="s">
        <v>281</v>
      </c>
      <c r="D2933" s="12" t="str">
        <f aca="false">INDEX('Country Tiers'!$C$2:$C$37,MATCH(C2933,'Country Tiers'!$A$2:$A$37,0))</f>
        <v>Tier 3</v>
      </c>
      <c r="E2933" s="12" t="n">
        <f aca="false">INDEX('Country Tiers'!$D$2:$D$37,MATCH(C2933,'Country Tiers'!$A$2:$A$37,0))</f>
        <v>1</v>
      </c>
    </row>
    <row r="2934" customFormat="false" ht="15" hidden="false" customHeight="false" outlineLevel="0" collapsed="false">
      <c r="A2934" s="12" t="s">
        <v>161</v>
      </c>
      <c r="B2934" s="12" t="s">
        <v>55</v>
      </c>
      <c r="C2934" s="12" t="s">
        <v>282</v>
      </c>
      <c r="D2934" s="12" t="str">
        <f aca="false">INDEX('Country Tiers'!$C$2:$C$37,MATCH(C2934,'Country Tiers'!$A$2:$A$37,0))</f>
        <v>Tier 3</v>
      </c>
      <c r="E2934" s="12" t="n">
        <f aca="false">INDEX('Country Tiers'!$D$2:$D$37,MATCH(C2934,'Country Tiers'!$A$2:$A$37,0))</f>
        <v>1</v>
      </c>
    </row>
    <row r="2935" customFormat="false" ht="15" hidden="false" customHeight="false" outlineLevel="0" collapsed="false">
      <c r="A2935" s="12" t="s">
        <v>161</v>
      </c>
      <c r="B2935" s="12" t="s">
        <v>55</v>
      </c>
      <c r="C2935" s="12" t="s">
        <v>283</v>
      </c>
      <c r="D2935" s="12" t="str">
        <f aca="false">INDEX('Country Tiers'!$C$2:$C$37,MATCH(C2935,'Country Tiers'!$A$2:$A$37,0))</f>
        <v>Tier 3</v>
      </c>
      <c r="E2935" s="12" t="n">
        <f aca="false">INDEX('Country Tiers'!$D$2:$D$37,MATCH(C2935,'Country Tiers'!$A$2:$A$37,0))</f>
        <v>1</v>
      </c>
    </row>
    <row r="2936" customFormat="false" ht="15" hidden="false" customHeight="false" outlineLevel="0" collapsed="false">
      <c r="A2936" s="12" t="s">
        <v>161</v>
      </c>
      <c r="B2936" s="12" t="s">
        <v>55</v>
      </c>
      <c r="C2936" s="12" t="s">
        <v>284</v>
      </c>
      <c r="D2936" s="12" t="str">
        <f aca="false">INDEX('Country Tiers'!$C$2:$C$37,MATCH(C2936,'Country Tiers'!$A$2:$A$37,0))</f>
        <v>Tier 3</v>
      </c>
      <c r="E2936" s="12" t="n">
        <f aca="false">INDEX('Country Tiers'!$D$2:$D$37,MATCH(C2936,'Country Tiers'!$A$2:$A$37,0))</f>
        <v>1</v>
      </c>
    </row>
    <row r="2937" customFormat="false" ht="15" hidden="false" customHeight="false" outlineLevel="0" collapsed="false">
      <c r="A2937" s="12" t="s">
        <v>161</v>
      </c>
      <c r="B2937" s="12" t="s">
        <v>55</v>
      </c>
      <c r="C2937" s="12" t="s">
        <v>285</v>
      </c>
      <c r="D2937" s="12" t="str">
        <f aca="false">INDEX('Country Tiers'!$C$2:$C$37,MATCH(C2937,'Country Tiers'!$A$2:$A$37,0))</f>
        <v>Tier 3</v>
      </c>
      <c r="E2937" s="12" t="n">
        <f aca="false">INDEX('Country Tiers'!$D$2:$D$37,MATCH(C2937,'Country Tiers'!$A$2:$A$37,0))</f>
        <v>1</v>
      </c>
    </row>
    <row r="2938" customFormat="false" ht="15" hidden="false" customHeight="false" outlineLevel="0" collapsed="false">
      <c r="A2938" s="12" t="s">
        <v>161</v>
      </c>
      <c r="B2938" s="12" t="s">
        <v>55</v>
      </c>
      <c r="C2938" s="12" t="s">
        <v>286</v>
      </c>
      <c r="D2938" s="12" t="str">
        <f aca="false">INDEX('Country Tiers'!$C$2:$C$37,MATCH(C2938,'Country Tiers'!$A$2:$A$37,0))</f>
        <v>Tier 1</v>
      </c>
      <c r="E2938" s="12" t="n">
        <f aca="false">INDEX('Country Tiers'!$D$2:$D$37,MATCH(C2938,'Country Tiers'!$A$2:$A$37,0))</f>
        <v>3</v>
      </c>
    </row>
    <row r="2939" customFormat="false" ht="15" hidden="false" customHeight="false" outlineLevel="0" collapsed="false">
      <c r="A2939" s="12" t="s">
        <v>161</v>
      </c>
      <c r="B2939" s="12" t="s">
        <v>55</v>
      </c>
      <c r="C2939" s="12" t="s">
        <v>287</v>
      </c>
      <c r="D2939" s="12" t="str">
        <f aca="false">INDEX('Country Tiers'!$C$2:$C$37,MATCH(C2939,'Country Tiers'!$A$2:$A$37,0))</f>
        <v>Tier 1</v>
      </c>
      <c r="E2939" s="12" t="n">
        <f aca="false">INDEX('Country Tiers'!$D$2:$D$37,MATCH(C2939,'Country Tiers'!$A$2:$A$37,0))</f>
        <v>3</v>
      </c>
    </row>
    <row r="2940" customFormat="false" ht="15" hidden="false" customHeight="false" outlineLevel="0" collapsed="false">
      <c r="A2940" s="12" t="s">
        <v>161</v>
      </c>
      <c r="B2940" s="12" t="s">
        <v>55</v>
      </c>
      <c r="C2940" s="12" t="s">
        <v>288</v>
      </c>
      <c r="D2940" s="12" t="str">
        <f aca="false">INDEX('Country Tiers'!$C$2:$C$37,MATCH(C2940,'Country Tiers'!$A$2:$A$37,0))</f>
        <v>Tier 3</v>
      </c>
      <c r="E2940" s="12" t="n">
        <f aca="false">INDEX('Country Tiers'!$D$2:$D$37,MATCH(C2940,'Country Tiers'!$A$2:$A$37,0))</f>
        <v>1</v>
      </c>
    </row>
    <row r="2941" customFormat="false" ht="15" hidden="false" customHeight="false" outlineLevel="0" collapsed="false">
      <c r="A2941" s="12" t="s">
        <v>161</v>
      </c>
      <c r="B2941" s="12" t="s">
        <v>55</v>
      </c>
      <c r="C2941" s="12" t="s">
        <v>289</v>
      </c>
      <c r="D2941" s="12" t="str">
        <f aca="false">INDEX('Country Tiers'!$C$2:$C$37,MATCH(C2941,'Country Tiers'!$A$2:$A$37,0))</f>
        <v>Tier 3</v>
      </c>
      <c r="E2941" s="12" t="n">
        <f aca="false">INDEX('Country Tiers'!$D$2:$D$37,MATCH(C2941,'Country Tiers'!$A$2:$A$37,0))</f>
        <v>1</v>
      </c>
    </row>
    <row r="2942" customFormat="false" ht="15" hidden="false" customHeight="false" outlineLevel="0" collapsed="false">
      <c r="A2942" s="12" t="s">
        <v>161</v>
      </c>
      <c r="B2942" s="12" t="s">
        <v>55</v>
      </c>
      <c r="C2942" s="12" t="s">
        <v>290</v>
      </c>
      <c r="D2942" s="12" t="str">
        <f aca="false">INDEX('Country Tiers'!$C$2:$C$37,MATCH(C2942,'Country Tiers'!$A$2:$A$37,0))</f>
        <v>Tier 3</v>
      </c>
      <c r="E2942" s="12" t="n">
        <f aca="false">INDEX('Country Tiers'!$D$2:$D$37,MATCH(C2942,'Country Tiers'!$A$2:$A$37,0))</f>
        <v>1</v>
      </c>
    </row>
    <row r="2943" customFormat="false" ht="15" hidden="false" customHeight="false" outlineLevel="0" collapsed="false">
      <c r="A2943" s="12" t="s">
        <v>161</v>
      </c>
      <c r="B2943" s="12" t="s">
        <v>55</v>
      </c>
      <c r="C2943" s="12" t="s">
        <v>292</v>
      </c>
      <c r="D2943" s="12" t="str">
        <f aca="false">INDEX('Country Tiers'!$C$2:$C$37,MATCH(C2943,'Country Tiers'!$A$2:$A$37,0))</f>
        <v>Tier 2</v>
      </c>
      <c r="E2943" s="12" t="n">
        <f aca="false">INDEX('Country Tiers'!$D$2:$D$37,MATCH(C2943,'Country Tiers'!$A$2:$A$37,0))</f>
        <v>2</v>
      </c>
    </row>
    <row r="2944" customFormat="false" ht="15" hidden="false" customHeight="false" outlineLevel="0" collapsed="false">
      <c r="A2944" s="12" t="s">
        <v>161</v>
      </c>
      <c r="B2944" s="12" t="s">
        <v>55</v>
      </c>
      <c r="C2944" s="12" t="s">
        <v>293</v>
      </c>
      <c r="D2944" s="12" t="str">
        <f aca="false">INDEX('Country Tiers'!$C$2:$C$37,MATCH(C2944,'Country Tiers'!$A$2:$A$37,0))</f>
        <v>Tier 3</v>
      </c>
      <c r="E2944" s="12" t="n">
        <f aca="false">INDEX('Country Tiers'!$D$2:$D$37,MATCH(C2944,'Country Tiers'!$A$2:$A$37,0))</f>
        <v>1</v>
      </c>
    </row>
    <row r="2945" customFormat="false" ht="15" hidden="false" customHeight="false" outlineLevel="0" collapsed="false">
      <c r="A2945" s="12" t="s">
        <v>161</v>
      </c>
      <c r="B2945" s="12" t="s">
        <v>55</v>
      </c>
      <c r="C2945" s="12" t="s">
        <v>294</v>
      </c>
      <c r="D2945" s="12" t="str">
        <f aca="false">INDEX('Country Tiers'!$C$2:$C$37,MATCH(C2945,'Country Tiers'!$A$2:$A$37,0))</f>
        <v>Tier 3</v>
      </c>
      <c r="E2945" s="12" t="n">
        <f aca="false">INDEX('Country Tiers'!$D$2:$D$37,MATCH(C2945,'Country Tiers'!$A$2:$A$37,0))</f>
        <v>1</v>
      </c>
    </row>
    <row r="2946" customFormat="false" ht="15" hidden="false" customHeight="false" outlineLevel="0" collapsed="false">
      <c r="A2946" s="12" t="s">
        <v>161</v>
      </c>
      <c r="B2946" s="12" t="s">
        <v>55</v>
      </c>
      <c r="C2946" s="12" t="s">
        <v>295</v>
      </c>
      <c r="D2946" s="12" t="str">
        <f aca="false">INDEX('Country Tiers'!$C$2:$C$37,MATCH(C2946,'Country Tiers'!$A$2:$A$37,0))</f>
        <v>Tier 3</v>
      </c>
      <c r="E2946" s="12" t="n">
        <f aca="false">INDEX('Country Tiers'!$D$2:$D$37,MATCH(C2946,'Country Tiers'!$A$2:$A$37,0))</f>
        <v>1</v>
      </c>
    </row>
    <row r="2947" customFormat="false" ht="15" hidden="false" customHeight="false" outlineLevel="0" collapsed="false">
      <c r="A2947" s="12" t="s">
        <v>161</v>
      </c>
      <c r="B2947" s="12" t="s">
        <v>55</v>
      </c>
      <c r="C2947" s="12" t="s">
        <v>297</v>
      </c>
      <c r="D2947" s="12" t="str">
        <f aca="false">INDEX('Country Tiers'!$C$2:$C$37,MATCH(C2947,'Country Tiers'!$A$2:$A$37,0))</f>
        <v>Tier 2</v>
      </c>
      <c r="E2947" s="12" t="n">
        <f aca="false">INDEX('Country Tiers'!$D$2:$D$37,MATCH(C2947,'Country Tiers'!$A$2:$A$37,0))</f>
        <v>2</v>
      </c>
    </row>
    <row r="2948" customFormat="false" ht="15" hidden="false" customHeight="false" outlineLevel="0" collapsed="false">
      <c r="A2948" s="12" t="s">
        <v>161</v>
      </c>
      <c r="B2948" s="12" t="s">
        <v>55</v>
      </c>
      <c r="C2948" s="12" t="s">
        <v>299</v>
      </c>
      <c r="D2948" s="12" t="str">
        <f aca="false">INDEX('Country Tiers'!$C$2:$C$37,MATCH(C2948,'Country Tiers'!$A$2:$A$37,0))</f>
        <v>Tier 3</v>
      </c>
      <c r="E2948" s="12" t="n">
        <f aca="false">INDEX('Country Tiers'!$D$2:$D$37,MATCH(C2948,'Country Tiers'!$A$2:$A$37,0))</f>
        <v>1</v>
      </c>
    </row>
    <row r="2949" customFormat="false" ht="15" hidden="false" customHeight="false" outlineLevel="0" collapsed="false">
      <c r="A2949" s="12" t="s">
        <v>161</v>
      </c>
      <c r="B2949" s="12" t="s">
        <v>55</v>
      </c>
      <c r="C2949" s="12" t="s">
        <v>301</v>
      </c>
      <c r="D2949" s="12" t="str">
        <f aca="false">INDEX('Country Tiers'!$C$2:$C$37,MATCH(C2949,'Country Tiers'!$A$2:$A$37,0))</f>
        <v>Tier 3</v>
      </c>
      <c r="E2949" s="12" t="n">
        <f aca="false">INDEX('Country Tiers'!$D$2:$D$37,MATCH(C2949,'Country Tiers'!$A$2:$A$37,0))</f>
        <v>1</v>
      </c>
    </row>
    <row r="2950" customFormat="false" ht="15" hidden="false" customHeight="false" outlineLevel="0" collapsed="false">
      <c r="A2950" s="12" t="s">
        <v>161</v>
      </c>
      <c r="B2950" s="12" t="s">
        <v>55</v>
      </c>
      <c r="C2950" s="12" t="s">
        <v>302</v>
      </c>
      <c r="D2950" s="12" t="str">
        <f aca="false">INDEX('Country Tiers'!$C$2:$C$37,MATCH(C2950,'Country Tiers'!$A$2:$A$37,0))</f>
        <v>Tier 3</v>
      </c>
      <c r="E2950" s="12" t="n">
        <f aca="false">INDEX('Country Tiers'!$D$2:$D$37,MATCH(C2950,'Country Tiers'!$A$2:$A$37,0))</f>
        <v>1</v>
      </c>
    </row>
    <row r="2951" customFormat="false" ht="15" hidden="false" customHeight="false" outlineLevel="0" collapsed="false">
      <c r="A2951" s="12" t="s">
        <v>161</v>
      </c>
      <c r="B2951" s="12" t="s">
        <v>55</v>
      </c>
      <c r="C2951" s="12" t="s">
        <v>305</v>
      </c>
      <c r="D2951" s="12" t="str">
        <f aca="false">INDEX('Country Tiers'!$C$2:$C$37,MATCH(C2951,'Country Tiers'!$A$2:$A$37,0))</f>
        <v>Tier 3</v>
      </c>
      <c r="E2951" s="12" t="n">
        <f aca="false">INDEX('Country Tiers'!$D$2:$D$37,MATCH(C2951,'Country Tiers'!$A$2:$A$37,0))</f>
        <v>1</v>
      </c>
    </row>
    <row r="2952" customFormat="false" ht="15" hidden="false" customHeight="false" outlineLevel="0" collapsed="false">
      <c r="A2952" s="12" t="s">
        <v>161</v>
      </c>
      <c r="B2952" s="12" t="s">
        <v>55</v>
      </c>
      <c r="C2952" s="12" t="s">
        <v>306</v>
      </c>
      <c r="D2952" s="12" t="str">
        <f aca="false">INDEX('Country Tiers'!$C$2:$C$37,MATCH(C2952,'Country Tiers'!$A$2:$A$37,0))</f>
        <v>Tier 3</v>
      </c>
      <c r="E2952" s="12" t="n">
        <f aca="false">INDEX('Country Tiers'!$D$2:$D$37,MATCH(C2952,'Country Tiers'!$A$2:$A$37,0))</f>
        <v>1</v>
      </c>
    </row>
    <row r="2953" customFormat="false" ht="15" hidden="false" customHeight="false" outlineLevel="0" collapsed="false">
      <c r="A2953" s="12" t="s">
        <v>161</v>
      </c>
      <c r="B2953" s="12" t="s">
        <v>55</v>
      </c>
      <c r="C2953" s="12" t="s">
        <v>307</v>
      </c>
      <c r="D2953" s="12" t="str">
        <f aca="false">INDEX('Country Tiers'!$C$2:$C$37,MATCH(C2953,'Country Tiers'!$A$2:$A$37,0))</f>
        <v>Tier 2</v>
      </c>
      <c r="E2953" s="12" t="n">
        <f aca="false">INDEX('Country Tiers'!$D$2:$D$37,MATCH(C2953,'Country Tiers'!$A$2:$A$37,0))</f>
        <v>2</v>
      </c>
    </row>
    <row r="2954" customFormat="false" ht="15" hidden="false" customHeight="false" outlineLevel="0" collapsed="false">
      <c r="A2954" s="12" t="s">
        <v>161</v>
      </c>
      <c r="B2954" s="12" t="s">
        <v>55</v>
      </c>
      <c r="C2954" s="12" t="s">
        <v>308</v>
      </c>
      <c r="D2954" s="12" t="str">
        <f aca="false">INDEX('Country Tiers'!$C$2:$C$37,MATCH(C2954,'Country Tiers'!$A$2:$A$37,0))</f>
        <v>Tier 3</v>
      </c>
      <c r="E2954" s="12" t="n">
        <f aca="false">INDEX('Country Tiers'!$D$2:$D$37,MATCH(C2954,'Country Tiers'!$A$2:$A$37,0))</f>
        <v>1</v>
      </c>
    </row>
    <row r="2955" customFormat="false" ht="15" hidden="false" customHeight="false" outlineLevel="0" collapsed="false">
      <c r="A2955" s="12" t="s">
        <v>161</v>
      </c>
      <c r="B2955" s="12" t="s">
        <v>55</v>
      </c>
      <c r="C2955" s="12" t="s">
        <v>311</v>
      </c>
      <c r="D2955" s="12" t="str">
        <f aca="false">INDEX('Country Tiers'!$C$2:$C$37,MATCH(C2955,'Country Tiers'!$A$2:$A$37,0))</f>
        <v>Tier 1</v>
      </c>
      <c r="E2955" s="12" t="n">
        <f aca="false">INDEX('Country Tiers'!$D$2:$D$37,MATCH(C2955,'Country Tiers'!$A$2:$A$37,0))</f>
        <v>3</v>
      </c>
    </row>
    <row r="2956" customFormat="false" ht="15" hidden="false" customHeight="false" outlineLevel="0" collapsed="false">
      <c r="A2956" s="12" t="s">
        <v>161</v>
      </c>
      <c r="B2956" s="12" t="s">
        <v>55</v>
      </c>
      <c r="C2956" s="12" t="s">
        <v>313</v>
      </c>
      <c r="D2956" s="12" t="str">
        <f aca="false">INDEX('Country Tiers'!$C$2:$C$37,MATCH(C2956,'Country Tiers'!$A$2:$A$37,0))</f>
        <v>Tier 1</v>
      </c>
      <c r="E2956" s="12" t="n">
        <f aca="false">INDEX('Country Tiers'!$D$2:$D$37,MATCH(C2956,'Country Tiers'!$A$2:$A$37,0))</f>
        <v>3</v>
      </c>
    </row>
    <row r="2957" customFormat="false" ht="15" hidden="false" customHeight="false" outlineLevel="0" collapsed="false">
      <c r="A2957" s="12" t="s">
        <v>161</v>
      </c>
      <c r="B2957" s="12" t="s">
        <v>57</v>
      </c>
      <c r="C2957" s="12" t="s">
        <v>303</v>
      </c>
      <c r="D2957" s="12" t="str">
        <f aca="false">INDEX('Country Tiers'!$C$2:$C$37,MATCH(C2957,'Country Tiers'!$A$2:$A$37,0))</f>
        <v>Tier 2</v>
      </c>
      <c r="E2957" s="12" t="n">
        <f aca="false">INDEX('Country Tiers'!$D$2:$D$37,MATCH(C2957,'Country Tiers'!$A$2:$A$37,0))</f>
        <v>2</v>
      </c>
    </row>
    <row r="2958" customFormat="false" ht="15" hidden="false" customHeight="false" outlineLevel="0" collapsed="false">
      <c r="A2958" s="12" t="s">
        <v>161</v>
      </c>
      <c r="B2958" s="12" t="s">
        <v>44</v>
      </c>
      <c r="C2958" s="12" t="s">
        <v>274</v>
      </c>
      <c r="D2958" s="12" t="str">
        <f aca="false">INDEX('Country Tiers'!$C$2:$C$37,MATCH(C2958,'Country Tiers'!$A$2:$A$37,0))</f>
        <v>Tier 3</v>
      </c>
      <c r="E2958" s="12" t="n">
        <f aca="false">INDEX('Country Tiers'!$D$2:$D$37,MATCH(C2958,'Country Tiers'!$A$2:$A$37,0))</f>
        <v>1</v>
      </c>
    </row>
    <row r="2959" customFormat="false" ht="15" hidden="false" customHeight="false" outlineLevel="0" collapsed="false">
      <c r="A2959" s="12" t="s">
        <v>161</v>
      </c>
      <c r="B2959" s="12" t="s">
        <v>44</v>
      </c>
      <c r="C2959" s="12" t="s">
        <v>277</v>
      </c>
      <c r="D2959" s="12" t="str">
        <f aca="false">INDEX('Country Tiers'!$C$2:$C$37,MATCH(C2959,'Country Tiers'!$A$2:$A$37,0))</f>
        <v>Tier 1</v>
      </c>
      <c r="E2959" s="12" t="n">
        <f aca="false">INDEX('Country Tiers'!$D$2:$D$37,MATCH(C2959,'Country Tiers'!$A$2:$A$37,0))</f>
        <v>3</v>
      </c>
    </row>
    <row r="2960" customFormat="false" ht="15" hidden="false" customHeight="false" outlineLevel="0" collapsed="false">
      <c r="A2960" s="12" t="s">
        <v>161</v>
      </c>
      <c r="B2960" s="12" t="s">
        <v>44</v>
      </c>
      <c r="C2960" s="12" t="s">
        <v>278</v>
      </c>
      <c r="D2960" s="12" t="str">
        <f aca="false">INDEX('Country Tiers'!$C$2:$C$37,MATCH(C2960,'Country Tiers'!$A$2:$A$37,0))</f>
        <v>Tier 3</v>
      </c>
      <c r="E2960" s="12" t="n">
        <f aca="false">INDEX('Country Tiers'!$D$2:$D$37,MATCH(C2960,'Country Tiers'!$A$2:$A$37,0))</f>
        <v>1</v>
      </c>
    </row>
    <row r="2961" customFormat="false" ht="15" hidden="false" customHeight="false" outlineLevel="0" collapsed="false">
      <c r="A2961" s="12" t="s">
        <v>161</v>
      </c>
      <c r="B2961" s="12" t="s">
        <v>44</v>
      </c>
      <c r="C2961" s="12" t="s">
        <v>280</v>
      </c>
      <c r="D2961" s="12" t="str">
        <f aca="false">INDEX('Country Tiers'!$C$2:$C$37,MATCH(C2961,'Country Tiers'!$A$2:$A$37,0))</f>
        <v>Tier 3</v>
      </c>
      <c r="E2961" s="12" t="n">
        <f aca="false">INDEX('Country Tiers'!$D$2:$D$37,MATCH(C2961,'Country Tiers'!$A$2:$A$37,0))</f>
        <v>1</v>
      </c>
    </row>
    <row r="2962" customFormat="false" ht="15" hidden="false" customHeight="false" outlineLevel="0" collapsed="false">
      <c r="A2962" s="12" t="s">
        <v>161</v>
      </c>
      <c r="B2962" s="12" t="s">
        <v>44</v>
      </c>
      <c r="C2962" s="12" t="s">
        <v>281</v>
      </c>
      <c r="D2962" s="12" t="str">
        <f aca="false">INDEX('Country Tiers'!$C$2:$C$37,MATCH(C2962,'Country Tiers'!$A$2:$A$37,0))</f>
        <v>Tier 3</v>
      </c>
      <c r="E2962" s="12" t="n">
        <f aca="false">INDEX('Country Tiers'!$D$2:$D$37,MATCH(C2962,'Country Tiers'!$A$2:$A$37,0))</f>
        <v>1</v>
      </c>
    </row>
    <row r="2963" customFormat="false" ht="15" hidden="false" customHeight="false" outlineLevel="0" collapsed="false">
      <c r="A2963" s="12" t="s">
        <v>161</v>
      </c>
      <c r="B2963" s="12" t="s">
        <v>44</v>
      </c>
      <c r="C2963" s="12" t="s">
        <v>282</v>
      </c>
      <c r="D2963" s="12" t="str">
        <f aca="false">INDEX('Country Tiers'!$C$2:$C$37,MATCH(C2963,'Country Tiers'!$A$2:$A$37,0))</f>
        <v>Tier 3</v>
      </c>
      <c r="E2963" s="12" t="n">
        <f aca="false">INDEX('Country Tiers'!$D$2:$D$37,MATCH(C2963,'Country Tiers'!$A$2:$A$37,0))</f>
        <v>1</v>
      </c>
    </row>
    <row r="2964" customFormat="false" ht="15" hidden="false" customHeight="false" outlineLevel="0" collapsed="false">
      <c r="A2964" s="12" t="s">
        <v>161</v>
      </c>
      <c r="B2964" s="12" t="s">
        <v>44</v>
      </c>
      <c r="C2964" s="12" t="s">
        <v>283</v>
      </c>
      <c r="D2964" s="12" t="str">
        <f aca="false">INDEX('Country Tiers'!$C$2:$C$37,MATCH(C2964,'Country Tiers'!$A$2:$A$37,0))</f>
        <v>Tier 3</v>
      </c>
      <c r="E2964" s="12" t="n">
        <f aca="false">INDEX('Country Tiers'!$D$2:$D$37,MATCH(C2964,'Country Tiers'!$A$2:$A$37,0))</f>
        <v>1</v>
      </c>
    </row>
    <row r="2965" customFormat="false" ht="15" hidden="false" customHeight="false" outlineLevel="0" collapsed="false">
      <c r="A2965" s="12" t="s">
        <v>161</v>
      </c>
      <c r="B2965" s="12" t="s">
        <v>44</v>
      </c>
      <c r="C2965" s="12" t="s">
        <v>284</v>
      </c>
      <c r="D2965" s="12" t="str">
        <f aca="false">INDEX('Country Tiers'!$C$2:$C$37,MATCH(C2965,'Country Tiers'!$A$2:$A$37,0))</f>
        <v>Tier 3</v>
      </c>
      <c r="E2965" s="12" t="n">
        <f aca="false">INDEX('Country Tiers'!$D$2:$D$37,MATCH(C2965,'Country Tiers'!$A$2:$A$37,0))</f>
        <v>1</v>
      </c>
    </row>
    <row r="2966" customFormat="false" ht="15" hidden="false" customHeight="false" outlineLevel="0" collapsed="false">
      <c r="A2966" s="12" t="s">
        <v>161</v>
      </c>
      <c r="B2966" s="12" t="s">
        <v>44</v>
      </c>
      <c r="C2966" s="12" t="s">
        <v>285</v>
      </c>
      <c r="D2966" s="12" t="str">
        <f aca="false">INDEX('Country Tiers'!$C$2:$C$37,MATCH(C2966,'Country Tiers'!$A$2:$A$37,0))</f>
        <v>Tier 3</v>
      </c>
      <c r="E2966" s="12" t="n">
        <f aca="false">INDEX('Country Tiers'!$D$2:$D$37,MATCH(C2966,'Country Tiers'!$A$2:$A$37,0))</f>
        <v>1</v>
      </c>
    </row>
    <row r="2967" customFormat="false" ht="15" hidden="false" customHeight="false" outlineLevel="0" collapsed="false">
      <c r="A2967" s="12" t="s">
        <v>161</v>
      </c>
      <c r="B2967" s="12" t="s">
        <v>44</v>
      </c>
      <c r="C2967" s="12" t="s">
        <v>286</v>
      </c>
      <c r="D2967" s="12" t="str">
        <f aca="false">INDEX('Country Tiers'!$C$2:$C$37,MATCH(C2967,'Country Tiers'!$A$2:$A$37,0))</f>
        <v>Tier 1</v>
      </c>
      <c r="E2967" s="12" t="n">
        <f aca="false">INDEX('Country Tiers'!$D$2:$D$37,MATCH(C2967,'Country Tiers'!$A$2:$A$37,0))</f>
        <v>3</v>
      </c>
    </row>
    <row r="2968" customFormat="false" ht="15" hidden="false" customHeight="false" outlineLevel="0" collapsed="false">
      <c r="A2968" s="12" t="s">
        <v>161</v>
      </c>
      <c r="B2968" s="12" t="s">
        <v>44</v>
      </c>
      <c r="C2968" s="12" t="s">
        <v>287</v>
      </c>
      <c r="D2968" s="12" t="str">
        <f aca="false">INDEX('Country Tiers'!$C$2:$C$37,MATCH(C2968,'Country Tiers'!$A$2:$A$37,0))</f>
        <v>Tier 1</v>
      </c>
      <c r="E2968" s="12" t="n">
        <f aca="false">INDEX('Country Tiers'!$D$2:$D$37,MATCH(C2968,'Country Tiers'!$A$2:$A$37,0))</f>
        <v>3</v>
      </c>
    </row>
    <row r="2969" customFormat="false" ht="15" hidden="false" customHeight="false" outlineLevel="0" collapsed="false">
      <c r="A2969" s="12" t="s">
        <v>161</v>
      </c>
      <c r="B2969" s="12" t="s">
        <v>44</v>
      </c>
      <c r="C2969" s="12" t="s">
        <v>288</v>
      </c>
      <c r="D2969" s="12" t="str">
        <f aca="false">INDEX('Country Tiers'!$C$2:$C$37,MATCH(C2969,'Country Tiers'!$A$2:$A$37,0))</f>
        <v>Tier 3</v>
      </c>
      <c r="E2969" s="12" t="n">
        <f aca="false">INDEX('Country Tiers'!$D$2:$D$37,MATCH(C2969,'Country Tiers'!$A$2:$A$37,0))</f>
        <v>1</v>
      </c>
    </row>
    <row r="2970" customFormat="false" ht="15" hidden="false" customHeight="false" outlineLevel="0" collapsed="false">
      <c r="A2970" s="12" t="s">
        <v>161</v>
      </c>
      <c r="B2970" s="12" t="s">
        <v>44</v>
      </c>
      <c r="C2970" s="12" t="s">
        <v>289</v>
      </c>
      <c r="D2970" s="12" t="str">
        <f aca="false">INDEX('Country Tiers'!$C$2:$C$37,MATCH(C2970,'Country Tiers'!$A$2:$A$37,0))</f>
        <v>Tier 3</v>
      </c>
      <c r="E2970" s="12" t="n">
        <f aca="false">INDEX('Country Tiers'!$D$2:$D$37,MATCH(C2970,'Country Tiers'!$A$2:$A$37,0))</f>
        <v>1</v>
      </c>
    </row>
    <row r="2971" customFormat="false" ht="15" hidden="false" customHeight="false" outlineLevel="0" collapsed="false">
      <c r="A2971" s="12" t="s">
        <v>161</v>
      </c>
      <c r="B2971" s="12" t="s">
        <v>44</v>
      </c>
      <c r="C2971" s="12" t="s">
        <v>290</v>
      </c>
      <c r="D2971" s="12" t="str">
        <f aca="false">INDEX('Country Tiers'!$C$2:$C$37,MATCH(C2971,'Country Tiers'!$A$2:$A$37,0))</f>
        <v>Tier 3</v>
      </c>
      <c r="E2971" s="12" t="n">
        <f aca="false">INDEX('Country Tiers'!$D$2:$D$37,MATCH(C2971,'Country Tiers'!$A$2:$A$37,0))</f>
        <v>1</v>
      </c>
    </row>
    <row r="2972" customFormat="false" ht="15" hidden="false" customHeight="false" outlineLevel="0" collapsed="false">
      <c r="A2972" s="12" t="s">
        <v>161</v>
      </c>
      <c r="B2972" s="12" t="s">
        <v>44</v>
      </c>
      <c r="C2972" s="12" t="s">
        <v>292</v>
      </c>
      <c r="D2972" s="12" t="str">
        <f aca="false">INDEX('Country Tiers'!$C$2:$C$37,MATCH(C2972,'Country Tiers'!$A$2:$A$37,0))</f>
        <v>Tier 2</v>
      </c>
      <c r="E2972" s="12" t="n">
        <f aca="false">INDEX('Country Tiers'!$D$2:$D$37,MATCH(C2972,'Country Tiers'!$A$2:$A$37,0))</f>
        <v>2</v>
      </c>
    </row>
    <row r="2973" customFormat="false" ht="15" hidden="false" customHeight="false" outlineLevel="0" collapsed="false">
      <c r="A2973" s="12" t="s">
        <v>161</v>
      </c>
      <c r="B2973" s="12" t="s">
        <v>44</v>
      </c>
      <c r="C2973" s="12" t="s">
        <v>293</v>
      </c>
      <c r="D2973" s="12" t="str">
        <f aca="false">INDEX('Country Tiers'!$C$2:$C$37,MATCH(C2973,'Country Tiers'!$A$2:$A$37,0))</f>
        <v>Tier 3</v>
      </c>
      <c r="E2973" s="12" t="n">
        <f aca="false">INDEX('Country Tiers'!$D$2:$D$37,MATCH(C2973,'Country Tiers'!$A$2:$A$37,0))</f>
        <v>1</v>
      </c>
    </row>
    <row r="2974" customFormat="false" ht="15" hidden="false" customHeight="false" outlineLevel="0" collapsed="false">
      <c r="A2974" s="12" t="s">
        <v>161</v>
      </c>
      <c r="B2974" s="12" t="s">
        <v>44</v>
      </c>
      <c r="C2974" s="12" t="s">
        <v>294</v>
      </c>
      <c r="D2974" s="12" t="str">
        <f aca="false">INDEX('Country Tiers'!$C$2:$C$37,MATCH(C2974,'Country Tiers'!$A$2:$A$37,0))</f>
        <v>Tier 3</v>
      </c>
      <c r="E2974" s="12" t="n">
        <f aca="false">INDEX('Country Tiers'!$D$2:$D$37,MATCH(C2974,'Country Tiers'!$A$2:$A$37,0))</f>
        <v>1</v>
      </c>
    </row>
    <row r="2975" customFormat="false" ht="15" hidden="false" customHeight="false" outlineLevel="0" collapsed="false">
      <c r="A2975" s="12" t="s">
        <v>161</v>
      </c>
      <c r="B2975" s="12" t="s">
        <v>44</v>
      </c>
      <c r="C2975" s="12" t="s">
        <v>295</v>
      </c>
      <c r="D2975" s="12" t="str">
        <f aca="false">INDEX('Country Tiers'!$C$2:$C$37,MATCH(C2975,'Country Tiers'!$A$2:$A$37,0))</f>
        <v>Tier 3</v>
      </c>
      <c r="E2975" s="12" t="n">
        <f aca="false">INDEX('Country Tiers'!$D$2:$D$37,MATCH(C2975,'Country Tiers'!$A$2:$A$37,0))</f>
        <v>1</v>
      </c>
    </row>
    <row r="2976" customFormat="false" ht="15" hidden="false" customHeight="false" outlineLevel="0" collapsed="false">
      <c r="A2976" s="12" t="s">
        <v>161</v>
      </c>
      <c r="B2976" s="12" t="s">
        <v>44</v>
      </c>
      <c r="C2976" s="12" t="s">
        <v>297</v>
      </c>
      <c r="D2976" s="12" t="str">
        <f aca="false">INDEX('Country Tiers'!$C$2:$C$37,MATCH(C2976,'Country Tiers'!$A$2:$A$37,0))</f>
        <v>Tier 2</v>
      </c>
      <c r="E2976" s="12" t="n">
        <f aca="false">INDEX('Country Tiers'!$D$2:$D$37,MATCH(C2976,'Country Tiers'!$A$2:$A$37,0))</f>
        <v>2</v>
      </c>
    </row>
    <row r="2977" customFormat="false" ht="15" hidden="false" customHeight="false" outlineLevel="0" collapsed="false">
      <c r="A2977" s="12" t="s">
        <v>161</v>
      </c>
      <c r="B2977" s="12" t="s">
        <v>44</v>
      </c>
      <c r="C2977" s="12" t="s">
        <v>299</v>
      </c>
      <c r="D2977" s="12" t="str">
        <f aca="false">INDEX('Country Tiers'!$C$2:$C$37,MATCH(C2977,'Country Tiers'!$A$2:$A$37,0))</f>
        <v>Tier 3</v>
      </c>
      <c r="E2977" s="12" t="n">
        <f aca="false">INDEX('Country Tiers'!$D$2:$D$37,MATCH(C2977,'Country Tiers'!$A$2:$A$37,0))</f>
        <v>1</v>
      </c>
    </row>
    <row r="2978" customFormat="false" ht="15" hidden="false" customHeight="false" outlineLevel="0" collapsed="false">
      <c r="A2978" s="12" t="s">
        <v>161</v>
      </c>
      <c r="B2978" s="12" t="s">
        <v>44</v>
      </c>
      <c r="C2978" s="12" t="s">
        <v>301</v>
      </c>
      <c r="D2978" s="12" t="str">
        <f aca="false">INDEX('Country Tiers'!$C$2:$C$37,MATCH(C2978,'Country Tiers'!$A$2:$A$37,0))</f>
        <v>Tier 3</v>
      </c>
      <c r="E2978" s="12" t="n">
        <f aca="false">INDEX('Country Tiers'!$D$2:$D$37,MATCH(C2978,'Country Tiers'!$A$2:$A$37,0))</f>
        <v>1</v>
      </c>
    </row>
    <row r="2979" customFormat="false" ht="15" hidden="false" customHeight="false" outlineLevel="0" collapsed="false">
      <c r="A2979" s="12" t="s">
        <v>161</v>
      </c>
      <c r="B2979" s="12" t="s">
        <v>44</v>
      </c>
      <c r="C2979" s="12" t="s">
        <v>302</v>
      </c>
      <c r="D2979" s="12" t="str">
        <f aca="false">INDEX('Country Tiers'!$C$2:$C$37,MATCH(C2979,'Country Tiers'!$A$2:$A$37,0))</f>
        <v>Tier 3</v>
      </c>
      <c r="E2979" s="12" t="n">
        <f aca="false">INDEX('Country Tiers'!$D$2:$D$37,MATCH(C2979,'Country Tiers'!$A$2:$A$37,0))</f>
        <v>1</v>
      </c>
    </row>
    <row r="2980" customFormat="false" ht="15" hidden="false" customHeight="false" outlineLevel="0" collapsed="false">
      <c r="A2980" s="12" t="s">
        <v>161</v>
      </c>
      <c r="B2980" s="12" t="s">
        <v>44</v>
      </c>
      <c r="C2980" s="12" t="s">
        <v>303</v>
      </c>
      <c r="D2980" s="12" t="str">
        <f aca="false">INDEX('Country Tiers'!$C$2:$C$37,MATCH(C2980,'Country Tiers'!$A$2:$A$37,0))</f>
        <v>Tier 2</v>
      </c>
      <c r="E2980" s="12" t="n">
        <f aca="false">INDEX('Country Tiers'!$D$2:$D$37,MATCH(C2980,'Country Tiers'!$A$2:$A$37,0))</f>
        <v>2</v>
      </c>
    </row>
    <row r="2981" customFormat="false" ht="15" hidden="false" customHeight="false" outlineLevel="0" collapsed="false">
      <c r="A2981" s="12" t="s">
        <v>161</v>
      </c>
      <c r="B2981" s="12" t="s">
        <v>44</v>
      </c>
      <c r="C2981" s="12" t="s">
        <v>305</v>
      </c>
      <c r="D2981" s="12" t="str">
        <f aca="false">INDEX('Country Tiers'!$C$2:$C$37,MATCH(C2981,'Country Tiers'!$A$2:$A$37,0))</f>
        <v>Tier 3</v>
      </c>
      <c r="E2981" s="12" t="n">
        <f aca="false">INDEX('Country Tiers'!$D$2:$D$37,MATCH(C2981,'Country Tiers'!$A$2:$A$37,0))</f>
        <v>1</v>
      </c>
    </row>
    <row r="2982" customFormat="false" ht="15" hidden="false" customHeight="false" outlineLevel="0" collapsed="false">
      <c r="A2982" s="12" t="s">
        <v>161</v>
      </c>
      <c r="B2982" s="12" t="s">
        <v>44</v>
      </c>
      <c r="C2982" s="12" t="s">
        <v>306</v>
      </c>
      <c r="D2982" s="12" t="str">
        <f aca="false">INDEX('Country Tiers'!$C$2:$C$37,MATCH(C2982,'Country Tiers'!$A$2:$A$37,0))</f>
        <v>Tier 3</v>
      </c>
      <c r="E2982" s="12" t="n">
        <f aca="false">INDEX('Country Tiers'!$D$2:$D$37,MATCH(C2982,'Country Tiers'!$A$2:$A$37,0))</f>
        <v>1</v>
      </c>
    </row>
    <row r="2983" customFormat="false" ht="15" hidden="false" customHeight="false" outlineLevel="0" collapsed="false">
      <c r="A2983" s="12" t="s">
        <v>161</v>
      </c>
      <c r="B2983" s="12" t="s">
        <v>44</v>
      </c>
      <c r="C2983" s="12" t="s">
        <v>307</v>
      </c>
      <c r="D2983" s="12" t="str">
        <f aca="false">INDEX('Country Tiers'!$C$2:$C$37,MATCH(C2983,'Country Tiers'!$A$2:$A$37,0))</f>
        <v>Tier 2</v>
      </c>
      <c r="E2983" s="12" t="n">
        <f aca="false">INDEX('Country Tiers'!$D$2:$D$37,MATCH(C2983,'Country Tiers'!$A$2:$A$37,0))</f>
        <v>2</v>
      </c>
    </row>
    <row r="2984" customFormat="false" ht="15" hidden="false" customHeight="false" outlineLevel="0" collapsed="false">
      <c r="A2984" s="12" t="s">
        <v>161</v>
      </c>
      <c r="B2984" s="12" t="s">
        <v>44</v>
      </c>
      <c r="C2984" s="12" t="s">
        <v>308</v>
      </c>
      <c r="D2984" s="12" t="str">
        <f aca="false">INDEX('Country Tiers'!$C$2:$C$37,MATCH(C2984,'Country Tiers'!$A$2:$A$37,0))</f>
        <v>Tier 3</v>
      </c>
      <c r="E2984" s="12" t="n">
        <f aca="false">INDEX('Country Tiers'!$D$2:$D$37,MATCH(C2984,'Country Tiers'!$A$2:$A$37,0))</f>
        <v>1</v>
      </c>
    </row>
    <row r="2985" customFormat="false" ht="15" hidden="false" customHeight="false" outlineLevel="0" collapsed="false">
      <c r="A2985" s="12" t="s">
        <v>161</v>
      </c>
      <c r="B2985" s="12" t="s">
        <v>44</v>
      </c>
      <c r="C2985" s="12" t="s">
        <v>309</v>
      </c>
      <c r="D2985" s="12" t="str">
        <f aca="false">INDEX('Country Tiers'!$C$2:$C$37,MATCH(C2985,'Country Tiers'!$A$2:$A$37,0))</f>
        <v>Tier 1</v>
      </c>
      <c r="E2985" s="12" t="n">
        <f aca="false">INDEX('Country Tiers'!$D$2:$D$37,MATCH(C2985,'Country Tiers'!$A$2:$A$37,0))</f>
        <v>3</v>
      </c>
    </row>
    <row r="2986" customFormat="false" ht="15" hidden="false" customHeight="false" outlineLevel="0" collapsed="false">
      <c r="A2986" s="12" t="s">
        <v>161</v>
      </c>
      <c r="B2986" s="12" t="s">
        <v>44</v>
      </c>
      <c r="C2986" s="12" t="s">
        <v>313</v>
      </c>
      <c r="D2986" s="12" t="str">
        <f aca="false">INDEX('Country Tiers'!$C$2:$C$37,MATCH(C2986,'Country Tiers'!$A$2:$A$37,0))</f>
        <v>Tier 1</v>
      </c>
      <c r="E2986" s="12" t="n">
        <f aca="false">INDEX('Country Tiers'!$D$2:$D$37,MATCH(C2986,'Country Tiers'!$A$2:$A$37,0))</f>
        <v>3</v>
      </c>
    </row>
    <row r="2987" customFormat="false" ht="15" hidden="false" customHeight="false" outlineLevel="0" collapsed="false">
      <c r="A2987" s="12" t="s">
        <v>162</v>
      </c>
      <c r="B2987" s="12" t="s">
        <v>47</v>
      </c>
      <c r="C2987" s="12" t="s">
        <v>279</v>
      </c>
      <c r="D2987" s="12" t="str">
        <f aca="false">INDEX('Country Tiers'!$C$2:$C$37,MATCH(C2987,'Country Tiers'!$A$2:$A$37,0))</f>
        <v>Tier 1</v>
      </c>
      <c r="E2987" s="12" t="n">
        <f aca="false">INDEX('Country Tiers'!$D$2:$D$37,MATCH(C2987,'Country Tiers'!$A$2:$A$37,0))</f>
        <v>3</v>
      </c>
    </row>
    <row r="2988" customFormat="false" ht="15" hidden="false" customHeight="false" outlineLevel="0" collapsed="false">
      <c r="A2988" s="12" t="s">
        <v>162</v>
      </c>
      <c r="B2988" s="12" t="s">
        <v>47</v>
      </c>
      <c r="C2988" s="12" t="s">
        <v>309</v>
      </c>
      <c r="D2988" s="12" t="str">
        <f aca="false">INDEX('Country Tiers'!$C$2:$C$37,MATCH(C2988,'Country Tiers'!$A$2:$A$37,0))</f>
        <v>Tier 1</v>
      </c>
      <c r="E2988" s="12" t="n">
        <f aca="false">INDEX('Country Tiers'!$D$2:$D$37,MATCH(C2988,'Country Tiers'!$A$2:$A$37,0))</f>
        <v>3</v>
      </c>
    </row>
    <row r="2989" customFormat="false" ht="15" hidden="false" customHeight="false" outlineLevel="0" collapsed="false">
      <c r="A2989" s="12" t="s">
        <v>162</v>
      </c>
      <c r="B2989" s="12" t="s">
        <v>35</v>
      </c>
      <c r="C2989" s="12" t="s">
        <v>309</v>
      </c>
      <c r="D2989" s="12" t="str">
        <f aca="false">INDEX('Country Tiers'!$C$2:$C$37,MATCH(C2989,'Country Tiers'!$A$2:$A$37,0))</f>
        <v>Tier 1</v>
      </c>
      <c r="E2989" s="12" t="n">
        <f aca="false">INDEX('Country Tiers'!$D$2:$D$37,MATCH(C2989,'Country Tiers'!$A$2:$A$37,0))</f>
        <v>3</v>
      </c>
    </row>
    <row r="2990" customFormat="false" ht="15" hidden="false" customHeight="false" outlineLevel="0" collapsed="false">
      <c r="A2990" s="12" t="s">
        <v>162</v>
      </c>
      <c r="B2990" s="12" t="s">
        <v>57</v>
      </c>
      <c r="C2990" s="12" t="s">
        <v>274</v>
      </c>
      <c r="D2990" s="12" t="str">
        <f aca="false">INDEX('Country Tiers'!$C$2:$C$37,MATCH(C2990,'Country Tiers'!$A$2:$A$37,0))</f>
        <v>Tier 3</v>
      </c>
      <c r="E2990" s="12" t="n">
        <f aca="false">INDEX('Country Tiers'!$D$2:$D$37,MATCH(C2990,'Country Tiers'!$A$2:$A$37,0))</f>
        <v>1</v>
      </c>
    </row>
    <row r="2991" customFormat="false" ht="15" hidden="false" customHeight="false" outlineLevel="0" collapsed="false">
      <c r="A2991" s="12" t="s">
        <v>162</v>
      </c>
      <c r="B2991" s="12" t="s">
        <v>57</v>
      </c>
      <c r="C2991" s="12" t="s">
        <v>277</v>
      </c>
      <c r="D2991" s="12" t="str">
        <f aca="false">INDEX('Country Tiers'!$C$2:$C$37,MATCH(C2991,'Country Tiers'!$A$2:$A$37,0))</f>
        <v>Tier 1</v>
      </c>
      <c r="E2991" s="12" t="n">
        <f aca="false">INDEX('Country Tiers'!$D$2:$D$37,MATCH(C2991,'Country Tiers'!$A$2:$A$37,0))</f>
        <v>3</v>
      </c>
    </row>
    <row r="2992" customFormat="false" ht="15" hidden="false" customHeight="false" outlineLevel="0" collapsed="false">
      <c r="A2992" s="12" t="s">
        <v>162</v>
      </c>
      <c r="B2992" s="12" t="s">
        <v>57</v>
      </c>
      <c r="C2992" s="12" t="s">
        <v>278</v>
      </c>
      <c r="D2992" s="12" t="str">
        <f aca="false">INDEX('Country Tiers'!$C$2:$C$37,MATCH(C2992,'Country Tiers'!$A$2:$A$37,0))</f>
        <v>Tier 3</v>
      </c>
      <c r="E2992" s="12" t="n">
        <f aca="false">INDEX('Country Tiers'!$D$2:$D$37,MATCH(C2992,'Country Tiers'!$A$2:$A$37,0))</f>
        <v>1</v>
      </c>
    </row>
    <row r="2993" customFormat="false" ht="15" hidden="false" customHeight="false" outlineLevel="0" collapsed="false">
      <c r="A2993" s="12" t="s">
        <v>162</v>
      </c>
      <c r="B2993" s="12" t="s">
        <v>57</v>
      </c>
      <c r="C2993" s="12" t="s">
        <v>280</v>
      </c>
      <c r="D2993" s="12" t="str">
        <f aca="false">INDEX('Country Tiers'!$C$2:$C$37,MATCH(C2993,'Country Tiers'!$A$2:$A$37,0))</f>
        <v>Tier 3</v>
      </c>
      <c r="E2993" s="12" t="n">
        <f aca="false">INDEX('Country Tiers'!$D$2:$D$37,MATCH(C2993,'Country Tiers'!$A$2:$A$37,0))</f>
        <v>1</v>
      </c>
    </row>
    <row r="2994" customFormat="false" ht="15" hidden="false" customHeight="false" outlineLevel="0" collapsed="false">
      <c r="A2994" s="12" t="s">
        <v>162</v>
      </c>
      <c r="B2994" s="12" t="s">
        <v>57</v>
      </c>
      <c r="C2994" s="12" t="s">
        <v>281</v>
      </c>
      <c r="D2994" s="12" t="str">
        <f aca="false">INDEX('Country Tiers'!$C$2:$C$37,MATCH(C2994,'Country Tiers'!$A$2:$A$37,0))</f>
        <v>Tier 3</v>
      </c>
      <c r="E2994" s="12" t="n">
        <f aca="false">INDEX('Country Tiers'!$D$2:$D$37,MATCH(C2994,'Country Tiers'!$A$2:$A$37,0))</f>
        <v>1</v>
      </c>
    </row>
    <row r="2995" customFormat="false" ht="15" hidden="false" customHeight="false" outlineLevel="0" collapsed="false">
      <c r="A2995" s="12" t="s">
        <v>162</v>
      </c>
      <c r="B2995" s="12" t="s">
        <v>57</v>
      </c>
      <c r="C2995" s="12" t="s">
        <v>282</v>
      </c>
      <c r="D2995" s="12" t="str">
        <f aca="false">INDEX('Country Tiers'!$C$2:$C$37,MATCH(C2995,'Country Tiers'!$A$2:$A$37,0))</f>
        <v>Tier 3</v>
      </c>
      <c r="E2995" s="12" t="n">
        <f aca="false">INDEX('Country Tiers'!$D$2:$D$37,MATCH(C2995,'Country Tiers'!$A$2:$A$37,0))</f>
        <v>1</v>
      </c>
    </row>
    <row r="2996" customFormat="false" ht="15" hidden="false" customHeight="false" outlineLevel="0" collapsed="false">
      <c r="A2996" s="12" t="s">
        <v>162</v>
      </c>
      <c r="B2996" s="12" t="s">
        <v>57</v>
      </c>
      <c r="C2996" s="12" t="s">
        <v>283</v>
      </c>
      <c r="D2996" s="12" t="str">
        <f aca="false">INDEX('Country Tiers'!$C$2:$C$37,MATCH(C2996,'Country Tiers'!$A$2:$A$37,0))</f>
        <v>Tier 3</v>
      </c>
      <c r="E2996" s="12" t="n">
        <f aca="false">INDEX('Country Tiers'!$D$2:$D$37,MATCH(C2996,'Country Tiers'!$A$2:$A$37,0))</f>
        <v>1</v>
      </c>
    </row>
    <row r="2997" customFormat="false" ht="15" hidden="false" customHeight="false" outlineLevel="0" collapsed="false">
      <c r="A2997" s="12" t="s">
        <v>162</v>
      </c>
      <c r="B2997" s="12" t="s">
        <v>57</v>
      </c>
      <c r="C2997" s="12" t="s">
        <v>284</v>
      </c>
      <c r="D2997" s="12" t="str">
        <f aca="false">INDEX('Country Tiers'!$C$2:$C$37,MATCH(C2997,'Country Tiers'!$A$2:$A$37,0))</f>
        <v>Tier 3</v>
      </c>
      <c r="E2997" s="12" t="n">
        <f aca="false">INDEX('Country Tiers'!$D$2:$D$37,MATCH(C2997,'Country Tiers'!$A$2:$A$37,0))</f>
        <v>1</v>
      </c>
    </row>
    <row r="2998" customFormat="false" ht="15" hidden="false" customHeight="false" outlineLevel="0" collapsed="false">
      <c r="A2998" s="12" t="s">
        <v>162</v>
      </c>
      <c r="B2998" s="12" t="s">
        <v>57</v>
      </c>
      <c r="C2998" s="12" t="s">
        <v>285</v>
      </c>
      <c r="D2998" s="12" t="str">
        <f aca="false">INDEX('Country Tiers'!$C$2:$C$37,MATCH(C2998,'Country Tiers'!$A$2:$A$37,0))</f>
        <v>Tier 3</v>
      </c>
      <c r="E2998" s="12" t="n">
        <f aca="false">INDEX('Country Tiers'!$D$2:$D$37,MATCH(C2998,'Country Tiers'!$A$2:$A$37,0))</f>
        <v>1</v>
      </c>
    </row>
    <row r="2999" customFormat="false" ht="15" hidden="false" customHeight="false" outlineLevel="0" collapsed="false">
      <c r="A2999" s="12" t="s">
        <v>162</v>
      </c>
      <c r="B2999" s="12" t="s">
        <v>57</v>
      </c>
      <c r="C2999" s="12" t="s">
        <v>286</v>
      </c>
      <c r="D2999" s="12" t="str">
        <f aca="false">INDEX('Country Tiers'!$C$2:$C$37,MATCH(C2999,'Country Tiers'!$A$2:$A$37,0))</f>
        <v>Tier 1</v>
      </c>
      <c r="E2999" s="12" t="n">
        <f aca="false">INDEX('Country Tiers'!$D$2:$D$37,MATCH(C2999,'Country Tiers'!$A$2:$A$37,0))</f>
        <v>3</v>
      </c>
    </row>
    <row r="3000" customFormat="false" ht="15" hidden="false" customHeight="false" outlineLevel="0" collapsed="false">
      <c r="A3000" s="12" t="s">
        <v>162</v>
      </c>
      <c r="B3000" s="12" t="s">
        <v>57</v>
      </c>
      <c r="C3000" s="12" t="s">
        <v>287</v>
      </c>
      <c r="D3000" s="12" t="str">
        <f aca="false">INDEX('Country Tiers'!$C$2:$C$37,MATCH(C3000,'Country Tiers'!$A$2:$A$37,0))</f>
        <v>Tier 1</v>
      </c>
      <c r="E3000" s="12" t="n">
        <f aca="false">INDEX('Country Tiers'!$D$2:$D$37,MATCH(C3000,'Country Tiers'!$A$2:$A$37,0))</f>
        <v>3</v>
      </c>
    </row>
    <row r="3001" customFormat="false" ht="15" hidden="false" customHeight="false" outlineLevel="0" collapsed="false">
      <c r="A3001" s="12" t="s">
        <v>162</v>
      </c>
      <c r="B3001" s="12" t="s">
        <v>57</v>
      </c>
      <c r="C3001" s="12" t="s">
        <v>288</v>
      </c>
      <c r="D3001" s="12" t="str">
        <f aca="false">INDEX('Country Tiers'!$C$2:$C$37,MATCH(C3001,'Country Tiers'!$A$2:$A$37,0))</f>
        <v>Tier 3</v>
      </c>
      <c r="E3001" s="12" t="n">
        <f aca="false">INDEX('Country Tiers'!$D$2:$D$37,MATCH(C3001,'Country Tiers'!$A$2:$A$37,0))</f>
        <v>1</v>
      </c>
    </row>
    <row r="3002" customFormat="false" ht="15" hidden="false" customHeight="false" outlineLevel="0" collapsed="false">
      <c r="A3002" s="12" t="s">
        <v>162</v>
      </c>
      <c r="B3002" s="12" t="s">
        <v>57</v>
      </c>
      <c r="C3002" s="12" t="s">
        <v>289</v>
      </c>
      <c r="D3002" s="12" t="str">
        <f aca="false">INDEX('Country Tiers'!$C$2:$C$37,MATCH(C3002,'Country Tiers'!$A$2:$A$37,0))</f>
        <v>Tier 3</v>
      </c>
      <c r="E3002" s="12" t="n">
        <f aca="false">INDEX('Country Tiers'!$D$2:$D$37,MATCH(C3002,'Country Tiers'!$A$2:$A$37,0))</f>
        <v>1</v>
      </c>
    </row>
    <row r="3003" customFormat="false" ht="15" hidden="false" customHeight="false" outlineLevel="0" collapsed="false">
      <c r="A3003" s="12" t="s">
        <v>162</v>
      </c>
      <c r="B3003" s="12" t="s">
        <v>57</v>
      </c>
      <c r="C3003" s="12" t="s">
        <v>290</v>
      </c>
      <c r="D3003" s="12" t="str">
        <f aca="false">INDEX('Country Tiers'!$C$2:$C$37,MATCH(C3003,'Country Tiers'!$A$2:$A$37,0))</f>
        <v>Tier 3</v>
      </c>
      <c r="E3003" s="12" t="n">
        <f aca="false">INDEX('Country Tiers'!$D$2:$D$37,MATCH(C3003,'Country Tiers'!$A$2:$A$37,0))</f>
        <v>1</v>
      </c>
    </row>
    <row r="3004" customFormat="false" ht="15" hidden="false" customHeight="false" outlineLevel="0" collapsed="false">
      <c r="A3004" s="12" t="s">
        <v>162</v>
      </c>
      <c r="B3004" s="12" t="s">
        <v>57</v>
      </c>
      <c r="C3004" s="12" t="s">
        <v>291</v>
      </c>
      <c r="D3004" s="12" t="str">
        <f aca="false">INDEX('Country Tiers'!$C$2:$C$37,MATCH(C3004,'Country Tiers'!$A$2:$A$37,0))</f>
        <v>Tier 3</v>
      </c>
      <c r="E3004" s="12" t="n">
        <f aca="false">INDEX('Country Tiers'!$D$2:$D$37,MATCH(C3004,'Country Tiers'!$A$2:$A$37,0))</f>
        <v>1</v>
      </c>
    </row>
    <row r="3005" customFormat="false" ht="15" hidden="false" customHeight="false" outlineLevel="0" collapsed="false">
      <c r="A3005" s="12" t="s">
        <v>162</v>
      </c>
      <c r="B3005" s="12" t="s">
        <v>57</v>
      </c>
      <c r="C3005" s="12" t="s">
        <v>292</v>
      </c>
      <c r="D3005" s="12" t="str">
        <f aca="false">INDEX('Country Tiers'!$C$2:$C$37,MATCH(C3005,'Country Tiers'!$A$2:$A$37,0))</f>
        <v>Tier 2</v>
      </c>
      <c r="E3005" s="12" t="n">
        <f aca="false">INDEX('Country Tiers'!$D$2:$D$37,MATCH(C3005,'Country Tiers'!$A$2:$A$37,0))</f>
        <v>2</v>
      </c>
    </row>
    <row r="3006" customFormat="false" ht="15" hidden="false" customHeight="false" outlineLevel="0" collapsed="false">
      <c r="A3006" s="12" t="s">
        <v>162</v>
      </c>
      <c r="B3006" s="12" t="s">
        <v>57</v>
      </c>
      <c r="C3006" s="12" t="s">
        <v>293</v>
      </c>
      <c r="D3006" s="12" t="str">
        <f aca="false">INDEX('Country Tiers'!$C$2:$C$37,MATCH(C3006,'Country Tiers'!$A$2:$A$37,0))</f>
        <v>Tier 3</v>
      </c>
      <c r="E3006" s="12" t="n">
        <f aca="false">INDEX('Country Tiers'!$D$2:$D$37,MATCH(C3006,'Country Tiers'!$A$2:$A$37,0))</f>
        <v>1</v>
      </c>
    </row>
    <row r="3007" customFormat="false" ht="15" hidden="false" customHeight="false" outlineLevel="0" collapsed="false">
      <c r="A3007" s="12" t="s">
        <v>162</v>
      </c>
      <c r="B3007" s="12" t="s">
        <v>57</v>
      </c>
      <c r="C3007" s="12" t="s">
        <v>294</v>
      </c>
      <c r="D3007" s="12" t="str">
        <f aca="false">INDEX('Country Tiers'!$C$2:$C$37,MATCH(C3007,'Country Tiers'!$A$2:$A$37,0))</f>
        <v>Tier 3</v>
      </c>
      <c r="E3007" s="12" t="n">
        <f aca="false">INDEX('Country Tiers'!$D$2:$D$37,MATCH(C3007,'Country Tiers'!$A$2:$A$37,0))</f>
        <v>1</v>
      </c>
    </row>
    <row r="3008" customFormat="false" ht="15" hidden="false" customHeight="false" outlineLevel="0" collapsed="false">
      <c r="A3008" s="12" t="s">
        <v>162</v>
      </c>
      <c r="B3008" s="12" t="s">
        <v>57</v>
      </c>
      <c r="C3008" s="12" t="s">
        <v>295</v>
      </c>
      <c r="D3008" s="12" t="str">
        <f aca="false">INDEX('Country Tiers'!$C$2:$C$37,MATCH(C3008,'Country Tiers'!$A$2:$A$37,0))</f>
        <v>Tier 3</v>
      </c>
      <c r="E3008" s="12" t="n">
        <f aca="false">INDEX('Country Tiers'!$D$2:$D$37,MATCH(C3008,'Country Tiers'!$A$2:$A$37,0))</f>
        <v>1</v>
      </c>
    </row>
    <row r="3009" customFormat="false" ht="15" hidden="false" customHeight="false" outlineLevel="0" collapsed="false">
      <c r="A3009" s="12" t="s">
        <v>162</v>
      </c>
      <c r="B3009" s="12" t="s">
        <v>57</v>
      </c>
      <c r="C3009" s="12" t="s">
        <v>296</v>
      </c>
      <c r="D3009" s="12" t="str">
        <f aca="false">INDEX('Country Tiers'!$C$2:$C$37,MATCH(C3009,'Country Tiers'!$A$2:$A$37,0))</f>
        <v>Tier 3</v>
      </c>
      <c r="E3009" s="12" t="n">
        <f aca="false">INDEX('Country Tiers'!$D$2:$D$37,MATCH(C3009,'Country Tiers'!$A$2:$A$37,0))</f>
        <v>1</v>
      </c>
    </row>
    <row r="3010" customFormat="false" ht="15" hidden="false" customHeight="false" outlineLevel="0" collapsed="false">
      <c r="A3010" s="12" t="s">
        <v>162</v>
      </c>
      <c r="B3010" s="12" t="s">
        <v>57</v>
      </c>
      <c r="C3010" s="12" t="s">
        <v>297</v>
      </c>
      <c r="D3010" s="12" t="str">
        <f aca="false">INDEX('Country Tiers'!$C$2:$C$37,MATCH(C3010,'Country Tiers'!$A$2:$A$37,0))</f>
        <v>Tier 2</v>
      </c>
      <c r="E3010" s="12" t="n">
        <f aca="false">INDEX('Country Tiers'!$D$2:$D$37,MATCH(C3010,'Country Tiers'!$A$2:$A$37,0))</f>
        <v>2</v>
      </c>
    </row>
    <row r="3011" customFormat="false" ht="15" hidden="false" customHeight="false" outlineLevel="0" collapsed="false">
      <c r="A3011" s="12" t="s">
        <v>162</v>
      </c>
      <c r="B3011" s="12" t="s">
        <v>57</v>
      </c>
      <c r="C3011" s="12" t="s">
        <v>298</v>
      </c>
      <c r="D3011" s="12" t="str">
        <f aca="false">INDEX('Country Tiers'!$C$2:$C$37,MATCH(C3011,'Country Tiers'!$A$2:$A$37,0))</f>
        <v>Tier 1</v>
      </c>
      <c r="E3011" s="12" t="n">
        <f aca="false">INDEX('Country Tiers'!$D$2:$D$37,MATCH(C3011,'Country Tiers'!$A$2:$A$37,0))</f>
        <v>3</v>
      </c>
    </row>
    <row r="3012" customFormat="false" ht="15" hidden="false" customHeight="false" outlineLevel="0" collapsed="false">
      <c r="A3012" s="12" t="s">
        <v>162</v>
      </c>
      <c r="B3012" s="12" t="s">
        <v>57</v>
      </c>
      <c r="C3012" s="12" t="s">
        <v>299</v>
      </c>
      <c r="D3012" s="12" t="str">
        <f aca="false">INDEX('Country Tiers'!$C$2:$C$37,MATCH(C3012,'Country Tiers'!$A$2:$A$37,0))</f>
        <v>Tier 3</v>
      </c>
      <c r="E3012" s="12" t="n">
        <f aca="false">INDEX('Country Tiers'!$D$2:$D$37,MATCH(C3012,'Country Tiers'!$A$2:$A$37,0))</f>
        <v>1</v>
      </c>
    </row>
    <row r="3013" customFormat="false" ht="15" hidden="false" customHeight="false" outlineLevel="0" collapsed="false">
      <c r="A3013" s="12" t="s">
        <v>162</v>
      </c>
      <c r="B3013" s="12" t="s">
        <v>57</v>
      </c>
      <c r="C3013" s="12" t="s">
        <v>300</v>
      </c>
      <c r="D3013" s="12" t="str">
        <f aca="false">INDEX('Country Tiers'!$C$2:$C$37,MATCH(C3013,'Country Tiers'!$A$2:$A$37,0))</f>
        <v>Tier 3</v>
      </c>
      <c r="E3013" s="12" t="n">
        <f aca="false">INDEX('Country Tiers'!$D$2:$D$37,MATCH(C3013,'Country Tiers'!$A$2:$A$37,0))</f>
        <v>1</v>
      </c>
    </row>
    <row r="3014" customFormat="false" ht="15" hidden="false" customHeight="false" outlineLevel="0" collapsed="false">
      <c r="A3014" s="12" t="s">
        <v>162</v>
      </c>
      <c r="B3014" s="12" t="s">
        <v>57</v>
      </c>
      <c r="C3014" s="12" t="s">
        <v>301</v>
      </c>
      <c r="D3014" s="12" t="str">
        <f aca="false">INDEX('Country Tiers'!$C$2:$C$37,MATCH(C3014,'Country Tiers'!$A$2:$A$37,0))</f>
        <v>Tier 3</v>
      </c>
      <c r="E3014" s="12" t="n">
        <f aca="false">INDEX('Country Tiers'!$D$2:$D$37,MATCH(C3014,'Country Tiers'!$A$2:$A$37,0))</f>
        <v>1</v>
      </c>
    </row>
    <row r="3015" customFormat="false" ht="15" hidden="false" customHeight="false" outlineLevel="0" collapsed="false">
      <c r="A3015" s="12" t="s">
        <v>162</v>
      </c>
      <c r="B3015" s="12" t="s">
        <v>57</v>
      </c>
      <c r="C3015" s="12" t="s">
        <v>302</v>
      </c>
      <c r="D3015" s="12" t="str">
        <f aca="false">INDEX('Country Tiers'!$C$2:$C$37,MATCH(C3015,'Country Tiers'!$A$2:$A$37,0))</f>
        <v>Tier 3</v>
      </c>
      <c r="E3015" s="12" t="n">
        <f aca="false">INDEX('Country Tiers'!$D$2:$D$37,MATCH(C3015,'Country Tiers'!$A$2:$A$37,0))</f>
        <v>1</v>
      </c>
    </row>
    <row r="3016" customFormat="false" ht="15" hidden="false" customHeight="false" outlineLevel="0" collapsed="false">
      <c r="A3016" s="12" t="s">
        <v>162</v>
      </c>
      <c r="B3016" s="12" t="s">
        <v>57</v>
      </c>
      <c r="C3016" s="12" t="s">
        <v>305</v>
      </c>
      <c r="D3016" s="12" t="str">
        <f aca="false">INDEX('Country Tiers'!$C$2:$C$37,MATCH(C3016,'Country Tiers'!$A$2:$A$37,0))</f>
        <v>Tier 3</v>
      </c>
      <c r="E3016" s="12" t="n">
        <f aca="false">INDEX('Country Tiers'!$D$2:$D$37,MATCH(C3016,'Country Tiers'!$A$2:$A$37,0))</f>
        <v>1</v>
      </c>
    </row>
    <row r="3017" customFormat="false" ht="15" hidden="false" customHeight="false" outlineLevel="0" collapsed="false">
      <c r="A3017" s="12" t="s">
        <v>162</v>
      </c>
      <c r="B3017" s="12" t="s">
        <v>57</v>
      </c>
      <c r="C3017" s="12" t="s">
        <v>306</v>
      </c>
      <c r="D3017" s="12" t="str">
        <f aca="false">INDEX('Country Tiers'!$C$2:$C$37,MATCH(C3017,'Country Tiers'!$A$2:$A$37,0))</f>
        <v>Tier 3</v>
      </c>
      <c r="E3017" s="12" t="n">
        <f aca="false">INDEX('Country Tiers'!$D$2:$D$37,MATCH(C3017,'Country Tiers'!$A$2:$A$37,0))</f>
        <v>1</v>
      </c>
    </row>
    <row r="3018" customFormat="false" ht="15" hidden="false" customHeight="false" outlineLevel="0" collapsed="false">
      <c r="A3018" s="12" t="s">
        <v>162</v>
      </c>
      <c r="B3018" s="12" t="s">
        <v>57</v>
      </c>
      <c r="C3018" s="12" t="s">
        <v>307</v>
      </c>
      <c r="D3018" s="12" t="str">
        <f aca="false">INDEX('Country Tiers'!$C$2:$C$37,MATCH(C3018,'Country Tiers'!$A$2:$A$37,0))</f>
        <v>Tier 2</v>
      </c>
      <c r="E3018" s="12" t="n">
        <f aca="false">INDEX('Country Tiers'!$D$2:$D$37,MATCH(C3018,'Country Tiers'!$A$2:$A$37,0))</f>
        <v>2</v>
      </c>
    </row>
    <row r="3019" customFormat="false" ht="15" hidden="false" customHeight="false" outlineLevel="0" collapsed="false">
      <c r="A3019" s="12" t="s">
        <v>162</v>
      </c>
      <c r="B3019" s="12" t="s">
        <v>57</v>
      </c>
      <c r="C3019" s="12" t="s">
        <v>308</v>
      </c>
      <c r="D3019" s="12" t="str">
        <f aca="false">INDEX('Country Tiers'!$C$2:$C$37,MATCH(C3019,'Country Tiers'!$A$2:$A$37,0))</f>
        <v>Tier 3</v>
      </c>
      <c r="E3019" s="12" t="n">
        <f aca="false">INDEX('Country Tiers'!$D$2:$D$37,MATCH(C3019,'Country Tiers'!$A$2:$A$37,0))</f>
        <v>1</v>
      </c>
    </row>
    <row r="3020" customFormat="false" ht="15" hidden="false" customHeight="false" outlineLevel="0" collapsed="false">
      <c r="A3020" s="12" t="s">
        <v>162</v>
      </c>
      <c r="B3020" s="12" t="s">
        <v>57</v>
      </c>
      <c r="C3020" s="12" t="s">
        <v>309</v>
      </c>
      <c r="D3020" s="12" t="str">
        <f aca="false">INDEX('Country Tiers'!$C$2:$C$37,MATCH(C3020,'Country Tiers'!$A$2:$A$37,0))</f>
        <v>Tier 1</v>
      </c>
      <c r="E3020" s="12" t="n">
        <f aca="false">INDEX('Country Tiers'!$D$2:$D$37,MATCH(C3020,'Country Tiers'!$A$2:$A$37,0))</f>
        <v>3</v>
      </c>
    </row>
    <row r="3021" customFormat="false" ht="15" hidden="false" customHeight="false" outlineLevel="0" collapsed="false">
      <c r="A3021" s="12" t="s">
        <v>162</v>
      </c>
      <c r="B3021" s="12" t="s">
        <v>57</v>
      </c>
      <c r="C3021" s="12" t="s">
        <v>313</v>
      </c>
      <c r="D3021" s="12" t="str">
        <f aca="false">INDEX('Country Tiers'!$C$2:$C$37,MATCH(C3021,'Country Tiers'!$A$2:$A$37,0))</f>
        <v>Tier 1</v>
      </c>
      <c r="E3021" s="12" t="n">
        <f aca="false">INDEX('Country Tiers'!$D$2:$D$37,MATCH(C3021,'Country Tiers'!$A$2:$A$37,0))</f>
        <v>3</v>
      </c>
    </row>
    <row r="3022" customFormat="false" ht="15" hidden="false" customHeight="false" outlineLevel="0" collapsed="false">
      <c r="A3022" s="12" t="s">
        <v>162</v>
      </c>
      <c r="B3022" s="12" t="s">
        <v>44</v>
      </c>
      <c r="C3022" s="12" t="s">
        <v>274</v>
      </c>
      <c r="D3022" s="12" t="str">
        <f aca="false">INDEX('Country Tiers'!$C$2:$C$37,MATCH(C3022,'Country Tiers'!$A$2:$A$37,0))</f>
        <v>Tier 3</v>
      </c>
      <c r="E3022" s="12" t="n">
        <f aca="false">INDEX('Country Tiers'!$D$2:$D$37,MATCH(C3022,'Country Tiers'!$A$2:$A$37,0))</f>
        <v>1</v>
      </c>
    </row>
    <row r="3023" customFormat="false" ht="15" hidden="false" customHeight="false" outlineLevel="0" collapsed="false">
      <c r="A3023" s="12" t="s">
        <v>162</v>
      </c>
      <c r="B3023" s="12" t="s">
        <v>44</v>
      </c>
      <c r="C3023" s="12" t="s">
        <v>277</v>
      </c>
      <c r="D3023" s="12" t="str">
        <f aca="false">INDEX('Country Tiers'!$C$2:$C$37,MATCH(C3023,'Country Tiers'!$A$2:$A$37,0))</f>
        <v>Tier 1</v>
      </c>
      <c r="E3023" s="12" t="n">
        <f aca="false">INDEX('Country Tiers'!$D$2:$D$37,MATCH(C3023,'Country Tiers'!$A$2:$A$37,0))</f>
        <v>3</v>
      </c>
    </row>
    <row r="3024" customFormat="false" ht="15" hidden="false" customHeight="false" outlineLevel="0" collapsed="false">
      <c r="A3024" s="12" t="s">
        <v>162</v>
      </c>
      <c r="B3024" s="12" t="s">
        <v>44</v>
      </c>
      <c r="C3024" s="12" t="s">
        <v>278</v>
      </c>
      <c r="D3024" s="12" t="str">
        <f aca="false">INDEX('Country Tiers'!$C$2:$C$37,MATCH(C3024,'Country Tiers'!$A$2:$A$37,0))</f>
        <v>Tier 3</v>
      </c>
      <c r="E3024" s="12" t="n">
        <f aca="false">INDEX('Country Tiers'!$D$2:$D$37,MATCH(C3024,'Country Tiers'!$A$2:$A$37,0))</f>
        <v>1</v>
      </c>
    </row>
    <row r="3025" customFormat="false" ht="15" hidden="false" customHeight="false" outlineLevel="0" collapsed="false">
      <c r="A3025" s="12" t="s">
        <v>162</v>
      </c>
      <c r="B3025" s="12" t="s">
        <v>44</v>
      </c>
      <c r="C3025" s="12" t="s">
        <v>280</v>
      </c>
      <c r="D3025" s="12" t="str">
        <f aca="false">INDEX('Country Tiers'!$C$2:$C$37,MATCH(C3025,'Country Tiers'!$A$2:$A$37,0))</f>
        <v>Tier 3</v>
      </c>
      <c r="E3025" s="12" t="n">
        <f aca="false">INDEX('Country Tiers'!$D$2:$D$37,MATCH(C3025,'Country Tiers'!$A$2:$A$37,0))</f>
        <v>1</v>
      </c>
    </row>
    <row r="3026" customFormat="false" ht="15" hidden="false" customHeight="false" outlineLevel="0" collapsed="false">
      <c r="A3026" s="12" t="s">
        <v>162</v>
      </c>
      <c r="B3026" s="12" t="s">
        <v>44</v>
      </c>
      <c r="C3026" s="12" t="s">
        <v>281</v>
      </c>
      <c r="D3026" s="12" t="str">
        <f aca="false">INDEX('Country Tiers'!$C$2:$C$37,MATCH(C3026,'Country Tiers'!$A$2:$A$37,0))</f>
        <v>Tier 3</v>
      </c>
      <c r="E3026" s="12" t="n">
        <f aca="false">INDEX('Country Tiers'!$D$2:$D$37,MATCH(C3026,'Country Tiers'!$A$2:$A$37,0))</f>
        <v>1</v>
      </c>
    </row>
    <row r="3027" customFormat="false" ht="15" hidden="false" customHeight="false" outlineLevel="0" collapsed="false">
      <c r="A3027" s="12" t="s">
        <v>162</v>
      </c>
      <c r="B3027" s="12" t="s">
        <v>44</v>
      </c>
      <c r="C3027" s="12" t="s">
        <v>282</v>
      </c>
      <c r="D3027" s="12" t="str">
        <f aca="false">INDEX('Country Tiers'!$C$2:$C$37,MATCH(C3027,'Country Tiers'!$A$2:$A$37,0))</f>
        <v>Tier 3</v>
      </c>
      <c r="E3027" s="12" t="n">
        <f aca="false">INDEX('Country Tiers'!$D$2:$D$37,MATCH(C3027,'Country Tiers'!$A$2:$A$37,0))</f>
        <v>1</v>
      </c>
    </row>
    <row r="3028" customFormat="false" ht="15" hidden="false" customHeight="false" outlineLevel="0" collapsed="false">
      <c r="A3028" s="12" t="s">
        <v>162</v>
      </c>
      <c r="B3028" s="12" t="s">
        <v>44</v>
      </c>
      <c r="C3028" s="12" t="s">
        <v>283</v>
      </c>
      <c r="D3028" s="12" t="str">
        <f aca="false">INDEX('Country Tiers'!$C$2:$C$37,MATCH(C3028,'Country Tiers'!$A$2:$A$37,0))</f>
        <v>Tier 3</v>
      </c>
      <c r="E3028" s="12" t="n">
        <f aca="false">INDEX('Country Tiers'!$D$2:$D$37,MATCH(C3028,'Country Tiers'!$A$2:$A$37,0))</f>
        <v>1</v>
      </c>
    </row>
    <row r="3029" customFormat="false" ht="15" hidden="false" customHeight="false" outlineLevel="0" collapsed="false">
      <c r="A3029" s="12" t="s">
        <v>162</v>
      </c>
      <c r="B3029" s="12" t="s">
        <v>44</v>
      </c>
      <c r="C3029" s="12" t="s">
        <v>284</v>
      </c>
      <c r="D3029" s="12" t="str">
        <f aca="false">INDEX('Country Tiers'!$C$2:$C$37,MATCH(C3029,'Country Tiers'!$A$2:$A$37,0))</f>
        <v>Tier 3</v>
      </c>
      <c r="E3029" s="12" t="n">
        <f aca="false">INDEX('Country Tiers'!$D$2:$D$37,MATCH(C3029,'Country Tiers'!$A$2:$A$37,0))</f>
        <v>1</v>
      </c>
    </row>
    <row r="3030" customFormat="false" ht="15" hidden="false" customHeight="false" outlineLevel="0" collapsed="false">
      <c r="A3030" s="12" t="s">
        <v>162</v>
      </c>
      <c r="B3030" s="12" t="s">
        <v>44</v>
      </c>
      <c r="C3030" s="12" t="s">
        <v>285</v>
      </c>
      <c r="D3030" s="12" t="str">
        <f aca="false">INDEX('Country Tiers'!$C$2:$C$37,MATCH(C3030,'Country Tiers'!$A$2:$A$37,0))</f>
        <v>Tier 3</v>
      </c>
      <c r="E3030" s="12" t="n">
        <f aca="false">INDEX('Country Tiers'!$D$2:$D$37,MATCH(C3030,'Country Tiers'!$A$2:$A$37,0))</f>
        <v>1</v>
      </c>
    </row>
    <row r="3031" customFormat="false" ht="15" hidden="false" customHeight="false" outlineLevel="0" collapsed="false">
      <c r="A3031" s="12" t="s">
        <v>162</v>
      </c>
      <c r="B3031" s="12" t="s">
        <v>44</v>
      </c>
      <c r="C3031" s="12" t="s">
        <v>286</v>
      </c>
      <c r="D3031" s="12" t="str">
        <f aca="false">INDEX('Country Tiers'!$C$2:$C$37,MATCH(C3031,'Country Tiers'!$A$2:$A$37,0))</f>
        <v>Tier 1</v>
      </c>
      <c r="E3031" s="12" t="n">
        <f aca="false">INDEX('Country Tiers'!$D$2:$D$37,MATCH(C3031,'Country Tiers'!$A$2:$A$37,0))</f>
        <v>3</v>
      </c>
    </row>
    <row r="3032" customFormat="false" ht="15" hidden="false" customHeight="false" outlineLevel="0" collapsed="false">
      <c r="A3032" s="12" t="s">
        <v>162</v>
      </c>
      <c r="B3032" s="12" t="s">
        <v>44</v>
      </c>
      <c r="C3032" s="12" t="s">
        <v>287</v>
      </c>
      <c r="D3032" s="12" t="str">
        <f aca="false">INDEX('Country Tiers'!$C$2:$C$37,MATCH(C3032,'Country Tiers'!$A$2:$A$37,0))</f>
        <v>Tier 1</v>
      </c>
      <c r="E3032" s="12" t="n">
        <f aca="false">INDEX('Country Tiers'!$D$2:$D$37,MATCH(C3032,'Country Tiers'!$A$2:$A$37,0))</f>
        <v>3</v>
      </c>
    </row>
    <row r="3033" customFormat="false" ht="15" hidden="false" customHeight="false" outlineLevel="0" collapsed="false">
      <c r="A3033" s="12" t="s">
        <v>162</v>
      </c>
      <c r="B3033" s="12" t="s">
        <v>44</v>
      </c>
      <c r="C3033" s="12" t="s">
        <v>288</v>
      </c>
      <c r="D3033" s="12" t="str">
        <f aca="false">INDEX('Country Tiers'!$C$2:$C$37,MATCH(C3033,'Country Tiers'!$A$2:$A$37,0))</f>
        <v>Tier 3</v>
      </c>
      <c r="E3033" s="12" t="n">
        <f aca="false">INDEX('Country Tiers'!$D$2:$D$37,MATCH(C3033,'Country Tiers'!$A$2:$A$37,0))</f>
        <v>1</v>
      </c>
    </row>
    <row r="3034" customFormat="false" ht="15" hidden="false" customHeight="false" outlineLevel="0" collapsed="false">
      <c r="A3034" s="12" t="s">
        <v>162</v>
      </c>
      <c r="B3034" s="12" t="s">
        <v>44</v>
      </c>
      <c r="C3034" s="12" t="s">
        <v>289</v>
      </c>
      <c r="D3034" s="12" t="str">
        <f aca="false">INDEX('Country Tiers'!$C$2:$C$37,MATCH(C3034,'Country Tiers'!$A$2:$A$37,0))</f>
        <v>Tier 3</v>
      </c>
      <c r="E3034" s="12" t="n">
        <f aca="false">INDEX('Country Tiers'!$D$2:$D$37,MATCH(C3034,'Country Tiers'!$A$2:$A$37,0))</f>
        <v>1</v>
      </c>
    </row>
    <row r="3035" customFormat="false" ht="15" hidden="false" customHeight="false" outlineLevel="0" collapsed="false">
      <c r="A3035" s="12" t="s">
        <v>162</v>
      </c>
      <c r="B3035" s="12" t="s">
        <v>44</v>
      </c>
      <c r="C3035" s="12" t="s">
        <v>290</v>
      </c>
      <c r="D3035" s="12" t="str">
        <f aca="false">INDEX('Country Tiers'!$C$2:$C$37,MATCH(C3035,'Country Tiers'!$A$2:$A$37,0))</f>
        <v>Tier 3</v>
      </c>
      <c r="E3035" s="12" t="n">
        <f aca="false">INDEX('Country Tiers'!$D$2:$D$37,MATCH(C3035,'Country Tiers'!$A$2:$A$37,0))</f>
        <v>1</v>
      </c>
    </row>
    <row r="3036" customFormat="false" ht="15" hidden="false" customHeight="false" outlineLevel="0" collapsed="false">
      <c r="A3036" s="12" t="s">
        <v>162</v>
      </c>
      <c r="B3036" s="12" t="s">
        <v>44</v>
      </c>
      <c r="C3036" s="12" t="s">
        <v>291</v>
      </c>
      <c r="D3036" s="12" t="str">
        <f aca="false">INDEX('Country Tiers'!$C$2:$C$37,MATCH(C3036,'Country Tiers'!$A$2:$A$37,0))</f>
        <v>Tier 3</v>
      </c>
      <c r="E3036" s="12" t="n">
        <f aca="false">INDEX('Country Tiers'!$D$2:$D$37,MATCH(C3036,'Country Tiers'!$A$2:$A$37,0))</f>
        <v>1</v>
      </c>
    </row>
    <row r="3037" customFormat="false" ht="15" hidden="false" customHeight="false" outlineLevel="0" collapsed="false">
      <c r="A3037" s="12" t="s">
        <v>162</v>
      </c>
      <c r="B3037" s="12" t="s">
        <v>44</v>
      </c>
      <c r="C3037" s="12" t="s">
        <v>292</v>
      </c>
      <c r="D3037" s="12" t="str">
        <f aca="false">INDEX('Country Tiers'!$C$2:$C$37,MATCH(C3037,'Country Tiers'!$A$2:$A$37,0))</f>
        <v>Tier 2</v>
      </c>
      <c r="E3037" s="12" t="n">
        <f aca="false">INDEX('Country Tiers'!$D$2:$D$37,MATCH(C3037,'Country Tiers'!$A$2:$A$37,0))</f>
        <v>2</v>
      </c>
    </row>
    <row r="3038" customFormat="false" ht="15" hidden="false" customHeight="false" outlineLevel="0" collapsed="false">
      <c r="A3038" s="12" t="s">
        <v>162</v>
      </c>
      <c r="B3038" s="12" t="s">
        <v>44</v>
      </c>
      <c r="C3038" s="12" t="s">
        <v>293</v>
      </c>
      <c r="D3038" s="12" t="str">
        <f aca="false">INDEX('Country Tiers'!$C$2:$C$37,MATCH(C3038,'Country Tiers'!$A$2:$A$37,0))</f>
        <v>Tier 3</v>
      </c>
      <c r="E3038" s="12" t="n">
        <f aca="false">INDEX('Country Tiers'!$D$2:$D$37,MATCH(C3038,'Country Tiers'!$A$2:$A$37,0))</f>
        <v>1</v>
      </c>
    </row>
    <row r="3039" customFormat="false" ht="15" hidden="false" customHeight="false" outlineLevel="0" collapsed="false">
      <c r="A3039" s="12" t="s">
        <v>162</v>
      </c>
      <c r="B3039" s="12" t="s">
        <v>44</v>
      </c>
      <c r="C3039" s="12" t="s">
        <v>294</v>
      </c>
      <c r="D3039" s="12" t="str">
        <f aca="false">INDEX('Country Tiers'!$C$2:$C$37,MATCH(C3039,'Country Tiers'!$A$2:$A$37,0))</f>
        <v>Tier 3</v>
      </c>
      <c r="E3039" s="12" t="n">
        <f aca="false">INDEX('Country Tiers'!$D$2:$D$37,MATCH(C3039,'Country Tiers'!$A$2:$A$37,0))</f>
        <v>1</v>
      </c>
    </row>
    <row r="3040" customFormat="false" ht="15" hidden="false" customHeight="false" outlineLevel="0" collapsed="false">
      <c r="A3040" s="12" t="s">
        <v>162</v>
      </c>
      <c r="B3040" s="12" t="s">
        <v>44</v>
      </c>
      <c r="C3040" s="12" t="s">
        <v>295</v>
      </c>
      <c r="D3040" s="12" t="str">
        <f aca="false">INDEX('Country Tiers'!$C$2:$C$37,MATCH(C3040,'Country Tiers'!$A$2:$A$37,0))</f>
        <v>Tier 3</v>
      </c>
      <c r="E3040" s="12" t="n">
        <f aca="false">INDEX('Country Tiers'!$D$2:$D$37,MATCH(C3040,'Country Tiers'!$A$2:$A$37,0))</f>
        <v>1</v>
      </c>
    </row>
    <row r="3041" customFormat="false" ht="15" hidden="false" customHeight="false" outlineLevel="0" collapsed="false">
      <c r="A3041" s="12" t="s">
        <v>162</v>
      </c>
      <c r="B3041" s="12" t="s">
        <v>44</v>
      </c>
      <c r="C3041" s="12" t="s">
        <v>296</v>
      </c>
      <c r="D3041" s="12" t="str">
        <f aca="false">INDEX('Country Tiers'!$C$2:$C$37,MATCH(C3041,'Country Tiers'!$A$2:$A$37,0))</f>
        <v>Tier 3</v>
      </c>
      <c r="E3041" s="12" t="n">
        <f aca="false">INDEX('Country Tiers'!$D$2:$D$37,MATCH(C3041,'Country Tiers'!$A$2:$A$37,0))</f>
        <v>1</v>
      </c>
    </row>
    <row r="3042" customFormat="false" ht="15" hidden="false" customHeight="false" outlineLevel="0" collapsed="false">
      <c r="A3042" s="12" t="s">
        <v>162</v>
      </c>
      <c r="B3042" s="12" t="s">
        <v>44</v>
      </c>
      <c r="C3042" s="12" t="s">
        <v>297</v>
      </c>
      <c r="D3042" s="12" t="str">
        <f aca="false">INDEX('Country Tiers'!$C$2:$C$37,MATCH(C3042,'Country Tiers'!$A$2:$A$37,0))</f>
        <v>Tier 2</v>
      </c>
      <c r="E3042" s="12" t="n">
        <f aca="false">INDEX('Country Tiers'!$D$2:$D$37,MATCH(C3042,'Country Tiers'!$A$2:$A$37,0))</f>
        <v>2</v>
      </c>
    </row>
    <row r="3043" customFormat="false" ht="15" hidden="false" customHeight="false" outlineLevel="0" collapsed="false">
      <c r="A3043" s="12" t="s">
        <v>162</v>
      </c>
      <c r="B3043" s="12" t="s">
        <v>44</v>
      </c>
      <c r="C3043" s="12" t="s">
        <v>298</v>
      </c>
      <c r="D3043" s="12" t="str">
        <f aca="false">INDEX('Country Tiers'!$C$2:$C$37,MATCH(C3043,'Country Tiers'!$A$2:$A$37,0))</f>
        <v>Tier 1</v>
      </c>
      <c r="E3043" s="12" t="n">
        <f aca="false">INDEX('Country Tiers'!$D$2:$D$37,MATCH(C3043,'Country Tiers'!$A$2:$A$37,0))</f>
        <v>3</v>
      </c>
    </row>
    <row r="3044" customFormat="false" ht="15" hidden="false" customHeight="false" outlineLevel="0" collapsed="false">
      <c r="A3044" s="12" t="s">
        <v>162</v>
      </c>
      <c r="B3044" s="12" t="s">
        <v>44</v>
      </c>
      <c r="C3044" s="12" t="s">
        <v>299</v>
      </c>
      <c r="D3044" s="12" t="str">
        <f aca="false">INDEX('Country Tiers'!$C$2:$C$37,MATCH(C3044,'Country Tiers'!$A$2:$A$37,0))</f>
        <v>Tier 3</v>
      </c>
      <c r="E3044" s="12" t="n">
        <f aca="false">INDEX('Country Tiers'!$D$2:$D$37,MATCH(C3044,'Country Tiers'!$A$2:$A$37,0))</f>
        <v>1</v>
      </c>
    </row>
    <row r="3045" customFormat="false" ht="15" hidden="false" customHeight="false" outlineLevel="0" collapsed="false">
      <c r="A3045" s="12" t="s">
        <v>162</v>
      </c>
      <c r="B3045" s="12" t="s">
        <v>44</v>
      </c>
      <c r="C3045" s="12" t="s">
        <v>300</v>
      </c>
      <c r="D3045" s="12" t="str">
        <f aca="false">INDEX('Country Tiers'!$C$2:$C$37,MATCH(C3045,'Country Tiers'!$A$2:$A$37,0))</f>
        <v>Tier 3</v>
      </c>
      <c r="E3045" s="12" t="n">
        <f aca="false">INDEX('Country Tiers'!$D$2:$D$37,MATCH(C3045,'Country Tiers'!$A$2:$A$37,0))</f>
        <v>1</v>
      </c>
    </row>
    <row r="3046" customFormat="false" ht="15" hidden="false" customHeight="false" outlineLevel="0" collapsed="false">
      <c r="A3046" s="12" t="s">
        <v>162</v>
      </c>
      <c r="B3046" s="12" t="s">
        <v>44</v>
      </c>
      <c r="C3046" s="12" t="s">
        <v>301</v>
      </c>
      <c r="D3046" s="12" t="str">
        <f aca="false">INDEX('Country Tiers'!$C$2:$C$37,MATCH(C3046,'Country Tiers'!$A$2:$A$37,0))</f>
        <v>Tier 3</v>
      </c>
      <c r="E3046" s="12" t="n">
        <f aca="false">INDEX('Country Tiers'!$D$2:$D$37,MATCH(C3046,'Country Tiers'!$A$2:$A$37,0))</f>
        <v>1</v>
      </c>
    </row>
    <row r="3047" customFormat="false" ht="15" hidden="false" customHeight="false" outlineLevel="0" collapsed="false">
      <c r="A3047" s="12" t="s">
        <v>162</v>
      </c>
      <c r="B3047" s="12" t="s">
        <v>44</v>
      </c>
      <c r="C3047" s="12" t="s">
        <v>302</v>
      </c>
      <c r="D3047" s="12" t="str">
        <f aca="false">INDEX('Country Tiers'!$C$2:$C$37,MATCH(C3047,'Country Tiers'!$A$2:$A$37,0))</f>
        <v>Tier 3</v>
      </c>
      <c r="E3047" s="12" t="n">
        <f aca="false">INDEX('Country Tiers'!$D$2:$D$37,MATCH(C3047,'Country Tiers'!$A$2:$A$37,0))</f>
        <v>1</v>
      </c>
    </row>
    <row r="3048" customFormat="false" ht="15" hidden="false" customHeight="false" outlineLevel="0" collapsed="false">
      <c r="A3048" s="12" t="s">
        <v>162</v>
      </c>
      <c r="B3048" s="12" t="s">
        <v>44</v>
      </c>
      <c r="C3048" s="12" t="s">
        <v>305</v>
      </c>
      <c r="D3048" s="12" t="str">
        <f aca="false">INDEX('Country Tiers'!$C$2:$C$37,MATCH(C3048,'Country Tiers'!$A$2:$A$37,0))</f>
        <v>Tier 3</v>
      </c>
      <c r="E3048" s="12" t="n">
        <f aca="false">INDEX('Country Tiers'!$D$2:$D$37,MATCH(C3048,'Country Tiers'!$A$2:$A$37,0))</f>
        <v>1</v>
      </c>
    </row>
    <row r="3049" customFormat="false" ht="15" hidden="false" customHeight="false" outlineLevel="0" collapsed="false">
      <c r="A3049" s="12" t="s">
        <v>162</v>
      </c>
      <c r="B3049" s="12" t="s">
        <v>44</v>
      </c>
      <c r="C3049" s="12" t="s">
        <v>306</v>
      </c>
      <c r="D3049" s="12" t="str">
        <f aca="false">INDEX('Country Tiers'!$C$2:$C$37,MATCH(C3049,'Country Tiers'!$A$2:$A$37,0))</f>
        <v>Tier 3</v>
      </c>
      <c r="E3049" s="12" t="n">
        <f aca="false">INDEX('Country Tiers'!$D$2:$D$37,MATCH(C3049,'Country Tiers'!$A$2:$A$37,0))</f>
        <v>1</v>
      </c>
    </row>
    <row r="3050" customFormat="false" ht="15" hidden="false" customHeight="false" outlineLevel="0" collapsed="false">
      <c r="A3050" s="12" t="s">
        <v>162</v>
      </c>
      <c r="B3050" s="12" t="s">
        <v>44</v>
      </c>
      <c r="C3050" s="12" t="s">
        <v>307</v>
      </c>
      <c r="D3050" s="12" t="str">
        <f aca="false">INDEX('Country Tiers'!$C$2:$C$37,MATCH(C3050,'Country Tiers'!$A$2:$A$37,0))</f>
        <v>Tier 2</v>
      </c>
      <c r="E3050" s="12" t="n">
        <f aca="false">INDEX('Country Tiers'!$D$2:$D$37,MATCH(C3050,'Country Tiers'!$A$2:$A$37,0))</f>
        <v>2</v>
      </c>
    </row>
    <row r="3051" customFormat="false" ht="15" hidden="false" customHeight="false" outlineLevel="0" collapsed="false">
      <c r="A3051" s="12" t="s">
        <v>162</v>
      </c>
      <c r="B3051" s="12" t="s">
        <v>44</v>
      </c>
      <c r="C3051" s="12" t="s">
        <v>308</v>
      </c>
      <c r="D3051" s="12" t="str">
        <f aca="false">INDEX('Country Tiers'!$C$2:$C$37,MATCH(C3051,'Country Tiers'!$A$2:$A$37,0))</f>
        <v>Tier 3</v>
      </c>
      <c r="E3051" s="12" t="n">
        <f aca="false">INDEX('Country Tiers'!$D$2:$D$37,MATCH(C3051,'Country Tiers'!$A$2:$A$37,0))</f>
        <v>1</v>
      </c>
    </row>
    <row r="3052" customFormat="false" ht="15" hidden="false" customHeight="false" outlineLevel="0" collapsed="false">
      <c r="A3052" s="12" t="s">
        <v>162</v>
      </c>
      <c r="B3052" s="12" t="s">
        <v>44</v>
      </c>
      <c r="C3052" s="12" t="s">
        <v>309</v>
      </c>
      <c r="D3052" s="12" t="str">
        <f aca="false">INDEX('Country Tiers'!$C$2:$C$37,MATCH(C3052,'Country Tiers'!$A$2:$A$37,0))</f>
        <v>Tier 1</v>
      </c>
      <c r="E3052" s="12" t="n">
        <f aca="false">INDEX('Country Tiers'!$D$2:$D$37,MATCH(C3052,'Country Tiers'!$A$2:$A$37,0))</f>
        <v>3</v>
      </c>
    </row>
    <row r="3053" customFormat="false" ht="15" hidden="false" customHeight="false" outlineLevel="0" collapsed="false">
      <c r="A3053" s="12" t="s">
        <v>162</v>
      </c>
      <c r="B3053" s="12" t="s">
        <v>44</v>
      </c>
      <c r="C3053" s="12" t="s">
        <v>313</v>
      </c>
      <c r="D3053" s="12" t="str">
        <f aca="false">INDEX('Country Tiers'!$C$2:$C$37,MATCH(C3053,'Country Tiers'!$A$2:$A$37,0))</f>
        <v>Tier 1</v>
      </c>
      <c r="E3053" s="12" t="n">
        <f aca="false">INDEX('Country Tiers'!$D$2:$D$37,MATCH(C3053,'Country Tiers'!$A$2:$A$37,0))</f>
        <v>3</v>
      </c>
    </row>
    <row r="3054" customFormat="false" ht="15" hidden="false" customHeight="false" outlineLevel="0" collapsed="false">
      <c r="A3054" s="12" t="s">
        <v>162</v>
      </c>
      <c r="B3054" s="12" t="s">
        <v>50</v>
      </c>
      <c r="C3054" s="12" t="s">
        <v>274</v>
      </c>
      <c r="D3054" s="12" t="str">
        <f aca="false">INDEX('Country Tiers'!$C$2:$C$37,MATCH(C3054,'Country Tiers'!$A$2:$A$37,0))</f>
        <v>Tier 3</v>
      </c>
      <c r="E3054" s="12" t="n">
        <f aca="false">INDEX('Country Tiers'!$D$2:$D$37,MATCH(C3054,'Country Tiers'!$A$2:$A$37,0))</f>
        <v>1</v>
      </c>
    </row>
    <row r="3055" customFormat="false" ht="15" hidden="false" customHeight="false" outlineLevel="0" collapsed="false">
      <c r="A3055" s="12" t="s">
        <v>162</v>
      </c>
      <c r="B3055" s="12" t="s">
        <v>50</v>
      </c>
      <c r="C3055" s="12" t="s">
        <v>277</v>
      </c>
      <c r="D3055" s="12" t="str">
        <f aca="false">INDEX('Country Tiers'!$C$2:$C$37,MATCH(C3055,'Country Tiers'!$A$2:$A$37,0))</f>
        <v>Tier 1</v>
      </c>
      <c r="E3055" s="12" t="n">
        <f aca="false">INDEX('Country Tiers'!$D$2:$D$37,MATCH(C3055,'Country Tiers'!$A$2:$A$37,0))</f>
        <v>3</v>
      </c>
    </row>
    <row r="3056" customFormat="false" ht="15" hidden="false" customHeight="false" outlineLevel="0" collapsed="false">
      <c r="A3056" s="12" t="s">
        <v>162</v>
      </c>
      <c r="B3056" s="12" t="s">
        <v>50</v>
      </c>
      <c r="C3056" s="12" t="s">
        <v>278</v>
      </c>
      <c r="D3056" s="12" t="str">
        <f aca="false">INDEX('Country Tiers'!$C$2:$C$37,MATCH(C3056,'Country Tiers'!$A$2:$A$37,0))</f>
        <v>Tier 3</v>
      </c>
      <c r="E3056" s="12" t="n">
        <f aca="false">INDEX('Country Tiers'!$D$2:$D$37,MATCH(C3056,'Country Tiers'!$A$2:$A$37,0))</f>
        <v>1</v>
      </c>
    </row>
    <row r="3057" customFormat="false" ht="15" hidden="false" customHeight="false" outlineLevel="0" collapsed="false">
      <c r="A3057" s="12" t="s">
        <v>162</v>
      </c>
      <c r="B3057" s="12" t="s">
        <v>50</v>
      </c>
      <c r="C3057" s="12" t="s">
        <v>280</v>
      </c>
      <c r="D3057" s="12" t="str">
        <f aca="false">INDEX('Country Tiers'!$C$2:$C$37,MATCH(C3057,'Country Tiers'!$A$2:$A$37,0))</f>
        <v>Tier 3</v>
      </c>
      <c r="E3057" s="12" t="n">
        <f aca="false">INDEX('Country Tiers'!$D$2:$D$37,MATCH(C3057,'Country Tiers'!$A$2:$A$37,0))</f>
        <v>1</v>
      </c>
    </row>
    <row r="3058" customFormat="false" ht="15" hidden="false" customHeight="false" outlineLevel="0" collapsed="false">
      <c r="A3058" s="12" t="s">
        <v>162</v>
      </c>
      <c r="B3058" s="12" t="s">
        <v>50</v>
      </c>
      <c r="C3058" s="12" t="s">
        <v>281</v>
      </c>
      <c r="D3058" s="12" t="str">
        <f aca="false">INDEX('Country Tiers'!$C$2:$C$37,MATCH(C3058,'Country Tiers'!$A$2:$A$37,0))</f>
        <v>Tier 3</v>
      </c>
      <c r="E3058" s="12" t="n">
        <f aca="false">INDEX('Country Tiers'!$D$2:$D$37,MATCH(C3058,'Country Tiers'!$A$2:$A$37,0))</f>
        <v>1</v>
      </c>
    </row>
    <row r="3059" customFormat="false" ht="15" hidden="false" customHeight="false" outlineLevel="0" collapsed="false">
      <c r="A3059" s="12" t="s">
        <v>162</v>
      </c>
      <c r="B3059" s="12" t="s">
        <v>50</v>
      </c>
      <c r="C3059" s="12" t="s">
        <v>282</v>
      </c>
      <c r="D3059" s="12" t="str">
        <f aca="false">INDEX('Country Tiers'!$C$2:$C$37,MATCH(C3059,'Country Tiers'!$A$2:$A$37,0))</f>
        <v>Tier 3</v>
      </c>
      <c r="E3059" s="12" t="n">
        <f aca="false">INDEX('Country Tiers'!$D$2:$D$37,MATCH(C3059,'Country Tiers'!$A$2:$A$37,0))</f>
        <v>1</v>
      </c>
    </row>
    <row r="3060" customFormat="false" ht="15" hidden="false" customHeight="false" outlineLevel="0" collapsed="false">
      <c r="A3060" s="12" t="s">
        <v>162</v>
      </c>
      <c r="B3060" s="12" t="s">
        <v>50</v>
      </c>
      <c r="C3060" s="12" t="s">
        <v>283</v>
      </c>
      <c r="D3060" s="12" t="str">
        <f aca="false">INDEX('Country Tiers'!$C$2:$C$37,MATCH(C3060,'Country Tiers'!$A$2:$A$37,0))</f>
        <v>Tier 3</v>
      </c>
      <c r="E3060" s="12" t="n">
        <f aca="false">INDEX('Country Tiers'!$D$2:$D$37,MATCH(C3060,'Country Tiers'!$A$2:$A$37,0))</f>
        <v>1</v>
      </c>
    </row>
    <row r="3061" customFormat="false" ht="15" hidden="false" customHeight="false" outlineLevel="0" collapsed="false">
      <c r="A3061" s="12" t="s">
        <v>162</v>
      </c>
      <c r="B3061" s="12" t="s">
        <v>50</v>
      </c>
      <c r="C3061" s="12" t="s">
        <v>284</v>
      </c>
      <c r="D3061" s="12" t="str">
        <f aca="false">INDEX('Country Tiers'!$C$2:$C$37,MATCH(C3061,'Country Tiers'!$A$2:$A$37,0))</f>
        <v>Tier 3</v>
      </c>
      <c r="E3061" s="12" t="n">
        <f aca="false">INDEX('Country Tiers'!$D$2:$D$37,MATCH(C3061,'Country Tiers'!$A$2:$A$37,0))</f>
        <v>1</v>
      </c>
    </row>
    <row r="3062" customFormat="false" ht="15" hidden="false" customHeight="false" outlineLevel="0" collapsed="false">
      <c r="A3062" s="12" t="s">
        <v>162</v>
      </c>
      <c r="B3062" s="12" t="s">
        <v>50</v>
      </c>
      <c r="C3062" s="12" t="s">
        <v>285</v>
      </c>
      <c r="D3062" s="12" t="str">
        <f aca="false">INDEX('Country Tiers'!$C$2:$C$37,MATCH(C3062,'Country Tiers'!$A$2:$A$37,0))</f>
        <v>Tier 3</v>
      </c>
      <c r="E3062" s="12" t="n">
        <f aca="false">INDEX('Country Tiers'!$D$2:$D$37,MATCH(C3062,'Country Tiers'!$A$2:$A$37,0))</f>
        <v>1</v>
      </c>
    </row>
    <row r="3063" customFormat="false" ht="15" hidden="false" customHeight="false" outlineLevel="0" collapsed="false">
      <c r="A3063" s="12" t="s">
        <v>162</v>
      </c>
      <c r="B3063" s="12" t="s">
        <v>50</v>
      </c>
      <c r="C3063" s="12" t="s">
        <v>286</v>
      </c>
      <c r="D3063" s="12" t="str">
        <f aca="false">INDEX('Country Tiers'!$C$2:$C$37,MATCH(C3063,'Country Tiers'!$A$2:$A$37,0))</f>
        <v>Tier 1</v>
      </c>
      <c r="E3063" s="12" t="n">
        <f aca="false">INDEX('Country Tiers'!$D$2:$D$37,MATCH(C3063,'Country Tiers'!$A$2:$A$37,0))</f>
        <v>3</v>
      </c>
    </row>
    <row r="3064" customFormat="false" ht="15" hidden="false" customHeight="false" outlineLevel="0" collapsed="false">
      <c r="A3064" s="12" t="s">
        <v>162</v>
      </c>
      <c r="B3064" s="12" t="s">
        <v>50</v>
      </c>
      <c r="C3064" s="12" t="s">
        <v>287</v>
      </c>
      <c r="D3064" s="12" t="str">
        <f aca="false">INDEX('Country Tiers'!$C$2:$C$37,MATCH(C3064,'Country Tiers'!$A$2:$A$37,0))</f>
        <v>Tier 1</v>
      </c>
      <c r="E3064" s="12" t="n">
        <f aca="false">INDEX('Country Tiers'!$D$2:$D$37,MATCH(C3064,'Country Tiers'!$A$2:$A$37,0))</f>
        <v>3</v>
      </c>
    </row>
    <row r="3065" customFormat="false" ht="15" hidden="false" customHeight="false" outlineLevel="0" collapsed="false">
      <c r="A3065" s="12" t="s">
        <v>162</v>
      </c>
      <c r="B3065" s="12" t="s">
        <v>50</v>
      </c>
      <c r="C3065" s="12" t="s">
        <v>288</v>
      </c>
      <c r="D3065" s="12" t="str">
        <f aca="false">INDEX('Country Tiers'!$C$2:$C$37,MATCH(C3065,'Country Tiers'!$A$2:$A$37,0))</f>
        <v>Tier 3</v>
      </c>
      <c r="E3065" s="12" t="n">
        <f aca="false">INDEX('Country Tiers'!$D$2:$D$37,MATCH(C3065,'Country Tiers'!$A$2:$A$37,0))</f>
        <v>1</v>
      </c>
    </row>
    <row r="3066" customFormat="false" ht="15" hidden="false" customHeight="false" outlineLevel="0" collapsed="false">
      <c r="A3066" s="12" t="s">
        <v>162</v>
      </c>
      <c r="B3066" s="12" t="s">
        <v>50</v>
      </c>
      <c r="C3066" s="12" t="s">
        <v>289</v>
      </c>
      <c r="D3066" s="12" t="str">
        <f aca="false">INDEX('Country Tiers'!$C$2:$C$37,MATCH(C3066,'Country Tiers'!$A$2:$A$37,0))</f>
        <v>Tier 3</v>
      </c>
      <c r="E3066" s="12" t="n">
        <f aca="false">INDEX('Country Tiers'!$D$2:$D$37,MATCH(C3066,'Country Tiers'!$A$2:$A$37,0))</f>
        <v>1</v>
      </c>
    </row>
    <row r="3067" customFormat="false" ht="15" hidden="false" customHeight="false" outlineLevel="0" collapsed="false">
      <c r="A3067" s="12" t="s">
        <v>162</v>
      </c>
      <c r="B3067" s="12" t="s">
        <v>50</v>
      </c>
      <c r="C3067" s="12" t="s">
        <v>290</v>
      </c>
      <c r="D3067" s="12" t="str">
        <f aca="false">INDEX('Country Tiers'!$C$2:$C$37,MATCH(C3067,'Country Tiers'!$A$2:$A$37,0))</f>
        <v>Tier 3</v>
      </c>
      <c r="E3067" s="12" t="n">
        <f aca="false">INDEX('Country Tiers'!$D$2:$D$37,MATCH(C3067,'Country Tiers'!$A$2:$A$37,0))</f>
        <v>1</v>
      </c>
    </row>
    <row r="3068" customFormat="false" ht="15" hidden="false" customHeight="false" outlineLevel="0" collapsed="false">
      <c r="A3068" s="12" t="s">
        <v>162</v>
      </c>
      <c r="B3068" s="12" t="s">
        <v>50</v>
      </c>
      <c r="C3068" s="12" t="s">
        <v>291</v>
      </c>
      <c r="D3068" s="12" t="str">
        <f aca="false">INDEX('Country Tiers'!$C$2:$C$37,MATCH(C3068,'Country Tiers'!$A$2:$A$37,0))</f>
        <v>Tier 3</v>
      </c>
      <c r="E3068" s="12" t="n">
        <f aca="false">INDEX('Country Tiers'!$D$2:$D$37,MATCH(C3068,'Country Tiers'!$A$2:$A$37,0))</f>
        <v>1</v>
      </c>
    </row>
    <row r="3069" customFormat="false" ht="15" hidden="false" customHeight="false" outlineLevel="0" collapsed="false">
      <c r="A3069" s="12" t="s">
        <v>162</v>
      </c>
      <c r="B3069" s="12" t="s">
        <v>50</v>
      </c>
      <c r="C3069" s="12" t="s">
        <v>292</v>
      </c>
      <c r="D3069" s="12" t="str">
        <f aca="false">INDEX('Country Tiers'!$C$2:$C$37,MATCH(C3069,'Country Tiers'!$A$2:$A$37,0))</f>
        <v>Tier 2</v>
      </c>
      <c r="E3069" s="12" t="n">
        <f aca="false">INDEX('Country Tiers'!$D$2:$D$37,MATCH(C3069,'Country Tiers'!$A$2:$A$37,0))</f>
        <v>2</v>
      </c>
    </row>
    <row r="3070" customFormat="false" ht="15" hidden="false" customHeight="false" outlineLevel="0" collapsed="false">
      <c r="A3070" s="12" t="s">
        <v>162</v>
      </c>
      <c r="B3070" s="12" t="s">
        <v>50</v>
      </c>
      <c r="C3070" s="12" t="s">
        <v>293</v>
      </c>
      <c r="D3070" s="12" t="str">
        <f aca="false">INDEX('Country Tiers'!$C$2:$C$37,MATCH(C3070,'Country Tiers'!$A$2:$A$37,0))</f>
        <v>Tier 3</v>
      </c>
      <c r="E3070" s="12" t="n">
        <f aca="false">INDEX('Country Tiers'!$D$2:$D$37,MATCH(C3070,'Country Tiers'!$A$2:$A$37,0))</f>
        <v>1</v>
      </c>
    </row>
    <row r="3071" customFormat="false" ht="15" hidden="false" customHeight="false" outlineLevel="0" collapsed="false">
      <c r="A3071" s="12" t="s">
        <v>162</v>
      </c>
      <c r="B3071" s="12" t="s">
        <v>50</v>
      </c>
      <c r="C3071" s="12" t="s">
        <v>294</v>
      </c>
      <c r="D3071" s="12" t="str">
        <f aca="false">INDEX('Country Tiers'!$C$2:$C$37,MATCH(C3071,'Country Tiers'!$A$2:$A$37,0))</f>
        <v>Tier 3</v>
      </c>
      <c r="E3071" s="12" t="n">
        <f aca="false">INDEX('Country Tiers'!$D$2:$D$37,MATCH(C3071,'Country Tiers'!$A$2:$A$37,0))</f>
        <v>1</v>
      </c>
    </row>
    <row r="3072" customFormat="false" ht="15" hidden="false" customHeight="false" outlineLevel="0" collapsed="false">
      <c r="A3072" s="12" t="s">
        <v>162</v>
      </c>
      <c r="B3072" s="12" t="s">
        <v>50</v>
      </c>
      <c r="C3072" s="12" t="s">
        <v>295</v>
      </c>
      <c r="D3072" s="12" t="str">
        <f aca="false">INDEX('Country Tiers'!$C$2:$C$37,MATCH(C3072,'Country Tiers'!$A$2:$A$37,0))</f>
        <v>Tier 3</v>
      </c>
      <c r="E3072" s="12" t="n">
        <f aca="false">INDEX('Country Tiers'!$D$2:$D$37,MATCH(C3072,'Country Tiers'!$A$2:$A$37,0))</f>
        <v>1</v>
      </c>
    </row>
    <row r="3073" customFormat="false" ht="15" hidden="false" customHeight="false" outlineLevel="0" collapsed="false">
      <c r="A3073" s="12" t="s">
        <v>162</v>
      </c>
      <c r="B3073" s="12" t="s">
        <v>50</v>
      </c>
      <c r="C3073" s="12" t="s">
        <v>296</v>
      </c>
      <c r="D3073" s="12" t="str">
        <f aca="false">INDEX('Country Tiers'!$C$2:$C$37,MATCH(C3073,'Country Tiers'!$A$2:$A$37,0))</f>
        <v>Tier 3</v>
      </c>
      <c r="E3073" s="12" t="n">
        <f aca="false">INDEX('Country Tiers'!$D$2:$D$37,MATCH(C3073,'Country Tiers'!$A$2:$A$37,0))</f>
        <v>1</v>
      </c>
    </row>
    <row r="3074" customFormat="false" ht="15" hidden="false" customHeight="false" outlineLevel="0" collapsed="false">
      <c r="A3074" s="12" t="s">
        <v>162</v>
      </c>
      <c r="B3074" s="12" t="s">
        <v>50</v>
      </c>
      <c r="C3074" s="12" t="s">
        <v>297</v>
      </c>
      <c r="D3074" s="12" t="str">
        <f aca="false">INDEX('Country Tiers'!$C$2:$C$37,MATCH(C3074,'Country Tiers'!$A$2:$A$37,0))</f>
        <v>Tier 2</v>
      </c>
      <c r="E3074" s="12" t="n">
        <f aca="false">INDEX('Country Tiers'!$D$2:$D$37,MATCH(C3074,'Country Tiers'!$A$2:$A$37,0))</f>
        <v>2</v>
      </c>
    </row>
    <row r="3075" customFormat="false" ht="15" hidden="false" customHeight="false" outlineLevel="0" collapsed="false">
      <c r="A3075" s="12" t="s">
        <v>162</v>
      </c>
      <c r="B3075" s="12" t="s">
        <v>50</v>
      </c>
      <c r="C3075" s="12" t="s">
        <v>298</v>
      </c>
      <c r="D3075" s="12" t="str">
        <f aca="false">INDEX('Country Tiers'!$C$2:$C$37,MATCH(C3075,'Country Tiers'!$A$2:$A$37,0))</f>
        <v>Tier 1</v>
      </c>
      <c r="E3075" s="12" t="n">
        <f aca="false">INDEX('Country Tiers'!$D$2:$D$37,MATCH(C3075,'Country Tiers'!$A$2:$A$37,0))</f>
        <v>3</v>
      </c>
    </row>
    <row r="3076" customFormat="false" ht="15" hidden="false" customHeight="false" outlineLevel="0" collapsed="false">
      <c r="A3076" s="12" t="s">
        <v>162</v>
      </c>
      <c r="B3076" s="12" t="s">
        <v>50</v>
      </c>
      <c r="C3076" s="12" t="s">
        <v>299</v>
      </c>
      <c r="D3076" s="12" t="str">
        <f aca="false">INDEX('Country Tiers'!$C$2:$C$37,MATCH(C3076,'Country Tiers'!$A$2:$A$37,0))</f>
        <v>Tier 3</v>
      </c>
      <c r="E3076" s="12" t="n">
        <f aca="false">INDEX('Country Tiers'!$D$2:$D$37,MATCH(C3076,'Country Tiers'!$A$2:$A$37,0))</f>
        <v>1</v>
      </c>
    </row>
    <row r="3077" customFormat="false" ht="15" hidden="false" customHeight="false" outlineLevel="0" collapsed="false">
      <c r="A3077" s="12" t="s">
        <v>162</v>
      </c>
      <c r="B3077" s="12" t="s">
        <v>50</v>
      </c>
      <c r="C3077" s="12" t="s">
        <v>300</v>
      </c>
      <c r="D3077" s="12" t="str">
        <f aca="false">INDEX('Country Tiers'!$C$2:$C$37,MATCH(C3077,'Country Tiers'!$A$2:$A$37,0))</f>
        <v>Tier 3</v>
      </c>
      <c r="E3077" s="12" t="n">
        <f aca="false">INDEX('Country Tiers'!$D$2:$D$37,MATCH(C3077,'Country Tiers'!$A$2:$A$37,0))</f>
        <v>1</v>
      </c>
    </row>
    <row r="3078" customFormat="false" ht="15" hidden="false" customHeight="false" outlineLevel="0" collapsed="false">
      <c r="A3078" s="12" t="s">
        <v>162</v>
      </c>
      <c r="B3078" s="12" t="s">
        <v>50</v>
      </c>
      <c r="C3078" s="12" t="s">
        <v>301</v>
      </c>
      <c r="D3078" s="12" t="str">
        <f aca="false">INDEX('Country Tiers'!$C$2:$C$37,MATCH(C3078,'Country Tiers'!$A$2:$A$37,0))</f>
        <v>Tier 3</v>
      </c>
      <c r="E3078" s="12" t="n">
        <f aca="false">INDEX('Country Tiers'!$D$2:$D$37,MATCH(C3078,'Country Tiers'!$A$2:$A$37,0))</f>
        <v>1</v>
      </c>
    </row>
    <row r="3079" customFormat="false" ht="15" hidden="false" customHeight="false" outlineLevel="0" collapsed="false">
      <c r="A3079" s="12" t="s">
        <v>162</v>
      </c>
      <c r="B3079" s="12" t="s">
        <v>50</v>
      </c>
      <c r="C3079" s="12" t="s">
        <v>302</v>
      </c>
      <c r="D3079" s="12" t="str">
        <f aca="false">INDEX('Country Tiers'!$C$2:$C$37,MATCH(C3079,'Country Tiers'!$A$2:$A$37,0))</f>
        <v>Tier 3</v>
      </c>
      <c r="E3079" s="12" t="n">
        <f aca="false">INDEX('Country Tiers'!$D$2:$D$37,MATCH(C3079,'Country Tiers'!$A$2:$A$37,0))</f>
        <v>1</v>
      </c>
    </row>
    <row r="3080" customFormat="false" ht="15" hidden="false" customHeight="false" outlineLevel="0" collapsed="false">
      <c r="A3080" s="12" t="s">
        <v>162</v>
      </c>
      <c r="B3080" s="12" t="s">
        <v>50</v>
      </c>
      <c r="C3080" s="12" t="s">
        <v>305</v>
      </c>
      <c r="D3080" s="12" t="str">
        <f aca="false">INDEX('Country Tiers'!$C$2:$C$37,MATCH(C3080,'Country Tiers'!$A$2:$A$37,0))</f>
        <v>Tier 3</v>
      </c>
      <c r="E3080" s="12" t="n">
        <f aca="false">INDEX('Country Tiers'!$D$2:$D$37,MATCH(C3080,'Country Tiers'!$A$2:$A$37,0))</f>
        <v>1</v>
      </c>
    </row>
    <row r="3081" customFormat="false" ht="15" hidden="false" customHeight="false" outlineLevel="0" collapsed="false">
      <c r="A3081" s="12" t="s">
        <v>162</v>
      </c>
      <c r="B3081" s="12" t="s">
        <v>50</v>
      </c>
      <c r="C3081" s="12" t="s">
        <v>306</v>
      </c>
      <c r="D3081" s="12" t="str">
        <f aca="false">INDEX('Country Tiers'!$C$2:$C$37,MATCH(C3081,'Country Tiers'!$A$2:$A$37,0))</f>
        <v>Tier 3</v>
      </c>
      <c r="E3081" s="12" t="n">
        <f aca="false">INDEX('Country Tiers'!$D$2:$D$37,MATCH(C3081,'Country Tiers'!$A$2:$A$37,0))</f>
        <v>1</v>
      </c>
    </row>
    <row r="3082" customFormat="false" ht="15" hidden="false" customHeight="false" outlineLevel="0" collapsed="false">
      <c r="A3082" s="12" t="s">
        <v>162</v>
      </c>
      <c r="B3082" s="12" t="s">
        <v>50</v>
      </c>
      <c r="C3082" s="12" t="s">
        <v>307</v>
      </c>
      <c r="D3082" s="12" t="str">
        <f aca="false">INDEX('Country Tiers'!$C$2:$C$37,MATCH(C3082,'Country Tiers'!$A$2:$A$37,0))</f>
        <v>Tier 2</v>
      </c>
      <c r="E3082" s="12" t="n">
        <f aca="false">INDEX('Country Tiers'!$D$2:$D$37,MATCH(C3082,'Country Tiers'!$A$2:$A$37,0))</f>
        <v>2</v>
      </c>
    </row>
    <row r="3083" customFormat="false" ht="15" hidden="false" customHeight="false" outlineLevel="0" collapsed="false">
      <c r="A3083" s="12" t="s">
        <v>162</v>
      </c>
      <c r="B3083" s="12" t="s">
        <v>50</v>
      </c>
      <c r="C3083" s="12" t="s">
        <v>308</v>
      </c>
      <c r="D3083" s="12" t="str">
        <f aca="false">INDEX('Country Tiers'!$C$2:$C$37,MATCH(C3083,'Country Tiers'!$A$2:$A$37,0))</f>
        <v>Tier 3</v>
      </c>
      <c r="E3083" s="12" t="n">
        <f aca="false">INDEX('Country Tiers'!$D$2:$D$37,MATCH(C3083,'Country Tiers'!$A$2:$A$37,0))</f>
        <v>1</v>
      </c>
    </row>
    <row r="3084" customFormat="false" ht="15" hidden="false" customHeight="false" outlineLevel="0" collapsed="false">
      <c r="A3084" s="12" t="s">
        <v>162</v>
      </c>
      <c r="B3084" s="12" t="s">
        <v>50</v>
      </c>
      <c r="C3084" s="12" t="s">
        <v>309</v>
      </c>
      <c r="D3084" s="12" t="str">
        <f aca="false">INDEX('Country Tiers'!$C$2:$C$37,MATCH(C3084,'Country Tiers'!$A$2:$A$37,0))</f>
        <v>Tier 1</v>
      </c>
      <c r="E3084" s="12" t="n">
        <f aca="false">INDEX('Country Tiers'!$D$2:$D$37,MATCH(C3084,'Country Tiers'!$A$2:$A$37,0))</f>
        <v>3</v>
      </c>
    </row>
    <row r="3085" customFormat="false" ht="15" hidden="false" customHeight="false" outlineLevel="0" collapsed="false">
      <c r="A3085" s="12" t="s">
        <v>162</v>
      </c>
      <c r="B3085" s="12" t="s">
        <v>50</v>
      </c>
      <c r="C3085" s="12" t="s">
        <v>313</v>
      </c>
      <c r="D3085" s="12" t="str">
        <f aca="false">INDEX('Country Tiers'!$C$2:$C$37,MATCH(C3085,'Country Tiers'!$A$2:$A$37,0))</f>
        <v>Tier 1</v>
      </c>
      <c r="E3085" s="12" t="n">
        <f aca="false">INDEX('Country Tiers'!$D$2:$D$37,MATCH(C3085,'Country Tiers'!$A$2:$A$37,0))</f>
        <v>3</v>
      </c>
    </row>
    <row r="3086" customFormat="false" ht="15" hidden="false" customHeight="false" outlineLevel="0" collapsed="false">
      <c r="A3086" s="12" t="s">
        <v>163</v>
      </c>
      <c r="B3086" s="12" t="s">
        <v>44</v>
      </c>
      <c r="C3086" s="12" t="s">
        <v>311</v>
      </c>
      <c r="D3086" s="12" t="str">
        <f aca="false">INDEX('Country Tiers'!$C$2:$C$37,MATCH(C3086,'Country Tiers'!$A$2:$A$37,0))</f>
        <v>Tier 1</v>
      </c>
      <c r="E3086" s="12" t="n">
        <f aca="false">INDEX('Country Tiers'!$D$2:$D$37,MATCH(C3086,'Country Tiers'!$A$2:$A$37,0))</f>
        <v>3</v>
      </c>
    </row>
    <row r="3087" customFormat="false" ht="15" hidden="false" customHeight="false" outlineLevel="0" collapsed="false">
      <c r="A3087" s="12" t="s">
        <v>163</v>
      </c>
      <c r="B3087" s="12" t="s">
        <v>50</v>
      </c>
      <c r="C3087" s="12" t="s">
        <v>274</v>
      </c>
      <c r="D3087" s="12" t="str">
        <f aca="false">INDEX('Country Tiers'!$C$2:$C$37,MATCH(C3087,'Country Tiers'!$A$2:$A$37,0))</f>
        <v>Tier 3</v>
      </c>
      <c r="E3087" s="12" t="n">
        <f aca="false">INDEX('Country Tiers'!$D$2:$D$37,MATCH(C3087,'Country Tiers'!$A$2:$A$37,0))</f>
        <v>1</v>
      </c>
    </row>
    <row r="3088" customFormat="false" ht="15" hidden="false" customHeight="false" outlineLevel="0" collapsed="false">
      <c r="A3088" s="12" t="s">
        <v>163</v>
      </c>
      <c r="B3088" s="12" t="s">
        <v>50</v>
      </c>
      <c r="C3088" s="12" t="s">
        <v>278</v>
      </c>
      <c r="D3088" s="12" t="str">
        <f aca="false">INDEX('Country Tiers'!$C$2:$C$37,MATCH(C3088,'Country Tiers'!$A$2:$A$37,0))</f>
        <v>Tier 3</v>
      </c>
      <c r="E3088" s="12" t="n">
        <f aca="false">INDEX('Country Tiers'!$D$2:$D$37,MATCH(C3088,'Country Tiers'!$A$2:$A$37,0))</f>
        <v>1</v>
      </c>
    </row>
    <row r="3089" customFormat="false" ht="15" hidden="false" customHeight="false" outlineLevel="0" collapsed="false">
      <c r="A3089" s="12" t="s">
        <v>163</v>
      </c>
      <c r="B3089" s="12" t="s">
        <v>50</v>
      </c>
      <c r="C3089" s="12" t="s">
        <v>280</v>
      </c>
      <c r="D3089" s="12" t="str">
        <f aca="false">INDEX('Country Tiers'!$C$2:$C$37,MATCH(C3089,'Country Tiers'!$A$2:$A$37,0))</f>
        <v>Tier 3</v>
      </c>
      <c r="E3089" s="12" t="n">
        <f aca="false">INDEX('Country Tiers'!$D$2:$D$37,MATCH(C3089,'Country Tiers'!$A$2:$A$37,0))</f>
        <v>1</v>
      </c>
    </row>
    <row r="3090" customFormat="false" ht="15" hidden="false" customHeight="false" outlineLevel="0" collapsed="false">
      <c r="A3090" s="12" t="s">
        <v>163</v>
      </c>
      <c r="B3090" s="12" t="s">
        <v>50</v>
      </c>
      <c r="C3090" s="12" t="s">
        <v>281</v>
      </c>
      <c r="D3090" s="12" t="str">
        <f aca="false">INDEX('Country Tiers'!$C$2:$C$37,MATCH(C3090,'Country Tiers'!$A$2:$A$37,0))</f>
        <v>Tier 3</v>
      </c>
      <c r="E3090" s="12" t="n">
        <f aca="false">INDEX('Country Tiers'!$D$2:$D$37,MATCH(C3090,'Country Tiers'!$A$2:$A$37,0))</f>
        <v>1</v>
      </c>
    </row>
    <row r="3091" customFormat="false" ht="15" hidden="false" customHeight="false" outlineLevel="0" collapsed="false">
      <c r="A3091" s="12" t="s">
        <v>163</v>
      </c>
      <c r="B3091" s="12" t="s">
        <v>50</v>
      </c>
      <c r="C3091" s="12" t="s">
        <v>282</v>
      </c>
      <c r="D3091" s="12" t="str">
        <f aca="false">INDEX('Country Tiers'!$C$2:$C$37,MATCH(C3091,'Country Tiers'!$A$2:$A$37,0))</f>
        <v>Tier 3</v>
      </c>
      <c r="E3091" s="12" t="n">
        <f aca="false">INDEX('Country Tiers'!$D$2:$D$37,MATCH(C3091,'Country Tiers'!$A$2:$A$37,0))</f>
        <v>1</v>
      </c>
    </row>
    <row r="3092" customFormat="false" ht="15" hidden="false" customHeight="false" outlineLevel="0" collapsed="false">
      <c r="A3092" s="12" t="s">
        <v>163</v>
      </c>
      <c r="B3092" s="12" t="s">
        <v>50</v>
      </c>
      <c r="C3092" s="12" t="s">
        <v>283</v>
      </c>
      <c r="D3092" s="12" t="str">
        <f aca="false">INDEX('Country Tiers'!$C$2:$C$37,MATCH(C3092,'Country Tiers'!$A$2:$A$37,0))</f>
        <v>Tier 3</v>
      </c>
      <c r="E3092" s="12" t="n">
        <f aca="false">INDEX('Country Tiers'!$D$2:$D$37,MATCH(C3092,'Country Tiers'!$A$2:$A$37,0))</f>
        <v>1</v>
      </c>
    </row>
    <row r="3093" customFormat="false" ht="15" hidden="false" customHeight="false" outlineLevel="0" collapsed="false">
      <c r="A3093" s="12" t="s">
        <v>163</v>
      </c>
      <c r="B3093" s="12" t="s">
        <v>50</v>
      </c>
      <c r="C3093" s="12" t="s">
        <v>285</v>
      </c>
      <c r="D3093" s="12" t="str">
        <f aca="false">INDEX('Country Tiers'!$C$2:$C$37,MATCH(C3093,'Country Tiers'!$A$2:$A$37,0))</f>
        <v>Tier 3</v>
      </c>
      <c r="E3093" s="12" t="n">
        <f aca="false">INDEX('Country Tiers'!$D$2:$D$37,MATCH(C3093,'Country Tiers'!$A$2:$A$37,0))</f>
        <v>1</v>
      </c>
    </row>
    <row r="3094" customFormat="false" ht="15" hidden="false" customHeight="false" outlineLevel="0" collapsed="false">
      <c r="A3094" s="12" t="s">
        <v>163</v>
      </c>
      <c r="B3094" s="12" t="s">
        <v>50</v>
      </c>
      <c r="C3094" s="12" t="s">
        <v>287</v>
      </c>
      <c r="D3094" s="12" t="str">
        <f aca="false">INDEX('Country Tiers'!$C$2:$C$37,MATCH(C3094,'Country Tiers'!$A$2:$A$37,0))</f>
        <v>Tier 1</v>
      </c>
      <c r="E3094" s="12" t="n">
        <f aca="false">INDEX('Country Tiers'!$D$2:$D$37,MATCH(C3094,'Country Tiers'!$A$2:$A$37,0))</f>
        <v>3</v>
      </c>
    </row>
    <row r="3095" customFormat="false" ht="15" hidden="false" customHeight="false" outlineLevel="0" collapsed="false">
      <c r="A3095" s="12" t="s">
        <v>163</v>
      </c>
      <c r="B3095" s="12" t="s">
        <v>50</v>
      </c>
      <c r="C3095" s="12" t="s">
        <v>288</v>
      </c>
      <c r="D3095" s="12" t="str">
        <f aca="false">INDEX('Country Tiers'!$C$2:$C$37,MATCH(C3095,'Country Tiers'!$A$2:$A$37,0))</f>
        <v>Tier 3</v>
      </c>
      <c r="E3095" s="12" t="n">
        <f aca="false">INDEX('Country Tiers'!$D$2:$D$37,MATCH(C3095,'Country Tiers'!$A$2:$A$37,0))</f>
        <v>1</v>
      </c>
    </row>
    <row r="3096" customFormat="false" ht="15" hidden="false" customHeight="false" outlineLevel="0" collapsed="false">
      <c r="A3096" s="12" t="s">
        <v>163</v>
      </c>
      <c r="B3096" s="12" t="s">
        <v>50</v>
      </c>
      <c r="C3096" s="12" t="s">
        <v>289</v>
      </c>
      <c r="D3096" s="12" t="str">
        <f aca="false">INDEX('Country Tiers'!$C$2:$C$37,MATCH(C3096,'Country Tiers'!$A$2:$A$37,0))</f>
        <v>Tier 3</v>
      </c>
      <c r="E3096" s="12" t="n">
        <f aca="false">INDEX('Country Tiers'!$D$2:$D$37,MATCH(C3096,'Country Tiers'!$A$2:$A$37,0))</f>
        <v>1</v>
      </c>
    </row>
    <row r="3097" customFormat="false" ht="15" hidden="false" customHeight="false" outlineLevel="0" collapsed="false">
      <c r="A3097" s="12" t="s">
        <v>163</v>
      </c>
      <c r="B3097" s="12" t="s">
        <v>50</v>
      </c>
      <c r="C3097" s="12" t="s">
        <v>291</v>
      </c>
      <c r="D3097" s="12" t="str">
        <f aca="false">INDEX('Country Tiers'!$C$2:$C$37,MATCH(C3097,'Country Tiers'!$A$2:$A$37,0))</f>
        <v>Tier 3</v>
      </c>
      <c r="E3097" s="12" t="n">
        <f aca="false">INDEX('Country Tiers'!$D$2:$D$37,MATCH(C3097,'Country Tiers'!$A$2:$A$37,0))</f>
        <v>1</v>
      </c>
    </row>
    <row r="3098" customFormat="false" ht="15" hidden="false" customHeight="false" outlineLevel="0" collapsed="false">
      <c r="A3098" s="12" t="s">
        <v>163</v>
      </c>
      <c r="B3098" s="12" t="s">
        <v>50</v>
      </c>
      <c r="C3098" s="12" t="s">
        <v>292</v>
      </c>
      <c r="D3098" s="12" t="str">
        <f aca="false">INDEX('Country Tiers'!$C$2:$C$37,MATCH(C3098,'Country Tiers'!$A$2:$A$37,0))</f>
        <v>Tier 2</v>
      </c>
      <c r="E3098" s="12" t="n">
        <f aca="false">INDEX('Country Tiers'!$D$2:$D$37,MATCH(C3098,'Country Tiers'!$A$2:$A$37,0))</f>
        <v>2</v>
      </c>
    </row>
    <row r="3099" customFormat="false" ht="15" hidden="false" customHeight="false" outlineLevel="0" collapsed="false">
      <c r="A3099" s="12" t="s">
        <v>163</v>
      </c>
      <c r="B3099" s="12" t="s">
        <v>50</v>
      </c>
      <c r="C3099" s="12" t="s">
        <v>296</v>
      </c>
      <c r="D3099" s="12" t="str">
        <f aca="false">INDEX('Country Tiers'!$C$2:$C$37,MATCH(C3099,'Country Tiers'!$A$2:$A$37,0))</f>
        <v>Tier 3</v>
      </c>
      <c r="E3099" s="12" t="n">
        <f aca="false">INDEX('Country Tiers'!$D$2:$D$37,MATCH(C3099,'Country Tiers'!$A$2:$A$37,0))</f>
        <v>1</v>
      </c>
    </row>
    <row r="3100" customFormat="false" ht="15" hidden="false" customHeight="false" outlineLevel="0" collapsed="false">
      <c r="A3100" s="12" t="s">
        <v>163</v>
      </c>
      <c r="B3100" s="12" t="s">
        <v>50</v>
      </c>
      <c r="C3100" s="12" t="s">
        <v>298</v>
      </c>
      <c r="D3100" s="12" t="str">
        <f aca="false">INDEX('Country Tiers'!$C$2:$C$37,MATCH(C3100,'Country Tiers'!$A$2:$A$37,0))</f>
        <v>Tier 1</v>
      </c>
      <c r="E3100" s="12" t="n">
        <f aca="false">INDEX('Country Tiers'!$D$2:$D$37,MATCH(C3100,'Country Tiers'!$A$2:$A$37,0))</f>
        <v>3</v>
      </c>
    </row>
    <row r="3101" customFormat="false" ht="15" hidden="false" customHeight="false" outlineLevel="0" collapsed="false">
      <c r="A3101" s="12" t="s">
        <v>163</v>
      </c>
      <c r="B3101" s="12" t="s">
        <v>50</v>
      </c>
      <c r="C3101" s="12" t="s">
        <v>299</v>
      </c>
      <c r="D3101" s="12" t="str">
        <f aca="false">INDEX('Country Tiers'!$C$2:$C$37,MATCH(C3101,'Country Tiers'!$A$2:$A$37,0))</f>
        <v>Tier 3</v>
      </c>
      <c r="E3101" s="12" t="n">
        <f aca="false">INDEX('Country Tiers'!$D$2:$D$37,MATCH(C3101,'Country Tiers'!$A$2:$A$37,0))</f>
        <v>1</v>
      </c>
    </row>
    <row r="3102" customFormat="false" ht="15" hidden="false" customHeight="false" outlineLevel="0" collapsed="false">
      <c r="A3102" s="12" t="s">
        <v>163</v>
      </c>
      <c r="B3102" s="12" t="s">
        <v>50</v>
      </c>
      <c r="C3102" s="12" t="s">
        <v>300</v>
      </c>
      <c r="D3102" s="12" t="str">
        <f aca="false">INDEX('Country Tiers'!$C$2:$C$37,MATCH(C3102,'Country Tiers'!$A$2:$A$37,0))</f>
        <v>Tier 3</v>
      </c>
      <c r="E3102" s="12" t="n">
        <f aca="false">INDEX('Country Tiers'!$D$2:$D$37,MATCH(C3102,'Country Tiers'!$A$2:$A$37,0))</f>
        <v>1</v>
      </c>
    </row>
    <row r="3103" customFormat="false" ht="15" hidden="false" customHeight="false" outlineLevel="0" collapsed="false">
      <c r="A3103" s="12" t="s">
        <v>163</v>
      </c>
      <c r="B3103" s="12" t="s">
        <v>50</v>
      </c>
      <c r="C3103" s="12" t="s">
        <v>301</v>
      </c>
      <c r="D3103" s="12" t="str">
        <f aca="false">INDEX('Country Tiers'!$C$2:$C$37,MATCH(C3103,'Country Tiers'!$A$2:$A$37,0))</f>
        <v>Tier 3</v>
      </c>
      <c r="E3103" s="12" t="n">
        <f aca="false">INDEX('Country Tiers'!$D$2:$D$37,MATCH(C3103,'Country Tiers'!$A$2:$A$37,0))</f>
        <v>1</v>
      </c>
    </row>
    <row r="3104" customFormat="false" ht="15" hidden="false" customHeight="false" outlineLevel="0" collapsed="false">
      <c r="A3104" s="12" t="s">
        <v>163</v>
      </c>
      <c r="B3104" s="12" t="s">
        <v>50</v>
      </c>
      <c r="C3104" s="12" t="s">
        <v>302</v>
      </c>
      <c r="D3104" s="12" t="str">
        <f aca="false">INDEX('Country Tiers'!$C$2:$C$37,MATCH(C3104,'Country Tiers'!$A$2:$A$37,0))</f>
        <v>Tier 3</v>
      </c>
      <c r="E3104" s="12" t="n">
        <f aca="false">INDEX('Country Tiers'!$D$2:$D$37,MATCH(C3104,'Country Tiers'!$A$2:$A$37,0))</f>
        <v>1</v>
      </c>
    </row>
    <row r="3105" customFormat="false" ht="15" hidden="false" customHeight="false" outlineLevel="0" collapsed="false">
      <c r="A3105" s="12" t="s">
        <v>163</v>
      </c>
      <c r="B3105" s="12" t="s">
        <v>50</v>
      </c>
      <c r="C3105" s="12" t="s">
        <v>305</v>
      </c>
      <c r="D3105" s="12" t="str">
        <f aca="false">INDEX('Country Tiers'!$C$2:$C$37,MATCH(C3105,'Country Tiers'!$A$2:$A$37,0))</f>
        <v>Tier 3</v>
      </c>
      <c r="E3105" s="12" t="n">
        <f aca="false">INDEX('Country Tiers'!$D$2:$D$37,MATCH(C3105,'Country Tiers'!$A$2:$A$37,0))</f>
        <v>1</v>
      </c>
    </row>
    <row r="3106" customFormat="false" ht="15" hidden="false" customHeight="false" outlineLevel="0" collapsed="false">
      <c r="A3106" s="12" t="s">
        <v>163</v>
      </c>
      <c r="B3106" s="12" t="s">
        <v>50</v>
      </c>
      <c r="C3106" s="12" t="s">
        <v>306</v>
      </c>
      <c r="D3106" s="12" t="str">
        <f aca="false">INDEX('Country Tiers'!$C$2:$C$37,MATCH(C3106,'Country Tiers'!$A$2:$A$37,0))</f>
        <v>Tier 3</v>
      </c>
      <c r="E3106" s="12" t="n">
        <f aca="false">INDEX('Country Tiers'!$D$2:$D$37,MATCH(C3106,'Country Tiers'!$A$2:$A$37,0))</f>
        <v>1</v>
      </c>
    </row>
    <row r="3107" customFormat="false" ht="15" hidden="false" customHeight="false" outlineLevel="0" collapsed="false">
      <c r="A3107" s="12" t="s">
        <v>163</v>
      </c>
      <c r="B3107" s="12" t="s">
        <v>50</v>
      </c>
      <c r="C3107" s="12" t="s">
        <v>307</v>
      </c>
      <c r="D3107" s="12" t="str">
        <f aca="false">INDEX('Country Tiers'!$C$2:$C$37,MATCH(C3107,'Country Tiers'!$A$2:$A$37,0))</f>
        <v>Tier 2</v>
      </c>
      <c r="E3107" s="12" t="n">
        <f aca="false">INDEX('Country Tiers'!$D$2:$D$37,MATCH(C3107,'Country Tiers'!$A$2:$A$37,0))</f>
        <v>2</v>
      </c>
    </row>
    <row r="3108" customFormat="false" ht="15" hidden="false" customHeight="false" outlineLevel="0" collapsed="false">
      <c r="A3108" s="12" t="s">
        <v>163</v>
      </c>
      <c r="B3108" s="12" t="s">
        <v>50</v>
      </c>
      <c r="C3108" s="12" t="s">
        <v>308</v>
      </c>
      <c r="D3108" s="12" t="str">
        <f aca="false">INDEX('Country Tiers'!$C$2:$C$37,MATCH(C3108,'Country Tiers'!$A$2:$A$37,0))</f>
        <v>Tier 3</v>
      </c>
      <c r="E3108" s="12" t="n">
        <f aca="false">INDEX('Country Tiers'!$D$2:$D$37,MATCH(C3108,'Country Tiers'!$A$2:$A$37,0))</f>
        <v>1</v>
      </c>
    </row>
    <row r="3109" customFormat="false" ht="15" hidden="false" customHeight="false" outlineLevel="0" collapsed="false">
      <c r="A3109" s="12" t="s">
        <v>163</v>
      </c>
      <c r="B3109" s="12" t="s">
        <v>50</v>
      </c>
      <c r="C3109" s="12" t="s">
        <v>313</v>
      </c>
      <c r="D3109" s="12" t="str">
        <f aca="false">INDEX('Country Tiers'!$C$2:$C$37,MATCH(C3109,'Country Tiers'!$A$2:$A$37,0))</f>
        <v>Tier 1</v>
      </c>
      <c r="E3109" s="12" t="n">
        <f aca="false">INDEX('Country Tiers'!$D$2:$D$37,MATCH(C3109,'Country Tiers'!$A$2:$A$37,0))</f>
        <v>3</v>
      </c>
    </row>
    <row r="3110" customFormat="false" ht="15" hidden="false" customHeight="false" outlineLevel="0" collapsed="false">
      <c r="A3110" s="12" t="s">
        <v>164</v>
      </c>
      <c r="B3110" s="12" t="s">
        <v>44</v>
      </c>
      <c r="C3110" s="12" t="s">
        <v>309</v>
      </c>
      <c r="D3110" s="12" t="str">
        <f aca="false">INDEX('Country Tiers'!$C$2:$C$37,MATCH(C3110,'Country Tiers'!$A$2:$A$37,0))</f>
        <v>Tier 1</v>
      </c>
      <c r="E3110" s="12" t="n">
        <f aca="false">INDEX('Country Tiers'!$D$2:$D$37,MATCH(C3110,'Country Tiers'!$A$2:$A$37,0))</f>
        <v>3</v>
      </c>
    </row>
    <row r="3111" customFormat="false" ht="15" hidden="false" customHeight="false" outlineLevel="0" collapsed="false">
      <c r="A3111" s="12" t="s">
        <v>165</v>
      </c>
      <c r="B3111" s="12" t="s">
        <v>35</v>
      </c>
      <c r="C3111" s="12" t="s">
        <v>272</v>
      </c>
      <c r="D3111" s="12" t="str">
        <f aca="false">INDEX('Country Tiers'!$C$2:$C$37,MATCH(C3111,'Country Tiers'!$A$2:$A$37,0))</f>
        <v>Tier 2</v>
      </c>
      <c r="E3111" s="12" t="n">
        <f aca="false">INDEX('Country Tiers'!$D$2:$D$37,MATCH(C3111,'Country Tiers'!$A$2:$A$37,0))</f>
        <v>2</v>
      </c>
    </row>
    <row r="3112" customFormat="false" ht="15" hidden="false" customHeight="false" outlineLevel="0" collapsed="false">
      <c r="A3112" s="12" t="s">
        <v>165</v>
      </c>
      <c r="B3112" s="12" t="s">
        <v>35</v>
      </c>
      <c r="C3112" s="12" t="s">
        <v>277</v>
      </c>
      <c r="D3112" s="12" t="str">
        <f aca="false">INDEX('Country Tiers'!$C$2:$C$37,MATCH(C3112,'Country Tiers'!$A$2:$A$37,0))</f>
        <v>Tier 1</v>
      </c>
      <c r="E3112" s="12" t="n">
        <f aca="false">INDEX('Country Tiers'!$D$2:$D$37,MATCH(C3112,'Country Tiers'!$A$2:$A$37,0))</f>
        <v>3</v>
      </c>
    </row>
    <row r="3113" customFormat="false" ht="15" hidden="false" customHeight="false" outlineLevel="0" collapsed="false">
      <c r="A3113" s="12" t="s">
        <v>165</v>
      </c>
      <c r="B3113" s="12" t="s">
        <v>35</v>
      </c>
      <c r="C3113" s="12" t="s">
        <v>279</v>
      </c>
      <c r="D3113" s="12" t="str">
        <f aca="false">INDEX('Country Tiers'!$C$2:$C$37,MATCH(C3113,'Country Tiers'!$A$2:$A$37,0))</f>
        <v>Tier 1</v>
      </c>
      <c r="E3113" s="12" t="n">
        <f aca="false">INDEX('Country Tiers'!$D$2:$D$37,MATCH(C3113,'Country Tiers'!$A$2:$A$37,0))</f>
        <v>3</v>
      </c>
    </row>
    <row r="3114" customFormat="false" ht="15" hidden="false" customHeight="false" outlineLevel="0" collapsed="false">
      <c r="A3114" s="12" t="s">
        <v>165</v>
      </c>
      <c r="B3114" s="12" t="s">
        <v>35</v>
      </c>
      <c r="C3114" s="12" t="s">
        <v>283</v>
      </c>
      <c r="D3114" s="12" t="str">
        <f aca="false">INDEX('Country Tiers'!$C$2:$C$37,MATCH(C3114,'Country Tiers'!$A$2:$A$37,0))</f>
        <v>Tier 3</v>
      </c>
      <c r="E3114" s="12" t="n">
        <f aca="false">INDEX('Country Tiers'!$D$2:$D$37,MATCH(C3114,'Country Tiers'!$A$2:$A$37,0))</f>
        <v>1</v>
      </c>
    </row>
    <row r="3115" customFormat="false" ht="15" hidden="false" customHeight="false" outlineLevel="0" collapsed="false">
      <c r="A3115" s="12" t="s">
        <v>165</v>
      </c>
      <c r="B3115" s="12" t="s">
        <v>35</v>
      </c>
      <c r="C3115" s="12" t="s">
        <v>285</v>
      </c>
      <c r="D3115" s="12" t="str">
        <f aca="false">INDEX('Country Tiers'!$C$2:$C$37,MATCH(C3115,'Country Tiers'!$A$2:$A$37,0))</f>
        <v>Tier 3</v>
      </c>
      <c r="E3115" s="12" t="n">
        <f aca="false">INDEX('Country Tiers'!$D$2:$D$37,MATCH(C3115,'Country Tiers'!$A$2:$A$37,0))</f>
        <v>1</v>
      </c>
    </row>
    <row r="3116" customFormat="false" ht="15" hidden="false" customHeight="false" outlineLevel="0" collapsed="false">
      <c r="A3116" s="12" t="s">
        <v>165</v>
      </c>
      <c r="B3116" s="12" t="s">
        <v>35</v>
      </c>
      <c r="C3116" s="12" t="s">
        <v>286</v>
      </c>
      <c r="D3116" s="12" t="str">
        <f aca="false">INDEX('Country Tiers'!$C$2:$C$37,MATCH(C3116,'Country Tiers'!$A$2:$A$37,0))</f>
        <v>Tier 1</v>
      </c>
      <c r="E3116" s="12" t="n">
        <f aca="false">INDEX('Country Tiers'!$D$2:$D$37,MATCH(C3116,'Country Tiers'!$A$2:$A$37,0))</f>
        <v>3</v>
      </c>
    </row>
    <row r="3117" customFormat="false" ht="15" hidden="false" customHeight="false" outlineLevel="0" collapsed="false">
      <c r="A3117" s="12" t="s">
        <v>165</v>
      </c>
      <c r="B3117" s="12" t="s">
        <v>35</v>
      </c>
      <c r="C3117" s="12" t="s">
        <v>287</v>
      </c>
      <c r="D3117" s="12" t="str">
        <f aca="false">INDEX('Country Tiers'!$C$2:$C$37,MATCH(C3117,'Country Tiers'!$A$2:$A$37,0))</f>
        <v>Tier 1</v>
      </c>
      <c r="E3117" s="12" t="n">
        <f aca="false">INDEX('Country Tiers'!$D$2:$D$37,MATCH(C3117,'Country Tiers'!$A$2:$A$37,0))</f>
        <v>3</v>
      </c>
    </row>
    <row r="3118" customFormat="false" ht="15" hidden="false" customHeight="false" outlineLevel="0" collapsed="false">
      <c r="A3118" s="12" t="s">
        <v>165</v>
      </c>
      <c r="B3118" s="12" t="s">
        <v>35</v>
      </c>
      <c r="C3118" s="12" t="s">
        <v>291</v>
      </c>
      <c r="D3118" s="12" t="str">
        <f aca="false">INDEX('Country Tiers'!$C$2:$C$37,MATCH(C3118,'Country Tiers'!$A$2:$A$37,0))</f>
        <v>Tier 3</v>
      </c>
      <c r="E3118" s="12" t="n">
        <f aca="false">INDEX('Country Tiers'!$D$2:$D$37,MATCH(C3118,'Country Tiers'!$A$2:$A$37,0))</f>
        <v>1</v>
      </c>
    </row>
    <row r="3119" customFormat="false" ht="15" hidden="false" customHeight="false" outlineLevel="0" collapsed="false">
      <c r="A3119" s="12" t="s">
        <v>165</v>
      </c>
      <c r="B3119" s="12" t="s">
        <v>35</v>
      </c>
      <c r="C3119" s="12" t="s">
        <v>292</v>
      </c>
      <c r="D3119" s="12" t="str">
        <f aca="false">INDEX('Country Tiers'!$C$2:$C$37,MATCH(C3119,'Country Tiers'!$A$2:$A$37,0))</f>
        <v>Tier 2</v>
      </c>
      <c r="E3119" s="12" t="n">
        <f aca="false">INDEX('Country Tiers'!$D$2:$D$37,MATCH(C3119,'Country Tiers'!$A$2:$A$37,0))</f>
        <v>2</v>
      </c>
    </row>
    <row r="3120" customFormat="false" ht="15" hidden="false" customHeight="false" outlineLevel="0" collapsed="false">
      <c r="A3120" s="12" t="s">
        <v>165</v>
      </c>
      <c r="B3120" s="12" t="s">
        <v>35</v>
      </c>
      <c r="C3120" s="12" t="s">
        <v>296</v>
      </c>
      <c r="D3120" s="12" t="str">
        <f aca="false">INDEX('Country Tiers'!$C$2:$C$37,MATCH(C3120,'Country Tiers'!$A$2:$A$37,0))</f>
        <v>Tier 3</v>
      </c>
      <c r="E3120" s="12" t="n">
        <f aca="false">INDEX('Country Tiers'!$D$2:$D$37,MATCH(C3120,'Country Tiers'!$A$2:$A$37,0))</f>
        <v>1</v>
      </c>
    </row>
    <row r="3121" customFormat="false" ht="15" hidden="false" customHeight="false" outlineLevel="0" collapsed="false">
      <c r="A3121" s="12" t="s">
        <v>165</v>
      </c>
      <c r="B3121" s="12" t="s">
        <v>35</v>
      </c>
      <c r="C3121" s="12" t="s">
        <v>298</v>
      </c>
      <c r="D3121" s="12" t="str">
        <f aca="false">INDEX('Country Tiers'!$C$2:$C$37,MATCH(C3121,'Country Tiers'!$A$2:$A$37,0))</f>
        <v>Tier 1</v>
      </c>
      <c r="E3121" s="12" t="n">
        <f aca="false">INDEX('Country Tiers'!$D$2:$D$37,MATCH(C3121,'Country Tiers'!$A$2:$A$37,0))</f>
        <v>3</v>
      </c>
    </row>
    <row r="3122" customFormat="false" ht="15" hidden="false" customHeight="false" outlineLevel="0" collapsed="false">
      <c r="A3122" s="12" t="s">
        <v>165</v>
      </c>
      <c r="B3122" s="12" t="s">
        <v>35</v>
      </c>
      <c r="C3122" s="12" t="s">
        <v>299</v>
      </c>
      <c r="D3122" s="12" t="str">
        <f aca="false">INDEX('Country Tiers'!$C$2:$C$37,MATCH(C3122,'Country Tiers'!$A$2:$A$37,0))</f>
        <v>Tier 3</v>
      </c>
      <c r="E3122" s="12" t="n">
        <f aca="false">INDEX('Country Tiers'!$D$2:$D$37,MATCH(C3122,'Country Tiers'!$A$2:$A$37,0))</f>
        <v>1</v>
      </c>
    </row>
    <row r="3123" customFormat="false" ht="15" hidden="false" customHeight="false" outlineLevel="0" collapsed="false">
      <c r="A3123" s="12" t="s">
        <v>165</v>
      </c>
      <c r="B3123" s="12" t="s">
        <v>35</v>
      </c>
      <c r="C3123" s="12" t="s">
        <v>307</v>
      </c>
      <c r="D3123" s="12" t="str">
        <f aca="false">INDEX('Country Tiers'!$C$2:$C$37,MATCH(C3123,'Country Tiers'!$A$2:$A$37,0))</f>
        <v>Tier 2</v>
      </c>
      <c r="E3123" s="12" t="n">
        <f aca="false">INDEX('Country Tiers'!$D$2:$D$37,MATCH(C3123,'Country Tiers'!$A$2:$A$37,0))</f>
        <v>2</v>
      </c>
    </row>
    <row r="3124" customFormat="false" ht="15" hidden="false" customHeight="false" outlineLevel="0" collapsed="false">
      <c r="A3124" s="12" t="s">
        <v>165</v>
      </c>
      <c r="B3124" s="12" t="s">
        <v>35</v>
      </c>
      <c r="C3124" s="12" t="s">
        <v>308</v>
      </c>
      <c r="D3124" s="12" t="str">
        <f aca="false">INDEX('Country Tiers'!$C$2:$C$37,MATCH(C3124,'Country Tiers'!$A$2:$A$37,0))</f>
        <v>Tier 3</v>
      </c>
      <c r="E3124" s="12" t="n">
        <f aca="false">INDEX('Country Tiers'!$D$2:$D$37,MATCH(C3124,'Country Tiers'!$A$2:$A$37,0))</f>
        <v>1</v>
      </c>
    </row>
    <row r="3125" customFormat="false" ht="15" hidden="false" customHeight="false" outlineLevel="0" collapsed="false">
      <c r="A3125" s="12" t="s">
        <v>165</v>
      </c>
      <c r="B3125" s="12" t="s">
        <v>35</v>
      </c>
      <c r="C3125" s="12" t="s">
        <v>309</v>
      </c>
      <c r="D3125" s="12" t="str">
        <f aca="false">INDEX('Country Tiers'!$C$2:$C$37,MATCH(C3125,'Country Tiers'!$A$2:$A$37,0))</f>
        <v>Tier 1</v>
      </c>
      <c r="E3125" s="12" t="n">
        <f aca="false">INDEX('Country Tiers'!$D$2:$D$37,MATCH(C3125,'Country Tiers'!$A$2:$A$37,0))</f>
        <v>3</v>
      </c>
    </row>
    <row r="3126" customFormat="false" ht="15" hidden="false" customHeight="false" outlineLevel="0" collapsed="false">
      <c r="A3126" s="12" t="s">
        <v>165</v>
      </c>
      <c r="B3126" s="12" t="s">
        <v>35</v>
      </c>
      <c r="C3126" s="12" t="s">
        <v>313</v>
      </c>
      <c r="D3126" s="12" t="str">
        <f aca="false">INDEX('Country Tiers'!$C$2:$C$37,MATCH(C3126,'Country Tiers'!$A$2:$A$37,0))</f>
        <v>Tier 1</v>
      </c>
      <c r="E3126" s="12" t="n">
        <f aca="false">INDEX('Country Tiers'!$D$2:$D$37,MATCH(C3126,'Country Tiers'!$A$2:$A$37,0))</f>
        <v>3</v>
      </c>
    </row>
    <row r="3127" customFormat="false" ht="15" hidden="false" customHeight="false" outlineLevel="0" collapsed="false">
      <c r="A3127" s="12" t="s">
        <v>166</v>
      </c>
      <c r="B3127" s="12" t="s">
        <v>54</v>
      </c>
      <c r="C3127" s="12" t="s">
        <v>272</v>
      </c>
      <c r="D3127" s="12" t="str">
        <f aca="false">INDEX('Country Tiers'!$C$2:$C$37,MATCH(C3127,'Country Tiers'!$A$2:$A$37,0))</f>
        <v>Tier 2</v>
      </c>
      <c r="E3127" s="12" t="n">
        <f aca="false">INDEX('Country Tiers'!$D$2:$D$37,MATCH(C3127,'Country Tiers'!$A$2:$A$37,0))</f>
        <v>2</v>
      </c>
    </row>
    <row r="3128" customFormat="false" ht="15" hidden="false" customHeight="false" outlineLevel="0" collapsed="false">
      <c r="A3128" s="12" t="s">
        <v>166</v>
      </c>
      <c r="B3128" s="12" t="s">
        <v>44</v>
      </c>
      <c r="C3128" s="12" t="s">
        <v>272</v>
      </c>
      <c r="D3128" s="12" t="str">
        <f aca="false">INDEX('Country Tiers'!$C$2:$C$37,MATCH(C3128,'Country Tiers'!$A$2:$A$37,0))</f>
        <v>Tier 2</v>
      </c>
      <c r="E3128" s="12" t="n">
        <f aca="false">INDEX('Country Tiers'!$D$2:$D$37,MATCH(C3128,'Country Tiers'!$A$2:$A$37,0))</f>
        <v>2</v>
      </c>
    </row>
    <row r="3129" customFormat="false" ht="15" hidden="false" customHeight="false" outlineLevel="0" collapsed="false">
      <c r="A3129" s="12" t="s">
        <v>166</v>
      </c>
      <c r="B3129" s="12" t="s">
        <v>44</v>
      </c>
      <c r="C3129" s="12" t="s">
        <v>303</v>
      </c>
      <c r="D3129" s="12" t="str">
        <f aca="false">INDEX('Country Tiers'!$C$2:$C$37,MATCH(C3129,'Country Tiers'!$A$2:$A$37,0))</f>
        <v>Tier 2</v>
      </c>
      <c r="E3129" s="12" t="n">
        <f aca="false">INDEX('Country Tiers'!$D$2:$D$37,MATCH(C3129,'Country Tiers'!$A$2:$A$37,0))</f>
        <v>2</v>
      </c>
    </row>
    <row r="3130" customFormat="false" ht="15" hidden="false" customHeight="false" outlineLevel="0" collapsed="false">
      <c r="A3130" s="12" t="s">
        <v>167</v>
      </c>
      <c r="B3130" s="12" t="s">
        <v>44</v>
      </c>
      <c r="C3130" s="12" t="s">
        <v>274</v>
      </c>
      <c r="D3130" s="12" t="str">
        <f aca="false">INDEX('Country Tiers'!$C$2:$C$37,MATCH(C3130,'Country Tiers'!$A$2:$A$37,0))</f>
        <v>Tier 3</v>
      </c>
      <c r="E3130" s="12" t="n">
        <f aca="false">INDEX('Country Tiers'!$D$2:$D$37,MATCH(C3130,'Country Tiers'!$A$2:$A$37,0))</f>
        <v>1</v>
      </c>
    </row>
    <row r="3131" customFormat="false" ht="15" hidden="false" customHeight="false" outlineLevel="0" collapsed="false">
      <c r="A3131" s="12" t="s">
        <v>167</v>
      </c>
      <c r="B3131" s="12" t="s">
        <v>44</v>
      </c>
      <c r="C3131" s="12" t="s">
        <v>277</v>
      </c>
      <c r="D3131" s="12" t="str">
        <f aca="false">INDEX('Country Tiers'!$C$2:$C$37,MATCH(C3131,'Country Tiers'!$A$2:$A$37,0))</f>
        <v>Tier 1</v>
      </c>
      <c r="E3131" s="12" t="n">
        <f aca="false">INDEX('Country Tiers'!$D$2:$D$37,MATCH(C3131,'Country Tiers'!$A$2:$A$37,0))</f>
        <v>3</v>
      </c>
    </row>
    <row r="3132" customFormat="false" ht="15" hidden="false" customHeight="false" outlineLevel="0" collapsed="false">
      <c r="A3132" s="12" t="s">
        <v>167</v>
      </c>
      <c r="B3132" s="12" t="s">
        <v>44</v>
      </c>
      <c r="C3132" s="12" t="s">
        <v>281</v>
      </c>
      <c r="D3132" s="12" t="str">
        <f aca="false">INDEX('Country Tiers'!$C$2:$C$37,MATCH(C3132,'Country Tiers'!$A$2:$A$37,0))</f>
        <v>Tier 3</v>
      </c>
      <c r="E3132" s="12" t="n">
        <f aca="false">INDEX('Country Tiers'!$D$2:$D$37,MATCH(C3132,'Country Tiers'!$A$2:$A$37,0))</f>
        <v>1</v>
      </c>
    </row>
    <row r="3133" customFormat="false" ht="15" hidden="false" customHeight="false" outlineLevel="0" collapsed="false">
      <c r="A3133" s="12" t="s">
        <v>167</v>
      </c>
      <c r="B3133" s="12" t="s">
        <v>44</v>
      </c>
      <c r="C3133" s="12" t="s">
        <v>282</v>
      </c>
      <c r="D3133" s="12" t="str">
        <f aca="false">INDEX('Country Tiers'!$C$2:$C$37,MATCH(C3133,'Country Tiers'!$A$2:$A$37,0))</f>
        <v>Tier 3</v>
      </c>
      <c r="E3133" s="12" t="n">
        <f aca="false">INDEX('Country Tiers'!$D$2:$D$37,MATCH(C3133,'Country Tiers'!$A$2:$A$37,0))</f>
        <v>1</v>
      </c>
    </row>
    <row r="3134" customFormat="false" ht="15" hidden="false" customHeight="false" outlineLevel="0" collapsed="false">
      <c r="A3134" s="12" t="s">
        <v>167</v>
      </c>
      <c r="B3134" s="12" t="s">
        <v>44</v>
      </c>
      <c r="C3134" s="12" t="s">
        <v>284</v>
      </c>
      <c r="D3134" s="12" t="str">
        <f aca="false">INDEX('Country Tiers'!$C$2:$C$37,MATCH(C3134,'Country Tiers'!$A$2:$A$37,0))</f>
        <v>Tier 3</v>
      </c>
      <c r="E3134" s="12" t="n">
        <f aca="false">INDEX('Country Tiers'!$D$2:$D$37,MATCH(C3134,'Country Tiers'!$A$2:$A$37,0))</f>
        <v>1</v>
      </c>
    </row>
    <row r="3135" customFormat="false" ht="15" hidden="false" customHeight="false" outlineLevel="0" collapsed="false">
      <c r="A3135" s="12" t="s">
        <v>167</v>
      </c>
      <c r="B3135" s="12" t="s">
        <v>44</v>
      </c>
      <c r="C3135" s="12" t="s">
        <v>286</v>
      </c>
      <c r="D3135" s="12" t="str">
        <f aca="false">INDEX('Country Tiers'!$C$2:$C$37,MATCH(C3135,'Country Tiers'!$A$2:$A$37,0))</f>
        <v>Tier 1</v>
      </c>
      <c r="E3135" s="12" t="n">
        <f aca="false">INDEX('Country Tiers'!$D$2:$D$37,MATCH(C3135,'Country Tiers'!$A$2:$A$37,0))</f>
        <v>3</v>
      </c>
    </row>
    <row r="3136" customFormat="false" ht="15" hidden="false" customHeight="false" outlineLevel="0" collapsed="false">
      <c r="A3136" s="12" t="s">
        <v>167</v>
      </c>
      <c r="B3136" s="12" t="s">
        <v>44</v>
      </c>
      <c r="C3136" s="12" t="s">
        <v>287</v>
      </c>
      <c r="D3136" s="12" t="str">
        <f aca="false">INDEX('Country Tiers'!$C$2:$C$37,MATCH(C3136,'Country Tiers'!$A$2:$A$37,0))</f>
        <v>Tier 1</v>
      </c>
      <c r="E3136" s="12" t="n">
        <f aca="false">INDEX('Country Tiers'!$D$2:$D$37,MATCH(C3136,'Country Tiers'!$A$2:$A$37,0))</f>
        <v>3</v>
      </c>
    </row>
    <row r="3137" customFormat="false" ht="15" hidden="false" customHeight="false" outlineLevel="0" collapsed="false">
      <c r="A3137" s="12" t="s">
        <v>167</v>
      </c>
      <c r="B3137" s="12" t="s">
        <v>44</v>
      </c>
      <c r="C3137" s="12" t="s">
        <v>288</v>
      </c>
      <c r="D3137" s="12" t="str">
        <f aca="false">INDEX('Country Tiers'!$C$2:$C$37,MATCH(C3137,'Country Tiers'!$A$2:$A$37,0))</f>
        <v>Tier 3</v>
      </c>
      <c r="E3137" s="12" t="n">
        <f aca="false">INDEX('Country Tiers'!$D$2:$D$37,MATCH(C3137,'Country Tiers'!$A$2:$A$37,0))</f>
        <v>1</v>
      </c>
    </row>
    <row r="3138" customFormat="false" ht="15" hidden="false" customHeight="false" outlineLevel="0" collapsed="false">
      <c r="A3138" s="12" t="s">
        <v>167</v>
      </c>
      <c r="B3138" s="12" t="s">
        <v>44</v>
      </c>
      <c r="C3138" s="12" t="s">
        <v>289</v>
      </c>
      <c r="D3138" s="12" t="str">
        <f aca="false">INDEX('Country Tiers'!$C$2:$C$37,MATCH(C3138,'Country Tiers'!$A$2:$A$37,0))</f>
        <v>Tier 3</v>
      </c>
      <c r="E3138" s="12" t="n">
        <f aca="false">INDEX('Country Tiers'!$D$2:$D$37,MATCH(C3138,'Country Tiers'!$A$2:$A$37,0))</f>
        <v>1</v>
      </c>
    </row>
    <row r="3139" customFormat="false" ht="15" hidden="false" customHeight="false" outlineLevel="0" collapsed="false">
      <c r="A3139" s="12" t="s">
        <v>167</v>
      </c>
      <c r="B3139" s="12" t="s">
        <v>44</v>
      </c>
      <c r="C3139" s="12" t="s">
        <v>291</v>
      </c>
      <c r="D3139" s="12" t="str">
        <f aca="false">INDEX('Country Tiers'!$C$2:$C$37,MATCH(C3139,'Country Tiers'!$A$2:$A$37,0))</f>
        <v>Tier 3</v>
      </c>
      <c r="E3139" s="12" t="n">
        <f aca="false">INDEX('Country Tiers'!$D$2:$D$37,MATCH(C3139,'Country Tiers'!$A$2:$A$37,0))</f>
        <v>1</v>
      </c>
    </row>
    <row r="3140" customFormat="false" ht="15" hidden="false" customHeight="false" outlineLevel="0" collapsed="false">
      <c r="A3140" s="12" t="s">
        <v>167</v>
      </c>
      <c r="B3140" s="12" t="s">
        <v>44</v>
      </c>
      <c r="C3140" s="12" t="s">
        <v>292</v>
      </c>
      <c r="D3140" s="12" t="str">
        <f aca="false">INDEX('Country Tiers'!$C$2:$C$37,MATCH(C3140,'Country Tiers'!$A$2:$A$37,0))</f>
        <v>Tier 2</v>
      </c>
      <c r="E3140" s="12" t="n">
        <f aca="false">INDEX('Country Tiers'!$D$2:$D$37,MATCH(C3140,'Country Tiers'!$A$2:$A$37,0))</f>
        <v>2</v>
      </c>
    </row>
    <row r="3141" customFormat="false" ht="15" hidden="false" customHeight="false" outlineLevel="0" collapsed="false">
      <c r="A3141" s="12" t="s">
        <v>167</v>
      </c>
      <c r="B3141" s="12" t="s">
        <v>44</v>
      </c>
      <c r="C3141" s="12" t="s">
        <v>296</v>
      </c>
      <c r="D3141" s="12" t="str">
        <f aca="false">INDEX('Country Tiers'!$C$2:$C$37,MATCH(C3141,'Country Tiers'!$A$2:$A$37,0))</f>
        <v>Tier 3</v>
      </c>
      <c r="E3141" s="12" t="n">
        <f aca="false">INDEX('Country Tiers'!$D$2:$D$37,MATCH(C3141,'Country Tiers'!$A$2:$A$37,0))</f>
        <v>1</v>
      </c>
    </row>
    <row r="3142" customFormat="false" ht="15" hidden="false" customHeight="false" outlineLevel="0" collapsed="false">
      <c r="A3142" s="12" t="s">
        <v>167</v>
      </c>
      <c r="B3142" s="12" t="s">
        <v>44</v>
      </c>
      <c r="C3142" s="12" t="s">
        <v>297</v>
      </c>
      <c r="D3142" s="12" t="str">
        <f aca="false">INDEX('Country Tiers'!$C$2:$C$37,MATCH(C3142,'Country Tiers'!$A$2:$A$37,0))</f>
        <v>Tier 2</v>
      </c>
      <c r="E3142" s="12" t="n">
        <f aca="false">INDEX('Country Tiers'!$D$2:$D$37,MATCH(C3142,'Country Tiers'!$A$2:$A$37,0))</f>
        <v>2</v>
      </c>
    </row>
    <row r="3143" customFormat="false" ht="15" hidden="false" customHeight="false" outlineLevel="0" collapsed="false">
      <c r="A3143" s="12" t="s">
        <v>167</v>
      </c>
      <c r="B3143" s="12" t="s">
        <v>44</v>
      </c>
      <c r="C3143" s="12" t="s">
        <v>298</v>
      </c>
      <c r="D3143" s="12" t="str">
        <f aca="false">INDEX('Country Tiers'!$C$2:$C$37,MATCH(C3143,'Country Tiers'!$A$2:$A$37,0))</f>
        <v>Tier 1</v>
      </c>
      <c r="E3143" s="12" t="n">
        <f aca="false">INDEX('Country Tiers'!$D$2:$D$37,MATCH(C3143,'Country Tiers'!$A$2:$A$37,0))</f>
        <v>3</v>
      </c>
    </row>
    <row r="3144" customFormat="false" ht="15" hidden="false" customHeight="false" outlineLevel="0" collapsed="false">
      <c r="A3144" s="12" t="s">
        <v>167</v>
      </c>
      <c r="B3144" s="12" t="s">
        <v>44</v>
      </c>
      <c r="C3144" s="12" t="s">
        <v>300</v>
      </c>
      <c r="D3144" s="12" t="str">
        <f aca="false">INDEX('Country Tiers'!$C$2:$C$37,MATCH(C3144,'Country Tiers'!$A$2:$A$37,0))</f>
        <v>Tier 3</v>
      </c>
      <c r="E3144" s="12" t="n">
        <f aca="false">INDEX('Country Tiers'!$D$2:$D$37,MATCH(C3144,'Country Tiers'!$A$2:$A$37,0))</f>
        <v>1</v>
      </c>
    </row>
    <row r="3145" customFormat="false" ht="15" hidden="false" customHeight="false" outlineLevel="0" collapsed="false">
      <c r="A3145" s="12" t="s">
        <v>167</v>
      </c>
      <c r="B3145" s="12" t="s">
        <v>44</v>
      </c>
      <c r="C3145" s="12" t="s">
        <v>301</v>
      </c>
      <c r="D3145" s="12" t="str">
        <f aca="false">INDEX('Country Tiers'!$C$2:$C$37,MATCH(C3145,'Country Tiers'!$A$2:$A$37,0))</f>
        <v>Tier 3</v>
      </c>
      <c r="E3145" s="12" t="n">
        <f aca="false">INDEX('Country Tiers'!$D$2:$D$37,MATCH(C3145,'Country Tiers'!$A$2:$A$37,0))</f>
        <v>1</v>
      </c>
    </row>
    <row r="3146" customFormat="false" ht="15" hidden="false" customHeight="false" outlineLevel="0" collapsed="false">
      <c r="A3146" s="12" t="s">
        <v>167</v>
      </c>
      <c r="B3146" s="12" t="s">
        <v>44</v>
      </c>
      <c r="C3146" s="12" t="s">
        <v>302</v>
      </c>
      <c r="D3146" s="12" t="str">
        <f aca="false">INDEX('Country Tiers'!$C$2:$C$37,MATCH(C3146,'Country Tiers'!$A$2:$A$37,0))</f>
        <v>Tier 3</v>
      </c>
      <c r="E3146" s="12" t="n">
        <f aca="false">INDEX('Country Tiers'!$D$2:$D$37,MATCH(C3146,'Country Tiers'!$A$2:$A$37,0))</f>
        <v>1</v>
      </c>
    </row>
    <row r="3147" customFormat="false" ht="15" hidden="false" customHeight="false" outlineLevel="0" collapsed="false">
      <c r="A3147" s="12" t="s">
        <v>167</v>
      </c>
      <c r="B3147" s="12" t="s">
        <v>44</v>
      </c>
      <c r="C3147" s="12" t="s">
        <v>307</v>
      </c>
      <c r="D3147" s="12" t="str">
        <f aca="false">INDEX('Country Tiers'!$C$2:$C$37,MATCH(C3147,'Country Tiers'!$A$2:$A$37,0))</f>
        <v>Tier 2</v>
      </c>
      <c r="E3147" s="12" t="n">
        <f aca="false">INDEX('Country Tiers'!$D$2:$D$37,MATCH(C3147,'Country Tiers'!$A$2:$A$37,0))</f>
        <v>2</v>
      </c>
    </row>
    <row r="3148" customFormat="false" ht="15" hidden="false" customHeight="false" outlineLevel="0" collapsed="false">
      <c r="A3148" s="12" t="s">
        <v>167</v>
      </c>
      <c r="B3148" s="12" t="s">
        <v>44</v>
      </c>
      <c r="C3148" s="12" t="s">
        <v>308</v>
      </c>
      <c r="D3148" s="12" t="str">
        <f aca="false">INDEX('Country Tiers'!$C$2:$C$37,MATCH(C3148,'Country Tiers'!$A$2:$A$37,0))</f>
        <v>Tier 3</v>
      </c>
      <c r="E3148" s="12" t="n">
        <f aca="false">INDEX('Country Tiers'!$D$2:$D$37,MATCH(C3148,'Country Tiers'!$A$2:$A$37,0))</f>
        <v>1</v>
      </c>
    </row>
    <row r="3149" customFormat="false" ht="15" hidden="false" customHeight="false" outlineLevel="0" collapsed="false">
      <c r="A3149" s="12" t="s">
        <v>167</v>
      </c>
      <c r="B3149" s="12" t="s">
        <v>44</v>
      </c>
      <c r="C3149" s="12" t="s">
        <v>313</v>
      </c>
      <c r="D3149" s="12" t="str">
        <f aca="false">INDEX('Country Tiers'!$C$2:$C$37,MATCH(C3149,'Country Tiers'!$A$2:$A$37,0))</f>
        <v>Tier 1</v>
      </c>
      <c r="E3149" s="12" t="n">
        <f aca="false">INDEX('Country Tiers'!$D$2:$D$37,MATCH(C3149,'Country Tiers'!$A$2:$A$37,0))</f>
        <v>3</v>
      </c>
    </row>
    <row r="3150" customFormat="false" ht="15" hidden="false" customHeight="false" outlineLevel="0" collapsed="false">
      <c r="A3150" s="12" t="s">
        <v>168</v>
      </c>
      <c r="B3150" s="12" t="s">
        <v>70</v>
      </c>
      <c r="C3150" s="12" t="s">
        <v>311</v>
      </c>
      <c r="D3150" s="12" t="str">
        <f aca="false">INDEX('Country Tiers'!$C$2:$C$37,MATCH(C3150,'Country Tiers'!$A$2:$A$37,0))</f>
        <v>Tier 1</v>
      </c>
      <c r="E3150" s="12" t="n">
        <f aca="false">INDEX('Country Tiers'!$D$2:$D$37,MATCH(C3150,'Country Tiers'!$A$2:$A$37,0))</f>
        <v>3</v>
      </c>
    </row>
    <row r="3151" customFormat="false" ht="15" hidden="false" customHeight="false" outlineLevel="0" collapsed="false">
      <c r="A3151" s="12" t="s">
        <v>168</v>
      </c>
      <c r="B3151" s="12" t="s">
        <v>54</v>
      </c>
      <c r="C3151" s="12" t="s">
        <v>311</v>
      </c>
      <c r="D3151" s="12" t="str">
        <f aca="false">INDEX('Country Tiers'!$C$2:$C$37,MATCH(C3151,'Country Tiers'!$A$2:$A$37,0))</f>
        <v>Tier 1</v>
      </c>
      <c r="E3151" s="12" t="n">
        <f aca="false">INDEX('Country Tiers'!$D$2:$D$37,MATCH(C3151,'Country Tiers'!$A$2:$A$37,0))</f>
        <v>3</v>
      </c>
    </row>
    <row r="3152" customFormat="false" ht="15" hidden="false" customHeight="false" outlineLevel="0" collapsed="false">
      <c r="A3152" s="12" t="s">
        <v>168</v>
      </c>
      <c r="B3152" s="12" t="s">
        <v>55</v>
      </c>
      <c r="C3152" s="12" t="s">
        <v>311</v>
      </c>
      <c r="D3152" s="12" t="str">
        <f aca="false">INDEX('Country Tiers'!$C$2:$C$37,MATCH(C3152,'Country Tiers'!$A$2:$A$37,0))</f>
        <v>Tier 1</v>
      </c>
      <c r="E3152" s="12" t="n">
        <f aca="false">INDEX('Country Tiers'!$D$2:$D$37,MATCH(C3152,'Country Tiers'!$A$2:$A$37,0))</f>
        <v>3</v>
      </c>
    </row>
    <row r="3153" customFormat="false" ht="15" hidden="false" customHeight="false" outlineLevel="0" collapsed="false">
      <c r="A3153" s="12" t="s">
        <v>169</v>
      </c>
      <c r="B3153" s="12" t="s">
        <v>73</v>
      </c>
      <c r="C3153" s="12" t="s">
        <v>272</v>
      </c>
      <c r="D3153" s="12" t="str">
        <f aca="false">INDEX('Country Tiers'!$C$2:$C$37,MATCH(C3153,'Country Tiers'!$A$2:$A$37,0))</f>
        <v>Tier 2</v>
      </c>
      <c r="E3153" s="12" t="n">
        <f aca="false">INDEX('Country Tiers'!$D$2:$D$37,MATCH(C3153,'Country Tiers'!$A$2:$A$37,0))</f>
        <v>2</v>
      </c>
    </row>
    <row r="3154" customFormat="false" ht="15" hidden="false" customHeight="false" outlineLevel="0" collapsed="false">
      <c r="A3154" s="12" t="s">
        <v>170</v>
      </c>
      <c r="B3154" s="12" t="s">
        <v>47</v>
      </c>
      <c r="C3154" s="12" t="s">
        <v>272</v>
      </c>
      <c r="D3154" s="12" t="str">
        <f aca="false">INDEX('Country Tiers'!$C$2:$C$37,MATCH(C3154,'Country Tiers'!$A$2:$A$37,0))</f>
        <v>Tier 2</v>
      </c>
      <c r="E3154" s="12" t="n">
        <f aca="false">INDEX('Country Tiers'!$D$2:$D$37,MATCH(C3154,'Country Tiers'!$A$2:$A$37,0))</f>
        <v>2</v>
      </c>
    </row>
    <row r="3155" customFormat="false" ht="15" hidden="false" customHeight="false" outlineLevel="0" collapsed="false">
      <c r="A3155" s="12" t="s">
        <v>170</v>
      </c>
      <c r="B3155" s="12" t="s">
        <v>47</v>
      </c>
      <c r="C3155" s="12" t="s">
        <v>274</v>
      </c>
      <c r="D3155" s="12" t="str">
        <f aca="false">INDEX('Country Tiers'!$C$2:$C$37,MATCH(C3155,'Country Tiers'!$A$2:$A$37,0))</f>
        <v>Tier 3</v>
      </c>
      <c r="E3155" s="12" t="n">
        <f aca="false">INDEX('Country Tiers'!$D$2:$D$37,MATCH(C3155,'Country Tiers'!$A$2:$A$37,0))</f>
        <v>1</v>
      </c>
    </row>
    <row r="3156" customFormat="false" ht="15" hidden="false" customHeight="false" outlineLevel="0" collapsed="false">
      <c r="A3156" s="12" t="s">
        <v>170</v>
      </c>
      <c r="B3156" s="12" t="s">
        <v>47</v>
      </c>
      <c r="C3156" s="12" t="s">
        <v>278</v>
      </c>
      <c r="D3156" s="12" t="str">
        <f aca="false">INDEX('Country Tiers'!$C$2:$C$37,MATCH(C3156,'Country Tiers'!$A$2:$A$37,0))</f>
        <v>Tier 3</v>
      </c>
      <c r="E3156" s="12" t="n">
        <f aca="false">INDEX('Country Tiers'!$D$2:$D$37,MATCH(C3156,'Country Tiers'!$A$2:$A$37,0))</f>
        <v>1</v>
      </c>
    </row>
    <row r="3157" customFormat="false" ht="15" hidden="false" customHeight="false" outlineLevel="0" collapsed="false">
      <c r="A3157" s="12" t="s">
        <v>170</v>
      </c>
      <c r="B3157" s="12" t="s">
        <v>47</v>
      </c>
      <c r="C3157" s="12" t="s">
        <v>279</v>
      </c>
      <c r="D3157" s="12" t="str">
        <f aca="false">INDEX('Country Tiers'!$C$2:$C$37,MATCH(C3157,'Country Tiers'!$A$2:$A$37,0))</f>
        <v>Tier 1</v>
      </c>
      <c r="E3157" s="12" t="n">
        <f aca="false">INDEX('Country Tiers'!$D$2:$D$37,MATCH(C3157,'Country Tiers'!$A$2:$A$37,0))</f>
        <v>3</v>
      </c>
    </row>
    <row r="3158" customFormat="false" ht="15" hidden="false" customHeight="false" outlineLevel="0" collapsed="false">
      <c r="A3158" s="12" t="s">
        <v>170</v>
      </c>
      <c r="B3158" s="12" t="s">
        <v>47</v>
      </c>
      <c r="C3158" s="12" t="s">
        <v>280</v>
      </c>
      <c r="D3158" s="12" t="str">
        <f aca="false">INDEX('Country Tiers'!$C$2:$C$37,MATCH(C3158,'Country Tiers'!$A$2:$A$37,0))</f>
        <v>Tier 3</v>
      </c>
      <c r="E3158" s="12" t="n">
        <f aca="false">INDEX('Country Tiers'!$D$2:$D$37,MATCH(C3158,'Country Tiers'!$A$2:$A$37,0))</f>
        <v>1</v>
      </c>
    </row>
    <row r="3159" customFormat="false" ht="15" hidden="false" customHeight="false" outlineLevel="0" collapsed="false">
      <c r="A3159" s="12" t="s">
        <v>170</v>
      </c>
      <c r="B3159" s="12" t="s">
        <v>47</v>
      </c>
      <c r="C3159" s="12" t="s">
        <v>282</v>
      </c>
      <c r="D3159" s="12" t="str">
        <f aca="false">INDEX('Country Tiers'!$C$2:$C$37,MATCH(C3159,'Country Tiers'!$A$2:$A$37,0))</f>
        <v>Tier 3</v>
      </c>
      <c r="E3159" s="12" t="n">
        <f aca="false">INDEX('Country Tiers'!$D$2:$D$37,MATCH(C3159,'Country Tiers'!$A$2:$A$37,0))</f>
        <v>1</v>
      </c>
    </row>
    <row r="3160" customFormat="false" ht="15" hidden="false" customHeight="false" outlineLevel="0" collapsed="false">
      <c r="A3160" s="12" t="s">
        <v>170</v>
      </c>
      <c r="B3160" s="12" t="s">
        <v>47</v>
      </c>
      <c r="C3160" s="12" t="s">
        <v>283</v>
      </c>
      <c r="D3160" s="12" t="str">
        <f aca="false">INDEX('Country Tiers'!$C$2:$C$37,MATCH(C3160,'Country Tiers'!$A$2:$A$37,0))</f>
        <v>Tier 3</v>
      </c>
      <c r="E3160" s="12" t="n">
        <f aca="false">INDEX('Country Tiers'!$D$2:$D$37,MATCH(C3160,'Country Tiers'!$A$2:$A$37,0))</f>
        <v>1</v>
      </c>
    </row>
    <row r="3161" customFormat="false" ht="15" hidden="false" customHeight="false" outlineLevel="0" collapsed="false">
      <c r="A3161" s="12" t="s">
        <v>170</v>
      </c>
      <c r="B3161" s="12" t="s">
        <v>47</v>
      </c>
      <c r="C3161" s="12" t="s">
        <v>284</v>
      </c>
      <c r="D3161" s="12" t="str">
        <f aca="false">INDEX('Country Tiers'!$C$2:$C$37,MATCH(C3161,'Country Tiers'!$A$2:$A$37,0))</f>
        <v>Tier 3</v>
      </c>
      <c r="E3161" s="12" t="n">
        <f aca="false">INDEX('Country Tiers'!$D$2:$D$37,MATCH(C3161,'Country Tiers'!$A$2:$A$37,0))</f>
        <v>1</v>
      </c>
    </row>
    <row r="3162" customFormat="false" ht="15" hidden="false" customHeight="false" outlineLevel="0" collapsed="false">
      <c r="A3162" s="12" t="s">
        <v>170</v>
      </c>
      <c r="B3162" s="12" t="s">
        <v>47</v>
      </c>
      <c r="C3162" s="12" t="s">
        <v>285</v>
      </c>
      <c r="D3162" s="12" t="str">
        <f aca="false">INDEX('Country Tiers'!$C$2:$C$37,MATCH(C3162,'Country Tiers'!$A$2:$A$37,0))</f>
        <v>Tier 3</v>
      </c>
      <c r="E3162" s="12" t="n">
        <f aca="false">INDEX('Country Tiers'!$D$2:$D$37,MATCH(C3162,'Country Tiers'!$A$2:$A$37,0))</f>
        <v>1</v>
      </c>
    </row>
    <row r="3163" customFormat="false" ht="15" hidden="false" customHeight="false" outlineLevel="0" collapsed="false">
      <c r="A3163" s="12" t="s">
        <v>170</v>
      </c>
      <c r="B3163" s="12" t="s">
        <v>47</v>
      </c>
      <c r="C3163" s="12" t="s">
        <v>286</v>
      </c>
      <c r="D3163" s="12" t="str">
        <f aca="false">INDEX('Country Tiers'!$C$2:$C$37,MATCH(C3163,'Country Tiers'!$A$2:$A$37,0))</f>
        <v>Tier 1</v>
      </c>
      <c r="E3163" s="12" t="n">
        <f aca="false">INDEX('Country Tiers'!$D$2:$D$37,MATCH(C3163,'Country Tiers'!$A$2:$A$37,0))</f>
        <v>3</v>
      </c>
    </row>
    <row r="3164" customFormat="false" ht="15" hidden="false" customHeight="false" outlineLevel="0" collapsed="false">
      <c r="A3164" s="12" t="s">
        <v>170</v>
      </c>
      <c r="B3164" s="12" t="s">
        <v>47</v>
      </c>
      <c r="C3164" s="12" t="s">
        <v>287</v>
      </c>
      <c r="D3164" s="12" t="str">
        <f aca="false">INDEX('Country Tiers'!$C$2:$C$37,MATCH(C3164,'Country Tiers'!$A$2:$A$37,0))</f>
        <v>Tier 1</v>
      </c>
      <c r="E3164" s="12" t="n">
        <f aca="false">INDEX('Country Tiers'!$D$2:$D$37,MATCH(C3164,'Country Tiers'!$A$2:$A$37,0))</f>
        <v>3</v>
      </c>
    </row>
    <row r="3165" customFormat="false" ht="15" hidden="false" customHeight="false" outlineLevel="0" collapsed="false">
      <c r="A3165" s="12" t="s">
        <v>170</v>
      </c>
      <c r="B3165" s="12" t="s">
        <v>47</v>
      </c>
      <c r="C3165" s="12" t="s">
        <v>289</v>
      </c>
      <c r="D3165" s="12" t="str">
        <f aca="false">INDEX('Country Tiers'!$C$2:$C$37,MATCH(C3165,'Country Tiers'!$A$2:$A$37,0))</f>
        <v>Tier 3</v>
      </c>
      <c r="E3165" s="12" t="n">
        <f aca="false">INDEX('Country Tiers'!$D$2:$D$37,MATCH(C3165,'Country Tiers'!$A$2:$A$37,0))</f>
        <v>1</v>
      </c>
    </row>
    <row r="3166" customFormat="false" ht="15" hidden="false" customHeight="false" outlineLevel="0" collapsed="false">
      <c r="A3166" s="12" t="s">
        <v>170</v>
      </c>
      <c r="B3166" s="12" t="s">
        <v>47</v>
      </c>
      <c r="C3166" s="12" t="s">
        <v>290</v>
      </c>
      <c r="D3166" s="12" t="str">
        <f aca="false">INDEX('Country Tiers'!$C$2:$C$37,MATCH(C3166,'Country Tiers'!$A$2:$A$37,0))</f>
        <v>Tier 3</v>
      </c>
      <c r="E3166" s="12" t="n">
        <f aca="false">INDEX('Country Tiers'!$D$2:$D$37,MATCH(C3166,'Country Tiers'!$A$2:$A$37,0))</f>
        <v>1</v>
      </c>
    </row>
    <row r="3167" customFormat="false" ht="15" hidden="false" customHeight="false" outlineLevel="0" collapsed="false">
      <c r="A3167" s="12" t="s">
        <v>170</v>
      </c>
      <c r="B3167" s="12" t="s">
        <v>47</v>
      </c>
      <c r="C3167" s="12" t="s">
        <v>291</v>
      </c>
      <c r="D3167" s="12" t="str">
        <f aca="false">INDEX('Country Tiers'!$C$2:$C$37,MATCH(C3167,'Country Tiers'!$A$2:$A$37,0))</f>
        <v>Tier 3</v>
      </c>
      <c r="E3167" s="12" t="n">
        <f aca="false">INDEX('Country Tiers'!$D$2:$D$37,MATCH(C3167,'Country Tiers'!$A$2:$A$37,0))</f>
        <v>1</v>
      </c>
    </row>
    <row r="3168" customFormat="false" ht="15" hidden="false" customHeight="false" outlineLevel="0" collapsed="false">
      <c r="A3168" s="12" t="s">
        <v>170</v>
      </c>
      <c r="B3168" s="12" t="s">
        <v>47</v>
      </c>
      <c r="C3168" s="12" t="s">
        <v>292</v>
      </c>
      <c r="D3168" s="12" t="str">
        <f aca="false">INDEX('Country Tiers'!$C$2:$C$37,MATCH(C3168,'Country Tiers'!$A$2:$A$37,0))</f>
        <v>Tier 2</v>
      </c>
      <c r="E3168" s="12" t="n">
        <f aca="false">INDEX('Country Tiers'!$D$2:$D$37,MATCH(C3168,'Country Tiers'!$A$2:$A$37,0))</f>
        <v>2</v>
      </c>
    </row>
    <row r="3169" customFormat="false" ht="15" hidden="false" customHeight="false" outlineLevel="0" collapsed="false">
      <c r="A3169" s="12" t="s">
        <v>170</v>
      </c>
      <c r="B3169" s="12" t="s">
        <v>47</v>
      </c>
      <c r="C3169" s="12" t="s">
        <v>294</v>
      </c>
      <c r="D3169" s="12" t="str">
        <f aca="false">INDEX('Country Tiers'!$C$2:$C$37,MATCH(C3169,'Country Tiers'!$A$2:$A$37,0))</f>
        <v>Tier 3</v>
      </c>
      <c r="E3169" s="12" t="n">
        <f aca="false">INDEX('Country Tiers'!$D$2:$D$37,MATCH(C3169,'Country Tiers'!$A$2:$A$37,0))</f>
        <v>1</v>
      </c>
    </row>
    <row r="3170" customFormat="false" ht="15" hidden="false" customHeight="false" outlineLevel="0" collapsed="false">
      <c r="A3170" s="12" t="s">
        <v>170</v>
      </c>
      <c r="B3170" s="12" t="s">
        <v>47</v>
      </c>
      <c r="C3170" s="12" t="s">
        <v>295</v>
      </c>
      <c r="D3170" s="12" t="str">
        <f aca="false">INDEX('Country Tiers'!$C$2:$C$37,MATCH(C3170,'Country Tiers'!$A$2:$A$37,0))</f>
        <v>Tier 3</v>
      </c>
      <c r="E3170" s="12" t="n">
        <f aca="false">INDEX('Country Tiers'!$D$2:$D$37,MATCH(C3170,'Country Tiers'!$A$2:$A$37,0))</f>
        <v>1</v>
      </c>
    </row>
    <row r="3171" customFormat="false" ht="15" hidden="false" customHeight="false" outlineLevel="0" collapsed="false">
      <c r="A3171" s="12" t="s">
        <v>170</v>
      </c>
      <c r="B3171" s="12" t="s">
        <v>47</v>
      </c>
      <c r="C3171" s="12" t="s">
        <v>298</v>
      </c>
      <c r="D3171" s="12" t="str">
        <f aca="false">INDEX('Country Tiers'!$C$2:$C$37,MATCH(C3171,'Country Tiers'!$A$2:$A$37,0))</f>
        <v>Tier 1</v>
      </c>
      <c r="E3171" s="12" t="n">
        <f aca="false">INDEX('Country Tiers'!$D$2:$D$37,MATCH(C3171,'Country Tiers'!$A$2:$A$37,0))</f>
        <v>3</v>
      </c>
    </row>
    <row r="3172" customFormat="false" ht="15" hidden="false" customHeight="false" outlineLevel="0" collapsed="false">
      <c r="A3172" s="12" t="s">
        <v>170</v>
      </c>
      <c r="B3172" s="12" t="s">
        <v>47</v>
      </c>
      <c r="C3172" s="12" t="s">
        <v>299</v>
      </c>
      <c r="D3172" s="12" t="str">
        <f aca="false">INDEX('Country Tiers'!$C$2:$C$37,MATCH(C3172,'Country Tiers'!$A$2:$A$37,0))</f>
        <v>Tier 3</v>
      </c>
      <c r="E3172" s="12" t="n">
        <f aca="false">INDEX('Country Tiers'!$D$2:$D$37,MATCH(C3172,'Country Tiers'!$A$2:$A$37,0))</f>
        <v>1</v>
      </c>
    </row>
    <row r="3173" customFormat="false" ht="15" hidden="false" customHeight="false" outlineLevel="0" collapsed="false">
      <c r="A3173" s="12" t="s">
        <v>170</v>
      </c>
      <c r="B3173" s="12" t="s">
        <v>47</v>
      </c>
      <c r="C3173" s="12" t="s">
        <v>300</v>
      </c>
      <c r="D3173" s="12" t="str">
        <f aca="false">INDEX('Country Tiers'!$C$2:$C$37,MATCH(C3173,'Country Tiers'!$A$2:$A$37,0))</f>
        <v>Tier 3</v>
      </c>
      <c r="E3173" s="12" t="n">
        <f aca="false">INDEX('Country Tiers'!$D$2:$D$37,MATCH(C3173,'Country Tiers'!$A$2:$A$37,0))</f>
        <v>1</v>
      </c>
    </row>
    <row r="3174" customFormat="false" ht="15" hidden="false" customHeight="false" outlineLevel="0" collapsed="false">
      <c r="A3174" s="12" t="s">
        <v>170</v>
      </c>
      <c r="B3174" s="12" t="s">
        <v>47</v>
      </c>
      <c r="C3174" s="12" t="s">
        <v>301</v>
      </c>
      <c r="D3174" s="12" t="str">
        <f aca="false">INDEX('Country Tiers'!$C$2:$C$37,MATCH(C3174,'Country Tiers'!$A$2:$A$37,0))</f>
        <v>Tier 3</v>
      </c>
      <c r="E3174" s="12" t="n">
        <f aca="false">INDEX('Country Tiers'!$D$2:$D$37,MATCH(C3174,'Country Tiers'!$A$2:$A$37,0))</f>
        <v>1</v>
      </c>
    </row>
    <row r="3175" customFormat="false" ht="15" hidden="false" customHeight="false" outlineLevel="0" collapsed="false">
      <c r="A3175" s="12" t="s">
        <v>170</v>
      </c>
      <c r="B3175" s="12" t="s">
        <v>47</v>
      </c>
      <c r="C3175" s="12" t="s">
        <v>302</v>
      </c>
      <c r="D3175" s="12" t="str">
        <f aca="false">INDEX('Country Tiers'!$C$2:$C$37,MATCH(C3175,'Country Tiers'!$A$2:$A$37,0))</f>
        <v>Tier 3</v>
      </c>
      <c r="E3175" s="12" t="n">
        <f aca="false">INDEX('Country Tiers'!$D$2:$D$37,MATCH(C3175,'Country Tiers'!$A$2:$A$37,0))</f>
        <v>1</v>
      </c>
    </row>
    <row r="3176" customFormat="false" ht="15" hidden="false" customHeight="false" outlineLevel="0" collapsed="false">
      <c r="A3176" s="12" t="s">
        <v>170</v>
      </c>
      <c r="B3176" s="12" t="s">
        <v>47</v>
      </c>
      <c r="C3176" s="12" t="s">
        <v>305</v>
      </c>
      <c r="D3176" s="12" t="str">
        <f aca="false">INDEX('Country Tiers'!$C$2:$C$37,MATCH(C3176,'Country Tiers'!$A$2:$A$37,0))</f>
        <v>Tier 3</v>
      </c>
      <c r="E3176" s="12" t="n">
        <f aca="false">INDEX('Country Tiers'!$D$2:$D$37,MATCH(C3176,'Country Tiers'!$A$2:$A$37,0))</f>
        <v>1</v>
      </c>
    </row>
    <row r="3177" customFormat="false" ht="15" hidden="false" customHeight="false" outlineLevel="0" collapsed="false">
      <c r="A3177" s="12" t="s">
        <v>170</v>
      </c>
      <c r="B3177" s="12" t="s">
        <v>47</v>
      </c>
      <c r="C3177" s="12" t="s">
        <v>306</v>
      </c>
      <c r="D3177" s="12" t="str">
        <f aca="false">INDEX('Country Tiers'!$C$2:$C$37,MATCH(C3177,'Country Tiers'!$A$2:$A$37,0))</f>
        <v>Tier 3</v>
      </c>
      <c r="E3177" s="12" t="n">
        <f aca="false">INDEX('Country Tiers'!$D$2:$D$37,MATCH(C3177,'Country Tiers'!$A$2:$A$37,0))</f>
        <v>1</v>
      </c>
    </row>
    <row r="3178" customFormat="false" ht="15" hidden="false" customHeight="false" outlineLevel="0" collapsed="false">
      <c r="A3178" s="12" t="s">
        <v>170</v>
      </c>
      <c r="B3178" s="12" t="s">
        <v>47</v>
      </c>
      <c r="C3178" s="12" t="s">
        <v>307</v>
      </c>
      <c r="D3178" s="12" t="str">
        <f aca="false">INDEX('Country Tiers'!$C$2:$C$37,MATCH(C3178,'Country Tiers'!$A$2:$A$37,0))</f>
        <v>Tier 2</v>
      </c>
      <c r="E3178" s="12" t="n">
        <f aca="false">INDEX('Country Tiers'!$D$2:$D$37,MATCH(C3178,'Country Tiers'!$A$2:$A$37,0))</f>
        <v>2</v>
      </c>
    </row>
    <row r="3179" customFormat="false" ht="15" hidden="false" customHeight="false" outlineLevel="0" collapsed="false">
      <c r="A3179" s="12" t="s">
        <v>170</v>
      </c>
      <c r="B3179" s="12" t="s">
        <v>47</v>
      </c>
      <c r="C3179" s="12" t="s">
        <v>308</v>
      </c>
      <c r="D3179" s="12" t="str">
        <f aca="false">INDEX('Country Tiers'!$C$2:$C$37,MATCH(C3179,'Country Tiers'!$A$2:$A$37,0))</f>
        <v>Tier 3</v>
      </c>
      <c r="E3179" s="12" t="n">
        <f aca="false">INDEX('Country Tiers'!$D$2:$D$37,MATCH(C3179,'Country Tiers'!$A$2:$A$37,0))</f>
        <v>1</v>
      </c>
    </row>
    <row r="3180" customFormat="false" ht="15" hidden="false" customHeight="false" outlineLevel="0" collapsed="false">
      <c r="A3180" s="12" t="s">
        <v>170</v>
      </c>
      <c r="B3180" s="12" t="s">
        <v>47</v>
      </c>
      <c r="C3180" s="12" t="s">
        <v>309</v>
      </c>
      <c r="D3180" s="12" t="str">
        <f aca="false">INDEX('Country Tiers'!$C$2:$C$37,MATCH(C3180,'Country Tiers'!$A$2:$A$37,0))</f>
        <v>Tier 1</v>
      </c>
      <c r="E3180" s="12" t="n">
        <f aca="false">INDEX('Country Tiers'!$D$2:$D$37,MATCH(C3180,'Country Tiers'!$A$2:$A$37,0))</f>
        <v>3</v>
      </c>
    </row>
    <row r="3181" customFormat="false" ht="15" hidden="false" customHeight="false" outlineLevel="0" collapsed="false">
      <c r="A3181" s="12" t="s">
        <v>170</v>
      </c>
      <c r="B3181" s="12" t="s">
        <v>47</v>
      </c>
      <c r="C3181" s="12" t="s">
        <v>311</v>
      </c>
      <c r="D3181" s="12" t="str">
        <f aca="false">INDEX('Country Tiers'!$C$2:$C$37,MATCH(C3181,'Country Tiers'!$A$2:$A$37,0))</f>
        <v>Tier 1</v>
      </c>
      <c r="E3181" s="12" t="n">
        <f aca="false">INDEX('Country Tiers'!$D$2:$D$37,MATCH(C3181,'Country Tiers'!$A$2:$A$37,0))</f>
        <v>3</v>
      </c>
    </row>
    <row r="3182" customFormat="false" ht="15" hidden="false" customHeight="false" outlineLevel="0" collapsed="false">
      <c r="A3182" s="12" t="s">
        <v>170</v>
      </c>
      <c r="B3182" s="12" t="s">
        <v>47</v>
      </c>
      <c r="C3182" s="12" t="s">
        <v>313</v>
      </c>
      <c r="D3182" s="12" t="str">
        <f aca="false">INDEX('Country Tiers'!$C$2:$C$37,MATCH(C3182,'Country Tiers'!$A$2:$A$37,0))</f>
        <v>Tier 1</v>
      </c>
      <c r="E3182" s="12" t="n">
        <f aca="false">INDEX('Country Tiers'!$D$2:$D$37,MATCH(C3182,'Country Tiers'!$A$2:$A$37,0))</f>
        <v>3</v>
      </c>
    </row>
    <row r="3183" customFormat="false" ht="15" hidden="false" customHeight="false" outlineLevel="0" collapsed="false">
      <c r="A3183" s="12" t="s">
        <v>170</v>
      </c>
      <c r="B3183" s="12" t="s">
        <v>55</v>
      </c>
      <c r="C3183" s="12" t="s">
        <v>311</v>
      </c>
      <c r="D3183" s="12" t="str">
        <f aca="false">INDEX('Country Tiers'!$C$2:$C$37,MATCH(C3183,'Country Tiers'!$A$2:$A$37,0))</f>
        <v>Tier 1</v>
      </c>
      <c r="E3183" s="12" t="n">
        <f aca="false">INDEX('Country Tiers'!$D$2:$D$37,MATCH(C3183,'Country Tiers'!$A$2:$A$37,0))</f>
        <v>3</v>
      </c>
    </row>
    <row r="3184" customFormat="false" ht="15" hidden="false" customHeight="false" outlineLevel="0" collapsed="false">
      <c r="A3184" s="12" t="s">
        <v>170</v>
      </c>
      <c r="B3184" s="12" t="s">
        <v>35</v>
      </c>
      <c r="C3184" s="12" t="s">
        <v>274</v>
      </c>
      <c r="D3184" s="12" t="str">
        <f aca="false">INDEX('Country Tiers'!$C$2:$C$37,MATCH(C3184,'Country Tiers'!$A$2:$A$37,0))</f>
        <v>Tier 3</v>
      </c>
      <c r="E3184" s="12" t="n">
        <f aca="false">INDEX('Country Tiers'!$D$2:$D$37,MATCH(C3184,'Country Tiers'!$A$2:$A$37,0))</f>
        <v>1</v>
      </c>
    </row>
    <row r="3185" customFormat="false" ht="15" hidden="false" customHeight="false" outlineLevel="0" collapsed="false">
      <c r="A3185" s="12" t="s">
        <v>170</v>
      </c>
      <c r="B3185" s="12" t="s">
        <v>35</v>
      </c>
      <c r="C3185" s="12" t="s">
        <v>278</v>
      </c>
      <c r="D3185" s="12" t="str">
        <f aca="false">INDEX('Country Tiers'!$C$2:$C$37,MATCH(C3185,'Country Tiers'!$A$2:$A$37,0))</f>
        <v>Tier 3</v>
      </c>
      <c r="E3185" s="12" t="n">
        <f aca="false">INDEX('Country Tiers'!$D$2:$D$37,MATCH(C3185,'Country Tiers'!$A$2:$A$37,0))</f>
        <v>1</v>
      </c>
    </row>
    <row r="3186" customFormat="false" ht="15" hidden="false" customHeight="false" outlineLevel="0" collapsed="false">
      <c r="A3186" s="12" t="s">
        <v>170</v>
      </c>
      <c r="B3186" s="12" t="s">
        <v>35</v>
      </c>
      <c r="C3186" s="12" t="s">
        <v>280</v>
      </c>
      <c r="D3186" s="12" t="str">
        <f aca="false">INDEX('Country Tiers'!$C$2:$C$37,MATCH(C3186,'Country Tiers'!$A$2:$A$37,0))</f>
        <v>Tier 3</v>
      </c>
      <c r="E3186" s="12" t="n">
        <f aca="false">INDEX('Country Tiers'!$D$2:$D$37,MATCH(C3186,'Country Tiers'!$A$2:$A$37,0))</f>
        <v>1</v>
      </c>
    </row>
    <row r="3187" customFormat="false" ht="15" hidden="false" customHeight="false" outlineLevel="0" collapsed="false">
      <c r="A3187" s="12" t="s">
        <v>170</v>
      </c>
      <c r="B3187" s="12" t="s">
        <v>35</v>
      </c>
      <c r="C3187" s="12" t="s">
        <v>282</v>
      </c>
      <c r="D3187" s="12" t="str">
        <f aca="false">INDEX('Country Tiers'!$C$2:$C$37,MATCH(C3187,'Country Tiers'!$A$2:$A$37,0))</f>
        <v>Tier 3</v>
      </c>
      <c r="E3187" s="12" t="n">
        <f aca="false">INDEX('Country Tiers'!$D$2:$D$37,MATCH(C3187,'Country Tiers'!$A$2:$A$37,0))</f>
        <v>1</v>
      </c>
    </row>
    <row r="3188" customFormat="false" ht="15" hidden="false" customHeight="false" outlineLevel="0" collapsed="false">
      <c r="A3188" s="12" t="s">
        <v>170</v>
      </c>
      <c r="B3188" s="12" t="s">
        <v>35</v>
      </c>
      <c r="C3188" s="12" t="s">
        <v>283</v>
      </c>
      <c r="D3188" s="12" t="str">
        <f aca="false">INDEX('Country Tiers'!$C$2:$C$37,MATCH(C3188,'Country Tiers'!$A$2:$A$37,0))</f>
        <v>Tier 3</v>
      </c>
      <c r="E3188" s="12" t="n">
        <f aca="false">INDEX('Country Tiers'!$D$2:$D$37,MATCH(C3188,'Country Tiers'!$A$2:$A$37,0))</f>
        <v>1</v>
      </c>
    </row>
    <row r="3189" customFormat="false" ht="15" hidden="false" customHeight="false" outlineLevel="0" collapsed="false">
      <c r="A3189" s="12" t="s">
        <v>170</v>
      </c>
      <c r="B3189" s="12" t="s">
        <v>35</v>
      </c>
      <c r="C3189" s="12" t="s">
        <v>284</v>
      </c>
      <c r="D3189" s="12" t="str">
        <f aca="false">INDEX('Country Tiers'!$C$2:$C$37,MATCH(C3189,'Country Tiers'!$A$2:$A$37,0))</f>
        <v>Tier 3</v>
      </c>
      <c r="E3189" s="12" t="n">
        <f aca="false">INDEX('Country Tiers'!$D$2:$D$37,MATCH(C3189,'Country Tiers'!$A$2:$A$37,0))</f>
        <v>1</v>
      </c>
    </row>
    <row r="3190" customFormat="false" ht="15" hidden="false" customHeight="false" outlineLevel="0" collapsed="false">
      <c r="A3190" s="12" t="s">
        <v>170</v>
      </c>
      <c r="B3190" s="12" t="s">
        <v>35</v>
      </c>
      <c r="C3190" s="12" t="s">
        <v>285</v>
      </c>
      <c r="D3190" s="12" t="str">
        <f aca="false">INDEX('Country Tiers'!$C$2:$C$37,MATCH(C3190,'Country Tiers'!$A$2:$A$37,0))</f>
        <v>Tier 3</v>
      </c>
      <c r="E3190" s="12" t="n">
        <f aca="false">INDEX('Country Tiers'!$D$2:$D$37,MATCH(C3190,'Country Tiers'!$A$2:$A$37,0))</f>
        <v>1</v>
      </c>
    </row>
    <row r="3191" customFormat="false" ht="15" hidden="false" customHeight="false" outlineLevel="0" collapsed="false">
      <c r="A3191" s="12" t="s">
        <v>170</v>
      </c>
      <c r="B3191" s="12" t="s">
        <v>35</v>
      </c>
      <c r="C3191" s="12" t="s">
        <v>286</v>
      </c>
      <c r="D3191" s="12" t="str">
        <f aca="false">INDEX('Country Tiers'!$C$2:$C$37,MATCH(C3191,'Country Tiers'!$A$2:$A$37,0))</f>
        <v>Tier 1</v>
      </c>
      <c r="E3191" s="12" t="n">
        <f aca="false">INDEX('Country Tiers'!$D$2:$D$37,MATCH(C3191,'Country Tiers'!$A$2:$A$37,0))</f>
        <v>3</v>
      </c>
    </row>
    <row r="3192" customFormat="false" ht="15" hidden="false" customHeight="false" outlineLevel="0" collapsed="false">
      <c r="A3192" s="12" t="s">
        <v>170</v>
      </c>
      <c r="B3192" s="12" t="s">
        <v>35</v>
      </c>
      <c r="C3192" s="12" t="s">
        <v>287</v>
      </c>
      <c r="D3192" s="12" t="str">
        <f aca="false">INDEX('Country Tiers'!$C$2:$C$37,MATCH(C3192,'Country Tiers'!$A$2:$A$37,0))</f>
        <v>Tier 1</v>
      </c>
      <c r="E3192" s="12" t="n">
        <f aca="false">INDEX('Country Tiers'!$D$2:$D$37,MATCH(C3192,'Country Tiers'!$A$2:$A$37,0))</f>
        <v>3</v>
      </c>
    </row>
    <row r="3193" customFormat="false" ht="15" hidden="false" customHeight="false" outlineLevel="0" collapsed="false">
      <c r="A3193" s="12" t="s">
        <v>170</v>
      </c>
      <c r="B3193" s="12" t="s">
        <v>35</v>
      </c>
      <c r="C3193" s="12" t="s">
        <v>289</v>
      </c>
      <c r="D3193" s="12" t="str">
        <f aca="false">INDEX('Country Tiers'!$C$2:$C$37,MATCH(C3193,'Country Tiers'!$A$2:$A$37,0))</f>
        <v>Tier 3</v>
      </c>
      <c r="E3193" s="12" t="n">
        <f aca="false">INDEX('Country Tiers'!$D$2:$D$37,MATCH(C3193,'Country Tiers'!$A$2:$A$37,0))</f>
        <v>1</v>
      </c>
    </row>
    <row r="3194" customFormat="false" ht="15" hidden="false" customHeight="false" outlineLevel="0" collapsed="false">
      <c r="A3194" s="12" t="s">
        <v>170</v>
      </c>
      <c r="B3194" s="12" t="s">
        <v>35</v>
      </c>
      <c r="C3194" s="12" t="s">
        <v>290</v>
      </c>
      <c r="D3194" s="12" t="str">
        <f aca="false">INDEX('Country Tiers'!$C$2:$C$37,MATCH(C3194,'Country Tiers'!$A$2:$A$37,0))</f>
        <v>Tier 3</v>
      </c>
      <c r="E3194" s="12" t="n">
        <f aca="false">INDEX('Country Tiers'!$D$2:$D$37,MATCH(C3194,'Country Tiers'!$A$2:$A$37,0))</f>
        <v>1</v>
      </c>
    </row>
    <row r="3195" customFormat="false" ht="15" hidden="false" customHeight="false" outlineLevel="0" collapsed="false">
      <c r="A3195" s="12" t="s">
        <v>170</v>
      </c>
      <c r="B3195" s="12" t="s">
        <v>35</v>
      </c>
      <c r="C3195" s="12" t="s">
        <v>291</v>
      </c>
      <c r="D3195" s="12" t="str">
        <f aca="false">INDEX('Country Tiers'!$C$2:$C$37,MATCH(C3195,'Country Tiers'!$A$2:$A$37,0))</f>
        <v>Tier 3</v>
      </c>
      <c r="E3195" s="12" t="n">
        <f aca="false">INDEX('Country Tiers'!$D$2:$D$37,MATCH(C3195,'Country Tiers'!$A$2:$A$37,0))</f>
        <v>1</v>
      </c>
    </row>
    <row r="3196" customFormat="false" ht="15" hidden="false" customHeight="false" outlineLevel="0" collapsed="false">
      <c r="A3196" s="12" t="s">
        <v>170</v>
      </c>
      <c r="B3196" s="12" t="s">
        <v>35</v>
      </c>
      <c r="C3196" s="12" t="s">
        <v>292</v>
      </c>
      <c r="D3196" s="12" t="str">
        <f aca="false">INDEX('Country Tiers'!$C$2:$C$37,MATCH(C3196,'Country Tiers'!$A$2:$A$37,0))</f>
        <v>Tier 2</v>
      </c>
      <c r="E3196" s="12" t="n">
        <f aca="false">INDEX('Country Tiers'!$D$2:$D$37,MATCH(C3196,'Country Tiers'!$A$2:$A$37,0))</f>
        <v>2</v>
      </c>
    </row>
    <row r="3197" customFormat="false" ht="15" hidden="false" customHeight="false" outlineLevel="0" collapsed="false">
      <c r="A3197" s="12" t="s">
        <v>170</v>
      </c>
      <c r="B3197" s="12" t="s">
        <v>35</v>
      </c>
      <c r="C3197" s="12" t="s">
        <v>294</v>
      </c>
      <c r="D3197" s="12" t="str">
        <f aca="false">INDEX('Country Tiers'!$C$2:$C$37,MATCH(C3197,'Country Tiers'!$A$2:$A$37,0))</f>
        <v>Tier 3</v>
      </c>
      <c r="E3197" s="12" t="n">
        <f aca="false">INDEX('Country Tiers'!$D$2:$D$37,MATCH(C3197,'Country Tiers'!$A$2:$A$37,0))</f>
        <v>1</v>
      </c>
    </row>
    <row r="3198" customFormat="false" ht="15" hidden="false" customHeight="false" outlineLevel="0" collapsed="false">
      <c r="A3198" s="12" t="s">
        <v>170</v>
      </c>
      <c r="B3198" s="12" t="s">
        <v>35</v>
      </c>
      <c r="C3198" s="12" t="s">
        <v>295</v>
      </c>
      <c r="D3198" s="12" t="str">
        <f aca="false">INDEX('Country Tiers'!$C$2:$C$37,MATCH(C3198,'Country Tiers'!$A$2:$A$37,0))</f>
        <v>Tier 3</v>
      </c>
      <c r="E3198" s="12" t="n">
        <f aca="false">INDEX('Country Tiers'!$D$2:$D$37,MATCH(C3198,'Country Tiers'!$A$2:$A$37,0))</f>
        <v>1</v>
      </c>
    </row>
    <row r="3199" customFormat="false" ht="15" hidden="false" customHeight="false" outlineLevel="0" collapsed="false">
      <c r="A3199" s="12" t="s">
        <v>170</v>
      </c>
      <c r="B3199" s="12" t="s">
        <v>35</v>
      </c>
      <c r="C3199" s="12" t="s">
        <v>298</v>
      </c>
      <c r="D3199" s="12" t="str">
        <f aca="false">INDEX('Country Tiers'!$C$2:$C$37,MATCH(C3199,'Country Tiers'!$A$2:$A$37,0))</f>
        <v>Tier 1</v>
      </c>
      <c r="E3199" s="12" t="n">
        <f aca="false">INDEX('Country Tiers'!$D$2:$D$37,MATCH(C3199,'Country Tiers'!$A$2:$A$37,0))</f>
        <v>3</v>
      </c>
    </row>
    <row r="3200" customFormat="false" ht="15" hidden="false" customHeight="false" outlineLevel="0" collapsed="false">
      <c r="A3200" s="12" t="s">
        <v>170</v>
      </c>
      <c r="B3200" s="12" t="s">
        <v>35</v>
      </c>
      <c r="C3200" s="12" t="s">
        <v>299</v>
      </c>
      <c r="D3200" s="12" t="str">
        <f aca="false">INDEX('Country Tiers'!$C$2:$C$37,MATCH(C3200,'Country Tiers'!$A$2:$A$37,0))</f>
        <v>Tier 3</v>
      </c>
      <c r="E3200" s="12" t="n">
        <f aca="false">INDEX('Country Tiers'!$D$2:$D$37,MATCH(C3200,'Country Tiers'!$A$2:$A$37,0))</f>
        <v>1</v>
      </c>
    </row>
    <row r="3201" customFormat="false" ht="15" hidden="false" customHeight="false" outlineLevel="0" collapsed="false">
      <c r="A3201" s="12" t="s">
        <v>170</v>
      </c>
      <c r="B3201" s="12" t="s">
        <v>35</v>
      </c>
      <c r="C3201" s="12" t="s">
        <v>300</v>
      </c>
      <c r="D3201" s="12" t="str">
        <f aca="false">INDEX('Country Tiers'!$C$2:$C$37,MATCH(C3201,'Country Tiers'!$A$2:$A$37,0))</f>
        <v>Tier 3</v>
      </c>
      <c r="E3201" s="12" t="n">
        <f aca="false">INDEX('Country Tiers'!$D$2:$D$37,MATCH(C3201,'Country Tiers'!$A$2:$A$37,0))</f>
        <v>1</v>
      </c>
    </row>
    <row r="3202" customFormat="false" ht="15" hidden="false" customHeight="false" outlineLevel="0" collapsed="false">
      <c r="A3202" s="12" t="s">
        <v>170</v>
      </c>
      <c r="B3202" s="12" t="s">
        <v>35</v>
      </c>
      <c r="C3202" s="12" t="s">
        <v>301</v>
      </c>
      <c r="D3202" s="12" t="str">
        <f aca="false">INDEX('Country Tiers'!$C$2:$C$37,MATCH(C3202,'Country Tiers'!$A$2:$A$37,0))</f>
        <v>Tier 3</v>
      </c>
      <c r="E3202" s="12" t="n">
        <f aca="false">INDEX('Country Tiers'!$D$2:$D$37,MATCH(C3202,'Country Tiers'!$A$2:$A$37,0))</f>
        <v>1</v>
      </c>
    </row>
    <row r="3203" customFormat="false" ht="15" hidden="false" customHeight="false" outlineLevel="0" collapsed="false">
      <c r="A3203" s="12" t="s">
        <v>170</v>
      </c>
      <c r="B3203" s="12" t="s">
        <v>35</v>
      </c>
      <c r="C3203" s="12" t="s">
        <v>302</v>
      </c>
      <c r="D3203" s="12" t="str">
        <f aca="false">INDEX('Country Tiers'!$C$2:$C$37,MATCH(C3203,'Country Tiers'!$A$2:$A$37,0))</f>
        <v>Tier 3</v>
      </c>
      <c r="E3203" s="12" t="n">
        <f aca="false">INDEX('Country Tiers'!$D$2:$D$37,MATCH(C3203,'Country Tiers'!$A$2:$A$37,0))</f>
        <v>1</v>
      </c>
    </row>
    <row r="3204" customFormat="false" ht="15" hidden="false" customHeight="false" outlineLevel="0" collapsed="false">
      <c r="A3204" s="12" t="s">
        <v>170</v>
      </c>
      <c r="B3204" s="12" t="s">
        <v>35</v>
      </c>
      <c r="C3204" s="12" t="s">
        <v>305</v>
      </c>
      <c r="D3204" s="12" t="str">
        <f aca="false">INDEX('Country Tiers'!$C$2:$C$37,MATCH(C3204,'Country Tiers'!$A$2:$A$37,0))</f>
        <v>Tier 3</v>
      </c>
      <c r="E3204" s="12" t="n">
        <f aca="false">INDEX('Country Tiers'!$D$2:$D$37,MATCH(C3204,'Country Tiers'!$A$2:$A$37,0))</f>
        <v>1</v>
      </c>
    </row>
    <row r="3205" customFormat="false" ht="15" hidden="false" customHeight="false" outlineLevel="0" collapsed="false">
      <c r="A3205" s="12" t="s">
        <v>170</v>
      </c>
      <c r="B3205" s="12" t="s">
        <v>35</v>
      </c>
      <c r="C3205" s="12" t="s">
        <v>306</v>
      </c>
      <c r="D3205" s="12" t="str">
        <f aca="false">INDEX('Country Tiers'!$C$2:$C$37,MATCH(C3205,'Country Tiers'!$A$2:$A$37,0))</f>
        <v>Tier 3</v>
      </c>
      <c r="E3205" s="12" t="n">
        <f aca="false">INDEX('Country Tiers'!$D$2:$D$37,MATCH(C3205,'Country Tiers'!$A$2:$A$37,0))</f>
        <v>1</v>
      </c>
    </row>
    <row r="3206" customFormat="false" ht="15" hidden="false" customHeight="false" outlineLevel="0" collapsed="false">
      <c r="A3206" s="12" t="s">
        <v>170</v>
      </c>
      <c r="B3206" s="12" t="s">
        <v>35</v>
      </c>
      <c r="C3206" s="12" t="s">
        <v>307</v>
      </c>
      <c r="D3206" s="12" t="str">
        <f aca="false">INDEX('Country Tiers'!$C$2:$C$37,MATCH(C3206,'Country Tiers'!$A$2:$A$37,0))</f>
        <v>Tier 2</v>
      </c>
      <c r="E3206" s="12" t="n">
        <f aca="false">INDEX('Country Tiers'!$D$2:$D$37,MATCH(C3206,'Country Tiers'!$A$2:$A$37,0))</f>
        <v>2</v>
      </c>
    </row>
    <row r="3207" customFormat="false" ht="15" hidden="false" customHeight="false" outlineLevel="0" collapsed="false">
      <c r="A3207" s="12" t="s">
        <v>170</v>
      </c>
      <c r="B3207" s="12" t="s">
        <v>35</v>
      </c>
      <c r="C3207" s="12" t="s">
        <v>308</v>
      </c>
      <c r="D3207" s="12" t="str">
        <f aca="false">INDEX('Country Tiers'!$C$2:$C$37,MATCH(C3207,'Country Tiers'!$A$2:$A$37,0))</f>
        <v>Tier 3</v>
      </c>
      <c r="E3207" s="12" t="n">
        <f aca="false">INDEX('Country Tiers'!$D$2:$D$37,MATCH(C3207,'Country Tiers'!$A$2:$A$37,0))</f>
        <v>1</v>
      </c>
    </row>
    <row r="3208" customFormat="false" ht="15" hidden="false" customHeight="false" outlineLevel="0" collapsed="false">
      <c r="A3208" s="12" t="s">
        <v>170</v>
      </c>
      <c r="B3208" s="12" t="s">
        <v>35</v>
      </c>
      <c r="C3208" s="12" t="s">
        <v>309</v>
      </c>
      <c r="D3208" s="12" t="str">
        <f aca="false">INDEX('Country Tiers'!$C$2:$C$37,MATCH(C3208,'Country Tiers'!$A$2:$A$37,0))</f>
        <v>Tier 1</v>
      </c>
      <c r="E3208" s="12" t="n">
        <f aca="false">INDEX('Country Tiers'!$D$2:$D$37,MATCH(C3208,'Country Tiers'!$A$2:$A$37,0))</f>
        <v>3</v>
      </c>
    </row>
    <row r="3209" customFormat="false" ht="15" hidden="false" customHeight="false" outlineLevel="0" collapsed="false">
      <c r="A3209" s="12" t="s">
        <v>170</v>
      </c>
      <c r="B3209" s="12" t="s">
        <v>35</v>
      </c>
      <c r="C3209" s="12" t="s">
        <v>313</v>
      </c>
      <c r="D3209" s="12" t="str">
        <f aca="false">INDEX('Country Tiers'!$C$2:$C$37,MATCH(C3209,'Country Tiers'!$A$2:$A$37,0))</f>
        <v>Tier 1</v>
      </c>
      <c r="E3209" s="12" t="n">
        <f aca="false">INDEX('Country Tiers'!$D$2:$D$37,MATCH(C3209,'Country Tiers'!$A$2:$A$37,0))</f>
        <v>3</v>
      </c>
    </row>
    <row r="3210" customFormat="false" ht="15" hidden="false" customHeight="false" outlineLevel="0" collapsed="false">
      <c r="A3210" s="12" t="s">
        <v>170</v>
      </c>
      <c r="B3210" s="12" t="s">
        <v>56</v>
      </c>
      <c r="C3210" s="12" t="s">
        <v>274</v>
      </c>
      <c r="D3210" s="12" t="str">
        <f aca="false">INDEX('Country Tiers'!$C$2:$C$37,MATCH(C3210,'Country Tiers'!$A$2:$A$37,0))</f>
        <v>Tier 3</v>
      </c>
      <c r="E3210" s="12" t="n">
        <f aca="false">INDEX('Country Tiers'!$D$2:$D$37,MATCH(C3210,'Country Tiers'!$A$2:$A$37,0))</f>
        <v>1</v>
      </c>
    </row>
    <row r="3211" customFormat="false" ht="15" hidden="false" customHeight="false" outlineLevel="0" collapsed="false">
      <c r="A3211" s="12" t="s">
        <v>170</v>
      </c>
      <c r="B3211" s="12" t="s">
        <v>56</v>
      </c>
      <c r="C3211" s="12" t="s">
        <v>278</v>
      </c>
      <c r="D3211" s="12" t="str">
        <f aca="false">INDEX('Country Tiers'!$C$2:$C$37,MATCH(C3211,'Country Tiers'!$A$2:$A$37,0))</f>
        <v>Tier 3</v>
      </c>
      <c r="E3211" s="12" t="n">
        <f aca="false">INDEX('Country Tiers'!$D$2:$D$37,MATCH(C3211,'Country Tiers'!$A$2:$A$37,0))</f>
        <v>1</v>
      </c>
    </row>
    <row r="3212" customFormat="false" ht="15" hidden="false" customHeight="false" outlineLevel="0" collapsed="false">
      <c r="A3212" s="12" t="s">
        <v>170</v>
      </c>
      <c r="B3212" s="12" t="s">
        <v>56</v>
      </c>
      <c r="C3212" s="12" t="s">
        <v>280</v>
      </c>
      <c r="D3212" s="12" t="str">
        <f aca="false">INDEX('Country Tiers'!$C$2:$C$37,MATCH(C3212,'Country Tiers'!$A$2:$A$37,0))</f>
        <v>Tier 3</v>
      </c>
      <c r="E3212" s="12" t="n">
        <f aca="false">INDEX('Country Tiers'!$D$2:$D$37,MATCH(C3212,'Country Tiers'!$A$2:$A$37,0))</f>
        <v>1</v>
      </c>
    </row>
    <row r="3213" customFormat="false" ht="15" hidden="false" customHeight="false" outlineLevel="0" collapsed="false">
      <c r="A3213" s="12" t="s">
        <v>170</v>
      </c>
      <c r="B3213" s="12" t="s">
        <v>56</v>
      </c>
      <c r="C3213" s="12" t="s">
        <v>282</v>
      </c>
      <c r="D3213" s="12" t="str">
        <f aca="false">INDEX('Country Tiers'!$C$2:$C$37,MATCH(C3213,'Country Tiers'!$A$2:$A$37,0))</f>
        <v>Tier 3</v>
      </c>
      <c r="E3213" s="12" t="n">
        <f aca="false">INDEX('Country Tiers'!$D$2:$D$37,MATCH(C3213,'Country Tiers'!$A$2:$A$37,0))</f>
        <v>1</v>
      </c>
    </row>
    <row r="3214" customFormat="false" ht="15" hidden="false" customHeight="false" outlineLevel="0" collapsed="false">
      <c r="A3214" s="12" t="s">
        <v>170</v>
      </c>
      <c r="B3214" s="12" t="s">
        <v>56</v>
      </c>
      <c r="C3214" s="12" t="s">
        <v>283</v>
      </c>
      <c r="D3214" s="12" t="str">
        <f aca="false">INDEX('Country Tiers'!$C$2:$C$37,MATCH(C3214,'Country Tiers'!$A$2:$A$37,0))</f>
        <v>Tier 3</v>
      </c>
      <c r="E3214" s="12" t="n">
        <f aca="false">INDEX('Country Tiers'!$D$2:$D$37,MATCH(C3214,'Country Tiers'!$A$2:$A$37,0))</f>
        <v>1</v>
      </c>
    </row>
    <row r="3215" customFormat="false" ht="15" hidden="false" customHeight="false" outlineLevel="0" collapsed="false">
      <c r="A3215" s="12" t="s">
        <v>170</v>
      </c>
      <c r="B3215" s="12" t="s">
        <v>56</v>
      </c>
      <c r="C3215" s="12" t="s">
        <v>284</v>
      </c>
      <c r="D3215" s="12" t="str">
        <f aca="false">INDEX('Country Tiers'!$C$2:$C$37,MATCH(C3215,'Country Tiers'!$A$2:$A$37,0))</f>
        <v>Tier 3</v>
      </c>
      <c r="E3215" s="12" t="n">
        <f aca="false">INDEX('Country Tiers'!$D$2:$D$37,MATCH(C3215,'Country Tiers'!$A$2:$A$37,0))</f>
        <v>1</v>
      </c>
    </row>
    <row r="3216" customFormat="false" ht="15" hidden="false" customHeight="false" outlineLevel="0" collapsed="false">
      <c r="A3216" s="12" t="s">
        <v>170</v>
      </c>
      <c r="B3216" s="12" t="s">
        <v>56</v>
      </c>
      <c r="C3216" s="12" t="s">
        <v>285</v>
      </c>
      <c r="D3216" s="12" t="str">
        <f aca="false">INDEX('Country Tiers'!$C$2:$C$37,MATCH(C3216,'Country Tiers'!$A$2:$A$37,0))</f>
        <v>Tier 3</v>
      </c>
      <c r="E3216" s="12" t="n">
        <f aca="false">INDEX('Country Tiers'!$D$2:$D$37,MATCH(C3216,'Country Tiers'!$A$2:$A$37,0))</f>
        <v>1</v>
      </c>
    </row>
    <row r="3217" customFormat="false" ht="15" hidden="false" customHeight="false" outlineLevel="0" collapsed="false">
      <c r="A3217" s="12" t="s">
        <v>170</v>
      </c>
      <c r="B3217" s="12" t="s">
        <v>56</v>
      </c>
      <c r="C3217" s="12" t="s">
        <v>286</v>
      </c>
      <c r="D3217" s="12" t="str">
        <f aca="false">INDEX('Country Tiers'!$C$2:$C$37,MATCH(C3217,'Country Tiers'!$A$2:$A$37,0))</f>
        <v>Tier 1</v>
      </c>
      <c r="E3217" s="12" t="n">
        <f aca="false">INDEX('Country Tiers'!$D$2:$D$37,MATCH(C3217,'Country Tiers'!$A$2:$A$37,0))</f>
        <v>3</v>
      </c>
    </row>
    <row r="3218" customFormat="false" ht="15" hidden="false" customHeight="false" outlineLevel="0" collapsed="false">
      <c r="A3218" s="12" t="s">
        <v>170</v>
      </c>
      <c r="B3218" s="12" t="s">
        <v>56</v>
      </c>
      <c r="C3218" s="12" t="s">
        <v>287</v>
      </c>
      <c r="D3218" s="12" t="str">
        <f aca="false">INDEX('Country Tiers'!$C$2:$C$37,MATCH(C3218,'Country Tiers'!$A$2:$A$37,0))</f>
        <v>Tier 1</v>
      </c>
      <c r="E3218" s="12" t="n">
        <f aca="false">INDEX('Country Tiers'!$D$2:$D$37,MATCH(C3218,'Country Tiers'!$A$2:$A$37,0))</f>
        <v>3</v>
      </c>
    </row>
    <row r="3219" customFormat="false" ht="15" hidden="false" customHeight="false" outlineLevel="0" collapsed="false">
      <c r="A3219" s="12" t="s">
        <v>170</v>
      </c>
      <c r="B3219" s="12" t="s">
        <v>56</v>
      </c>
      <c r="C3219" s="12" t="s">
        <v>289</v>
      </c>
      <c r="D3219" s="12" t="str">
        <f aca="false">INDEX('Country Tiers'!$C$2:$C$37,MATCH(C3219,'Country Tiers'!$A$2:$A$37,0))</f>
        <v>Tier 3</v>
      </c>
      <c r="E3219" s="12" t="n">
        <f aca="false">INDEX('Country Tiers'!$D$2:$D$37,MATCH(C3219,'Country Tiers'!$A$2:$A$37,0))</f>
        <v>1</v>
      </c>
    </row>
    <row r="3220" customFormat="false" ht="15" hidden="false" customHeight="false" outlineLevel="0" collapsed="false">
      <c r="A3220" s="12" t="s">
        <v>170</v>
      </c>
      <c r="B3220" s="12" t="s">
        <v>56</v>
      </c>
      <c r="C3220" s="12" t="s">
        <v>290</v>
      </c>
      <c r="D3220" s="12" t="str">
        <f aca="false">INDEX('Country Tiers'!$C$2:$C$37,MATCH(C3220,'Country Tiers'!$A$2:$A$37,0))</f>
        <v>Tier 3</v>
      </c>
      <c r="E3220" s="12" t="n">
        <f aca="false">INDEX('Country Tiers'!$D$2:$D$37,MATCH(C3220,'Country Tiers'!$A$2:$A$37,0))</f>
        <v>1</v>
      </c>
    </row>
    <row r="3221" customFormat="false" ht="15" hidden="false" customHeight="false" outlineLevel="0" collapsed="false">
      <c r="A3221" s="12" t="s">
        <v>170</v>
      </c>
      <c r="B3221" s="12" t="s">
        <v>56</v>
      </c>
      <c r="C3221" s="12" t="s">
        <v>291</v>
      </c>
      <c r="D3221" s="12" t="str">
        <f aca="false">INDEX('Country Tiers'!$C$2:$C$37,MATCH(C3221,'Country Tiers'!$A$2:$A$37,0))</f>
        <v>Tier 3</v>
      </c>
      <c r="E3221" s="12" t="n">
        <f aca="false">INDEX('Country Tiers'!$D$2:$D$37,MATCH(C3221,'Country Tiers'!$A$2:$A$37,0))</f>
        <v>1</v>
      </c>
    </row>
    <row r="3222" customFormat="false" ht="15" hidden="false" customHeight="false" outlineLevel="0" collapsed="false">
      <c r="A3222" s="12" t="s">
        <v>170</v>
      </c>
      <c r="B3222" s="12" t="s">
        <v>56</v>
      </c>
      <c r="C3222" s="12" t="s">
        <v>292</v>
      </c>
      <c r="D3222" s="12" t="str">
        <f aca="false">INDEX('Country Tiers'!$C$2:$C$37,MATCH(C3222,'Country Tiers'!$A$2:$A$37,0))</f>
        <v>Tier 2</v>
      </c>
      <c r="E3222" s="12" t="n">
        <f aca="false">INDEX('Country Tiers'!$D$2:$D$37,MATCH(C3222,'Country Tiers'!$A$2:$A$37,0))</f>
        <v>2</v>
      </c>
    </row>
    <row r="3223" customFormat="false" ht="15" hidden="false" customHeight="false" outlineLevel="0" collapsed="false">
      <c r="A3223" s="12" t="s">
        <v>170</v>
      </c>
      <c r="B3223" s="12" t="s">
        <v>56</v>
      </c>
      <c r="C3223" s="12" t="s">
        <v>294</v>
      </c>
      <c r="D3223" s="12" t="str">
        <f aca="false">INDEX('Country Tiers'!$C$2:$C$37,MATCH(C3223,'Country Tiers'!$A$2:$A$37,0))</f>
        <v>Tier 3</v>
      </c>
      <c r="E3223" s="12" t="n">
        <f aca="false">INDEX('Country Tiers'!$D$2:$D$37,MATCH(C3223,'Country Tiers'!$A$2:$A$37,0))</f>
        <v>1</v>
      </c>
    </row>
    <row r="3224" customFormat="false" ht="15" hidden="false" customHeight="false" outlineLevel="0" collapsed="false">
      <c r="A3224" s="12" t="s">
        <v>170</v>
      </c>
      <c r="B3224" s="12" t="s">
        <v>56</v>
      </c>
      <c r="C3224" s="12" t="s">
        <v>295</v>
      </c>
      <c r="D3224" s="12" t="str">
        <f aca="false">INDEX('Country Tiers'!$C$2:$C$37,MATCH(C3224,'Country Tiers'!$A$2:$A$37,0))</f>
        <v>Tier 3</v>
      </c>
      <c r="E3224" s="12" t="n">
        <f aca="false">INDEX('Country Tiers'!$D$2:$D$37,MATCH(C3224,'Country Tiers'!$A$2:$A$37,0))</f>
        <v>1</v>
      </c>
    </row>
    <row r="3225" customFormat="false" ht="15" hidden="false" customHeight="false" outlineLevel="0" collapsed="false">
      <c r="A3225" s="12" t="s">
        <v>170</v>
      </c>
      <c r="B3225" s="12" t="s">
        <v>56</v>
      </c>
      <c r="C3225" s="12" t="s">
        <v>298</v>
      </c>
      <c r="D3225" s="12" t="str">
        <f aca="false">INDEX('Country Tiers'!$C$2:$C$37,MATCH(C3225,'Country Tiers'!$A$2:$A$37,0))</f>
        <v>Tier 1</v>
      </c>
      <c r="E3225" s="12" t="n">
        <f aca="false">INDEX('Country Tiers'!$D$2:$D$37,MATCH(C3225,'Country Tiers'!$A$2:$A$37,0))</f>
        <v>3</v>
      </c>
    </row>
    <row r="3226" customFormat="false" ht="15" hidden="false" customHeight="false" outlineLevel="0" collapsed="false">
      <c r="A3226" s="12" t="s">
        <v>170</v>
      </c>
      <c r="B3226" s="12" t="s">
        <v>56</v>
      </c>
      <c r="C3226" s="12" t="s">
        <v>299</v>
      </c>
      <c r="D3226" s="12" t="str">
        <f aca="false">INDEX('Country Tiers'!$C$2:$C$37,MATCH(C3226,'Country Tiers'!$A$2:$A$37,0))</f>
        <v>Tier 3</v>
      </c>
      <c r="E3226" s="12" t="n">
        <f aca="false">INDEX('Country Tiers'!$D$2:$D$37,MATCH(C3226,'Country Tiers'!$A$2:$A$37,0))</f>
        <v>1</v>
      </c>
    </row>
    <row r="3227" customFormat="false" ht="15" hidden="false" customHeight="false" outlineLevel="0" collapsed="false">
      <c r="A3227" s="12" t="s">
        <v>170</v>
      </c>
      <c r="B3227" s="12" t="s">
        <v>56</v>
      </c>
      <c r="C3227" s="12" t="s">
        <v>300</v>
      </c>
      <c r="D3227" s="12" t="str">
        <f aca="false">INDEX('Country Tiers'!$C$2:$C$37,MATCH(C3227,'Country Tiers'!$A$2:$A$37,0))</f>
        <v>Tier 3</v>
      </c>
      <c r="E3227" s="12" t="n">
        <f aca="false">INDEX('Country Tiers'!$D$2:$D$37,MATCH(C3227,'Country Tiers'!$A$2:$A$37,0))</f>
        <v>1</v>
      </c>
    </row>
    <row r="3228" customFormat="false" ht="15" hidden="false" customHeight="false" outlineLevel="0" collapsed="false">
      <c r="A3228" s="12" t="s">
        <v>170</v>
      </c>
      <c r="B3228" s="12" t="s">
        <v>56</v>
      </c>
      <c r="C3228" s="12" t="s">
        <v>301</v>
      </c>
      <c r="D3228" s="12" t="str">
        <f aca="false">INDEX('Country Tiers'!$C$2:$C$37,MATCH(C3228,'Country Tiers'!$A$2:$A$37,0))</f>
        <v>Tier 3</v>
      </c>
      <c r="E3228" s="12" t="n">
        <f aca="false">INDEX('Country Tiers'!$D$2:$D$37,MATCH(C3228,'Country Tiers'!$A$2:$A$37,0))</f>
        <v>1</v>
      </c>
    </row>
    <row r="3229" customFormat="false" ht="15" hidden="false" customHeight="false" outlineLevel="0" collapsed="false">
      <c r="A3229" s="12" t="s">
        <v>170</v>
      </c>
      <c r="B3229" s="12" t="s">
        <v>56</v>
      </c>
      <c r="C3229" s="12" t="s">
        <v>302</v>
      </c>
      <c r="D3229" s="12" t="str">
        <f aca="false">INDEX('Country Tiers'!$C$2:$C$37,MATCH(C3229,'Country Tiers'!$A$2:$A$37,0))</f>
        <v>Tier 3</v>
      </c>
      <c r="E3229" s="12" t="n">
        <f aca="false">INDEX('Country Tiers'!$D$2:$D$37,MATCH(C3229,'Country Tiers'!$A$2:$A$37,0))</f>
        <v>1</v>
      </c>
    </row>
    <row r="3230" customFormat="false" ht="15" hidden="false" customHeight="false" outlineLevel="0" collapsed="false">
      <c r="A3230" s="12" t="s">
        <v>170</v>
      </c>
      <c r="B3230" s="12" t="s">
        <v>56</v>
      </c>
      <c r="C3230" s="12" t="s">
        <v>305</v>
      </c>
      <c r="D3230" s="12" t="str">
        <f aca="false">INDEX('Country Tiers'!$C$2:$C$37,MATCH(C3230,'Country Tiers'!$A$2:$A$37,0))</f>
        <v>Tier 3</v>
      </c>
      <c r="E3230" s="12" t="n">
        <f aca="false">INDEX('Country Tiers'!$D$2:$D$37,MATCH(C3230,'Country Tiers'!$A$2:$A$37,0))</f>
        <v>1</v>
      </c>
    </row>
    <row r="3231" customFormat="false" ht="15" hidden="false" customHeight="false" outlineLevel="0" collapsed="false">
      <c r="A3231" s="12" t="s">
        <v>170</v>
      </c>
      <c r="B3231" s="12" t="s">
        <v>56</v>
      </c>
      <c r="C3231" s="12" t="s">
        <v>306</v>
      </c>
      <c r="D3231" s="12" t="str">
        <f aca="false">INDEX('Country Tiers'!$C$2:$C$37,MATCH(C3231,'Country Tiers'!$A$2:$A$37,0))</f>
        <v>Tier 3</v>
      </c>
      <c r="E3231" s="12" t="n">
        <f aca="false">INDEX('Country Tiers'!$D$2:$D$37,MATCH(C3231,'Country Tiers'!$A$2:$A$37,0))</f>
        <v>1</v>
      </c>
    </row>
    <row r="3232" customFormat="false" ht="15" hidden="false" customHeight="false" outlineLevel="0" collapsed="false">
      <c r="A3232" s="12" t="s">
        <v>170</v>
      </c>
      <c r="B3232" s="12" t="s">
        <v>56</v>
      </c>
      <c r="C3232" s="12" t="s">
        <v>307</v>
      </c>
      <c r="D3232" s="12" t="str">
        <f aca="false">INDEX('Country Tiers'!$C$2:$C$37,MATCH(C3232,'Country Tiers'!$A$2:$A$37,0))</f>
        <v>Tier 2</v>
      </c>
      <c r="E3232" s="12" t="n">
        <f aca="false">INDEX('Country Tiers'!$D$2:$D$37,MATCH(C3232,'Country Tiers'!$A$2:$A$37,0))</f>
        <v>2</v>
      </c>
    </row>
    <row r="3233" customFormat="false" ht="15" hidden="false" customHeight="false" outlineLevel="0" collapsed="false">
      <c r="A3233" s="12" t="s">
        <v>170</v>
      </c>
      <c r="B3233" s="12" t="s">
        <v>56</v>
      </c>
      <c r="C3233" s="12" t="s">
        <v>308</v>
      </c>
      <c r="D3233" s="12" t="str">
        <f aca="false">INDEX('Country Tiers'!$C$2:$C$37,MATCH(C3233,'Country Tiers'!$A$2:$A$37,0))</f>
        <v>Tier 3</v>
      </c>
      <c r="E3233" s="12" t="n">
        <f aca="false">INDEX('Country Tiers'!$D$2:$D$37,MATCH(C3233,'Country Tiers'!$A$2:$A$37,0))</f>
        <v>1</v>
      </c>
    </row>
    <row r="3234" customFormat="false" ht="15" hidden="false" customHeight="false" outlineLevel="0" collapsed="false">
      <c r="A3234" s="12" t="s">
        <v>170</v>
      </c>
      <c r="B3234" s="12" t="s">
        <v>56</v>
      </c>
      <c r="C3234" s="12" t="s">
        <v>313</v>
      </c>
      <c r="D3234" s="12" t="str">
        <f aca="false">INDEX('Country Tiers'!$C$2:$C$37,MATCH(C3234,'Country Tiers'!$A$2:$A$37,0))</f>
        <v>Tier 1</v>
      </c>
      <c r="E3234" s="12" t="n">
        <f aca="false">INDEX('Country Tiers'!$D$2:$D$37,MATCH(C3234,'Country Tiers'!$A$2:$A$37,0))</f>
        <v>3</v>
      </c>
    </row>
    <row r="3235" customFormat="false" ht="15" hidden="false" customHeight="false" outlineLevel="0" collapsed="false">
      <c r="A3235" s="12" t="s">
        <v>170</v>
      </c>
      <c r="B3235" s="12" t="s">
        <v>57</v>
      </c>
      <c r="C3235" s="12" t="s">
        <v>274</v>
      </c>
      <c r="D3235" s="12" t="str">
        <f aca="false">INDEX('Country Tiers'!$C$2:$C$37,MATCH(C3235,'Country Tiers'!$A$2:$A$37,0))</f>
        <v>Tier 3</v>
      </c>
      <c r="E3235" s="12" t="n">
        <f aca="false">INDEX('Country Tiers'!$D$2:$D$37,MATCH(C3235,'Country Tiers'!$A$2:$A$37,0))</f>
        <v>1</v>
      </c>
    </row>
    <row r="3236" customFormat="false" ht="15" hidden="false" customHeight="false" outlineLevel="0" collapsed="false">
      <c r="A3236" s="12" t="s">
        <v>170</v>
      </c>
      <c r="B3236" s="12" t="s">
        <v>57</v>
      </c>
      <c r="C3236" s="12" t="s">
        <v>278</v>
      </c>
      <c r="D3236" s="12" t="str">
        <f aca="false">INDEX('Country Tiers'!$C$2:$C$37,MATCH(C3236,'Country Tiers'!$A$2:$A$37,0))</f>
        <v>Tier 3</v>
      </c>
      <c r="E3236" s="12" t="n">
        <f aca="false">INDEX('Country Tiers'!$D$2:$D$37,MATCH(C3236,'Country Tiers'!$A$2:$A$37,0))</f>
        <v>1</v>
      </c>
    </row>
    <row r="3237" customFormat="false" ht="15" hidden="false" customHeight="false" outlineLevel="0" collapsed="false">
      <c r="A3237" s="12" t="s">
        <v>170</v>
      </c>
      <c r="B3237" s="12" t="s">
        <v>57</v>
      </c>
      <c r="C3237" s="12" t="s">
        <v>280</v>
      </c>
      <c r="D3237" s="12" t="str">
        <f aca="false">INDEX('Country Tiers'!$C$2:$C$37,MATCH(C3237,'Country Tiers'!$A$2:$A$37,0))</f>
        <v>Tier 3</v>
      </c>
      <c r="E3237" s="12" t="n">
        <f aca="false">INDEX('Country Tiers'!$D$2:$D$37,MATCH(C3237,'Country Tiers'!$A$2:$A$37,0))</f>
        <v>1</v>
      </c>
    </row>
    <row r="3238" customFormat="false" ht="15" hidden="false" customHeight="false" outlineLevel="0" collapsed="false">
      <c r="A3238" s="12" t="s">
        <v>170</v>
      </c>
      <c r="B3238" s="12" t="s">
        <v>57</v>
      </c>
      <c r="C3238" s="12" t="s">
        <v>282</v>
      </c>
      <c r="D3238" s="12" t="str">
        <f aca="false">INDEX('Country Tiers'!$C$2:$C$37,MATCH(C3238,'Country Tiers'!$A$2:$A$37,0))</f>
        <v>Tier 3</v>
      </c>
      <c r="E3238" s="12" t="n">
        <f aca="false">INDEX('Country Tiers'!$D$2:$D$37,MATCH(C3238,'Country Tiers'!$A$2:$A$37,0))</f>
        <v>1</v>
      </c>
    </row>
    <row r="3239" customFormat="false" ht="15" hidden="false" customHeight="false" outlineLevel="0" collapsed="false">
      <c r="A3239" s="12" t="s">
        <v>170</v>
      </c>
      <c r="B3239" s="12" t="s">
        <v>57</v>
      </c>
      <c r="C3239" s="12" t="s">
        <v>283</v>
      </c>
      <c r="D3239" s="12" t="str">
        <f aca="false">INDEX('Country Tiers'!$C$2:$C$37,MATCH(C3239,'Country Tiers'!$A$2:$A$37,0))</f>
        <v>Tier 3</v>
      </c>
      <c r="E3239" s="12" t="n">
        <f aca="false">INDEX('Country Tiers'!$D$2:$D$37,MATCH(C3239,'Country Tiers'!$A$2:$A$37,0))</f>
        <v>1</v>
      </c>
    </row>
    <row r="3240" customFormat="false" ht="15" hidden="false" customHeight="false" outlineLevel="0" collapsed="false">
      <c r="A3240" s="12" t="s">
        <v>170</v>
      </c>
      <c r="B3240" s="12" t="s">
        <v>57</v>
      </c>
      <c r="C3240" s="12" t="s">
        <v>284</v>
      </c>
      <c r="D3240" s="12" t="str">
        <f aca="false">INDEX('Country Tiers'!$C$2:$C$37,MATCH(C3240,'Country Tiers'!$A$2:$A$37,0))</f>
        <v>Tier 3</v>
      </c>
      <c r="E3240" s="12" t="n">
        <f aca="false">INDEX('Country Tiers'!$D$2:$D$37,MATCH(C3240,'Country Tiers'!$A$2:$A$37,0))</f>
        <v>1</v>
      </c>
    </row>
    <row r="3241" customFormat="false" ht="15" hidden="false" customHeight="false" outlineLevel="0" collapsed="false">
      <c r="A3241" s="12" t="s">
        <v>170</v>
      </c>
      <c r="B3241" s="12" t="s">
        <v>57</v>
      </c>
      <c r="C3241" s="12" t="s">
        <v>285</v>
      </c>
      <c r="D3241" s="12" t="str">
        <f aca="false">INDEX('Country Tiers'!$C$2:$C$37,MATCH(C3241,'Country Tiers'!$A$2:$A$37,0))</f>
        <v>Tier 3</v>
      </c>
      <c r="E3241" s="12" t="n">
        <f aca="false">INDEX('Country Tiers'!$D$2:$D$37,MATCH(C3241,'Country Tiers'!$A$2:$A$37,0))</f>
        <v>1</v>
      </c>
    </row>
    <row r="3242" customFormat="false" ht="15" hidden="false" customHeight="false" outlineLevel="0" collapsed="false">
      <c r="A3242" s="12" t="s">
        <v>170</v>
      </c>
      <c r="B3242" s="12" t="s">
        <v>57</v>
      </c>
      <c r="C3242" s="12" t="s">
        <v>286</v>
      </c>
      <c r="D3242" s="12" t="str">
        <f aca="false">INDEX('Country Tiers'!$C$2:$C$37,MATCH(C3242,'Country Tiers'!$A$2:$A$37,0))</f>
        <v>Tier 1</v>
      </c>
      <c r="E3242" s="12" t="n">
        <f aca="false">INDEX('Country Tiers'!$D$2:$D$37,MATCH(C3242,'Country Tiers'!$A$2:$A$37,0))</f>
        <v>3</v>
      </c>
    </row>
    <row r="3243" customFormat="false" ht="15" hidden="false" customHeight="false" outlineLevel="0" collapsed="false">
      <c r="A3243" s="12" t="s">
        <v>170</v>
      </c>
      <c r="B3243" s="12" t="s">
        <v>57</v>
      </c>
      <c r="C3243" s="12" t="s">
        <v>287</v>
      </c>
      <c r="D3243" s="12" t="str">
        <f aca="false">INDEX('Country Tiers'!$C$2:$C$37,MATCH(C3243,'Country Tiers'!$A$2:$A$37,0))</f>
        <v>Tier 1</v>
      </c>
      <c r="E3243" s="12" t="n">
        <f aca="false">INDEX('Country Tiers'!$D$2:$D$37,MATCH(C3243,'Country Tiers'!$A$2:$A$37,0))</f>
        <v>3</v>
      </c>
    </row>
    <row r="3244" customFormat="false" ht="15" hidden="false" customHeight="false" outlineLevel="0" collapsed="false">
      <c r="A3244" s="12" t="s">
        <v>170</v>
      </c>
      <c r="B3244" s="12" t="s">
        <v>57</v>
      </c>
      <c r="C3244" s="12" t="s">
        <v>289</v>
      </c>
      <c r="D3244" s="12" t="str">
        <f aca="false">INDEX('Country Tiers'!$C$2:$C$37,MATCH(C3244,'Country Tiers'!$A$2:$A$37,0))</f>
        <v>Tier 3</v>
      </c>
      <c r="E3244" s="12" t="n">
        <f aca="false">INDEX('Country Tiers'!$D$2:$D$37,MATCH(C3244,'Country Tiers'!$A$2:$A$37,0))</f>
        <v>1</v>
      </c>
    </row>
    <row r="3245" customFormat="false" ht="15" hidden="false" customHeight="false" outlineLevel="0" collapsed="false">
      <c r="A3245" s="12" t="s">
        <v>170</v>
      </c>
      <c r="B3245" s="12" t="s">
        <v>57</v>
      </c>
      <c r="C3245" s="12" t="s">
        <v>290</v>
      </c>
      <c r="D3245" s="12" t="str">
        <f aca="false">INDEX('Country Tiers'!$C$2:$C$37,MATCH(C3245,'Country Tiers'!$A$2:$A$37,0))</f>
        <v>Tier 3</v>
      </c>
      <c r="E3245" s="12" t="n">
        <f aca="false">INDEX('Country Tiers'!$D$2:$D$37,MATCH(C3245,'Country Tiers'!$A$2:$A$37,0))</f>
        <v>1</v>
      </c>
    </row>
    <row r="3246" customFormat="false" ht="15" hidden="false" customHeight="false" outlineLevel="0" collapsed="false">
      <c r="A3246" s="12" t="s">
        <v>170</v>
      </c>
      <c r="B3246" s="12" t="s">
        <v>57</v>
      </c>
      <c r="C3246" s="12" t="s">
        <v>291</v>
      </c>
      <c r="D3246" s="12" t="str">
        <f aca="false">INDEX('Country Tiers'!$C$2:$C$37,MATCH(C3246,'Country Tiers'!$A$2:$A$37,0))</f>
        <v>Tier 3</v>
      </c>
      <c r="E3246" s="12" t="n">
        <f aca="false">INDEX('Country Tiers'!$D$2:$D$37,MATCH(C3246,'Country Tiers'!$A$2:$A$37,0))</f>
        <v>1</v>
      </c>
    </row>
    <row r="3247" customFormat="false" ht="15" hidden="false" customHeight="false" outlineLevel="0" collapsed="false">
      <c r="A3247" s="12" t="s">
        <v>170</v>
      </c>
      <c r="B3247" s="12" t="s">
        <v>57</v>
      </c>
      <c r="C3247" s="12" t="s">
        <v>292</v>
      </c>
      <c r="D3247" s="12" t="str">
        <f aca="false">INDEX('Country Tiers'!$C$2:$C$37,MATCH(C3247,'Country Tiers'!$A$2:$A$37,0))</f>
        <v>Tier 2</v>
      </c>
      <c r="E3247" s="12" t="n">
        <f aca="false">INDEX('Country Tiers'!$D$2:$D$37,MATCH(C3247,'Country Tiers'!$A$2:$A$37,0))</f>
        <v>2</v>
      </c>
    </row>
    <row r="3248" customFormat="false" ht="15" hidden="false" customHeight="false" outlineLevel="0" collapsed="false">
      <c r="A3248" s="12" t="s">
        <v>170</v>
      </c>
      <c r="B3248" s="12" t="s">
        <v>57</v>
      </c>
      <c r="C3248" s="12" t="s">
        <v>294</v>
      </c>
      <c r="D3248" s="12" t="str">
        <f aca="false">INDEX('Country Tiers'!$C$2:$C$37,MATCH(C3248,'Country Tiers'!$A$2:$A$37,0))</f>
        <v>Tier 3</v>
      </c>
      <c r="E3248" s="12" t="n">
        <f aca="false">INDEX('Country Tiers'!$D$2:$D$37,MATCH(C3248,'Country Tiers'!$A$2:$A$37,0))</f>
        <v>1</v>
      </c>
    </row>
    <row r="3249" customFormat="false" ht="15" hidden="false" customHeight="false" outlineLevel="0" collapsed="false">
      <c r="A3249" s="12" t="s">
        <v>170</v>
      </c>
      <c r="B3249" s="12" t="s">
        <v>57</v>
      </c>
      <c r="C3249" s="12" t="s">
        <v>295</v>
      </c>
      <c r="D3249" s="12" t="str">
        <f aca="false">INDEX('Country Tiers'!$C$2:$C$37,MATCH(C3249,'Country Tiers'!$A$2:$A$37,0))</f>
        <v>Tier 3</v>
      </c>
      <c r="E3249" s="12" t="n">
        <f aca="false">INDEX('Country Tiers'!$D$2:$D$37,MATCH(C3249,'Country Tiers'!$A$2:$A$37,0))</f>
        <v>1</v>
      </c>
    </row>
    <row r="3250" customFormat="false" ht="15" hidden="false" customHeight="false" outlineLevel="0" collapsed="false">
      <c r="A3250" s="12" t="s">
        <v>170</v>
      </c>
      <c r="B3250" s="12" t="s">
        <v>57</v>
      </c>
      <c r="C3250" s="12" t="s">
        <v>298</v>
      </c>
      <c r="D3250" s="12" t="str">
        <f aca="false">INDEX('Country Tiers'!$C$2:$C$37,MATCH(C3250,'Country Tiers'!$A$2:$A$37,0))</f>
        <v>Tier 1</v>
      </c>
      <c r="E3250" s="12" t="n">
        <f aca="false">INDEX('Country Tiers'!$D$2:$D$37,MATCH(C3250,'Country Tiers'!$A$2:$A$37,0))</f>
        <v>3</v>
      </c>
    </row>
    <row r="3251" customFormat="false" ht="15" hidden="false" customHeight="false" outlineLevel="0" collapsed="false">
      <c r="A3251" s="12" t="s">
        <v>170</v>
      </c>
      <c r="B3251" s="12" t="s">
        <v>57</v>
      </c>
      <c r="C3251" s="12" t="s">
        <v>299</v>
      </c>
      <c r="D3251" s="12" t="str">
        <f aca="false">INDEX('Country Tiers'!$C$2:$C$37,MATCH(C3251,'Country Tiers'!$A$2:$A$37,0))</f>
        <v>Tier 3</v>
      </c>
      <c r="E3251" s="12" t="n">
        <f aca="false">INDEX('Country Tiers'!$D$2:$D$37,MATCH(C3251,'Country Tiers'!$A$2:$A$37,0))</f>
        <v>1</v>
      </c>
    </row>
    <row r="3252" customFormat="false" ht="15" hidden="false" customHeight="false" outlineLevel="0" collapsed="false">
      <c r="A3252" s="12" t="s">
        <v>170</v>
      </c>
      <c r="B3252" s="12" t="s">
        <v>57</v>
      </c>
      <c r="C3252" s="12" t="s">
        <v>300</v>
      </c>
      <c r="D3252" s="12" t="str">
        <f aca="false">INDEX('Country Tiers'!$C$2:$C$37,MATCH(C3252,'Country Tiers'!$A$2:$A$37,0))</f>
        <v>Tier 3</v>
      </c>
      <c r="E3252" s="12" t="n">
        <f aca="false">INDEX('Country Tiers'!$D$2:$D$37,MATCH(C3252,'Country Tiers'!$A$2:$A$37,0))</f>
        <v>1</v>
      </c>
    </row>
    <row r="3253" customFormat="false" ht="15" hidden="false" customHeight="false" outlineLevel="0" collapsed="false">
      <c r="A3253" s="12" t="s">
        <v>170</v>
      </c>
      <c r="B3253" s="12" t="s">
        <v>57</v>
      </c>
      <c r="C3253" s="12" t="s">
        <v>301</v>
      </c>
      <c r="D3253" s="12" t="str">
        <f aca="false">INDEX('Country Tiers'!$C$2:$C$37,MATCH(C3253,'Country Tiers'!$A$2:$A$37,0))</f>
        <v>Tier 3</v>
      </c>
      <c r="E3253" s="12" t="n">
        <f aca="false">INDEX('Country Tiers'!$D$2:$D$37,MATCH(C3253,'Country Tiers'!$A$2:$A$37,0))</f>
        <v>1</v>
      </c>
    </row>
    <row r="3254" customFormat="false" ht="15" hidden="false" customHeight="false" outlineLevel="0" collapsed="false">
      <c r="A3254" s="12" t="s">
        <v>170</v>
      </c>
      <c r="B3254" s="12" t="s">
        <v>57</v>
      </c>
      <c r="C3254" s="12" t="s">
        <v>302</v>
      </c>
      <c r="D3254" s="12" t="str">
        <f aca="false">INDEX('Country Tiers'!$C$2:$C$37,MATCH(C3254,'Country Tiers'!$A$2:$A$37,0))</f>
        <v>Tier 3</v>
      </c>
      <c r="E3254" s="12" t="n">
        <f aca="false">INDEX('Country Tiers'!$D$2:$D$37,MATCH(C3254,'Country Tiers'!$A$2:$A$37,0))</f>
        <v>1</v>
      </c>
    </row>
    <row r="3255" customFormat="false" ht="15" hidden="false" customHeight="false" outlineLevel="0" collapsed="false">
      <c r="A3255" s="12" t="s">
        <v>170</v>
      </c>
      <c r="B3255" s="12" t="s">
        <v>57</v>
      </c>
      <c r="C3255" s="12" t="s">
        <v>303</v>
      </c>
      <c r="D3255" s="12" t="str">
        <f aca="false">INDEX('Country Tiers'!$C$2:$C$37,MATCH(C3255,'Country Tiers'!$A$2:$A$37,0))</f>
        <v>Tier 2</v>
      </c>
      <c r="E3255" s="12" t="n">
        <f aca="false">INDEX('Country Tiers'!$D$2:$D$37,MATCH(C3255,'Country Tiers'!$A$2:$A$37,0))</f>
        <v>2</v>
      </c>
    </row>
    <row r="3256" customFormat="false" ht="15" hidden="false" customHeight="false" outlineLevel="0" collapsed="false">
      <c r="A3256" s="12" t="s">
        <v>170</v>
      </c>
      <c r="B3256" s="12" t="s">
        <v>57</v>
      </c>
      <c r="C3256" s="12" t="s">
        <v>305</v>
      </c>
      <c r="D3256" s="12" t="str">
        <f aca="false">INDEX('Country Tiers'!$C$2:$C$37,MATCH(C3256,'Country Tiers'!$A$2:$A$37,0))</f>
        <v>Tier 3</v>
      </c>
      <c r="E3256" s="12" t="n">
        <f aca="false">INDEX('Country Tiers'!$D$2:$D$37,MATCH(C3256,'Country Tiers'!$A$2:$A$37,0))</f>
        <v>1</v>
      </c>
    </row>
    <row r="3257" customFormat="false" ht="15" hidden="false" customHeight="false" outlineLevel="0" collapsed="false">
      <c r="A3257" s="12" t="s">
        <v>170</v>
      </c>
      <c r="B3257" s="12" t="s">
        <v>57</v>
      </c>
      <c r="C3257" s="12" t="s">
        <v>306</v>
      </c>
      <c r="D3257" s="12" t="str">
        <f aca="false">INDEX('Country Tiers'!$C$2:$C$37,MATCH(C3257,'Country Tiers'!$A$2:$A$37,0))</f>
        <v>Tier 3</v>
      </c>
      <c r="E3257" s="12" t="n">
        <f aca="false">INDEX('Country Tiers'!$D$2:$D$37,MATCH(C3257,'Country Tiers'!$A$2:$A$37,0))</f>
        <v>1</v>
      </c>
    </row>
    <row r="3258" customFormat="false" ht="15" hidden="false" customHeight="false" outlineLevel="0" collapsed="false">
      <c r="A3258" s="12" t="s">
        <v>170</v>
      </c>
      <c r="B3258" s="12" t="s">
        <v>57</v>
      </c>
      <c r="C3258" s="12" t="s">
        <v>307</v>
      </c>
      <c r="D3258" s="12" t="str">
        <f aca="false">INDEX('Country Tiers'!$C$2:$C$37,MATCH(C3258,'Country Tiers'!$A$2:$A$37,0))</f>
        <v>Tier 2</v>
      </c>
      <c r="E3258" s="12" t="n">
        <f aca="false">INDEX('Country Tiers'!$D$2:$D$37,MATCH(C3258,'Country Tiers'!$A$2:$A$37,0))</f>
        <v>2</v>
      </c>
    </row>
    <row r="3259" customFormat="false" ht="15" hidden="false" customHeight="false" outlineLevel="0" collapsed="false">
      <c r="A3259" s="12" t="s">
        <v>170</v>
      </c>
      <c r="B3259" s="12" t="s">
        <v>57</v>
      </c>
      <c r="C3259" s="12" t="s">
        <v>308</v>
      </c>
      <c r="D3259" s="12" t="str">
        <f aca="false">INDEX('Country Tiers'!$C$2:$C$37,MATCH(C3259,'Country Tiers'!$A$2:$A$37,0))</f>
        <v>Tier 3</v>
      </c>
      <c r="E3259" s="12" t="n">
        <f aca="false">INDEX('Country Tiers'!$D$2:$D$37,MATCH(C3259,'Country Tiers'!$A$2:$A$37,0))</f>
        <v>1</v>
      </c>
    </row>
    <row r="3260" customFormat="false" ht="15" hidden="false" customHeight="false" outlineLevel="0" collapsed="false">
      <c r="A3260" s="12" t="s">
        <v>170</v>
      </c>
      <c r="B3260" s="12" t="s">
        <v>57</v>
      </c>
      <c r="C3260" s="12" t="s">
        <v>309</v>
      </c>
      <c r="D3260" s="12" t="str">
        <f aca="false">INDEX('Country Tiers'!$C$2:$C$37,MATCH(C3260,'Country Tiers'!$A$2:$A$37,0))</f>
        <v>Tier 1</v>
      </c>
      <c r="E3260" s="12" t="n">
        <f aca="false">INDEX('Country Tiers'!$D$2:$D$37,MATCH(C3260,'Country Tiers'!$A$2:$A$37,0))</f>
        <v>3</v>
      </c>
    </row>
    <row r="3261" customFormat="false" ht="15" hidden="false" customHeight="false" outlineLevel="0" collapsed="false">
      <c r="A3261" s="12" t="s">
        <v>170</v>
      </c>
      <c r="B3261" s="12" t="s">
        <v>57</v>
      </c>
      <c r="C3261" s="12" t="s">
        <v>311</v>
      </c>
      <c r="D3261" s="12" t="str">
        <f aca="false">INDEX('Country Tiers'!$C$2:$C$37,MATCH(C3261,'Country Tiers'!$A$2:$A$37,0))</f>
        <v>Tier 1</v>
      </c>
      <c r="E3261" s="12" t="n">
        <f aca="false">INDEX('Country Tiers'!$D$2:$D$37,MATCH(C3261,'Country Tiers'!$A$2:$A$37,0))</f>
        <v>3</v>
      </c>
    </row>
    <row r="3262" customFormat="false" ht="15" hidden="false" customHeight="false" outlineLevel="0" collapsed="false">
      <c r="A3262" s="12" t="s">
        <v>170</v>
      </c>
      <c r="B3262" s="12" t="s">
        <v>57</v>
      </c>
      <c r="C3262" s="12" t="s">
        <v>313</v>
      </c>
      <c r="D3262" s="12" t="str">
        <f aca="false">INDEX('Country Tiers'!$C$2:$C$37,MATCH(C3262,'Country Tiers'!$A$2:$A$37,0))</f>
        <v>Tier 1</v>
      </c>
      <c r="E3262" s="12" t="n">
        <f aca="false">INDEX('Country Tiers'!$D$2:$D$37,MATCH(C3262,'Country Tiers'!$A$2:$A$37,0))</f>
        <v>3</v>
      </c>
    </row>
    <row r="3263" customFormat="false" ht="15" hidden="false" customHeight="false" outlineLevel="0" collapsed="false">
      <c r="A3263" s="12" t="s">
        <v>170</v>
      </c>
      <c r="B3263" s="12" t="s">
        <v>44</v>
      </c>
      <c r="C3263" s="12" t="s">
        <v>272</v>
      </c>
      <c r="D3263" s="12" t="str">
        <f aca="false">INDEX('Country Tiers'!$C$2:$C$37,MATCH(C3263,'Country Tiers'!$A$2:$A$37,0))</f>
        <v>Tier 2</v>
      </c>
      <c r="E3263" s="12" t="n">
        <f aca="false">INDEX('Country Tiers'!$D$2:$D$37,MATCH(C3263,'Country Tiers'!$A$2:$A$37,0))</f>
        <v>2</v>
      </c>
    </row>
    <row r="3264" customFormat="false" ht="15" hidden="false" customHeight="false" outlineLevel="0" collapsed="false">
      <c r="A3264" s="12" t="s">
        <v>170</v>
      </c>
      <c r="B3264" s="12" t="s">
        <v>44</v>
      </c>
      <c r="C3264" s="12" t="s">
        <v>274</v>
      </c>
      <c r="D3264" s="12" t="str">
        <f aca="false">INDEX('Country Tiers'!$C$2:$C$37,MATCH(C3264,'Country Tiers'!$A$2:$A$37,0))</f>
        <v>Tier 3</v>
      </c>
      <c r="E3264" s="12" t="n">
        <f aca="false">INDEX('Country Tiers'!$D$2:$D$37,MATCH(C3264,'Country Tiers'!$A$2:$A$37,0))</f>
        <v>1</v>
      </c>
    </row>
    <row r="3265" customFormat="false" ht="15" hidden="false" customHeight="false" outlineLevel="0" collapsed="false">
      <c r="A3265" s="12" t="s">
        <v>170</v>
      </c>
      <c r="B3265" s="12" t="s">
        <v>44</v>
      </c>
      <c r="C3265" s="12" t="s">
        <v>278</v>
      </c>
      <c r="D3265" s="12" t="str">
        <f aca="false">INDEX('Country Tiers'!$C$2:$C$37,MATCH(C3265,'Country Tiers'!$A$2:$A$37,0))</f>
        <v>Tier 3</v>
      </c>
      <c r="E3265" s="12" t="n">
        <f aca="false">INDEX('Country Tiers'!$D$2:$D$37,MATCH(C3265,'Country Tiers'!$A$2:$A$37,0))</f>
        <v>1</v>
      </c>
    </row>
    <row r="3266" customFormat="false" ht="15" hidden="false" customHeight="false" outlineLevel="0" collapsed="false">
      <c r="A3266" s="12" t="s">
        <v>170</v>
      </c>
      <c r="B3266" s="12" t="s">
        <v>44</v>
      </c>
      <c r="C3266" s="12" t="s">
        <v>280</v>
      </c>
      <c r="D3266" s="12" t="str">
        <f aca="false">INDEX('Country Tiers'!$C$2:$C$37,MATCH(C3266,'Country Tiers'!$A$2:$A$37,0))</f>
        <v>Tier 3</v>
      </c>
      <c r="E3266" s="12" t="n">
        <f aca="false">INDEX('Country Tiers'!$D$2:$D$37,MATCH(C3266,'Country Tiers'!$A$2:$A$37,0))</f>
        <v>1</v>
      </c>
    </row>
    <row r="3267" customFormat="false" ht="15" hidden="false" customHeight="false" outlineLevel="0" collapsed="false">
      <c r="A3267" s="12" t="s">
        <v>170</v>
      </c>
      <c r="B3267" s="12" t="s">
        <v>44</v>
      </c>
      <c r="C3267" s="12" t="s">
        <v>282</v>
      </c>
      <c r="D3267" s="12" t="str">
        <f aca="false">INDEX('Country Tiers'!$C$2:$C$37,MATCH(C3267,'Country Tiers'!$A$2:$A$37,0))</f>
        <v>Tier 3</v>
      </c>
      <c r="E3267" s="12" t="n">
        <f aca="false">INDEX('Country Tiers'!$D$2:$D$37,MATCH(C3267,'Country Tiers'!$A$2:$A$37,0))</f>
        <v>1</v>
      </c>
    </row>
    <row r="3268" customFormat="false" ht="15" hidden="false" customHeight="false" outlineLevel="0" collapsed="false">
      <c r="A3268" s="12" t="s">
        <v>170</v>
      </c>
      <c r="B3268" s="12" t="s">
        <v>44</v>
      </c>
      <c r="C3268" s="12" t="s">
        <v>283</v>
      </c>
      <c r="D3268" s="12" t="str">
        <f aca="false">INDEX('Country Tiers'!$C$2:$C$37,MATCH(C3268,'Country Tiers'!$A$2:$A$37,0))</f>
        <v>Tier 3</v>
      </c>
      <c r="E3268" s="12" t="n">
        <f aca="false">INDEX('Country Tiers'!$D$2:$D$37,MATCH(C3268,'Country Tiers'!$A$2:$A$37,0))</f>
        <v>1</v>
      </c>
    </row>
    <row r="3269" customFormat="false" ht="15" hidden="false" customHeight="false" outlineLevel="0" collapsed="false">
      <c r="A3269" s="12" t="s">
        <v>170</v>
      </c>
      <c r="B3269" s="12" t="s">
        <v>44</v>
      </c>
      <c r="C3269" s="12" t="s">
        <v>284</v>
      </c>
      <c r="D3269" s="12" t="str">
        <f aca="false">INDEX('Country Tiers'!$C$2:$C$37,MATCH(C3269,'Country Tiers'!$A$2:$A$37,0))</f>
        <v>Tier 3</v>
      </c>
      <c r="E3269" s="12" t="n">
        <f aca="false">INDEX('Country Tiers'!$D$2:$D$37,MATCH(C3269,'Country Tiers'!$A$2:$A$37,0))</f>
        <v>1</v>
      </c>
    </row>
    <row r="3270" customFormat="false" ht="15" hidden="false" customHeight="false" outlineLevel="0" collapsed="false">
      <c r="A3270" s="12" t="s">
        <v>170</v>
      </c>
      <c r="B3270" s="12" t="s">
        <v>44</v>
      </c>
      <c r="C3270" s="12" t="s">
        <v>285</v>
      </c>
      <c r="D3270" s="12" t="str">
        <f aca="false">INDEX('Country Tiers'!$C$2:$C$37,MATCH(C3270,'Country Tiers'!$A$2:$A$37,0))</f>
        <v>Tier 3</v>
      </c>
      <c r="E3270" s="12" t="n">
        <f aca="false">INDEX('Country Tiers'!$D$2:$D$37,MATCH(C3270,'Country Tiers'!$A$2:$A$37,0))</f>
        <v>1</v>
      </c>
    </row>
    <row r="3271" customFormat="false" ht="15" hidden="false" customHeight="false" outlineLevel="0" collapsed="false">
      <c r="A3271" s="12" t="s">
        <v>170</v>
      </c>
      <c r="B3271" s="12" t="s">
        <v>44</v>
      </c>
      <c r="C3271" s="12" t="s">
        <v>286</v>
      </c>
      <c r="D3271" s="12" t="str">
        <f aca="false">INDEX('Country Tiers'!$C$2:$C$37,MATCH(C3271,'Country Tiers'!$A$2:$A$37,0))</f>
        <v>Tier 1</v>
      </c>
      <c r="E3271" s="12" t="n">
        <f aca="false">INDEX('Country Tiers'!$D$2:$D$37,MATCH(C3271,'Country Tiers'!$A$2:$A$37,0))</f>
        <v>3</v>
      </c>
    </row>
    <row r="3272" customFormat="false" ht="15" hidden="false" customHeight="false" outlineLevel="0" collapsed="false">
      <c r="A3272" s="12" t="s">
        <v>170</v>
      </c>
      <c r="B3272" s="12" t="s">
        <v>44</v>
      </c>
      <c r="C3272" s="12" t="s">
        <v>287</v>
      </c>
      <c r="D3272" s="12" t="str">
        <f aca="false">INDEX('Country Tiers'!$C$2:$C$37,MATCH(C3272,'Country Tiers'!$A$2:$A$37,0))</f>
        <v>Tier 1</v>
      </c>
      <c r="E3272" s="12" t="n">
        <f aca="false">INDEX('Country Tiers'!$D$2:$D$37,MATCH(C3272,'Country Tiers'!$A$2:$A$37,0))</f>
        <v>3</v>
      </c>
    </row>
    <row r="3273" customFormat="false" ht="15" hidden="false" customHeight="false" outlineLevel="0" collapsed="false">
      <c r="A3273" s="12" t="s">
        <v>170</v>
      </c>
      <c r="B3273" s="12" t="s">
        <v>44</v>
      </c>
      <c r="C3273" s="12" t="s">
        <v>289</v>
      </c>
      <c r="D3273" s="12" t="str">
        <f aca="false">INDEX('Country Tiers'!$C$2:$C$37,MATCH(C3273,'Country Tiers'!$A$2:$A$37,0))</f>
        <v>Tier 3</v>
      </c>
      <c r="E3273" s="12" t="n">
        <f aca="false">INDEX('Country Tiers'!$D$2:$D$37,MATCH(C3273,'Country Tiers'!$A$2:$A$37,0))</f>
        <v>1</v>
      </c>
    </row>
    <row r="3274" customFormat="false" ht="15" hidden="false" customHeight="false" outlineLevel="0" collapsed="false">
      <c r="A3274" s="12" t="s">
        <v>170</v>
      </c>
      <c r="B3274" s="12" t="s">
        <v>44</v>
      </c>
      <c r="C3274" s="12" t="s">
        <v>290</v>
      </c>
      <c r="D3274" s="12" t="str">
        <f aca="false">INDEX('Country Tiers'!$C$2:$C$37,MATCH(C3274,'Country Tiers'!$A$2:$A$37,0))</f>
        <v>Tier 3</v>
      </c>
      <c r="E3274" s="12" t="n">
        <f aca="false">INDEX('Country Tiers'!$D$2:$D$37,MATCH(C3274,'Country Tiers'!$A$2:$A$37,0))</f>
        <v>1</v>
      </c>
    </row>
    <row r="3275" customFormat="false" ht="15" hidden="false" customHeight="false" outlineLevel="0" collapsed="false">
      <c r="A3275" s="12" t="s">
        <v>170</v>
      </c>
      <c r="B3275" s="12" t="s">
        <v>44</v>
      </c>
      <c r="C3275" s="12" t="s">
        <v>291</v>
      </c>
      <c r="D3275" s="12" t="str">
        <f aca="false">INDEX('Country Tiers'!$C$2:$C$37,MATCH(C3275,'Country Tiers'!$A$2:$A$37,0))</f>
        <v>Tier 3</v>
      </c>
      <c r="E3275" s="12" t="n">
        <f aca="false">INDEX('Country Tiers'!$D$2:$D$37,MATCH(C3275,'Country Tiers'!$A$2:$A$37,0))</f>
        <v>1</v>
      </c>
    </row>
    <row r="3276" customFormat="false" ht="15" hidden="false" customHeight="false" outlineLevel="0" collapsed="false">
      <c r="A3276" s="12" t="s">
        <v>170</v>
      </c>
      <c r="B3276" s="12" t="s">
        <v>44</v>
      </c>
      <c r="C3276" s="12" t="s">
        <v>292</v>
      </c>
      <c r="D3276" s="12" t="str">
        <f aca="false">INDEX('Country Tiers'!$C$2:$C$37,MATCH(C3276,'Country Tiers'!$A$2:$A$37,0))</f>
        <v>Tier 2</v>
      </c>
      <c r="E3276" s="12" t="n">
        <f aca="false">INDEX('Country Tiers'!$D$2:$D$37,MATCH(C3276,'Country Tiers'!$A$2:$A$37,0))</f>
        <v>2</v>
      </c>
    </row>
    <row r="3277" customFormat="false" ht="15" hidden="false" customHeight="false" outlineLevel="0" collapsed="false">
      <c r="A3277" s="12" t="s">
        <v>170</v>
      </c>
      <c r="B3277" s="12" t="s">
        <v>44</v>
      </c>
      <c r="C3277" s="12" t="s">
        <v>294</v>
      </c>
      <c r="D3277" s="12" t="str">
        <f aca="false">INDEX('Country Tiers'!$C$2:$C$37,MATCH(C3277,'Country Tiers'!$A$2:$A$37,0))</f>
        <v>Tier 3</v>
      </c>
      <c r="E3277" s="12" t="n">
        <f aca="false">INDEX('Country Tiers'!$D$2:$D$37,MATCH(C3277,'Country Tiers'!$A$2:$A$37,0))</f>
        <v>1</v>
      </c>
    </row>
    <row r="3278" customFormat="false" ht="15" hidden="false" customHeight="false" outlineLevel="0" collapsed="false">
      <c r="A3278" s="12" t="s">
        <v>170</v>
      </c>
      <c r="B3278" s="12" t="s">
        <v>44</v>
      </c>
      <c r="C3278" s="12" t="s">
        <v>295</v>
      </c>
      <c r="D3278" s="12" t="str">
        <f aca="false">INDEX('Country Tiers'!$C$2:$C$37,MATCH(C3278,'Country Tiers'!$A$2:$A$37,0))</f>
        <v>Tier 3</v>
      </c>
      <c r="E3278" s="12" t="n">
        <f aca="false">INDEX('Country Tiers'!$D$2:$D$37,MATCH(C3278,'Country Tiers'!$A$2:$A$37,0))</f>
        <v>1</v>
      </c>
    </row>
    <row r="3279" customFormat="false" ht="15" hidden="false" customHeight="false" outlineLevel="0" collapsed="false">
      <c r="A3279" s="12" t="s">
        <v>170</v>
      </c>
      <c r="B3279" s="12" t="s">
        <v>44</v>
      </c>
      <c r="C3279" s="12" t="s">
        <v>298</v>
      </c>
      <c r="D3279" s="12" t="str">
        <f aca="false">INDEX('Country Tiers'!$C$2:$C$37,MATCH(C3279,'Country Tiers'!$A$2:$A$37,0))</f>
        <v>Tier 1</v>
      </c>
      <c r="E3279" s="12" t="n">
        <f aca="false">INDEX('Country Tiers'!$D$2:$D$37,MATCH(C3279,'Country Tiers'!$A$2:$A$37,0))</f>
        <v>3</v>
      </c>
    </row>
    <row r="3280" customFormat="false" ht="15" hidden="false" customHeight="false" outlineLevel="0" collapsed="false">
      <c r="A3280" s="12" t="s">
        <v>170</v>
      </c>
      <c r="B3280" s="12" t="s">
        <v>44</v>
      </c>
      <c r="C3280" s="12" t="s">
        <v>299</v>
      </c>
      <c r="D3280" s="12" t="str">
        <f aca="false">INDEX('Country Tiers'!$C$2:$C$37,MATCH(C3280,'Country Tiers'!$A$2:$A$37,0))</f>
        <v>Tier 3</v>
      </c>
      <c r="E3280" s="12" t="n">
        <f aca="false">INDEX('Country Tiers'!$D$2:$D$37,MATCH(C3280,'Country Tiers'!$A$2:$A$37,0))</f>
        <v>1</v>
      </c>
    </row>
    <row r="3281" customFormat="false" ht="15" hidden="false" customHeight="false" outlineLevel="0" collapsed="false">
      <c r="A3281" s="12" t="s">
        <v>170</v>
      </c>
      <c r="B3281" s="12" t="s">
        <v>44</v>
      </c>
      <c r="C3281" s="12" t="s">
        <v>300</v>
      </c>
      <c r="D3281" s="12" t="str">
        <f aca="false">INDEX('Country Tiers'!$C$2:$C$37,MATCH(C3281,'Country Tiers'!$A$2:$A$37,0))</f>
        <v>Tier 3</v>
      </c>
      <c r="E3281" s="12" t="n">
        <f aca="false">INDEX('Country Tiers'!$D$2:$D$37,MATCH(C3281,'Country Tiers'!$A$2:$A$37,0))</f>
        <v>1</v>
      </c>
    </row>
    <row r="3282" customFormat="false" ht="15" hidden="false" customHeight="false" outlineLevel="0" collapsed="false">
      <c r="A3282" s="12" t="s">
        <v>170</v>
      </c>
      <c r="B3282" s="12" t="s">
        <v>44</v>
      </c>
      <c r="C3282" s="12" t="s">
        <v>301</v>
      </c>
      <c r="D3282" s="12" t="str">
        <f aca="false">INDEX('Country Tiers'!$C$2:$C$37,MATCH(C3282,'Country Tiers'!$A$2:$A$37,0))</f>
        <v>Tier 3</v>
      </c>
      <c r="E3282" s="12" t="n">
        <f aca="false">INDEX('Country Tiers'!$D$2:$D$37,MATCH(C3282,'Country Tiers'!$A$2:$A$37,0))</f>
        <v>1</v>
      </c>
    </row>
    <row r="3283" customFormat="false" ht="15" hidden="false" customHeight="false" outlineLevel="0" collapsed="false">
      <c r="A3283" s="12" t="s">
        <v>170</v>
      </c>
      <c r="B3283" s="12" t="s">
        <v>44</v>
      </c>
      <c r="C3283" s="12" t="s">
        <v>302</v>
      </c>
      <c r="D3283" s="12" t="str">
        <f aca="false">INDEX('Country Tiers'!$C$2:$C$37,MATCH(C3283,'Country Tiers'!$A$2:$A$37,0))</f>
        <v>Tier 3</v>
      </c>
      <c r="E3283" s="12" t="n">
        <f aca="false">INDEX('Country Tiers'!$D$2:$D$37,MATCH(C3283,'Country Tiers'!$A$2:$A$37,0))</f>
        <v>1</v>
      </c>
    </row>
    <row r="3284" customFormat="false" ht="15" hidden="false" customHeight="false" outlineLevel="0" collapsed="false">
      <c r="A3284" s="12" t="s">
        <v>170</v>
      </c>
      <c r="B3284" s="12" t="s">
        <v>44</v>
      </c>
      <c r="C3284" s="12" t="s">
        <v>305</v>
      </c>
      <c r="D3284" s="12" t="str">
        <f aca="false">INDEX('Country Tiers'!$C$2:$C$37,MATCH(C3284,'Country Tiers'!$A$2:$A$37,0))</f>
        <v>Tier 3</v>
      </c>
      <c r="E3284" s="12" t="n">
        <f aca="false">INDEX('Country Tiers'!$D$2:$D$37,MATCH(C3284,'Country Tiers'!$A$2:$A$37,0))</f>
        <v>1</v>
      </c>
    </row>
    <row r="3285" customFormat="false" ht="15" hidden="false" customHeight="false" outlineLevel="0" collapsed="false">
      <c r="A3285" s="12" t="s">
        <v>170</v>
      </c>
      <c r="B3285" s="12" t="s">
        <v>44</v>
      </c>
      <c r="C3285" s="12" t="s">
        <v>306</v>
      </c>
      <c r="D3285" s="12" t="str">
        <f aca="false">INDEX('Country Tiers'!$C$2:$C$37,MATCH(C3285,'Country Tiers'!$A$2:$A$37,0))</f>
        <v>Tier 3</v>
      </c>
      <c r="E3285" s="12" t="n">
        <f aca="false">INDEX('Country Tiers'!$D$2:$D$37,MATCH(C3285,'Country Tiers'!$A$2:$A$37,0))</f>
        <v>1</v>
      </c>
    </row>
    <row r="3286" customFormat="false" ht="15" hidden="false" customHeight="false" outlineLevel="0" collapsed="false">
      <c r="A3286" s="12" t="s">
        <v>170</v>
      </c>
      <c r="B3286" s="12" t="s">
        <v>44</v>
      </c>
      <c r="C3286" s="12" t="s">
        <v>307</v>
      </c>
      <c r="D3286" s="12" t="str">
        <f aca="false">INDEX('Country Tiers'!$C$2:$C$37,MATCH(C3286,'Country Tiers'!$A$2:$A$37,0))</f>
        <v>Tier 2</v>
      </c>
      <c r="E3286" s="12" t="n">
        <f aca="false">INDEX('Country Tiers'!$D$2:$D$37,MATCH(C3286,'Country Tiers'!$A$2:$A$37,0))</f>
        <v>2</v>
      </c>
    </row>
    <row r="3287" customFormat="false" ht="15" hidden="false" customHeight="false" outlineLevel="0" collapsed="false">
      <c r="A3287" s="12" t="s">
        <v>170</v>
      </c>
      <c r="B3287" s="12" t="s">
        <v>44</v>
      </c>
      <c r="C3287" s="12" t="s">
        <v>308</v>
      </c>
      <c r="D3287" s="12" t="str">
        <f aca="false">INDEX('Country Tiers'!$C$2:$C$37,MATCH(C3287,'Country Tiers'!$A$2:$A$37,0))</f>
        <v>Tier 3</v>
      </c>
      <c r="E3287" s="12" t="n">
        <f aca="false">INDEX('Country Tiers'!$D$2:$D$37,MATCH(C3287,'Country Tiers'!$A$2:$A$37,0))</f>
        <v>1</v>
      </c>
    </row>
    <row r="3288" customFormat="false" ht="15" hidden="false" customHeight="false" outlineLevel="0" collapsed="false">
      <c r="A3288" s="12" t="s">
        <v>170</v>
      </c>
      <c r="B3288" s="12" t="s">
        <v>44</v>
      </c>
      <c r="C3288" s="12" t="s">
        <v>309</v>
      </c>
      <c r="D3288" s="12" t="str">
        <f aca="false">INDEX('Country Tiers'!$C$2:$C$37,MATCH(C3288,'Country Tiers'!$A$2:$A$37,0))</f>
        <v>Tier 1</v>
      </c>
      <c r="E3288" s="12" t="n">
        <f aca="false">INDEX('Country Tiers'!$D$2:$D$37,MATCH(C3288,'Country Tiers'!$A$2:$A$37,0))</f>
        <v>3</v>
      </c>
    </row>
    <row r="3289" customFormat="false" ht="15" hidden="false" customHeight="false" outlineLevel="0" collapsed="false">
      <c r="A3289" s="12" t="s">
        <v>170</v>
      </c>
      <c r="B3289" s="12" t="s">
        <v>44</v>
      </c>
      <c r="C3289" s="12" t="s">
        <v>313</v>
      </c>
      <c r="D3289" s="12" t="str">
        <f aca="false">INDEX('Country Tiers'!$C$2:$C$37,MATCH(C3289,'Country Tiers'!$A$2:$A$37,0))</f>
        <v>Tier 1</v>
      </c>
      <c r="E3289" s="12" t="n">
        <f aca="false">INDEX('Country Tiers'!$D$2:$D$37,MATCH(C3289,'Country Tiers'!$A$2:$A$37,0))</f>
        <v>3</v>
      </c>
    </row>
    <row r="3290" customFormat="false" ht="15" hidden="false" customHeight="false" outlineLevel="0" collapsed="false">
      <c r="A3290" s="12" t="s">
        <v>170</v>
      </c>
      <c r="B3290" s="12" t="s">
        <v>63</v>
      </c>
      <c r="C3290" s="12" t="s">
        <v>311</v>
      </c>
      <c r="D3290" s="12" t="str">
        <f aca="false">INDEX('Country Tiers'!$C$2:$C$37,MATCH(C3290,'Country Tiers'!$A$2:$A$37,0))</f>
        <v>Tier 1</v>
      </c>
      <c r="E3290" s="12" t="n">
        <f aca="false">INDEX('Country Tiers'!$D$2:$D$37,MATCH(C3290,'Country Tiers'!$A$2:$A$37,0))</f>
        <v>3</v>
      </c>
    </row>
    <row r="3291" customFormat="false" ht="15" hidden="false" customHeight="false" outlineLevel="0" collapsed="false">
      <c r="A3291" s="12" t="s">
        <v>171</v>
      </c>
      <c r="B3291" s="12" t="s">
        <v>47</v>
      </c>
      <c r="C3291" s="12" t="s">
        <v>311</v>
      </c>
      <c r="D3291" s="12" t="str">
        <f aca="false">INDEX('Country Tiers'!$C$2:$C$37,MATCH(C3291,'Country Tiers'!$A$2:$A$37,0))</f>
        <v>Tier 1</v>
      </c>
      <c r="E3291" s="12" t="n">
        <f aca="false">INDEX('Country Tiers'!$D$2:$D$37,MATCH(C3291,'Country Tiers'!$A$2:$A$37,0))</f>
        <v>3</v>
      </c>
    </row>
    <row r="3292" customFormat="false" ht="15" hidden="false" customHeight="false" outlineLevel="0" collapsed="false">
      <c r="A3292" s="12" t="s">
        <v>171</v>
      </c>
      <c r="B3292" s="12" t="s">
        <v>44</v>
      </c>
      <c r="C3292" s="12" t="s">
        <v>311</v>
      </c>
      <c r="D3292" s="12" t="str">
        <f aca="false">INDEX('Country Tiers'!$C$2:$C$37,MATCH(C3292,'Country Tiers'!$A$2:$A$37,0))</f>
        <v>Tier 1</v>
      </c>
      <c r="E3292" s="12" t="n">
        <f aca="false">INDEX('Country Tiers'!$D$2:$D$37,MATCH(C3292,'Country Tiers'!$A$2:$A$37,0))</f>
        <v>3</v>
      </c>
    </row>
    <row r="3293" customFormat="false" ht="15" hidden="false" customHeight="false" outlineLevel="0" collapsed="false">
      <c r="A3293" s="12" t="s">
        <v>172</v>
      </c>
      <c r="B3293" s="12" t="s">
        <v>35</v>
      </c>
      <c r="C3293" s="12" t="s">
        <v>279</v>
      </c>
      <c r="D3293" s="12" t="str">
        <f aca="false">INDEX('Country Tiers'!$C$2:$C$37,MATCH(C3293,'Country Tiers'!$A$2:$A$37,0))</f>
        <v>Tier 1</v>
      </c>
      <c r="E3293" s="12" t="n">
        <f aca="false">INDEX('Country Tiers'!$D$2:$D$37,MATCH(C3293,'Country Tiers'!$A$2:$A$37,0))</f>
        <v>3</v>
      </c>
    </row>
    <row r="3294" customFormat="false" ht="15" hidden="false" customHeight="false" outlineLevel="0" collapsed="false">
      <c r="A3294" s="12" t="s">
        <v>172</v>
      </c>
      <c r="B3294" s="12" t="s">
        <v>57</v>
      </c>
      <c r="C3294" s="12" t="s">
        <v>311</v>
      </c>
      <c r="D3294" s="12" t="str">
        <f aca="false">INDEX('Country Tiers'!$C$2:$C$37,MATCH(C3294,'Country Tiers'!$A$2:$A$37,0))</f>
        <v>Tier 1</v>
      </c>
      <c r="E3294" s="12" t="n">
        <f aca="false">INDEX('Country Tiers'!$D$2:$D$37,MATCH(C3294,'Country Tiers'!$A$2:$A$37,0))</f>
        <v>3</v>
      </c>
    </row>
    <row r="3295" customFormat="false" ht="15" hidden="false" customHeight="false" outlineLevel="0" collapsed="false">
      <c r="A3295" s="12" t="s">
        <v>173</v>
      </c>
      <c r="B3295" s="12" t="s">
        <v>38</v>
      </c>
      <c r="C3295" s="12" t="s">
        <v>274</v>
      </c>
      <c r="D3295" s="12" t="str">
        <f aca="false">INDEX('Country Tiers'!$C$2:$C$37,MATCH(C3295,'Country Tiers'!$A$2:$A$37,0))</f>
        <v>Tier 3</v>
      </c>
      <c r="E3295" s="12" t="n">
        <f aca="false">INDEX('Country Tiers'!$D$2:$D$37,MATCH(C3295,'Country Tiers'!$A$2:$A$37,0))</f>
        <v>1</v>
      </c>
    </row>
    <row r="3296" customFormat="false" ht="15" hidden="false" customHeight="false" outlineLevel="0" collapsed="false">
      <c r="A3296" s="12" t="s">
        <v>173</v>
      </c>
      <c r="B3296" s="12" t="s">
        <v>38</v>
      </c>
      <c r="C3296" s="12" t="s">
        <v>277</v>
      </c>
      <c r="D3296" s="12" t="str">
        <f aca="false">INDEX('Country Tiers'!$C$2:$C$37,MATCH(C3296,'Country Tiers'!$A$2:$A$37,0))</f>
        <v>Tier 1</v>
      </c>
      <c r="E3296" s="12" t="n">
        <f aca="false">INDEX('Country Tiers'!$D$2:$D$37,MATCH(C3296,'Country Tiers'!$A$2:$A$37,0))</f>
        <v>3</v>
      </c>
    </row>
    <row r="3297" customFormat="false" ht="15" hidden="false" customHeight="false" outlineLevel="0" collapsed="false">
      <c r="A3297" s="12" t="s">
        <v>173</v>
      </c>
      <c r="B3297" s="12" t="s">
        <v>38</v>
      </c>
      <c r="C3297" s="12" t="s">
        <v>278</v>
      </c>
      <c r="D3297" s="12" t="str">
        <f aca="false">INDEX('Country Tiers'!$C$2:$C$37,MATCH(C3297,'Country Tiers'!$A$2:$A$37,0))</f>
        <v>Tier 3</v>
      </c>
      <c r="E3297" s="12" t="n">
        <f aca="false">INDEX('Country Tiers'!$D$2:$D$37,MATCH(C3297,'Country Tiers'!$A$2:$A$37,0))</f>
        <v>1</v>
      </c>
    </row>
    <row r="3298" customFormat="false" ht="15" hidden="false" customHeight="false" outlineLevel="0" collapsed="false">
      <c r="A3298" s="12" t="s">
        <v>173</v>
      </c>
      <c r="B3298" s="12" t="s">
        <v>38</v>
      </c>
      <c r="C3298" s="12" t="s">
        <v>282</v>
      </c>
      <c r="D3298" s="12" t="str">
        <f aca="false">INDEX('Country Tiers'!$C$2:$C$37,MATCH(C3298,'Country Tiers'!$A$2:$A$37,0))</f>
        <v>Tier 3</v>
      </c>
      <c r="E3298" s="12" t="n">
        <f aca="false">INDEX('Country Tiers'!$D$2:$D$37,MATCH(C3298,'Country Tiers'!$A$2:$A$37,0))</f>
        <v>1</v>
      </c>
    </row>
    <row r="3299" customFormat="false" ht="15" hidden="false" customHeight="false" outlineLevel="0" collapsed="false">
      <c r="A3299" s="12" t="s">
        <v>173</v>
      </c>
      <c r="B3299" s="12" t="s">
        <v>38</v>
      </c>
      <c r="C3299" s="12" t="s">
        <v>283</v>
      </c>
      <c r="D3299" s="12" t="str">
        <f aca="false">INDEX('Country Tiers'!$C$2:$C$37,MATCH(C3299,'Country Tiers'!$A$2:$A$37,0))</f>
        <v>Tier 3</v>
      </c>
      <c r="E3299" s="12" t="n">
        <f aca="false">INDEX('Country Tiers'!$D$2:$D$37,MATCH(C3299,'Country Tiers'!$A$2:$A$37,0))</f>
        <v>1</v>
      </c>
    </row>
    <row r="3300" customFormat="false" ht="15" hidden="false" customHeight="false" outlineLevel="0" collapsed="false">
      <c r="A3300" s="12" t="s">
        <v>173</v>
      </c>
      <c r="B3300" s="12" t="s">
        <v>38</v>
      </c>
      <c r="C3300" s="12" t="s">
        <v>284</v>
      </c>
      <c r="D3300" s="12" t="str">
        <f aca="false">INDEX('Country Tiers'!$C$2:$C$37,MATCH(C3300,'Country Tiers'!$A$2:$A$37,0))</f>
        <v>Tier 3</v>
      </c>
      <c r="E3300" s="12" t="n">
        <f aca="false">INDEX('Country Tiers'!$D$2:$D$37,MATCH(C3300,'Country Tiers'!$A$2:$A$37,0))</f>
        <v>1</v>
      </c>
    </row>
    <row r="3301" customFormat="false" ht="15" hidden="false" customHeight="false" outlineLevel="0" collapsed="false">
      <c r="A3301" s="12" t="s">
        <v>173</v>
      </c>
      <c r="B3301" s="12" t="s">
        <v>38</v>
      </c>
      <c r="C3301" s="12" t="s">
        <v>285</v>
      </c>
      <c r="D3301" s="12" t="str">
        <f aca="false">INDEX('Country Tiers'!$C$2:$C$37,MATCH(C3301,'Country Tiers'!$A$2:$A$37,0))</f>
        <v>Tier 3</v>
      </c>
      <c r="E3301" s="12" t="n">
        <f aca="false">INDEX('Country Tiers'!$D$2:$D$37,MATCH(C3301,'Country Tiers'!$A$2:$A$37,0))</f>
        <v>1</v>
      </c>
    </row>
    <row r="3302" customFormat="false" ht="15" hidden="false" customHeight="false" outlineLevel="0" collapsed="false">
      <c r="A3302" s="12" t="s">
        <v>173</v>
      </c>
      <c r="B3302" s="12" t="s">
        <v>38</v>
      </c>
      <c r="C3302" s="12" t="s">
        <v>286</v>
      </c>
      <c r="D3302" s="12" t="str">
        <f aca="false">INDEX('Country Tiers'!$C$2:$C$37,MATCH(C3302,'Country Tiers'!$A$2:$A$37,0))</f>
        <v>Tier 1</v>
      </c>
      <c r="E3302" s="12" t="n">
        <f aca="false">INDEX('Country Tiers'!$D$2:$D$37,MATCH(C3302,'Country Tiers'!$A$2:$A$37,0))</f>
        <v>3</v>
      </c>
    </row>
    <row r="3303" customFormat="false" ht="15" hidden="false" customHeight="false" outlineLevel="0" collapsed="false">
      <c r="A3303" s="12" t="s">
        <v>173</v>
      </c>
      <c r="B3303" s="12" t="s">
        <v>38</v>
      </c>
      <c r="C3303" s="12" t="s">
        <v>287</v>
      </c>
      <c r="D3303" s="12" t="str">
        <f aca="false">INDEX('Country Tiers'!$C$2:$C$37,MATCH(C3303,'Country Tiers'!$A$2:$A$37,0))</f>
        <v>Tier 1</v>
      </c>
      <c r="E3303" s="12" t="n">
        <f aca="false">INDEX('Country Tiers'!$D$2:$D$37,MATCH(C3303,'Country Tiers'!$A$2:$A$37,0))</f>
        <v>3</v>
      </c>
    </row>
    <row r="3304" customFormat="false" ht="15" hidden="false" customHeight="false" outlineLevel="0" collapsed="false">
      <c r="A3304" s="12" t="s">
        <v>173</v>
      </c>
      <c r="B3304" s="12" t="s">
        <v>38</v>
      </c>
      <c r="C3304" s="12" t="s">
        <v>288</v>
      </c>
      <c r="D3304" s="12" t="str">
        <f aca="false">INDEX('Country Tiers'!$C$2:$C$37,MATCH(C3304,'Country Tiers'!$A$2:$A$37,0))</f>
        <v>Tier 3</v>
      </c>
      <c r="E3304" s="12" t="n">
        <f aca="false">INDEX('Country Tiers'!$D$2:$D$37,MATCH(C3304,'Country Tiers'!$A$2:$A$37,0))</f>
        <v>1</v>
      </c>
    </row>
    <row r="3305" customFormat="false" ht="15" hidden="false" customHeight="false" outlineLevel="0" collapsed="false">
      <c r="A3305" s="12" t="s">
        <v>173</v>
      </c>
      <c r="B3305" s="12" t="s">
        <v>38</v>
      </c>
      <c r="C3305" s="12" t="s">
        <v>289</v>
      </c>
      <c r="D3305" s="12" t="str">
        <f aca="false">INDEX('Country Tiers'!$C$2:$C$37,MATCH(C3305,'Country Tiers'!$A$2:$A$37,0))</f>
        <v>Tier 3</v>
      </c>
      <c r="E3305" s="12" t="n">
        <f aca="false">INDEX('Country Tiers'!$D$2:$D$37,MATCH(C3305,'Country Tiers'!$A$2:$A$37,0))</f>
        <v>1</v>
      </c>
    </row>
    <row r="3306" customFormat="false" ht="15" hidden="false" customHeight="false" outlineLevel="0" collapsed="false">
      <c r="A3306" s="12" t="s">
        <v>173</v>
      </c>
      <c r="B3306" s="12" t="s">
        <v>38</v>
      </c>
      <c r="C3306" s="12" t="s">
        <v>290</v>
      </c>
      <c r="D3306" s="12" t="str">
        <f aca="false">INDEX('Country Tiers'!$C$2:$C$37,MATCH(C3306,'Country Tiers'!$A$2:$A$37,0))</f>
        <v>Tier 3</v>
      </c>
      <c r="E3306" s="12" t="n">
        <f aca="false">INDEX('Country Tiers'!$D$2:$D$37,MATCH(C3306,'Country Tiers'!$A$2:$A$37,0))</f>
        <v>1</v>
      </c>
    </row>
    <row r="3307" customFormat="false" ht="15" hidden="false" customHeight="false" outlineLevel="0" collapsed="false">
      <c r="A3307" s="12" t="s">
        <v>173</v>
      </c>
      <c r="B3307" s="12" t="s">
        <v>38</v>
      </c>
      <c r="C3307" s="12" t="s">
        <v>291</v>
      </c>
      <c r="D3307" s="12" t="str">
        <f aca="false">INDEX('Country Tiers'!$C$2:$C$37,MATCH(C3307,'Country Tiers'!$A$2:$A$37,0))</f>
        <v>Tier 3</v>
      </c>
      <c r="E3307" s="12" t="n">
        <f aca="false">INDEX('Country Tiers'!$D$2:$D$37,MATCH(C3307,'Country Tiers'!$A$2:$A$37,0))</f>
        <v>1</v>
      </c>
    </row>
    <row r="3308" customFormat="false" ht="15" hidden="false" customHeight="false" outlineLevel="0" collapsed="false">
      <c r="A3308" s="12" t="s">
        <v>173</v>
      </c>
      <c r="B3308" s="12" t="s">
        <v>38</v>
      </c>
      <c r="C3308" s="12" t="s">
        <v>292</v>
      </c>
      <c r="D3308" s="12" t="str">
        <f aca="false">INDEX('Country Tiers'!$C$2:$C$37,MATCH(C3308,'Country Tiers'!$A$2:$A$37,0))</f>
        <v>Tier 2</v>
      </c>
      <c r="E3308" s="12" t="n">
        <f aca="false">INDEX('Country Tiers'!$D$2:$D$37,MATCH(C3308,'Country Tiers'!$A$2:$A$37,0))</f>
        <v>2</v>
      </c>
    </row>
    <row r="3309" customFormat="false" ht="15" hidden="false" customHeight="false" outlineLevel="0" collapsed="false">
      <c r="A3309" s="12" t="s">
        <v>173</v>
      </c>
      <c r="B3309" s="12" t="s">
        <v>38</v>
      </c>
      <c r="C3309" s="12" t="s">
        <v>295</v>
      </c>
      <c r="D3309" s="12" t="str">
        <f aca="false">INDEX('Country Tiers'!$C$2:$C$37,MATCH(C3309,'Country Tiers'!$A$2:$A$37,0))</f>
        <v>Tier 3</v>
      </c>
      <c r="E3309" s="12" t="n">
        <f aca="false">INDEX('Country Tiers'!$D$2:$D$37,MATCH(C3309,'Country Tiers'!$A$2:$A$37,0))</f>
        <v>1</v>
      </c>
    </row>
    <row r="3310" customFormat="false" ht="15" hidden="false" customHeight="false" outlineLevel="0" collapsed="false">
      <c r="A3310" s="12" t="s">
        <v>173</v>
      </c>
      <c r="B3310" s="12" t="s">
        <v>38</v>
      </c>
      <c r="C3310" s="12" t="s">
        <v>296</v>
      </c>
      <c r="D3310" s="12" t="str">
        <f aca="false">INDEX('Country Tiers'!$C$2:$C$37,MATCH(C3310,'Country Tiers'!$A$2:$A$37,0))</f>
        <v>Tier 3</v>
      </c>
      <c r="E3310" s="12" t="n">
        <f aca="false">INDEX('Country Tiers'!$D$2:$D$37,MATCH(C3310,'Country Tiers'!$A$2:$A$37,0))</f>
        <v>1</v>
      </c>
    </row>
    <row r="3311" customFormat="false" ht="15" hidden="false" customHeight="false" outlineLevel="0" collapsed="false">
      <c r="A3311" s="12" t="s">
        <v>173</v>
      </c>
      <c r="B3311" s="12" t="s">
        <v>38</v>
      </c>
      <c r="C3311" s="12" t="s">
        <v>297</v>
      </c>
      <c r="D3311" s="12" t="str">
        <f aca="false">INDEX('Country Tiers'!$C$2:$C$37,MATCH(C3311,'Country Tiers'!$A$2:$A$37,0))</f>
        <v>Tier 2</v>
      </c>
      <c r="E3311" s="12" t="n">
        <f aca="false">INDEX('Country Tiers'!$D$2:$D$37,MATCH(C3311,'Country Tiers'!$A$2:$A$37,0))</f>
        <v>2</v>
      </c>
    </row>
    <row r="3312" customFormat="false" ht="15" hidden="false" customHeight="false" outlineLevel="0" collapsed="false">
      <c r="A3312" s="12" t="s">
        <v>173</v>
      </c>
      <c r="B3312" s="12" t="s">
        <v>38</v>
      </c>
      <c r="C3312" s="12" t="s">
        <v>298</v>
      </c>
      <c r="D3312" s="12" t="str">
        <f aca="false">INDEX('Country Tiers'!$C$2:$C$37,MATCH(C3312,'Country Tiers'!$A$2:$A$37,0))</f>
        <v>Tier 1</v>
      </c>
      <c r="E3312" s="12" t="n">
        <f aca="false">INDEX('Country Tiers'!$D$2:$D$37,MATCH(C3312,'Country Tiers'!$A$2:$A$37,0))</f>
        <v>3</v>
      </c>
    </row>
    <row r="3313" customFormat="false" ht="15" hidden="false" customHeight="false" outlineLevel="0" collapsed="false">
      <c r="A3313" s="12" t="s">
        <v>173</v>
      </c>
      <c r="B3313" s="12" t="s">
        <v>38</v>
      </c>
      <c r="C3313" s="12" t="s">
        <v>299</v>
      </c>
      <c r="D3313" s="12" t="str">
        <f aca="false">INDEX('Country Tiers'!$C$2:$C$37,MATCH(C3313,'Country Tiers'!$A$2:$A$37,0))</f>
        <v>Tier 3</v>
      </c>
      <c r="E3313" s="12" t="n">
        <f aca="false">INDEX('Country Tiers'!$D$2:$D$37,MATCH(C3313,'Country Tiers'!$A$2:$A$37,0))</f>
        <v>1</v>
      </c>
    </row>
    <row r="3314" customFormat="false" ht="15" hidden="false" customHeight="false" outlineLevel="0" collapsed="false">
      <c r="A3314" s="12" t="s">
        <v>173</v>
      </c>
      <c r="B3314" s="12" t="s">
        <v>38</v>
      </c>
      <c r="C3314" s="12" t="s">
        <v>300</v>
      </c>
      <c r="D3314" s="12" t="str">
        <f aca="false">INDEX('Country Tiers'!$C$2:$C$37,MATCH(C3314,'Country Tiers'!$A$2:$A$37,0))</f>
        <v>Tier 3</v>
      </c>
      <c r="E3314" s="12" t="n">
        <f aca="false">INDEX('Country Tiers'!$D$2:$D$37,MATCH(C3314,'Country Tiers'!$A$2:$A$37,0))</f>
        <v>1</v>
      </c>
    </row>
    <row r="3315" customFormat="false" ht="15" hidden="false" customHeight="false" outlineLevel="0" collapsed="false">
      <c r="A3315" s="12" t="s">
        <v>173</v>
      </c>
      <c r="B3315" s="12" t="s">
        <v>38</v>
      </c>
      <c r="C3315" s="12" t="s">
        <v>301</v>
      </c>
      <c r="D3315" s="12" t="str">
        <f aca="false">INDEX('Country Tiers'!$C$2:$C$37,MATCH(C3315,'Country Tiers'!$A$2:$A$37,0))</f>
        <v>Tier 3</v>
      </c>
      <c r="E3315" s="12" t="n">
        <f aca="false">INDEX('Country Tiers'!$D$2:$D$37,MATCH(C3315,'Country Tiers'!$A$2:$A$37,0))</f>
        <v>1</v>
      </c>
    </row>
    <row r="3316" customFormat="false" ht="15" hidden="false" customHeight="false" outlineLevel="0" collapsed="false">
      <c r="A3316" s="12" t="s">
        <v>173</v>
      </c>
      <c r="B3316" s="12" t="s">
        <v>38</v>
      </c>
      <c r="C3316" s="12" t="s">
        <v>302</v>
      </c>
      <c r="D3316" s="12" t="str">
        <f aca="false">INDEX('Country Tiers'!$C$2:$C$37,MATCH(C3316,'Country Tiers'!$A$2:$A$37,0))</f>
        <v>Tier 3</v>
      </c>
      <c r="E3316" s="12" t="n">
        <f aca="false">INDEX('Country Tiers'!$D$2:$D$37,MATCH(C3316,'Country Tiers'!$A$2:$A$37,0))</f>
        <v>1</v>
      </c>
    </row>
    <row r="3317" customFormat="false" ht="15" hidden="false" customHeight="false" outlineLevel="0" collapsed="false">
      <c r="A3317" s="12" t="s">
        <v>173</v>
      </c>
      <c r="B3317" s="12" t="s">
        <v>38</v>
      </c>
      <c r="C3317" s="12" t="s">
        <v>305</v>
      </c>
      <c r="D3317" s="12" t="str">
        <f aca="false">INDEX('Country Tiers'!$C$2:$C$37,MATCH(C3317,'Country Tiers'!$A$2:$A$37,0))</f>
        <v>Tier 3</v>
      </c>
      <c r="E3317" s="12" t="n">
        <f aca="false">INDEX('Country Tiers'!$D$2:$D$37,MATCH(C3317,'Country Tiers'!$A$2:$A$37,0))</f>
        <v>1</v>
      </c>
    </row>
    <row r="3318" customFormat="false" ht="15" hidden="false" customHeight="false" outlineLevel="0" collapsed="false">
      <c r="A3318" s="12" t="s">
        <v>173</v>
      </c>
      <c r="B3318" s="12" t="s">
        <v>38</v>
      </c>
      <c r="C3318" s="12" t="s">
        <v>306</v>
      </c>
      <c r="D3318" s="12" t="str">
        <f aca="false">INDEX('Country Tiers'!$C$2:$C$37,MATCH(C3318,'Country Tiers'!$A$2:$A$37,0))</f>
        <v>Tier 3</v>
      </c>
      <c r="E3318" s="12" t="n">
        <f aca="false">INDEX('Country Tiers'!$D$2:$D$37,MATCH(C3318,'Country Tiers'!$A$2:$A$37,0))</f>
        <v>1</v>
      </c>
    </row>
    <row r="3319" customFormat="false" ht="15" hidden="false" customHeight="false" outlineLevel="0" collapsed="false">
      <c r="A3319" s="12" t="s">
        <v>173</v>
      </c>
      <c r="B3319" s="12" t="s">
        <v>38</v>
      </c>
      <c r="C3319" s="12" t="s">
        <v>307</v>
      </c>
      <c r="D3319" s="12" t="str">
        <f aca="false">INDEX('Country Tiers'!$C$2:$C$37,MATCH(C3319,'Country Tiers'!$A$2:$A$37,0))</f>
        <v>Tier 2</v>
      </c>
      <c r="E3319" s="12" t="n">
        <f aca="false">INDEX('Country Tiers'!$D$2:$D$37,MATCH(C3319,'Country Tiers'!$A$2:$A$37,0))</f>
        <v>2</v>
      </c>
    </row>
    <row r="3320" customFormat="false" ht="15" hidden="false" customHeight="false" outlineLevel="0" collapsed="false">
      <c r="A3320" s="12" t="s">
        <v>173</v>
      </c>
      <c r="B3320" s="12" t="s">
        <v>38</v>
      </c>
      <c r="C3320" s="12" t="s">
        <v>308</v>
      </c>
      <c r="D3320" s="12" t="str">
        <f aca="false">INDEX('Country Tiers'!$C$2:$C$37,MATCH(C3320,'Country Tiers'!$A$2:$A$37,0))</f>
        <v>Tier 3</v>
      </c>
      <c r="E3320" s="12" t="n">
        <f aca="false">INDEX('Country Tiers'!$D$2:$D$37,MATCH(C3320,'Country Tiers'!$A$2:$A$37,0))</f>
        <v>1</v>
      </c>
    </row>
    <row r="3321" customFormat="false" ht="15" hidden="false" customHeight="false" outlineLevel="0" collapsed="false">
      <c r="A3321" s="12" t="s">
        <v>173</v>
      </c>
      <c r="B3321" s="12" t="s">
        <v>38</v>
      </c>
      <c r="C3321" s="12" t="s">
        <v>309</v>
      </c>
      <c r="D3321" s="12" t="str">
        <f aca="false">INDEX('Country Tiers'!$C$2:$C$37,MATCH(C3321,'Country Tiers'!$A$2:$A$37,0))</f>
        <v>Tier 1</v>
      </c>
      <c r="E3321" s="12" t="n">
        <f aca="false">INDEX('Country Tiers'!$D$2:$D$37,MATCH(C3321,'Country Tiers'!$A$2:$A$37,0))</f>
        <v>3</v>
      </c>
    </row>
    <row r="3322" customFormat="false" ht="15" hidden="false" customHeight="false" outlineLevel="0" collapsed="false">
      <c r="A3322" s="12" t="s">
        <v>173</v>
      </c>
      <c r="B3322" s="12" t="s">
        <v>38</v>
      </c>
      <c r="C3322" s="12" t="s">
        <v>313</v>
      </c>
      <c r="D3322" s="12" t="str">
        <f aca="false">INDEX('Country Tiers'!$C$2:$C$37,MATCH(C3322,'Country Tiers'!$A$2:$A$37,0))</f>
        <v>Tier 1</v>
      </c>
      <c r="E3322" s="12" t="n">
        <f aca="false">INDEX('Country Tiers'!$D$2:$D$37,MATCH(C3322,'Country Tiers'!$A$2:$A$37,0))</f>
        <v>3</v>
      </c>
    </row>
    <row r="3323" customFormat="false" ht="15" hidden="false" customHeight="false" outlineLevel="0" collapsed="false">
      <c r="A3323" s="12" t="s">
        <v>174</v>
      </c>
      <c r="B3323" s="12" t="s">
        <v>44</v>
      </c>
      <c r="C3323" s="12" t="s">
        <v>309</v>
      </c>
      <c r="D3323" s="12" t="str">
        <f aca="false">INDEX('Country Tiers'!$C$2:$C$37,MATCH(C3323,'Country Tiers'!$A$2:$A$37,0))</f>
        <v>Tier 1</v>
      </c>
      <c r="E3323" s="12" t="n">
        <f aca="false">INDEX('Country Tiers'!$D$2:$D$37,MATCH(C3323,'Country Tiers'!$A$2:$A$37,0))</f>
        <v>3</v>
      </c>
    </row>
    <row r="3324" customFormat="false" ht="15" hidden="false" customHeight="false" outlineLevel="0" collapsed="false">
      <c r="A3324" s="12" t="s">
        <v>175</v>
      </c>
      <c r="B3324" s="12" t="s">
        <v>47</v>
      </c>
      <c r="C3324" s="12" t="s">
        <v>311</v>
      </c>
      <c r="D3324" s="12" t="str">
        <f aca="false">INDEX('Country Tiers'!$C$2:$C$37,MATCH(C3324,'Country Tiers'!$A$2:$A$37,0))</f>
        <v>Tier 1</v>
      </c>
      <c r="E3324" s="12" t="n">
        <f aca="false">INDEX('Country Tiers'!$D$2:$D$37,MATCH(C3324,'Country Tiers'!$A$2:$A$37,0))</f>
        <v>3</v>
      </c>
    </row>
    <row r="3325" customFormat="false" ht="15" hidden="false" customHeight="false" outlineLevel="0" collapsed="false">
      <c r="A3325" s="12" t="s">
        <v>175</v>
      </c>
      <c r="B3325" s="12" t="s">
        <v>55</v>
      </c>
      <c r="C3325" s="12" t="s">
        <v>311</v>
      </c>
      <c r="D3325" s="12" t="str">
        <f aca="false">INDEX('Country Tiers'!$C$2:$C$37,MATCH(C3325,'Country Tiers'!$A$2:$A$37,0))</f>
        <v>Tier 1</v>
      </c>
      <c r="E3325" s="12" t="n">
        <f aca="false">INDEX('Country Tiers'!$D$2:$D$37,MATCH(C3325,'Country Tiers'!$A$2:$A$37,0))</f>
        <v>3</v>
      </c>
    </row>
    <row r="3326" customFormat="false" ht="15" hidden="false" customHeight="false" outlineLevel="0" collapsed="false">
      <c r="A3326" s="12" t="s">
        <v>175</v>
      </c>
      <c r="B3326" s="12" t="s">
        <v>44</v>
      </c>
      <c r="C3326" s="12" t="s">
        <v>311</v>
      </c>
      <c r="D3326" s="12" t="str">
        <f aca="false">INDEX('Country Tiers'!$C$2:$C$37,MATCH(C3326,'Country Tiers'!$A$2:$A$37,0))</f>
        <v>Tier 1</v>
      </c>
      <c r="E3326" s="12" t="n">
        <f aca="false">INDEX('Country Tiers'!$D$2:$D$37,MATCH(C3326,'Country Tiers'!$A$2:$A$37,0))</f>
        <v>3</v>
      </c>
    </row>
    <row r="3327" customFormat="false" ht="15" hidden="false" customHeight="false" outlineLevel="0" collapsed="false">
      <c r="A3327" s="12" t="s">
        <v>176</v>
      </c>
      <c r="B3327" s="12" t="s">
        <v>47</v>
      </c>
      <c r="C3327" s="12" t="s">
        <v>274</v>
      </c>
      <c r="D3327" s="12" t="str">
        <f aca="false">INDEX('Country Tiers'!$C$2:$C$37,MATCH(C3327,'Country Tiers'!$A$2:$A$37,0))</f>
        <v>Tier 3</v>
      </c>
      <c r="E3327" s="12" t="n">
        <f aca="false">INDEX('Country Tiers'!$D$2:$D$37,MATCH(C3327,'Country Tiers'!$A$2:$A$37,0))</f>
        <v>1</v>
      </c>
    </row>
    <row r="3328" customFormat="false" ht="15" hidden="false" customHeight="false" outlineLevel="0" collapsed="false">
      <c r="A3328" s="12" t="s">
        <v>176</v>
      </c>
      <c r="B3328" s="12" t="s">
        <v>47</v>
      </c>
      <c r="C3328" s="12" t="s">
        <v>278</v>
      </c>
      <c r="D3328" s="12" t="str">
        <f aca="false">INDEX('Country Tiers'!$C$2:$C$37,MATCH(C3328,'Country Tiers'!$A$2:$A$37,0))</f>
        <v>Tier 3</v>
      </c>
      <c r="E3328" s="12" t="n">
        <f aca="false">INDEX('Country Tiers'!$D$2:$D$37,MATCH(C3328,'Country Tiers'!$A$2:$A$37,0))</f>
        <v>1</v>
      </c>
    </row>
    <row r="3329" customFormat="false" ht="15" hidden="false" customHeight="false" outlineLevel="0" collapsed="false">
      <c r="A3329" s="12" t="s">
        <v>176</v>
      </c>
      <c r="B3329" s="12" t="s">
        <v>47</v>
      </c>
      <c r="C3329" s="12" t="s">
        <v>280</v>
      </c>
      <c r="D3329" s="12" t="str">
        <f aca="false">INDEX('Country Tiers'!$C$2:$C$37,MATCH(C3329,'Country Tiers'!$A$2:$A$37,0))</f>
        <v>Tier 3</v>
      </c>
      <c r="E3329" s="12" t="n">
        <f aca="false">INDEX('Country Tiers'!$D$2:$D$37,MATCH(C3329,'Country Tiers'!$A$2:$A$37,0))</f>
        <v>1</v>
      </c>
    </row>
    <row r="3330" customFormat="false" ht="15" hidden="false" customHeight="false" outlineLevel="0" collapsed="false">
      <c r="A3330" s="12" t="s">
        <v>176</v>
      </c>
      <c r="B3330" s="12" t="s">
        <v>47</v>
      </c>
      <c r="C3330" s="12" t="s">
        <v>281</v>
      </c>
      <c r="D3330" s="12" t="str">
        <f aca="false">INDEX('Country Tiers'!$C$2:$C$37,MATCH(C3330,'Country Tiers'!$A$2:$A$37,0))</f>
        <v>Tier 3</v>
      </c>
      <c r="E3330" s="12" t="n">
        <f aca="false">INDEX('Country Tiers'!$D$2:$D$37,MATCH(C3330,'Country Tiers'!$A$2:$A$37,0))</f>
        <v>1</v>
      </c>
    </row>
    <row r="3331" customFormat="false" ht="15" hidden="false" customHeight="false" outlineLevel="0" collapsed="false">
      <c r="A3331" s="12" t="s">
        <v>176</v>
      </c>
      <c r="B3331" s="12" t="s">
        <v>47</v>
      </c>
      <c r="C3331" s="12" t="s">
        <v>283</v>
      </c>
      <c r="D3331" s="12" t="str">
        <f aca="false">INDEX('Country Tiers'!$C$2:$C$37,MATCH(C3331,'Country Tiers'!$A$2:$A$37,0))</f>
        <v>Tier 3</v>
      </c>
      <c r="E3331" s="12" t="n">
        <f aca="false">INDEX('Country Tiers'!$D$2:$D$37,MATCH(C3331,'Country Tiers'!$A$2:$A$37,0))</f>
        <v>1</v>
      </c>
    </row>
    <row r="3332" customFormat="false" ht="15" hidden="false" customHeight="false" outlineLevel="0" collapsed="false">
      <c r="A3332" s="12" t="s">
        <v>176</v>
      </c>
      <c r="B3332" s="12" t="s">
        <v>47</v>
      </c>
      <c r="C3332" s="12" t="s">
        <v>284</v>
      </c>
      <c r="D3332" s="12" t="str">
        <f aca="false">INDEX('Country Tiers'!$C$2:$C$37,MATCH(C3332,'Country Tiers'!$A$2:$A$37,0))</f>
        <v>Tier 3</v>
      </c>
      <c r="E3332" s="12" t="n">
        <f aca="false">INDEX('Country Tiers'!$D$2:$D$37,MATCH(C3332,'Country Tiers'!$A$2:$A$37,0))</f>
        <v>1</v>
      </c>
    </row>
    <row r="3333" customFormat="false" ht="15" hidden="false" customHeight="false" outlineLevel="0" collapsed="false">
      <c r="A3333" s="12" t="s">
        <v>176</v>
      </c>
      <c r="B3333" s="12" t="s">
        <v>47</v>
      </c>
      <c r="C3333" s="12" t="s">
        <v>285</v>
      </c>
      <c r="D3333" s="12" t="str">
        <f aca="false">INDEX('Country Tiers'!$C$2:$C$37,MATCH(C3333,'Country Tiers'!$A$2:$A$37,0))</f>
        <v>Tier 3</v>
      </c>
      <c r="E3333" s="12" t="n">
        <f aca="false">INDEX('Country Tiers'!$D$2:$D$37,MATCH(C3333,'Country Tiers'!$A$2:$A$37,0))</f>
        <v>1</v>
      </c>
    </row>
    <row r="3334" customFormat="false" ht="15" hidden="false" customHeight="false" outlineLevel="0" collapsed="false">
      <c r="A3334" s="12" t="s">
        <v>176</v>
      </c>
      <c r="B3334" s="12" t="s">
        <v>47</v>
      </c>
      <c r="C3334" s="12" t="s">
        <v>286</v>
      </c>
      <c r="D3334" s="12" t="str">
        <f aca="false">INDEX('Country Tiers'!$C$2:$C$37,MATCH(C3334,'Country Tiers'!$A$2:$A$37,0))</f>
        <v>Tier 1</v>
      </c>
      <c r="E3334" s="12" t="n">
        <f aca="false">INDEX('Country Tiers'!$D$2:$D$37,MATCH(C3334,'Country Tiers'!$A$2:$A$37,0))</f>
        <v>3</v>
      </c>
    </row>
    <row r="3335" customFormat="false" ht="15" hidden="false" customHeight="false" outlineLevel="0" collapsed="false">
      <c r="A3335" s="12" t="s">
        <v>176</v>
      </c>
      <c r="B3335" s="12" t="s">
        <v>47</v>
      </c>
      <c r="C3335" s="12" t="s">
        <v>287</v>
      </c>
      <c r="D3335" s="12" t="str">
        <f aca="false">INDEX('Country Tiers'!$C$2:$C$37,MATCH(C3335,'Country Tiers'!$A$2:$A$37,0))</f>
        <v>Tier 1</v>
      </c>
      <c r="E3335" s="12" t="n">
        <f aca="false">INDEX('Country Tiers'!$D$2:$D$37,MATCH(C3335,'Country Tiers'!$A$2:$A$37,0))</f>
        <v>3</v>
      </c>
    </row>
    <row r="3336" customFormat="false" ht="15" hidden="false" customHeight="false" outlineLevel="0" collapsed="false">
      <c r="A3336" s="12" t="s">
        <v>176</v>
      </c>
      <c r="B3336" s="12" t="s">
        <v>47</v>
      </c>
      <c r="C3336" s="12" t="s">
        <v>290</v>
      </c>
      <c r="D3336" s="12" t="str">
        <f aca="false">INDEX('Country Tiers'!$C$2:$C$37,MATCH(C3336,'Country Tiers'!$A$2:$A$37,0))</f>
        <v>Tier 3</v>
      </c>
      <c r="E3336" s="12" t="n">
        <f aca="false">INDEX('Country Tiers'!$D$2:$D$37,MATCH(C3336,'Country Tiers'!$A$2:$A$37,0))</f>
        <v>1</v>
      </c>
    </row>
    <row r="3337" customFormat="false" ht="15" hidden="false" customHeight="false" outlineLevel="0" collapsed="false">
      <c r="A3337" s="12" t="s">
        <v>176</v>
      </c>
      <c r="B3337" s="12" t="s">
        <v>47</v>
      </c>
      <c r="C3337" s="12" t="s">
        <v>291</v>
      </c>
      <c r="D3337" s="12" t="str">
        <f aca="false">INDEX('Country Tiers'!$C$2:$C$37,MATCH(C3337,'Country Tiers'!$A$2:$A$37,0))</f>
        <v>Tier 3</v>
      </c>
      <c r="E3337" s="12" t="n">
        <f aca="false">INDEX('Country Tiers'!$D$2:$D$37,MATCH(C3337,'Country Tiers'!$A$2:$A$37,0))</f>
        <v>1</v>
      </c>
    </row>
    <row r="3338" customFormat="false" ht="15" hidden="false" customHeight="false" outlineLevel="0" collapsed="false">
      <c r="A3338" s="12" t="s">
        <v>176</v>
      </c>
      <c r="B3338" s="12" t="s">
        <v>47</v>
      </c>
      <c r="C3338" s="12" t="s">
        <v>292</v>
      </c>
      <c r="D3338" s="12" t="str">
        <f aca="false">INDEX('Country Tiers'!$C$2:$C$37,MATCH(C3338,'Country Tiers'!$A$2:$A$37,0))</f>
        <v>Tier 2</v>
      </c>
      <c r="E3338" s="12" t="n">
        <f aca="false">INDEX('Country Tiers'!$D$2:$D$37,MATCH(C3338,'Country Tiers'!$A$2:$A$37,0))</f>
        <v>2</v>
      </c>
    </row>
    <row r="3339" customFormat="false" ht="15" hidden="false" customHeight="false" outlineLevel="0" collapsed="false">
      <c r="A3339" s="12" t="s">
        <v>176</v>
      </c>
      <c r="B3339" s="12" t="s">
        <v>47</v>
      </c>
      <c r="C3339" s="12" t="s">
        <v>293</v>
      </c>
      <c r="D3339" s="12" t="str">
        <f aca="false">INDEX('Country Tiers'!$C$2:$C$37,MATCH(C3339,'Country Tiers'!$A$2:$A$37,0))</f>
        <v>Tier 3</v>
      </c>
      <c r="E3339" s="12" t="n">
        <f aca="false">INDEX('Country Tiers'!$D$2:$D$37,MATCH(C3339,'Country Tiers'!$A$2:$A$37,0))</f>
        <v>1</v>
      </c>
    </row>
    <row r="3340" customFormat="false" ht="15" hidden="false" customHeight="false" outlineLevel="0" collapsed="false">
      <c r="A3340" s="12" t="s">
        <v>176</v>
      </c>
      <c r="B3340" s="12" t="s">
        <v>47</v>
      </c>
      <c r="C3340" s="12" t="s">
        <v>295</v>
      </c>
      <c r="D3340" s="12" t="str">
        <f aca="false">INDEX('Country Tiers'!$C$2:$C$37,MATCH(C3340,'Country Tiers'!$A$2:$A$37,0))</f>
        <v>Tier 3</v>
      </c>
      <c r="E3340" s="12" t="n">
        <f aca="false">INDEX('Country Tiers'!$D$2:$D$37,MATCH(C3340,'Country Tiers'!$A$2:$A$37,0))</f>
        <v>1</v>
      </c>
    </row>
    <row r="3341" customFormat="false" ht="15" hidden="false" customHeight="false" outlineLevel="0" collapsed="false">
      <c r="A3341" s="12" t="s">
        <v>176</v>
      </c>
      <c r="B3341" s="12" t="s">
        <v>47</v>
      </c>
      <c r="C3341" s="12" t="s">
        <v>298</v>
      </c>
      <c r="D3341" s="12" t="str">
        <f aca="false">INDEX('Country Tiers'!$C$2:$C$37,MATCH(C3341,'Country Tiers'!$A$2:$A$37,0))</f>
        <v>Tier 1</v>
      </c>
      <c r="E3341" s="12" t="n">
        <f aca="false">INDEX('Country Tiers'!$D$2:$D$37,MATCH(C3341,'Country Tiers'!$A$2:$A$37,0))</f>
        <v>3</v>
      </c>
    </row>
    <row r="3342" customFormat="false" ht="15" hidden="false" customHeight="false" outlineLevel="0" collapsed="false">
      <c r="A3342" s="12" t="s">
        <v>176</v>
      </c>
      <c r="B3342" s="12" t="s">
        <v>47</v>
      </c>
      <c r="C3342" s="12" t="s">
        <v>299</v>
      </c>
      <c r="D3342" s="12" t="str">
        <f aca="false">INDEX('Country Tiers'!$C$2:$C$37,MATCH(C3342,'Country Tiers'!$A$2:$A$37,0))</f>
        <v>Tier 3</v>
      </c>
      <c r="E3342" s="12" t="n">
        <f aca="false">INDEX('Country Tiers'!$D$2:$D$37,MATCH(C3342,'Country Tiers'!$A$2:$A$37,0))</f>
        <v>1</v>
      </c>
    </row>
    <row r="3343" customFormat="false" ht="15" hidden="false" customHeight="false" outlineLevel="0" collapsed="false">
      <c r="A3343" s="12" t="s">
        <v>176</v>
      </c>
      <c r="B3343" s="12" t="s">
        <v>47</v>
      </c>
      <c r="C3343" s="12" t="s">
        <v>300</v>
      </c>
      <c r="D3343" s="12" t="str">
        <f aca="false">INDEX('Country Tiers'!$C$2:$C$37,MATCH(C3343,'Country Tiers'!$A$2:$A$37,0))</f>
        <v>Tier 3</v>
      </c>
      <c r="E3343" s="12" t="n">
        <f aca="false">INDEX('Country Tiers'!$D$2:$D$37,MATCH(C3343,'Country Tiers'!$A$2:$A$37,0))</f>
        <v>1</v>
      </c>
    </row>
    <row r="3344" customFormat="false" ht="15" hidden="false" customHeight="false" outlineLevel="0" collapsed="false">
      <c r="A3344" s="12" t="s">
        <v>176</v>
      </c>
      <c r="B3344" s="12" t="s">
        <v>47</v>
      </c>
      <c r="C3344" s="12" t="s">
        <v>301</v>
      </c>
      <c r="D3344" s="12" t="str">
        <f aca="false">INDEX('Country Tiers'!$C$2:$C$37,MATCH(C3344,'Country Tiers'!$A$2:$A$37,0))</f>
        <v>Tier 3</v>
      </c>
      <c r="E3344" s="12" t="n">
        <f aca="false">INDEX('Country Tiers'!$D$2:$D$37,MATCH(C3344,'Country Tiers'!$A$2:$A$37,0))</f>
        <v>1</v>
      </c>
    </row>
    <row r="3345" customFormat="false" ht="15" hidden="false" customHeight="false" outlineLevel="0" collapsed="false">
      <c r="A3345" s="12" t="s">
        <v>176</v>
      </c>
      <c r="B3345" s="12" t="s">
        <v>47</v>
      </c>
      <c r="C3345" s="12" t="s">
        <v>302</v>
      </c>
      <c r="D3345" s="12" t="str">
        <f aca="false">INDEX('Country Tiers'!$C$2:$C$37,MATCH(C3345,'Country Tiers'!$A$2:$A$37,0))</f>
        <v>Tier 3</v>
      </c>
      <c r="E3345" s="12" t="n">
        <f aca="false">INDEX('Country Tiers'!$D$2:$D$37,MATCH(C3345,'Country Tiers'!$A$2:$A$37,0))</f>
        <v>1</v>
      </c>
    </row>
    <row r="3346" customFormat="false" ht="15" hidden="false" customHeight="false" outlineLevel="0" collapsed="false">
      <c r="A3346" s="12" t="s">
        <v>176</v>
      </c>
      <c r="B3346" s="12" t="s">
        <v>47</v>
      </c>
      <c r="C3346" s="12" t="s">
        <v>306</v>
      </c>
      <c r="D3346" s="12" t="str">
        <f aca="false">INDEX('Country Tiers'!$C$2:$C$37,MATCH(C3346,'Country Tiers'!$A$2:$A$37,0))</f>
        <v>Tier 3</v>
      </c>
      <c r="E3346" s="12" t="n">
        <f aca="false">INDEX('Country Tiers'!$D$2:$D$37,MATCH(C3346,'Country Tiers'!$A$2:$A$37,0))</f>
        <v>1</v>
      </c>
    </row>
    <row r="3347" customFormat="false" ht="15" hidden="false" customHeight="false" outlineLevel="0" collapsed="false">
      <c r="A3347" s="12" t="s">
        <v>176</v>
      </c>
      <c r="B3347" s="12" t="s">
        <v>47</v>
      </c>
      <c r="C3347" s="12" t="s">
        <v>308</v>
      </c>
      <c r="D3347" s="12" t="str">
        <f aca="false">INDEX('Country Tiers'!$C$2:$C$37,MATCH(C3347,'Country Tiers'!$A$2:$A$37,0))</f>
        <v>Tier 3</v>
      </c>
      <c r="E3347" s="12" t="n">
        <f aca="false">INDEX('Country Tiers'!$D$2:$D$37,MATCH(C3347,'Country Tiers'!$A$2:$A$37,0))</f>
        <v>1</v>
      </c>
    </row>
    <row r="3348" customFormat="false" ht="15" hidden="false" customHeight="false" outlineLevel="0" collapsed="false">
      <c r="A3348" s="12" t="s">
        <v>176</v>
      </c>
      <c r="B3348" s="12" t="s">
        <v>47</v>
      </c>
      <c r="C3348" s="12" t="s">
        <v>313</v>
      </c>
      <c r="D3348" s="12" t="str">
        <f aca="false">INDEX('Country Tiers'!$C$2:$C$37,MATCH(C3348,'Country Tiers'!$A$2:$A$37,0))</f>
        <v>Tier 1</v>
      </c>
      <c r="E3348" s="12" t="n">
        <f aca="false">INDEX('Country Tiers'!$D$2:$D$37,MATCH(C3348,'Country Tiers'!$A$2:$A$37,0))</f>
        <v>3</v>
      </c>
    </row>
    <row r="3349" customFormat="false" ht="15" hidden="false" customHeight="false" outlineLevel="0" collapsed="false">
      <c r="A3349" s="12" t="s">
        <v>176</v>
      </c>
      <c r="B3349" s="12" t="s">
        <v>40</v>
      </c>
      <c r="C3349" s="12" t="s">
        <v>303</v>
      </c>
      <c r="D3349" s="12" t="str">
        <f aca="false">INDEX('Country Tiers'!$C$2:$C$37,MATCH(C3349,'Country Tiers'!$A$2:$A$37,0))</f>
        <v>Tier 2</v>
      </c>
      <c r="E3349" s="12" t="n">
        <f aca="false">INDEX('Country Tiers'!$D$2:$D$37,MATCH(C3349,'Country Tiers'!$A$2:$A$37,0))</f>
        <v>2</v>
      </c>
    </row>
    <row r="3350" customFormat="false" ht="15" hidden="false" customHeight="false" outlineLevel="0" collapsed="false">
      <c r="A3350" s="12" t="s">
        <v>176</v>
      </c>
      <c r="B3350" s="12" t="s">
        <v>41</v>
      </c>
      <c r="C3350" s="12" t="s">
        <v>274</v>
      </c>
      <c r="D3350" s="12" t="str">
        <f aca="false">INDEX('Country Tiers'!$C$2:$C$37,MATCH(C3350,'Country Tiers'!$A$2:$A$37,0))</f>
        <v>Tier 3</v>
      </c>
      <c r="E3350" s="12" t="n">
        <f aca="false">INDEX('Country Tiers'!$D$2:$D$37,MATCH(C3350,'Country Tiers'!$A$2:$A$37,0))</f>
        <v>1</v>
      </c>
    </row>
    <row r="3351" customFormat="false" ht="15" hidden="false" customHeight="false" outlineLevel="0" collapsed="false">
      <c r="A3351" s="12" t="s">
        <v>176</v>
      </c>
      <c r="B3351" s="12" t="s">
        <v>41</v>
      </c>
      <c r="C3351" s="12" t="s">
        <v>278</v>
      </c>
      <c r="D3351" s="12" t="str">
        <f aca="false">INDEX('Country Tiers'!$C$2:$C$37,MATCH(C3351,'Country Tiers'!$A$2:$A$37,0))</f>
        <v>Tier 3</v>
      </c>
      <c r="E3351" s="12" t="n">
        <f aca="false">INDEX('Country Tiers'!$D$2:$D$37,MATCH(C3351,'Country Tiers'!$A$2:$A$37,0))</f>
        <v>1</v>
      </c>
    </row>
    <row r="3352" customFormat="false" ht="15" hidden="false" customHeight="false" outlineLevel="0" collapsed="false">
      <c r="A3352" s="12" t="s">
        <v>176</v>
      </c>
      <c r="B3352" s="12" t="s">
        <v>41</v>
      </c>
      <c r="C3352" s="12" t="s">
        <v>280</v>
      </c>
      <c r="D3352" s="12" t="str">
        <f aca="false">INDEX('Country Tiers'!$C$2:$C$37,MATCH(C3352,'Country Tiers'!$A$2:$A$37,0))</f>
        <v>Tier 3</v>
      </c>
      <c r="E3352" s="12" t="n">
        <f aca="false">INDEX('Country Tiers'!$D$2:$D$37,MATCH(C3352,'Country Tiers'!$A$2:$A$37,0))</f>
        <v>1</v>
      </c>
    </row>
    <row r="3353" customFormat="false" ht="15" hidden="false" customHeight="false" outlineLevel="0" collapsed="false">
      <c r="A3353" s="12" t="s">
        <v>176</v>
      </c>
      <c r="B3353" s="12" t="s">
        <v>41</v>
      </c>
      <c r="C3353" s="12" t="s">
        <v>281</v>
      </c>
      <c r="D3353" s="12" t="str">
        <f aca="false">INDEX('Country Tiers'!$C$2:$C$37,MATCH(C3353,'Country Tiers'!$A$2:$A$37,0))</f>
        <v>Tier 3</v>
      </c>
      <c r="E3353" s="12" t="n">
        <f aca="false">INDEX('Country Tiers'!$D$2:$D$37,MATCH(C3353,'Country Tiers'!$A$2:$A$37,0))</f>
        <v>1</v>
      </c>
    </row>
    <row r="3354" customFormat="false" ht="15" hidden="false" customHeight="false" outlineLevel="0" collapsed="false">
      <c r="A3354" s="12" t="s">
        <v>176</v>
      </c>
      <c r="B3354" s="12" t="s">
        <v>41</v>
      </c>
      <c r="C3354" s="12" t="s">
        <v>283</v>
      </c>
      <c r="D3354" s="12" t="str">
        <f aca="false">INDEX('Country Tiers'!$C$2:$C$37,MATCH(C3354,'Country Tiers'!$A$2:$A$37,0))</f>
        <v>Tier 3</v>
      </c>
      <c r="E3354" s="12" t="n">
        <f aca="false">INDEX('Country Tiers'!$D$2:$D$37,MATCH(C3354,'Country Tiers'!$A$2:$A$37,0))</f>
        <v>1</v>
      </c>
    </row>
    <row r="3355" customFormat="false" ht="15" hidden="false" customHeight="false" outlineLevel="0" collapsed="false">
      <c r="A3355" s="12" t="s">
        <v>176</v>
      </c>
      <c r="B3355" s="12" t="s">
        <v>41</v>
      </c>
      <c r="C3355" s="12" t="s">
        <v>284</v>
      </c>
      <c r="D3355" s="12" t="str">
        <f aca="false">INDEX('Country Tiers'!$C$2:$C$37,MATCH(C3355,'Country Tiers'!$A$2:$A$37,0))</f>
        <v>Tier 3</v>
      </c>
      <c r="E3355" s="12" t="n">
        <f aca="false">INDEX('Country Tiers'!$D$2:$D$37,MATCH(C3355,'Country Tiers'!$A$2:$A$37,0))</f>
        <v>1</v>
      </c>
    </row>
    <row r="3356" customFormat="false" ht="15" hidden="false" customHeight="false" outlineLevel="0" collapsed="false">
      <c r="A3356" s="12" t="s">
        <v>176</v>
      </c>
      <c r="B3356" s="12" t="s">
        <v>41</v>
      </c>
      <c r="C3356" s="12" t="s">
        <v>285</v>
      </c>
      <c r="D3356" s="12" t="str">
        <f aca="false">INDEX('Country Tiers'!$C$2:$C$37,MATCH(C3356,'Country Tiers'!$A$2:$A$37,0))</f>
        <v>Tier 3</v>
      </c>
      <c r="E3356" s="12" t="n">
        <f aca="false">INDEX('Country Tiers'!$D$2:$D$37,MATCH(C3356,'Country Tiers'!$A$2:$A$37,0))</f>
        <v>1</v>
      </c>
    </row>
    <row r="3357" customFormat="false" ht="15" hidden="false" customHeight="false" outlineLevel="0" collapsed="false">
      <c r="A3357" s="12" t="s">
        <v>176</v>
      </c>
      <c r="B3357" s="12" t="s">
        <v>41</v>
      </c>
      <c r="C3357" s="12" t="s">
        <v>286</v>
      </c>
      <c r="D3357" s="12" t="str">
        <f aca="false">INDEX('Country Tiers'!$C$2:$C$37,MATCH(C3357,'Country Tiers'!$A$2:$A$37,0))</f>
        <v>Tier 1</v>
      </c>
      <c r="E3357" s="12" t="n">
        <f aca="false">INDEX('Country Tiers'!$D$2:$D$37,MATCH(C3357,'Country Tiers'!$A$2:$A$37,0))</f>
        <v>3</v>
      </c>
    </row>
    <row r="3358" customFormat="false" ht="15" hidden="false" customHeight="false" outlineLevel="0" collapsed="false">
      <c r="A3358" s="12" t="s">
        <v>176</v>
      </c>
      <c r="B3358" s="12" t="s">
        <v>41</v>
      </c>
      <c r="C3358" s="12" t="s">
        <v>287</v>
      </c>
      <c r="D3358" s="12" t="str">
        <f aca="false">INDEX('Country Tiers'!$C$2:$C$37,MATCH(C3358,'Country Tiers'!$A$2:$A$37,0))</f>
        <v>Tier 1</v>
      </c>
      <c r="E3358" s="12" t="n">
        <f aca="false">INDEX('Country Tiers'!$D$2:$D$37,MATCH(C3358,'Country Tiers'!$A$2:$A$37,0))</f>
        <v>3</v>
      </c>
    </row>
    <row r="3359" customFormat="false" ht="15" hidden="false" customHeight="false" outlineLevel="0" collapsed="false">
      <c r="A3359" s="12" t="s">
        <v>176</v>
      </c>
      <c r="B3359" s="12" t="s">
        <v>41</v>
      </c>
      <c r="C3359" s="12" t="s">
        <v>290</v>
      </c>
      <c r="D3359" s="12" t="str">
        <f aca="false">INDEX('Country Tiers'!$C$2:$C$37,MATCH(C3359,'Country Tiers'!$A$2:$A$37,0))</f>
        <v>Tier 3</v>
      </c>
      <c r="E3359" s="12" t="n">
        <f aca="false">INDEX('Country Tiers'!$D$2:$D$37,MATCH(C3359,'Country Tiers'!$A$2:$A$37,0))</f>
        <v>1</v>
      </c>
    </row>
    <row r="3360" customFormat="false" ht="15" hidden="false" customHeight="false" outlineLevel="0" collapsed="false">
      <c r="A3360" s="12" t="s">
        <v>176</v>
      </c>
      <c r="B3360" s="12" t="s">
        <v>41</v>
      </c>
      <c r="C3360" s="12" t="s">
        <v>291</v>
      </c>
      <c r="D3360" s="12" t="str">
        <f aca="false">INDEX('Country Tiers'!$C$2:$C$37,MATCH(C3360,'Country Tiers'!$A$2:$A$37,0))</f>
        <v>Tier 3</v>
      </c>
      <c r="E3360" s="12" t="n">
        <f aca="false">INDEX('Country Tiers'!$D$2:$D$37,MATCH(C3360,'Country Tiers'!$A$2:$A$37,0))</f>
        <v>1</v>
      </c>
    </row>
    <row r="3361" customFormat="false" ht="15" hidden="false" customHeight="false" outlineLevel="0" collapsed="false">
      <c r="A3361" s="12" t="s">
        <v>176</v>
      </c>
      <c r="B3361" s="12" t="s">
        <v>41</v>
      </c>
      <c r="C3361" s="12" t="s">
        <v>292</v>
      </c>
      <c r="D3361" s="12" t="str">
        <f aca="false">INDEX('Country Tiers'!$C$2:$C$37,MATCH(C3361,'Country Tiers'!$A$2:$A$37,0))</f>
        <v>Tier 2</v>
      </c>
      <c r="E3361" s="12" t="n">
        <f aca="false">INDEX('Country Tiers'!$D$2:$D$37,MATCH(C3361,'Country Tiers'!$A$2:$A$37,0))</f>
        <v>2</v>
      </c>
    </row>
    <row r="3362" customFormat="false" ht="15" hidden="false" customHeight="false" outlineLevel="0" collapsed="false">
      <c r="A3362" s="12" t="s">
        <v>176</v>
      </c>
      <c r="B3362" s="12" t="s">
        <v>41</v>
      </c>
      <c r="C3362" s="12" t="s">
        <v>293</v>
      </c>
      <c r="D3362" s="12" t="str">
        <f aca="false">INDEX('Country Tiers'!$C$2:$C$37,MATCH(C3362,'Country Tiers'!$A$2:$A$37,0))</f>
        <v>Tier 3</v>
      </c>
      <c r="E3362" s="12" t="n">
        <f aca="false">INDEX('Country Tiers'!$D$2:$D$37,MATCH(C3362,'Country Tiers'!$A$2:$A$37,0))</f>
        <v>1</v>
      </c>
    </row>
    <row r="3363" customFormat="false" ht="15" hidden="false" customHeight="false" outlineLevel="0" collapsed="false">
      <c r="A3363" s="12" t="s">
        <v>176</v>
      </c>
      <c r="B3363" s="12" t="s">
        <v>41</v>
      </c>
      <c r="C3363" s="12" t="s">
        <v>295</v>
      </c>
      <c r="D3363" s="12" t="str">
        <f aca="false">INDEX('Country Tiers'!$C$2:$C$37,MATCH(C3363,'Country Tiers'!$A$2:$A$37,0))</f>
        <v>Tier 3</v>
      </c>
      <c r="E3363" s="12" t="n">
        <f aca="false">INDEX('Country Tiers'!$D$2:$D$37,MATCH(C3363,'Country Tiers'!$A$2:$A$37,0))</f>
        <v>1</v>
      </c>
    </row>
    <row r="3364" customFormat="false" ht="15" hidden="false" customHeight="false" outlineLevel="0" collapsed="false">
      <c r="A3364" s="12" t="s">
        <v>176</v>
      </c>
      <c r="B3364" s="12" t="s">
        <v>41</v>
      </c>
      <c r="C3364" s="12" t="s">
        <v>298</v>
      </c>
      <c r="D3364" s="12" t="str">
        <f aca="false">INDEX('Country Tiers'!$C$2:$C$37,MATCH(C3364,'Country Tiers'!$A$2:$A$37,0))</f>
        <v>Tier 1</v>
      </c>
      <c r="E3364" s="12" t="n">
        <f aca="false">INDEX('Country Tiers'!$D$2:$D$37,MATCH(C3364,'Country Tiers'!$A$2:$A$37,0))</f>
        <v>3</v>
      </c>
    </row>
    <row r="3365" customFormat="false" ht="15" hidden="false" customHeight="false" outlineLevel="0" collapsed="false">
      <c r="A3365" s="12" t="s">
        <v>176</v>
      </c>
      <c r="B3365" s="12" t="s">
        <v>41</v>
      </c>
      <c r="C3365" s="12" t="s">
        <v>299</v>
      </c>
      <c r="D3365" s="12" t="str">
        <f aca="false">INDEX('Country Tiers'!$C$2:$C$37,MATCH(C3365,'Country Tiers'!$A$2:$A$37,0))</f>
        <v>Tier 3</v>
      </c>
      <c r="E3365" s="12" t="n">
        <f aca="false">INDEX('Country Tiers'!$D$2:$D$37,MATCH(C3365,'Country Tiers'!$A$2:$A$37,0))</f>
        <v>1</v>
      </c>
    </row>
    <row r="3366" customFormat="false" ht="15" hidden="false" customHeight="false" outlineLevel="0" collapsed="false">
      <c r="A3366" s="12" t="s">
        <v>176</v>
      </c>
      <c r="B3366" s="12" t="s">
        <v>41</v>
      </c>
      <c r="C3366" s="12" t="s">
        <v>300</v>
      </c>
      <c r="D3366" s="12" t="str">
        <f aca="false">INDEX('Country Tiers'!$C$2:$C$37,MATCH(C3366,'Country Tiers'!$A$2:$A$37,0))</f>
        <v>Tier 3</v>
      </c>
      <c r="E3366" s="12" t="n">
        <f aca="false">INDEX('Country Tiers'!$D$2:$D$37,MATCH(C3366,'Country Tiers'!$A$2:$A$37,0))</f>
        <v>1</v>
      </c>
    </row>
    <row r="3367" customFormat="false" ht="15" hidden="false" customHeight="false" outlineLevel="0" collapsed="false">
      <c r="A3367" s="12" t="s">
        <v>176</v>
      </c>
      <c r="B3367" s="12" t="s">
        <v>41</v>
      </c>
      <c r="C3367" s="12" t="s">
        <v>301</v>
      </c>
      <c r="D3367" s="12" t="str">
        <f aca="false">INDEX('Country Tiers'!$C$2:$C$37,MATCH(C3367,'Country Tiers'!$A$2:$A$37,0))</f>
        <v>Tier 3</v>
      </c>
      <c r="E3367" s="12" t="n">
        <f aca="false">INDEX('Country Tiers'!$D$2:$D$37,MATCH(C3367,'Country Tiers'!$A$2:$A$37,0))</f>
        <v>1</v>
      </c>
    </row>
    <row r="3368" customFormat="false" ht="15" hidden="false" customHeight="false" outlineLevel="0" collapsed="false">
      <c r="A3368" s="12" t="s">
        <v>176</v>
      </c>
      <c r="B3368" s="12" t="s">
        <v>41</v>
      </c>
      <c r="C3368" s="12" t="s">
        <v>302</v>
      </c>
      <c r="D3368" s="12" t="str">
        <f aca="false">INDEX('Country Tiers'!$C$2:$C$37,MATCH(C3368,'Country Tiers'!$A$2:$A$37,0))</f>
        <v>Tier 3</v>
      </c>
      <c r="E3368" s="12" t="n">
        <f aca="false">INDEX('Country Tiers'!$D$2:$D$37,MATCH(C3368,'Country Tiers'!$A$2:$A$37,0))</f>
        <v>1</v>
      </c>
    </row>
    <row r="3369" customFormat="false" ht="15" hidden="false" customHeight="false" outlineLevel="0" collapsed="false">
      <c r="A3369" s="12" t="s">
        <v>176</v>
      </c>
      <c r="B3369" s="12" t="s">
        <v>41</v>
      </c>
      <c r="C3369" s="12" t="s">
        <v>306</v>
      </c>
      <c r="D3369" s="12" t="str">
        <f aca="false">INDEX('Country Tiers'!$C$2:$C$37,MATCH(C3369,'Country Tiers'!$A$2:$A$37,0))</f>
        <v>Tier 3</v>
      </c>
      <c r="E3369" s="12" t="n">
        <f aca="false">INDEX('Country Tiers'!$D$2:$D$37,MATCH(C3369,'Country Tiers'!$A$2:$A$37,0))</f>
        <v>1</v>
      </c>
    </row>
    <row r="3370" customFormat="false" ht="15" hidden="false" customHeight="false" outlineLevel="0" collapsed="false">
      <c r="A3370" s="12" t="s">
        <v>176</v>
      </c>
      <c r="B3370" s="12" t="s">
        <v>41</v>
      </c>
      <c r="C3370" s="12" t="s">
        <v>308</v>
      </c>
      <c r="D3370" s="12" t="str">
        <f aca="false">INDEX('Country Tiers'!$C$2:$C$37,MATCH(C3370,'Country Tiers'!$A$2:$A$37,0))</f>
        <v>Tier 3</v>
      </c>
      <c r="E3370" s="12" t="n">
        <f aca="false">INDEX('Country Tiers'!$D$2:$D$37,MATCH(C3370,'Country Tiers'!$A$2:$A$37,0))</f>
        <v>1</v>
      </c>
    </row>
    <row r="3371" customFormat="false" ht="15" hidden="false" customHeight="false" outlineLevel="0" collapsed="false">
      <c r="A3371" s="12" t="s">
        <v>176</v>
      </c>
      <c r="B3371" s="12" t="s">
        <v>41</v>
      </c>
      <c r="C3371" s="12" t="s">
        <v>313</v>
      </c>
      <c r="D3371" s="12" t="str">
        <f aca="false">INDEX('Country Tiers'!$C$2:$C$37,MATCH(C3371,'Country Tiers'!$A$2:$A$37,0))</f>
        <v>Tier 1</v>
      </c>
      <c r="E3371" s="12" t="n">
        <f aca="false">INDEX('Country Tiers'!$D$2:$D$37,MATCH(C3371,'Country Tiers'!$A$2:$A$37,0))</f>
        <v>3</v>
      </c>
    </row>
    <row r="3372" customFormat="false" ht="15" hidden="false" customHeight="false" outlineLevel="0" collapsed="false">
      <c r="A3372" s="12" t="s">
        <v>176</v>
      </c>
      <c r="B3372" s="12" t="s">
        <v>38</v>
      </c>
      <c r="C3372" s="12" t="s">
        <v>274</v>
      </c>
      <c r="D3372" s="12" t="str">
        <f aca="false">INDEX('Country Tiers'!$C$2:$C$37,MATCH(C3372,'Country Tiers'!$A$2:$A$37,0))</f>
        <v>Tier 3</v>
      </c>
      <c r="E3372" s="12" t="n">
        <f aca="false">INDEX('Country Tiers'!$D$2:$D$37,MATCH(C3372,'Country Tiers'!$A$2:$A$37,0))</f>
        <v>1</v>
      </c>
    </row>
    <row r="3373" customFormat="false" ht="15" hidden="false" customHeight="false" outlineLevel="0" collapsed="false">
      <c r="A3373" s="12" t="s">
        <v>176</v>
      </c>
      <c r="B3373" s="12" t="s">
        <v>38</v>
      </c>
      <c r="C3373" s="12" t="s">
        <v>277</v>
      </c>
      <c r="D3373" s="12" t="str">
        <f aca="false">INDEX('Country Tiers'!$C$2:$C$37,MATCH(C3373,'Country Tiers'!$A$2:$A$37,0))</f>
        <v>Tier 1</v>
      </c>
      <c r="E3373" s="12" t="n">
        <f aca="false">INDEX('Country Tiers'!$D$2:$D$37,MATCH(C3373,'Country Tiers'!$A$2:$A$37,0))</f>
        <v>3</v>
      </c>
    </row>
    <row r="3374" customFormat="false" ht="15" hidden="false" customHeight="false" outlineLevel="0" collapsed="false">
      <c r="A3374" s="12" t="s">
        <v>176</v>
      </c>
      <c r="B3374" s="12" t="s">
        <v>38</v>
      </c>
      <c r="C3374" s="12" t="s">
        <v>278</v>
      </c>
      <c r="D3374" s="12" t="str">
        <f aca="false">INDEX('Country Tiers'!$C$2:$C$37,MATCH(C3374,'Country Tiers'!$A$2:$A$37,0))</f>
        <v>Tier 3</v>
      </c>
      <c r="E3374" s="12" t="n">
        <f aca="false">INDEX('Country Tiers'!$D$2:$D$37,MATCH(C3374,'Country Tiers'!$A$2:$A$37,0))</f>
        <v>1</v>
      </c>
    </row>
    <row r="3375" customFormat="false" ht="15" hidden="false" customHeight="false" outlineLevel="0" collapsed="false">
      <c r="A3375" s="12" t="s">
        <v>176</v>
      </c>
      <c r="B3375" s="12" t="s">
        <v>38</v>
      </c>
      <c r="C3375" s="12" t="s">
        <v>281</v>
      </c>
      <c r="D3375" s="12" t="str">
        <f aca="false">INDEX('Country Tiers'!$C$2:$C$37,MATCH(C3375,'Country Tiers'!$A$2:$A$37,0))</f>
        <v>Tier 3</v>
      </c>
      <c r="E3375" s="12" t="n">
        <f aca="false">INDEX('Country Tiers'!$D$2:$D$37,MATCH(C3375,'Country Tiers'!$A$2:$A$37,0))</f>
        <v>1</v>
      </c>
    </row>
    <row r="3376" customFormat="false" ht="15" hidden="false" customHeight="false" outlineLevel="0" collapsed="false">
      <c r="A3376" s="12" t="s">
        <v>176</v>
      </c>
      <c r="B3376" s="12" t="s">
        <v>38</v>
      </c>
      <c r="C3376" s="12" t="s">
        <v>282</v>
      </c>
      <c r="D3376" s="12" t="str">
        <f aca="false">INDEX('Country Tiers'!$C$2:$C$37,MATCH(C3376,'Country Tiers'!$A$2:$A$37,0))</f>
        <v>Tier 3</v>
      </c>
      <c r="E3376" s="12" t="n">
        <f aca="false">INDEX('Country Tiers'!$D$2:$D$37,MATCH(C3376,'Country Tiers'!$A$2:$A$37,0))</f>
        <v>1</v>
      </c>
    </row>
    <row r="3377" customFormat="false" ht="15" hidden="false" customHeight="false" outlineLevel="0" collapsed="false">
      <c r="A3377" s="12" t="s">
        <v>176</v>
      </c>
      <c r="B3377" s="12" t="s">
        <v>38</v>
      </c>
      <c r="C3377" s="12" t="s">
        <v>283</v>
      </c>
      <c r="D3377" s="12" t="str">
        <f aca="false">INDEX('Country Tiers'!$C$2:$C$37,MATCH(C3377,'Country Tiers'!$A$2:$A$37,0))</f>
        <v>Tier 3</v>
      </c>
      <c r="E3377" s="12" t="n">
        <f aca="false">INDEX('Country Tiers'!$D$2:$D$37,MATCH(C3377,'Country Tiers'!$A$2:$A$37,0))</f>
        <v>1</v>
      </c>
    </row>
    <row r="3378" customFormat="false" ht="15" hidden="false" customHeight="false" outlineLevel="0" collapsed="false">
      <c r="A3378" s="12" t="s">
        <v>176</v>
      </c>
      <c r="B3378" s="12" t="s">
        <v>38</v>
      </c>
      <c r="C3378" s="12" t="s">
        <v>284</v>
      </c>
      <c r="D3378" s="12" t="str">
        <f aca="false">INDEX('Country Tiers'!$C$2:$C$37,MATCH(C3378,'Country Tiers'!$A$2:$A$37,0))</f>
        <v>Tier 3</v>
      </c>
      <c r="E3378" s="12" t="n">
        <f aca="false">INDEX('Country Tiers'!$D$2:$D$37,MATCH(C3378,'Country Tiers'!$A$2:$A$37,0))</f>
        <v>1</v>
      </c>
    </row>
    <row r="3379" customFormat="false" ht="15" hidden="false" customHeight="false" outlineLevel="0" collapsed="false">
      <c r="A3379" s="12" t="s">
        <v>176</v>
      </c>
      <c r="B3379" s="12" t="s">
        <v>38</v>
      </c>
      <c r="C3379" s="12" t="s">
        <v>285</v>
      </c>
      <c r="D3379" s="12" t="str">
        <f aca="false">INDEX('Country Tiers'!$C$2:$C$37,MATCH(C3379,'Country Tiers'!$A$2:$A$37,0))</f>
        <v>Tier 3</v>
      </c>
      <c r="E3379" s="12" t="n">
        <f aca="false">INDEX('Country Tiers'!$D$2:$D$37,MATCH(C3379,'Country Tiers'!$A$2:$A$37,0))</f>
        <v>1</v>
      </c>
    </row>
    <row r="3380" customFormat="false" ht="15" hidden="false" customHeight="false" outlineLevel="0" collapsed="false">
      <c r="A3380" s="12" t="s">
        <v>176</v>
      </c>
      <c r="B3380" s="12" t="s">
        <v>38</v>
      </c>
      <c r="C3380" s="12" t="s">
        <v>287</v>
      </c>
      <c r="D3380" s="12" t="str">
        <f aca="false">INDEX('Country Tiers'!$C$2:$C$37,MATCH(C3380,'Country Tiers'!$A$2:$A$37,0))</f>
        <v>Tier 1</v>
      </c>
      <c r="E3380" s="12" t="n">
        <f aca="false">INDEX('Country Tiers'!$D$2:$D$37,MATCH(C3380,'Country Tiers'!$A$2:$A$37,0))</f>
        <v>3</v>
      </c>
    </row>
    <row r="3381" customFormat="false" ht="15" hidden="false" customHeight="false" outlineLevel="0" collapsed="false">
      <c r="A3381" s="12" t="s">
        <v>176</v>
      </c>
      <c r="B3381" s="12" t="s">
        <v>38</v>
      </c>
      <c r="C3381" s="12" t="s">
        <v>288</v>
      </c>
      <c r="D3381" s="12" t="str">
        <f aca="false">INDEX('Country Tiers'!$C$2:$C$37,MATCH(C3381,'Country Tiers'!$A$2:$A$37,0))</f>
        <v>Tier 3</v>
      </c>
      <c r="E3381" s="12" t="n">
        <f aca="false">INDEX('Country Tiers'!$D$2:$D$37,MATCH(C3381,'Country Tiers'!$A$2:$A$37,0))</f>
        <v>1</v>
      </c>
    </row>
    <row r="3382" customFormat="false" ht="15" hidden="false" customHeight="false" outlineLevel="0" collapsed="false">
      <c r="A3382" s="12" t="s">
        <v>176</v>
      </c>
      <c r="B3382" s="12" t="s">
        <v>38</v>
      </c>
      <c r="C3382" s="12" t="s">
        <v>291</v>
      </c>
      <c r="D3382" s="12" t="str">
        <f aca="false">INDEX('Country Tiers'!$C$2:$C$37,MATCH(C3382,'Country Tiers'!$A$2:$A$37,0))</f>
        <v>Tier 3</v>
      </c>
      <c r="E3382" s="12" t="n">
        <f aca="false">INDEX('Country Tiers'!$D$2:$D$37,MATCH(C3382,'Country Tiers'!$A$2:$A$37,0))</f>
        <v>1</v>
      </c>
    </row>
    <row r="3383" customFormat="false" ht="15" hidden="false" customHeight="false" outlineLevel="0" collapsed="false">
      <c r="A3383" s="12" t="s">
        <v>176</v>
      </c>
      <c r="B3383" s="12" t="s">
        <v>38</v>
      </c>
      <c r="C3383" s="12" t="s">
        <v>292</v>
      </c>
      <c r="D3383" s="12" t="str">
        <f aca="false">INDEX('Country Tiers'!$C$2:$C$37,MATCH(C3383,'Country Tiers'!$A$2:$A$37,0))</f>
        <v>Tier 2</v>
      </c>
      <c r="E3383" s="12" t="n">
        <f aca="false">INDEX('Country Tiers'!$D$2:$D$37,MATCH(C3383,'Country Tiers'!$A$2:$A$37,0))</f>
        <v>2</v>
      </c>
    </row>
    <row r="3384" customFormat="false" ht="15" hidden="false" customHeight="false" outlineLevel="0" collapsed="false">
      <c r="A3384" s="12" t="s">
        <v>176</v>
      </c>
      <c r="B3384" s="12" t="s">
        <v>38</v>
      </c>
      <c r="C3384" s="12" t="s">
        <v>293</v>
      </c>
      <c r="D3384" s="12" t="str">
        <f aca="false">INDEX('Country Tiers'!$C$2:$C$37,MATCH(C3384,'Country Tiers'!$A$2:$A$37,0))</f>
        <v>Tier 3</v>
      </c>
      <c r="E3384" s="12" t="n">
        <f aca="false">INDEX('Country Tiers'!$D$2:$D$37,MATCH(C3384,'Country Tiers'!$A$2:$A$37,0))</f>
        <v>1</v>
      </c>
    </row>
    <row r="3385" customFormat="false" ht="15" hidden="false" customHeight="false" outlineLevel="0" collapsed="false">
      <c r="A3385" s="12" t="s">
        <v>176</v>
      </c>
      <c r="B3385" s="12" t="s">
        <v>38</v>
      </c>
      <c r="C3385" s="12" t="s">
        <v>296</v>
      </c>
      <c r="D3385" s="12" t="str">
        <f aca="false">INDEX('Country Tiers'!$C$2:$C$37,MATCH(C3385,'Country Tiers'!$A$2:$A$37,0))</f>
        <v>Tier 3</v>
      </c>
      <c r="E3385" s="12" t="n">
        <f aca="false">INDEX('Country Tiers'!$D$2:$D$37,MATCH(C3385,'Country Tiers'!$A$2:$A$37,0))</f>
        <v>1</v>
      </c>
    </row>
    <row r="3386" customFormat="false" ht="15" hidden="false" customHeight="false" outlineLevel="0" collapsed="false">
      <c r="A3386" s="12" t="s">
        <v>176</v>
      </c>
      <c r="B3386" s="12" t="s">
        <v>38</v>
      </c>
      <c r="C3386" s="12" t="s">
        <v>297</v>
      </c>
      <c r="D3386" s="12" t="str">
        <f aca="false">INDEX('Country Tiers'!$C$2:$C$37,MATCH(C3386,'Country Tiers'!$A$2:$A$37,0))</f>
        <v>Tier 2</v>
      </c>
      <c r="E3386" s="12" t="n">
        <f aca="false">INDEX('Country Tiers'!$D$2:$D$37,MATCH(C3386,'Country Tiers'!$A$2:$A$37,0))</f>
        <v>2</v>
      </c>
    </row>
    <row r="3387" customFormat="false" ht="15" hidden="false" customHeight="false" outlineLevel="0" collapsed="false">
      <c r="A3387" s="12" t="s">
        <v>176</v>
      </c>
      <c r="B3387" s="12" t="s">
        <v>38</v>
      </c>
      <c r="C3387" s="12" t="s">
        <v>298</v>
      </c>
      <c r="D3387" s="12" t="str">
        <f aca="false">INDEX('Country Tiers'!$C$2:$C$37,MATCH(C3387,'Country Tiers'!$A$2:$A$37,0))</f>
        <v>Tier 1</v>
      </c>
      <c r="E3387" s="12" t="n">
        <f aca="false">INDEX('Country Tiers'!$D$2:$D$37,MATCH(C3387,'Country Tiers'!$A$2:$A$37,0))</f>
        <v>3</v>
      </c>
    </row>
    <row r="3388" customFormat="false" ht="15" hidden="false" customHeight="false" outlineLevel="0" collapsed="false">
      <c r="A3388" s="12" t="s">
        <v>176</v>
      </c>
      <c r="B3388" s="12" t="s">
        <v>38</v>
      </c>
      <c r="C3388" s="12" t="s">
        <v>299</v>
      </c>
      <c r="D3388" s="12" t="str">
        <f aca="false">INDEX('Country Tiers'!$C$2:$C$37,MATCH(C3388,'Country Tiers'!$A$2:$A$37,0))</f>
        <v>Tier 3</v>
      </c>
      <c r="E3388" s="12" t="n">
        <f aca="false">INDEX('Country Tiers'!$D$2:$D$37,MATCH(C3388,'Country Tiers'!$A$2:$A$37,0))</f>
        <v>1</v>
      </c>
    </row>
    <row r="3389" customFormat="false" ht="15" hidden="false" customHeight="false" outlineLevel="0" collapsed="false">
      <c r="A3389" s="12" t="s">
        <v>176</v>
      </c>
      <c r="B3389" s="12" t="s">
        <v>38</v>
      </c>
      <c r="C3389" s="12" t="s">
        <v>301</v>
      </c>
      <c r="D3389" s="12" t="str">
        <f aca="false">INDEX('Country Tiers'!$C$2:$C$37,MATCH(C3389,'Country Tiers'!$A$2:$A$37,0))</f>
        <v>Tier 3</v>
      </c>
      <c r="E3389" s="12" t="n">
        <f aca="false">INDEX('Country Tiers'!$D$2:$D$37,MATCH(C3389,'Country Tiers'!$A$2:$A$37,0))</f>
        <v>1</v>
      </c>
    </row>
    <row r="3390" customFormat="false" ht="15" hidden="false" customHeight="false" outlineLevel="0" collapsed="false">
      <c r="A3390" s="12" t="s">
        <v>176</v>
      </c>
      <c r="B3390" s="12" t="s">
        <v>38</v>
      </c>
      <c r="C3390" s="12" t="s">
        <v>305</v>
      </c>
      <c r="D3390" s="12" t="str">
        <f aca="false">INDEX('Country Tiers'!$C$2:$C$37,MATCH(C3390,'Country Tiers'!$A$2:$A$37,0))</f>
        <v>Tier 3</v>
      </c>
      <c r="E3390" s="12" t="n">
        <f aca="false">INDEX('Country Tiers'!$D$2:$D$37,MATCH(C3390,'Country Tiers'!$A$2:$A$37,0))</f>
        <v>1</v>
      </c>
    </row>
    <row r="3391" customFormat="false" ht="15" hidden="false" customHeight="false" outlineLevel="0" collapsed="false">
      <c r="A3391" s="12" t="s">
        <v>176</v>
      </c>
      <c r="B3391" s="12" t="s">
        <v>38</v>
      </c>
      <c r="C3391" s="12" t="s">
        <v>307</v>
      </c>
      <c r="D3391" s="12" t="str">
        <f aca="false">INDEX('Country Tiers'!$C$2:$C$37,MATCH(C3391,'Country Tiers'!$A$2:$A$37,0))</f>
        <v>Tier 2</v>
      </c>
      <c r="E3391" s="12" t="n">
        <f aca="false">INDEX('Country Tiers'!$D$2:$D$37,MATCH(C3391,'Country Tiers'!$A$2:$A$37,0))</f>
        <v>2</v>
      </c>
    </row>
    <row r="3392" customFormat="false" ht="15" hidden="false" customHeight="false" outlineLevel="0" collapsed="false">
      <c r="A3392" s="12" t="s">
        <v>176</v>
      </c>
      <c r="B3392" s="12" t="s">
        <v>38</v>
      </c>
      <c r="C3392" s="12" t="s">
        <v>308</v>
      </c>
      <c r="D3392" s="12" t="str">
        <f aca="false">INDEX('Country Tiers'!$C$2:$C$37,MATCH(C3392,'Country Tiers'!$A$2:$A$37,0))</f>
        <v>Tier 3</v>
      </c>
      <c r="E3392" s="12" t="n">
        <f aca="false">INDEX('Country Tiers'!$D$2:$D$37,MATCH(C3392,'Country Tiers'!$A$2:$A$37,0))</f>
        <v>1</v>
      </c>
    </row>
    <row r="3393" customFormat="false" ht="15" hidden="false" customHeight="false" outlineLevel="0" collapsed="false">
      <c r="A3393" s="12" t="s">
        <v>176</v>
      </c>
      <c r="B3393" s="12" t="s">
        <v>38</v>
      </c>
      <c r="C3393" s="12" t="s">
        <v>309</v>
      </c>
      <c r="D3393" s="12" t="str">
        <f aca="false">INDEX('Country Tiers'!$C$2:$C$37,MATCH(C3393,'Country Tiers'!$A$2:$A$37,0))</f>
        <v>Tier 1</v>
      </c>
      <c r="E3393" s="12" t="n">
        <f aca="false">INDEX('Country Tiers'!$D$2:$D$37,MATCH(C3393,'Country Tiers'!$A$2:$A$37,0))</f>
        <v>3</v>
      </c>
    </row>
    <row r="3394" customFormat="false" ht="15" hidden="false" customHeight="false" outlineLevel="0" collapsed="false">
      <c r="A3394" s="12" t="s">
        <v>176</v>
      </c>
      <c r="B3394" s="12" t="s">
        <v>38</v>
      </c>
      <c r="C3394" s="12" t="s">
        <v>313</v>
      </c>
      <c r="D3394" s="12" t="str">
        <f aca="false">INDEX('Country Tiers'!$C$2:$C$37,MATCH(C3394,'Country Tiers'!$A$2:$A$37,0))</f>
        <v>Tier 1</v>
      </c>
      <c r="E3394" s="12" t="n">
        <f aca="false">INDEX('Country Tiers'!$D$2:$D$37,MATCH(C3394,'Country Tiers'!$A$2:$A$37,0))</f>
        <v>3</v>
      </c>
    </row>
    <row r="3395" customFormat="false" ht="15" hidden="false" customHeight="false" outlineLevel="0" collapsed="false">
      <c r="A3395" s="12" t="s">
        <v>177</v>
      </c>
      <c r="B3395" s="12" t="s">
        <v>57</v>
      </c>
      <c r="C3395" s="12" t="s">
        <v>274</v>
      </c>
      <c r="D3395" s="12" t="str">
        <f aca="false">INDEX('Country Tiers'!$C$2:$C$37,MATCH(C3395,'Country Tiers'!$A$2:$A$37,0))</f>
        <v>Tier 3</v>
      </c>
      <c r="E3395" s="12" t="n">
        <f aca="false">INDEX('Country Tiers'!$D$2:$D$37,MATCH(C3395,'Country Tiers'!$A$2:$A$37,0))</f>
        <v>1</v>
      </c>
    </row>
    <row r="3396" customFormat="false" ht="15" hidden="false" customHeight="false" outlineLevel="0" collapsed="false">
      <c r="A3396" s="12" t="s">
        <v>177</v>
      </c>
      <c r="B3396" s="12" t="s">
        <v>57</v>
      </c>
      <c r="C3396" s="12" t="s">
        <v>277</v>
      </c>
      <c r="D3396" s="12" t="str">
        <f aca="false">INDEX('Country Tiers'!$C$2:$C$37,MATCH(C3396,'Country Tiers'!$A$2:$A$37,0))</f>
        <v>Tier 1</v>
      </c>
      <c r="E3396" s="12" t="n">
        <f aca="false">INDEX('Country Tiers'!$D$2:$D$37,MATCH(C3396,'Country Tiers'!$A$2:$A$37,0))</f>
        <v>3</v>
      </c>
    </row>
    <row r="3397" customFormat="false" ht="15" hidden="false" customHeight="false" outlineLevel="0" collapsed="false">
      <c r="A3397" s="12" t="s">
        <v>177</v>
      </c>
      <c r="B3397" s="12" t="s">
        <v>57</v>
      </c>
      <c r="C3397" s="12" t="s">
        <v>278</v>
      </c>
      <c r="D3397" s="12" t="str">
        <f aca="false">INDEX('Country Tiers'!$C$2:$C$37,MATCH(C3397,'Country Tiers'!$A$2:$A$37,0))</f>
        <v>Tier 3</v>
      </c>
      <c r="E3397" s="12" t="n">
        <f aca="false">INDEX('Country Tiers'!$D$2:$D$37,MATCH(C3397,'Country Tiers'!$A$2:$A$37,0))</f>
        <v>1</v>
      </c>
    </row>
    <row r="3398" customFormat="false" ht="15" hidden="false" customHeight="false" outlineLevel="0" collapsed="false">
      <c r="A3398" s="12" t="s">
        <v>177</v>
      </c>
      <c r="B3398" s="12" t="s">
        <v>57</v>
      </c>
      <c r="C3398" s="12" t="s">
        <v>280</v>
      </c>
      <c r="D3398" s="12" t="str">
        <f aca="false">INDEX('Country Tiers'!$C$2:$C$37,MATCH(C3398,'Country Tiers'!$A$2:$A$37,0))</f>
        <v>Tier 3</v>
      </c>
      <c r="E3398" s="12" t="n">
        <f aca="false">INDEX('Country Tiers'!$D$2:$D$37,MATCH(C3398,'Country Tiers'!$A$2:$A$37,0))</f>
        <v>1</v>
      </c>
    </row>
    <row r="3399" customFormat="false" ht="15" hidden="false" customHeight="false" outlineLevel="0" collapsed="false">
      <c r="A3399" s="12" t="s">
        <v>177</v>
      </c>
      <c r="B3399" s="12" t="s">
        <v>57</v>
      </c>
      <c r="C3399" s="12" t="s">
        <v>281</v>
      </c>
      <c r="D3399" s="12" t="str">
        <f aca="false">INDEX('Country Tiers'!$C$2:$C$37,MATCH(C3399,'Country Tiers'!$A$2:$A$37,0))</f>
        <v>Tier 3</v>
      </c>
      <c r="E3399" s="12" t="n">
        <f aca="false">INDEX('Country Tiers'!$D$2:$D$37,MATCH(C3399,'Country Tiers'!$A$2:$A$37,0))</f>
        <v>1</v>
      </c>
    </row>
    <row r="3400" customFormat="false" ht="15" hidden="false" customHeight="false" outlineLevel="0" collapsed="false">
      <c r="A3400" s="12" t="s">
        <v>177</v>
      </c>
      <c r="B3400" s="12" t="s">
        <v>57</v>
      </c>
      <c r="C3400" s="12" t="s">
        <v>282</v>
      </c>
      <c r="D3400" s="12" t="str">
        <f aca="false">INDEX('Country Tiers'!$C$2:$C$37,MATCH(C3400,'Country Tiers'!$A$2:$A$37,0))</f>
        <v>Tier 3</v>
      </c>
      <c r="E3400" s="12" t="n">
        <f aca="false">INDEX('Country Tiers'!$D$2:$D$37,MATCH(C3400,'Country Tiers'!$A$2:$A$37,0))</f>
        <v>1</v>
      </c>
    </row>
    <row r="3401" customFormat="false" ht="15" hidden="false" customHeight="false" outlineLevel="0" collapsed="false">
      <c r="A3401" s="12" t="s">
        <v>177</v>
      </c>
      <c r="B3401" s="12" t="s">
        <v>57</v>
      </c>
      <c r="C3401" s="12" t="s">
        <v>283</v>
      </c>
      <c r="D3401" s="12" t="str">
        <f aca="false">INDEX('Country Tiers'!$C$2:$C$37,MATCH(C3401,'Country Tiers'!$A$2:$A$37,0))</f>
        <v>Tier 3</v>
      </c>
      <c r="E3401" s="12" t="n">
        <f aca="false">INDEX('Country Tiers'!$D$2:$D$37,MATCH(C3401,'Country Tiers'!$A$2:$A$37,0))</f>
        <v>1</v>
      </c>
    </row>
    <row r="3402" customFormat="false" ht="15" hidden="false" customHeight="false" outlineLevel="0" collapsed="false">
      <c r="A3402" s="12" t="s">
        <v>177</v>
      </c>
      <c r="B3402" s="12" t="s">
        <v>57</v>
      </c>
      <c r="C3402" s="12" t="s">
        <v>284</v>
      </c>
      <c r="D3402" s="12" t="str">
        <f aca="false">INDEX('Country Tiers'!$C$2:$C$37,MATCH(C3402,'Country Tiers'!$A$2:$A$37,0))</f>
        <v>Tier 3</v>
      </c>
      <c r="E3402" s="12" t="n">
        <f aca="false">INDEX('Country Tiers'!$D$2:$D$37,MATCH(C3402,'Country Tiers'!$A$2:$A$37,0))</f>
        <v>1</v>
      </c>
    </row>
    <row r="3403" customFormat="false" ht="15" hidden="false" customHeight="false" outlineLevel="0" collapsed="false">
      <c r="A3403" s="12" t="s">
        <v>177</v>
      </c>
      <c r="B3403" s="12" t="s">
        <v>57</v>
      </c>
      <c r="C3403" s="12" t="s">
        <v>285</v>
      </c>
      <c r="D3403" s="12" t="str">
        <f aca="false">INDEX('Country Tiers'!$C$2:$C$37,MATCH(C3403,'Country Tiers'!$A$2:$A$37,0))</f>
        <v>Tier 3</v>
      </c>
      <c r="E3403" s="12" t="n">
        <f aca="false">INDEX('Country Tiers'!$D$2:$D$37,MATCH(C3403,'Country Tiers'!$A$2:$A$37,0))</f>
        <v>1</v>
      </c>
    </row>
    <row r="3404" customFormat="false" ht="15" hidden="false" customHeight="false" outlineLevel="0" collapsed="false">
      <c r="A3404" s="12" t="s">
        <v>177</v>
      </c>
      <c r="B3404" s="12" t="s">
        <v>57</v>
      </c>
      <c r="C3404" s="12" t="s">
        <v>286</v>
      </c>
      <c r="D3404" s="12" t="str">
        <f aca="false">INDEX('Country Tiers'!$C$2:$C$37,MATCH(C3404,'Country Tiers'!$A$2:$A$37,0))</f>
        <v>Tier 1</v>
      </c>
      <c r="E3404" s="12" t="n">
        <f aca="false">INDEX('Country Tiers'!$D$2:$D$37,MATCH(C3404,'Country Tiers'!$A$2:$A$37,0))</f>
        <v>3</v>
      </c>
    </row>
    <row r="3405" customFormat="false" ht="15" hidden="false" customHeight="false" outlineLevel="0" collapsed="false">
      <c r="A3405" s="12" t="s">
        <v>177</v>
      </c>
      <c r="B3405" s="12" t="s">
        <v>57</v>
      </c>
      <c r="C3405" s="12" t="s">
        <v>287</v>
      </c>
      <c r="D3405" s="12" t="str">
        <f aca="false">INDEX('Country Tiers'!$C$2:$C$37,MATCH(C3405,'Country Tiers'!$A$2:$A$37,0))</f>
        <v>Tier 1</v>
      </c>
      <c r="E3405" s="12" t="n">
        <f aca="false">INDEX('Country Tiers'!$D$2:$D$37,MATCH(C3405,'Country Tiers'!$A$2:$A$37,0))</f>
        <v>3</v>
      </c>
    </row>
    <row r="3406" customFormat="false" ht="15" hidden="false" customHeight="false" outlineLevel="0" collapsed="false">
      <c r="A3406" s="12" t="s">
        <v>177</v>
      </c>
      <c r="B3406" s="12" t="s">
        <v>57</v>
      </c>
      <c r="C3406" s="12" t="s">
        <v>288</v>
      </c>
      <c r="D3406" s="12" t="str">
        <f aca="false">INDEX('Country Tiers'!$C$2:$C$37,MATCH(C3406,'Country Tiers'!$A$2:$A$37,0))</f>
        <v>Tier 3</v>
      </c>
      <c r="E3406" s="12" t="n">
        <f aca="false">INDEX('Country Tiers'!$D$2:$D$37,MATCH(C3406,'Country Tiers'!$A$2:$A$37,0))</f>
        <v>1</v>
      </c>
    </row>
    <row r="3407" customFormat="false" ht="15" hidden="false" customHeight="false" outlineLevel="0" collapsed="false">
      <c r="A3407" s="12" t="s">
        <v>177</v>
      </c>
      <c r="B3407" s="12" t="s">
        <v>57</v>
      </c>
      <c r="C3407" s="12" t="s">
        <v>289</v>
      </c>
      <c r="D3407" s="12" t="str">
        <f aca="false">INDEX('Country Tiers'!$C$2:$C$37,MATCH(C3407,'Country Tiers'!$A$2:$A$37,0))</f>
        <v>Tier 3</v>
      </c>
      <c r="E3407" s="12" t="n">
        <f aca="false">INDEX('Country Tiers'!$D$2:$D$37,MATCH(C3407,'Country Tiers'!$A$2:$A$37,0))</f>
        <v>1</v>
      </c>
    </row>
    <row r="3408" customFormat="false" ht="15" hidden="false" customHeight="false" outlineLevel="0" collapsed="false">
      <c r="A3408" s="12" t="s">
        <v>177</v>
      </c>
      <c r="B3408" s="12" t="s">
        <v>57</v>
      </c>
      <c r="C3408" s="12" t="s">
        <v>290</v>
      </c>
      <c r="D3408" s="12" t="str">
        <f aca="false">INDEX('Country Tiers'!$C$2:$C$37,MATCH(C3408,'Country Tiers'!$A$2:$A$37,0))</f>
        <v>Tier 3</v>
      </c>
      <c r="E3408" s="12" t="n">
        <f aca="false">INDEX('Country Tiers'!$D$2:$D$37,MATCH(C3408,'Country Tiers'!$A$2:$A$37,0))</f>
        <v>1</v>
      </c>
    </row>
    <row r="3409" customFormat="false" ht="15" hidden="false" customHeight="false" outlineLevel="0" collapsed="false">
      <c r="A3409" s="12" t="s">
        <v>177</v>
      </c>
      <c r="B3409" s="12" t="s">
        <v>57</v>
      </c>
      <c r="C3409" s="12" t="s">
        <v>291</v>
      </c>
      <c r="D3409" s="12" t="str">
        <f aca="false">INDEX('Country Tiers'!$C$2:$C$37,MATCH(C3409,'Country Tiers'!$A$2:$A$37,0))</f>
        <v>Tier 3</v>
      </c>
      <c r="E3409" s="12" t="n">
        <f aca="false">INDEX('Country Tiers'!$D$2:$D$37,MATCH(C3409,'Country Tiers'!$A$2:$A$37,0))</f>
        <v>1</v>
      </c>
    </row>
    <row r="3410" customFormat="false" ht="15" hidden="false" customHeight="false" outlineLevel="0" collapsed="false">
      <c r="A3410" s="12" t="s">
        <v>177</v>
      </c>
      <c r="B3410" s="12" t="s">
        <v>57</v>
      </c>
      <c r="C3410" s="12" t="s">
        <v>292</v>
      </c>
      <c r="D3410" s="12" t="str">
        <f aca="false">INDEX('Country Tiers'!$C$2:$C$37,MATCH(C3410,'Country Tiers'!$A$2:$A$37,0))</f>
        <v>Tier 2</v>
      </c>
      <c r="E3410" s="12" t="n">
        <f aca="false">INDEX('Country Tiers'!$D$2:$D$37,MATCH(C3410,'Country Tiers'!$A$2:$A$37,0))</f>
        <v>2</v>
      </c>
    </row>
    <row r="3411" customFormat="false" ht="15" hidden="false" customHeight="false" outlineLevel="0" collapsed="false">
      <c r="A3411" s="12" t="s">
        <v>177</v>
      </c>
      <c r="B3411" s="12" t="s">
        <v>57</v>
      </c>
      <c r="C3411" s="12" t="s">
        <v>293</v>
      </c>
      <c r="D3411" s="12" t="str">
        <f aca="false">INDEX('Country Tiers'!$C$2:$C$37,MATCH(C3411,'Country Tiers'!$A$2:$A$37,0))</f>
        <v>Tier 3</v>
      </c>
      <c r="E3411" s="12" t="n">
        <f aca="false">INDEX('Country Tiers'!$D$2:$D$37,MATCH(C3411,'Country Tiers'!$A$2:$A$37,0))</f>
        <v>1</v>
      </c>
    </row>
    <row r="3412" customFormat="false" ht="15" hidden="false" customHeight="false" outlineLevel="0" collapsed="false">
      <c r="A3412" s="12" t="s">
        <v>177</v>
      </c>
      <c r="B3412" s="12" t="s">
        <v>57</v>
      </c>
      <c r="C3412" s="12" t="s">
        <v>295</v>
      </c>
      <c r="D3412" s="12" t="str">
        <f aca="false">INDEX('Country Tiers'!$C$2:$C$37,MATCH(C3412,'Country Tiers'!$A$2:$A$37,0))</f>
        <v>Tier 3</v>
      </c>
      <c r="E3412" s="12" t="n">
        <f aca="false">INDEX('Country Tiers'!$D$2:$D$37,MATCH(C3412,'Country Tiers'!$A$2:$A$37,0))</f>
        <v>1</v>
      </c>
    </row>
    <row r="3413" customFormat="false" ht="15" hidden="false" customHeight="false" outlineLevel="0" collapsed="false">
      <c r="A3413" s="12" t="s">
        <v>177</v>
      </c>
      <c r="B3413" s="12" t="s">
        <v>57</v>
      </c>
      <c r="C3413" s="12" t="s">
        <v>296</v>
      </c>
      <c r="D3413" s="12" t="str">
        <f aca="false">INDEX('Country Tiers'!$C$2:$C$37,MATCH(C3413,'Country Tiers'!$A$2:$A$37,0))</f>
        <v>Tier 3</v>
      </c>
      <c r="E3413" s="12" t="n">
        <f aca="false">INDEX('Country Tiers'!$D$2:$D$37,MATCH(C3413,'Country Tiers'!$A$2:$A$37,0))</f>
        <v>1</v>
      </c>
    </row>
    <row r="3414" customFormat="false" ht="15" hidden="false" customHeight="false" outlineLevel="0" collapsed="false">
      <c r="A3414" s="12" t="s">
        <v>177</v>
      </c>
      <c r="B3414" s="12" t="s">
        <v>57</v>
      </c>
      <c r="C3414" s="12" t="s">
        <v>297</v>
      </c>
      <c r="D3414" s="12" t="str">
        <f aca="false">INDEX('Country Tiers'!$C$2:$C$37,MATCH(C3414,'Country Tiers'!$A$2:$A$37,0))</f>
        <v>Tier 2</v>
      </c>
      <c r="E3414" s="12" t="n">
        <f aca="false">INDEX('Country Tiers'!$D$2:$D$37,MATCH(C3414,'Country Tiers'!$A$2:$A$37,0))</f>
        <v>2</v>
      </c>
    </row>
    <row r="3415" customFormat="false" ht="15" hidden="false" customHeight="false" outlineLevel="0" collapsed="false">
      <c r="A3415" s="12" t="s">
        <v>177</v>
      </c>
      <c r="B3415" s="12" t="s">
        <v>57</v>
      </c>
      <c r="C3415" s="12" t="s">
        <v>298</v>
      </c>
      <c r="D3415" s="12" t="str">
        <f aca="false">INDEX('Country Tiers'!$C$2:$C$37,MATCH(C3415,'Country Tiers'!$A$2:$A$37,0))</f>
        <v>Tier 1</v>
      </c>
      <c r="E3415" s="12" t="n">
        <f aca="false">INDEX('Country Tiers'!$D$2:$D$37,MATCH(C3415,'Country Tiers'!$A$2:$A$37,0))</f>
        <v>3</v>
      </c>
    </row>
    <row r="3416" customFormat="false" ht="15" hidden="false" customHeight="false" outlineLevel="0" collapsed="false">
      <c r="A3416" s="12" t="s">
        <v>177</v>
      </c>
      <c r="B3416" s="12" t="s">
        <v>57</v>
      </c>
      <c r="C3416" s="12" t="s">
        <v>299</v>
      </c>
      <c r="D3416" s="12" t="str">
        <f aca="false">INDEX('Country Tiers'!$C$2:$C$37,MATCH(C3416,'Country Tiers'!$A$2:$A$37,0))</f>
        <v>Tier 3</v>
      </c>
      <c r="E3416" s="12" t="n">
        <f aca="false">INDEX('Country Tiers'!$D$2:$D$37,MATCH(C3416,'Country Tiers'!$A$2:$A$37,0))</f>
        <v>1</v>
      </c>
    </row>
    <row r="3417" customFormat="false" ht="15" hidden="false" customHeight="false" outlineLevel="0" collapsed="false">
      <c r="A3417" s="12" t="s">
        <v>177</v>
      </c>
      <c r="B3417" s="12" t="s">
        <v>57</v>
      </c>
      <c r="C3417" s="12" t="s">
        <v>300</v>
      </c>
      <c r="D3417" s="12" t="str">
        <f aca="false">INDEX('Country Tiers'!$C$2:$C$37,MATCH(C3417,'Country Tiers'!$A$2:$A$37,0))</f>
        <v>Tier 3</v>
      </c>
      <c r="E3417" s="12" t="n">
        <f aca="false">INDEX('Country Tiers'!$D$2:$D$37,MATCH(C3417,'Country Tiers'!$A$2:$A$37,0))</f>
        <v>1</v>
      </c>
    </row>
    <row r="3418" customFormat="false" ht="15" hidden="false" customHeight="false" outlineLevel="0" collapsed="false">
      <c r="A3418" s="12" t="s">
        <v>177</v>
      </c>
      <c r="B3418" s="12" t="s">
        <v>57</v>
      </c>
      <c r="C3418" s="12" t="s">
        <v>301</v>
      </c>
      <c r="D3418" s="12" t="str">
        <f aca="false">INDEX('Country Tiers'!$C$2:$C$37,MATCH(C3418,'Country Tiers'!$A$2:$A$37,0))</f>
        <v>Tier 3</v>
      </c>
      <c r="E3418" s="12" t="n">
        <f aca="false">INDEX('Country Tiers'!$D$2:$D$37,MATCH(C3418,'Country Tiers'!$A$2:$A$37,0))</f>
        <v>1</v>
      </c>
    </row>
    <row r="3419" customFormat="false" ht="15" hidden="false" customHeight="false" outlineLevel="0" collapsed="false">
      <c r="A3419" s="12" t="s">
        <v>177</v>
      </c>
      <c r="B3419" s="12" t="s">
        <v>57</v>
      </c>
      <c r="C3419" s="12" t="s">
        <v>302</v>
      </c>
      <c r="D3419" s="12" t="str">
        <f aca="false">INDEX('Country Tiers'!$C$2:$C$37,MATCH(C3419,'Country Tiers'!$A$2:$A$37,0))</f>
        <v>Tier 3</v>
      </c>
      <c r="E3419" s="12" t="n">
        <f aca="false">INDEX('Country Tiers'!$D$2:$D$37,MATCH(C3419,'Country Tiers'!$A$2:$A$37,0))</f>
        <v>1</v>
      </c>
    </row>
    <row r="3420" customFormat="false" ht="15" hidden="false" customHeight="false" outlineLevel="0" collapsed="false">
      <c r="A3420" s="12" t="s">
        <v>177</v>
      </c>
      <c r="B3420" s="12" t="s">
        <v>57</v>
      </c>
      <c r="C3420" s="12" t="s">
        <v>305</v>
      </c>
      <c r="D3420" s="12" t="str">
        <f aca="false">INDEX('Country Tiers'!$C$2:$C$37,MATCH(C3420,'Country Tiers'!$A$2:$A$37,0))</f>
        <v>Tier 3</v>
      </c>
      <c r="E3420" s="12" t="n">
        <f aca="false">INDEX('Country Tiers'!$D$2:$D$37,MATCH(C3420,'Country Tiers'!$A$2:$A$37,0))</f>
        <v>1</v>
      </c>
    </row>
    <row r="3421" customFormat="false" ht="15" hidden="false" customHeight="false" outlineLevel="0" collapsed="false">
      <c r="A3421" s="12" t="s">
        <v>177</v>
      </c>
      <c r="B3421" s="12" t="s">
        <v>57</v>
      </c>
      <c r="C3421" s="12" t="s">
        <v>306</v>
      </c>
      <c r="D3421" s="12" t="str">
        <f aca="false">INDEX('Country Tiers'!$C$2:$C$37,MATCH(C3421,'Country Tiers'!$A$2:$A$37,0))</f>
        <v>Tier 3</v>
      </c>
      <c r="E3421" s="12" t="n">
        <f aca="false">INDEX('Country Tiers'!$D$2:$D$37,MATCH(C3421,'Country Tiers'!$A$2:$A$37,0))</f>
        <v>1</v>
      </c>
    </row>
    <row r="3422" customFormat="false" ht="15" hidden="false" customHeight="false" outlineLevel="0" collapsed="false">
      <c r="A3422" s="12" t="s">
        <v>177</v>
      </c>
      <c r="B3422" s="12" t="s">
        <v>57</v>
      </c>
      <c r="C3422" s="12" t="s">
        <v>307</v>
      </c>
      <c r="D3422" s="12" t="str">
        <f aca="false">INDEX('Country Tiers'!$C$2:$C$37,MATCH(C3422,'Country Tiers'!$A$2:$A$37,0))</f>
        <v>Tier 2</v>
      </c>
      <c r="E3422" s="12" t="n">
        <f aca="false">INDEX('Country Tiers'!$D$2:$D$37,MATCH(C3422,'Country Tiers'!$A$2:$A$37,0))</f>
        <v>2</v>
      </c>
    </row>
    <row r="3423" customFormat="false" ht="15" hidden="false" customHeight="false" outlineLevel="0" collapsed="false">
      <c r="A3423" s="12" t="s">
        <v>177</v>
      </c>
      <c r="B3423" s="12" t="s">
        <v>57</v>
      </c>
      <c r="C3423" s="12" t="s">
        <v>308</v>
      </c>
      <c r="D3423" s="12" t="str">
        <f aca="false">INDEX('Country Tiers'!$C$2:$C$37,MATCH(C3423,'Country Tiers'!$A$2:$A$37,0))</f>
        <v>Tier 3</v>
      </c>
      <c r="E3423" s="12" t="n">
        <f aca="false">INDEX('Country Tiers'!$D$2:$D$37,MATCH(C3423,'Country Tiers'!$A$2:$A$37,0))</f>
        <v>1</v>
      </c>
    </row>
    <row r="3424" customFormat="false" ht="15" hidden="false" customHeight="false" outlineLevel="0" collapsed="false">
      <c r="A3424" s="12" t="s">
        <v>177</v>
      </c>
      <c r="B3424" s="12" t="s">
        <v>57</v>
      </c>
      <c r="C3424" s="12" t="s">
        <v>313</v>
      </c>
      <c r="D3424" s="12" t="str">
        <f aca="false">INDEX('Country Tiers'!$C$2:$C$37,MATCH(C3424,'Country Tiers'!$A$2:$A$37,0))</f>
        <v>Tier 1</v>
      </c>
      <c r="E3424" s="12" t="n">
        <f aca="false">INDEX('Country Tiers'!$D$2:$D$37,MATCH(C3424,'Country Tiers'!$A$2:$A$37,0))</f>
        <v>3</v>
      </c>
    </row>
    <row r="3425" customFormat="false" ht="15" hidden="false" customHeight="false" outlineLevel="0" collapsed="false">
      <c r="A3425" s="12" t="s">
        <v>177</v>
      </c>
      <c r="B3425" s="12" t="s">
        <v>44</v>
      </c>
      <c r="C3425" s="12" t="s">
        <v>274</v>
      </c>
      <c r="D3425" s="12" t="str">
        <f aca="false">INDEX('Country Tiers'!$C$2:$C$37,MATCH(C3425,'Country Tiers'!$A$2:$A$37,0))</f>
        <v>Tier 3</v>
      </c>
      <c r="E3425" s="12" t="n">
        <f aca="false">INDEX('Country Tiers'!$D$2:$D$37,MATCH(C3425,'Country Tiers'!$A$2:$A$37,0))</f>
        <v>1</v>
      </c>
    </row>
    <row r="3426" customFormat="false" ht="15" hidden="false" customHeight="false" outlineLevel="0" collapsed="false">
      <c r="A3426" s="12" t="s">
        <v>177</v>
      </c>
      <c r="B3426" s="12" t="s">
        <v>44</v>
      </c>
      <c r="C3426" s="12" t="s">
        <v>277</v>
      </c>
      <c r="D3426" s="12" t="str">
        <f aca="false">INDEX('Country Tiers'!$C$2:$C$37,MATCH(C3426,'Country Tiers'!$A$2:$A$37,0))</f>
        <v>Tier 1</v>
      </c>
      <c r="E3426" s="12" t="n">
        <f aca="false">INDEX('Country Tiers'!$D$2:$D$37,MATCH(C3426,'Country Tiers'!$A$2:$A$37,0))</f>
        <v>3</v>
      </c>
    </row>
    <row r="3427" customFormat="false" ht="15" hidden="false" customHeight="false" outlineLevel="0" collapsed="false">
      <c r="A3427" s="12" t="s">
        <v>177</v>
      </c>
      <c r="B3427" s="12" t="s">
        <v>44</v>
      </c>
      <c r="C3427" s="12" t="s">
        <v>278</v>
      </c>
      <c r="D3427" s="12" t="str">
        <f aca="false">INDEX('Country Tiers'!$C$2:$C$37,MATCH(C3427,'Country Tiers'!$A$2:$A$37,0))</f>
        <v>Tier 3</v>
      </c>
      <c r="E3427" s="12" t="n">
        <f aca="false">INDEX('Country Tiers'!$D$2:$D$37,MATCH(C3427,'Country Tiers'!$A$2:$A$37,0))</f>
        <v>1</v>
      </c>
    </row>
    <row r="3428" customFormat="false" ht="15" hidden="false" customHeight="false" outlineLevel="0" collapsed="false">
      <c r="A3428" s="12" t="s">
        <v>177</v>
      </c>
      <c r="B3428" s="12" t="s">
        <v>44</v>
      </c>
      <c r="C3428" s="12" t="s">
        <v>280</v>
      </c>
      <c r="D3428" s="12" t="str">
        <f aca="false">INDEX('Country Tiers'!$C$2:$C$37,MATCH(C3428,'Country Tiers'!$A$2:$A$37,0))</f>
        <v>Tier 3</v>
      </c>
      <c r="E3428" s="12" t="n">
        <f aca="false">INDEX('Country Tiers'!$D$2:$D$37,MATCH(C3428,'Country Tiers'!$A$2:$A$37,0))</f>
        <v>1</v>
      </c>
    </row>
    <row r="3429" customFormat="false" ht="15" hidden="false" customHeight="false" outlineLevel="0" collapsed="false">
      <c r="A3429" s="12" t="s">
        <v>177</v>
      </c>
      <c r="B3429" s="12" t="s">
        <v>44</v>
      </c>
      <c r="C3429" s="12" t="s">
        <v>281</v>
      </c>
      <c r="D3429" s="12" t="str">
        <f aca="false">INDEX('Country Tiers'!$C$2:$C$37,MATCH(C3429,'Country Tiers'!$A$2:$A$37,0))</f>
        <v>Tier 3</v>
      </c>
      <c r="E3429" s="12" t="n">
        <f aca="false">INDEX('Country Tiers'!$D$2:$D$37,MATCH(C3429,'Country Tiers'!$A$2:$A$37,0))</f>
        <v>1</v>
      </c>
    </row>
    <row r="3430" customFormat="false" ht="15" hidden="false" customHeight="false" outlineLevel="0" collapsed="false">
      <c r="A3430" s="12" t="s">
        <v>177</v>
      </c>
      <c r="B3430" s="12" t="s">
        <v>44</v>
      </c>
      <c r="C3430" s="12" t="s">
        <v>282</v>
      </c>
      <c r="D3430" s="12" t="str">
        <f aca="false">INDEX('Country Tiers'!$C$2:$C$37,MATCH(C3430,'Country Tiers'!$A$2:$A$37,0))</f>
        <v>Tier 3</v>
      </c>
      <c r="E3430" s="12" t="n">
        <f aca="false">INDEX('Country Tiers'!$D$2:$D$37,MATCH(C3430,'Country Tiers'!$A$2:$A$37,0))</f>
        <v>1</v>
      </c>
    </row>
    <row r="3431" customFormat="false" ht="15" hidden="false" customHeight="false" outlineLevel="0" collapsed="false">
      <c r="A3431" s="12" t="s">
        <v>177</v>
      </c>
      <c r="B3431" s="12" t="s">
        <v>44</v>
      </c>
      <c r="C3431" s="12" t="s">
        <v>283</v>
      </c>
      <c r="D3431" s="12" t="str">
        <f aca="false">INDEX('Country Tiers'!$C$2:$C$37,MATCH(C3431,'Country Tiers'!$A$2:$A$37,0))</f>
        <v>Tier 3</v>
      </c>
      <c r="E3431" s="12" t="n">
        <f aca="false">INDEX('Country Tiers'!$D$2:$D$37,MATCH(C3431,'Country Tiers'!$A$2:$A$37,0))</f>
        <v>1</v>
      </c>
    </row>
    <row r="3432" customFormat="false" ht="15" hidden="false" customHeight="false" outlineLevel="0" collapsed="false">
      <c r="A3432" s="12" t="s">
        <v>177</v>
      </c>
      <c r="B3432" s="12" t="s">
        <v>44</v>
      </c>
      <c r="C3432" s="12" t="s">
        <v>284</v>
      </c>
      <c r="D3432" s="12" t="str">
        <f aca="false">INDEX('Country Tiers'!$C$2:$C$37,MATCH(C3432,'Country Tiers'!$A$2:$A$37,0))</f>
        <v>Tier 3</v>
      </c>
      <c r="E3432" s="12" t="n">
        <f aca="false">INDEX('Country Tiers'!$D$2:$D$37,MATCH(C3432,'Country Tiers'!$A$2:$A$37,0))</f>
        <v>1</v>
      </c>
    </row>
    <row r="3433" customFormat="false" ht="15" hidden="false" customHeight="false" outlineLevel="0" collapsed="false">
      <c r="A3433" s="12" t="s">
        <v>177</v>
      </c>
      <c r="B3433" s="12" t="s">
        <v>44</v>
      </c>
      <c r="C3433" s="12" t="s">
        <v>285</v>
      </c>
      <c r="D3433" s="12" t="str">
        <f aca="false">INDEX('Country Tiers'!$C$2:$C$37,MATCH(C3433,'Country Tiers'!$A$2:$A$37,0))</f>
        <v>Tier 3</v>
      </c>
      <c r="E3433" s="12" t="n">
        <f aca="false">INDEX('Country Tiers'!$D$2:$D$37,MATCH(C3433,'Country Tiers'!$A$2:$A$37,0))</f>
        <v>1</v>
      </c>
    </row>
    <row r="3434" customFormat="false" ht="15" hidden="false" customHeight="false" outlineLevel="0" collapsed="false">
      <c r="A3434" s="12" t="s">
        <v>177</v>
      </c>
      <c r="B3434" s="12" t="s">
        <v>44</v>
      </c>
      <c r="C3434" s="12" t="s">
        <v>286</v>
      </c>
      <c r="D3434" s="12" t="str">
        <f aca="false">INDEX('Country Tiers'!$C$2:$C$37,MATCH(C3434,'Country Tiers'!$A$2:$A$37,0))</f>
        <v>Tier 1</v>
      </c>
      <c r="E3434" s="12" t="n">
        <f aca="false">INDEX('Country Tiers'!$D$2:$D$37,MATCH(C3434,'Country Tiers'!$A$2:$A$37,0))</f>
        <v>3</v>
      </c>
    </row>
    <row r="3435" customFormat="false" ht="15" hidden="false" customHeight="false" outlineLevel="0" collapsed="false">
      <c r="A3435" s="12" t="s">
        <v>177</v>
      </c>
      <c r="B3435" s="12" t="s">
        <v>44</v>
      </c>
      <c r="C3435" s="12" t="s">
        <v>287</v>
      </c>
      <c r="D3435" s="12" t="str">
        <f aca="false">INDEX('Country Tiers'!$C$2:$C$37,MATCH(C3435,'Country Tiers'!$A$2:$A$37,0))</f>
        <v>Tier 1</v>
      </c>
      <c r="E3435" s="12" t="n">
        <f aca="false">INDEX('Country Tiers'!$D$2:$D$37,MATCH(C3435,'Country Tiers'!$A$2:$A$37,0))</f>
        <v>3</v>
      </c>
    </row>
    <row r="3436" customFormat="false" ht="15" hidden="false" customHeight="false" outlineLevel="0" collapsed="false">
      <c r="A3436" s="12" t="s">
        <v>177</v>
      </c>
      <c r="B3436" s="12" t="s">
        <v>44</v>
      </c>
      <c r="C3436" s="12" t="s">
        <v>288</v>
      </c>
      <c r="D3436" s="12" t="str">
        <f aca="false">INDEX('Country Tiers'!$C$2:$C$37,MATCH(C3436,'Country Tiers'!$A$2:$A$37,0))</f>
        <v>Tier 3</v>
      </c>
      <c r="E3436" s="12" t="n">
        <f aca="false">INDEX('Country Tiers'!$D$2:$D$37,MATCH(C3436,'Country Tiers'!$A$2:$A$37,0))</f>
        <v>1</v>
      </c>
    </row>
    <row r="3437" customFormat="false" ht="15" hidden="false" customHeight="false" outlineLevel="0" collapsed="false">
      <c r="A3437" s="12" t="s">
        <v>177</v>
      </c>
      <c r="B3437" s="12" t="s">
        <v>44</v>
      </c>
      <c r="C3437" s="12" t="s">
        <v>289</v>
      </c>
      <c r="D3437" s="12" t="str">
        <f aca="false">INDEX('Country Tiers'!$C$2:$C$37,MATCH(C3437,'Country Tiers'!$A$2:$A$37,0))</f>
        <v>Tier 3</v>
      </c>
      <c r="E3437" s="12" t="n">
        <f aca="false">INDEX('Country Tiers'!$D$2:$D$37,MATCH(C3437,'Country Tiers'!$A$2:$A$37,0))</f>
        <v>1</v>
      </c>
    </row>
    <row r="3438" customFormat="false" ht="15" hidden="false" customHeight="false" outlineLevel="0" collapsed="false">
      <c r="A3438" s="12" t="s">
        <v>177</v>
      </c>
      <c r="B3438" s="12" t="s">
        <v>44</v>
      </c>
      <c r="C3438" s="12" t="s">
        <v>290</v>
      </c>
      <c r="D3438" s="12" t="str">
        <f aca="false">INDEX('Country Tiers'!$C$2:$C$37,MATCH(C3438,'Country Tiers'!$A$2:$A$37,0))</f>
        <v>Tier 3</v>
      </c>
      <c r="E3438" s="12" t="n">
        <f aca="false">INDEX('Country Tiers'!$D$2:$D$37,MATCH(C3438,'Country Tiers'!$A$2:$A$37,0))</f>
        <v>1</v>
      </c>
    </row>
    <row r="3439" customFormat="false" ht="15" hidden="false" customHeight="false" outlineLevel="0" collapsed="false">
      <c r="A3439" s="12" t="s">
        <v>177</v>
      </c>
      <c r="B3439" s="12" t="s">
        <v>44</v>
      </c>
      <c r="C3439" s="12" t="s">
        <v>291</v>
      </c>
      <c r="D3439" s="12" t="str">
        <f aca="false">INDEX('Country Tiers'!$C$2:$C$37,MATCH(C3439,'Country Tiers'!$A$2:$A$37,0))</f>
        <v>Tier 3</v>
      </c>
      <c r="E3439" s="12" t="n">
        <f aca="false">INDEX('Country Tiers'!$D$2:$D$37,MATCH(C3439,'Country Tiers'!$A$2:$A$37,0))</f>
        <v>1</v>
      </c>
    </row>
    <row r="3440" customFormat="false" ht="15" hidden="false" customHeight="false" outlineLevel="0" collapsed="false">
      <c r="A3440" s="12" t="s">
        <v>177</v>
      </c>
      <c r="B3440" s="12" t="s">
        <v>44</v>
      </c>
      <c r="C3440" s="12" t="s">
        <v>292</v>
      </c>
      <c r="D3440" s="12" t="str">
        <f aca="false">INDEX('Country Tiers'!$C$2:$C$37,MATCH(C3440,'Country Tiers'!$A$2:$A$37,0))</f>
        <v>Tier 2</v>
      </c>
      <c r="E3440" s="12" t="n">
        <f aca="false">INDEX('Country Tiers'!$D$2:$D$37,MATCH(C3440,'Country Tiers'!$A$2:$A$37,0))</f>
        <v>2</v>
      </c>
    </row>
    <row r="3441" customFormat="false" ht="15" hidden="false" customHeight="false" outlineLevel="0" collapsed="false">
      <c r="A3441" s="12" t="s">
        <v>177</v>
      </c>
      <c r="B3441" s="12" t="s">
        <v>44</v>
      </c>
      <c r="C3441" s="12" t="s">
        <v>293</v>
      </c>
      <c r="D3441" s="12" t="str">
        <f aca="false">INDEX('Country Tiers'!$C$2:$C$37,MATCH(C3441,'Country Tiers'!$A$2:$A$37,0))</f>
        <v>Tier 3</v>
      </c>
      <c r="E3441" s="12" t="n">
        <f aca="false">INDEX('Country Tiers'!$D$2:$D$37,MATCH(C3441,'Country Tiers'!$A$2:$A$37,0))</f>
        <v>1</v>
      </c>
    </row>
    <row r="3442" customFormat="false" ht="15" hidden="false" customHeight="false" outlineLevel="0" collapsed="false">
      <c r="A3442" s="12" t="s">
        <v>177</v>
      </c>
      <c r="B3442" s="12" t="s">
        <v>44</v>
      </c>
      <c r="C3442" s="12" t="s">
        <v>295</v>
      </c>
      <c r="D3442" s="12" t="str">
        <f aca="false">INDEX('Country Tiers'!$C$2:$C$37,MATCH(C3442,'Country Tiers'!$A$2:$A$37,0))</f>
        <v>Tier 3</v>
      </c>
      <c r="E3442" s="12" t="n">
        <f aca="false">INDEX('Country Tiers'!$D$2:$D$37,MATCH(C3442,'Country Tiers'!$A$2:$A$37,0))</f>
        <v>1</v>
      </c>
    </row>
    <row r="3443" customFormat="false" ht="15" hidden="false" customHeight="false" outlineLevel="0" collapsed="false">
      <c r="A3443" s="12" t="s">
        <v>177</v>
      </c>
      <c r="B3443" s="12" t="s">
        <v>44</v>
      </c>
      <c r="C3443" s="12" t="s">
        <v>296</v>
      </c>
      <c r="D3443" s="12" t="str">
        <f aca="false">INDEX('Country Tiers'!$C$2:$C$37,MATCH(C3443,'Country Tiers'!$A$2:$A$37,0))</f>
        <v>Tier 3</v>
      </c>
      <c r="E3443" s="12" t="n">
        <f aca="false">INDEX('Country Tiers'!$D$2:$D$37,MATCH(C3443,'Country Tiers'!$A$2:$A$37,0))</f>
        <v>1</v>
      </c>
    </row>
    <row r="3444" customFormat="false" ht="15" hidden="false" customHeight="false" outlineLevel="0" collapsed="false">
      <c r="A3444" s="12" t="s">
        <v>177</v>
      </c>
      <c r="B3444" s="12" t="s">
        <v>44</v>
      </c>
      <c r="C3444" s="12" t="s">
        <v>297</v>
      </c>
      <c r="D3444" s="12" t="str">
        <f aca="false">INDEX('Country Tiers'!$C$2:$C$37,MATCH(C3444,'Country Tiers'!$A$2:$A$37,0))</f>
        <v>Tier 2</v>
      </c>
      <c r="E3444" s="12" t="n">
        <f aca="false">INDEX('Country Tiers'!$D$2:$D$37,MATCH(C3444,'Country Tiers'!$A$2:$A$37,0))</f>
        <v>2</v>
      </c>
    </row>
    <row r="3445" customFormat="false" ht="15" hidden="false" customHeight="false" outlineLevel="0" collapsed="false">
      <c r="A3445" s="12" t="s">
        <v>177</v>
      </c>
      <c r="B3445" s="12" t="s">
        <v>44</v>
      </c>
      <c r="C3445" s="12" t="s">
        <v>298</v>
      </c>
      <c r="D3445" s="12" t="str">
        <f aca="false">INDEX('Country Tiers'!$C$2:$C$37,MATCH(C3445,'Country Tiers'!$A$2:$A$37,0))</f>
        <v>Tier 1</v>
      </c>
      <c r="E3445" s="12" t="n">
        <f aca="false">INDEX('Country Tiers'!$D$2:$D$37,MATCH(C3445,'Country Tiers'!$A$2:$A$37,0))</f>
        <v>3</v>
      </c>
    </row>
    <row r="3446" customFormat="false" ht="15" hidden="false" customHeight="false" outlineLevel="0" collapsed="false">
      <c r="A3446" s="12" t="s">
        <v>177</v>
      </c>
      <c r="B3446" s="12" t="s">
        <v>44</v>
      </c>
      <c r="C3446" s="12" t="s">
        <v>299</v>
      </c>
      <c r="D3446" s="12" t="str">
        <f aca="false">INDEX('Country Tiers'!$C$2:$C$37,MATCH(C3446,'Country Tiers'!$A$2:$A$37,0))</f>
        <v>Tier 3</v>
      </c>
      <c r="E3446" s="12" t="n">
        <f aca="false">INDEX('Country Tiers'!$D$2:$D$37,MATCH(C3446,'Country Tiers'!$A$2:$A$37,0))</f>
        <v>1</v>
      </c>
    </row>
    <row r="3447" customFormat="false" ht="15" hidden="false" customHeight="false" outlineLevel="0" collapsed="false">
      <c r="A3447" s="12" t="s">
        <v>177</v>
      </c>
      <c r="B3447" s="12" t="s">
        <v>44</v>
      </c>
      <c r="C3447" s="12" t="s">
        <v>300</v>
      </c>
      <c r="D3447" s="12" t="str">
        <f aca="false">INDEX('Country Tiers'!$C$2:$C$37,MATCH(C3447,'Country Tiers'!$A$2:$A$37,0))</f>
        <v>Tier 3</v>
      </c>
      <c r="E3447" s="12" t="n">
        <f aca="false">INDEX('Country Tiers'!$D$2:$D$37,MATCH(C3447,'Country Tiers'!$A$2:$A$37,0))</f>
        <v>1</v>
      </c>
    </row>
    <row r="3448" customFormat="false" ht="15" hidden="false" customHeight="false" outlineLevel="0" collapsed="false">
      <c r="A3448" s="12" t="s">
        <v>177</v>
      </c>
      <c r="B3448" s="12" t="s">
        <v>44</v>
      </c>
      <c r="C3448" s="12" t="s">
        <v>301</v>
      </c>
      <c r="D3448" s="12" t="str">
        <f aca="false">INDEX('Country Tiers'!$C$2:$C$37,MATCH(C3448,'Country Tiers'!$A$2:$A$37,0))</f>
        <v>Tier 3</v>
      </c>
      <c r="E3448" s="12" t="n">
        <f aca="false">INDEX('Country Tiers'!$D$2:$D$37,MATCH(C3448,'Country Tiers'!$A$2:$A$37,0))</f>
        <v>1</v>
      </c>
    </row>
    <row r="3449" customFormat="false" ht="15" hidden="false" customHeight="false" outlineLevel="0" collapsed="false">
      <c r="A3449" s="12" t="s">
        <v>177</v>
      </c>
      <c r="B3449" s="12" t="s">
        <v>44</v>
      </c>
      <c r="C3449" s="12" t="s">
        <v>302</v>
      </c>
      <c r="D3449" s="12" t="str">
        <f aca="false">INDEX('Country Tiers'!$C$2:$C$37,MATCH(C3449,'Country Tiers'!$A$2:$A$37,0))</f>
        <v>Tier 3</v>
      </c>
      <c r="E3449" s="12" t="n">
        <f aca="false">INDEX('Country Tiers'!$D$2:$D$37,MATCH(C3449,'Country Tiers'!$A$2:$A$37,0))</f>
        <v>1</v>
      </c>
    </row>
    <row r="3450" customFormat="false" ht="15" hidden="false" customHeight="false" outlineLevel="0" collapsed="false">
      <c r="A3450" s="12" t="s">
        <v>177</v>
      </c>
      <c r="B3450" s="12" t="s">
        <v>44</v>
      </c>
      <c r="C3450" s="12" t="s">
        <v>305</v>
      </c>
      <c r="D3450" s="12" t="str">
        <f aca="false">INDEX('Country Tiers'!$C$2:$C$37,MATCH(C3450,'Country Tiers'!$A$2:$A$37,0))</f>
        <v>Tier 3</v>
      </c>
      <c r="E3450" s="12" t="n">
        <f aca="false">INDEX('Country Tiers'!$D$2:$D$37,MATCH(C3450,'Country Tiers'!$A$2:$A$37,0))</f>
        <v>1</v>
      </c>
    </row>
    <row r="3451" customFormat="false" ht="15" hidden="false" customHeight="false" outlineLevel="0" collapsed="false">
      <c r="A3451" s="12" t="s">
        <v>177</v>
      </c>
      <c r="B3451" s="12" t="s">
        <v>44</v>
      </c>
      <c r="C3451" s="12" t="s">
        <v>306</v>
      </c>
      <c r="D3451" s="12" t="str">
        <f aca="false">INDEX('Country Tiers'!$C$2:$C$37,MATCH(C3451,'Country Tiers'!$A$2:$A$37,0))</f>
        <v>Tier 3</v>
      </c>
      <c r="E3451" s="12" t="n">
        <f aca="false">INDEX('Country Tiers'!$D$2:$D$37,MATCH(C3451,'Country Tiers'!$A$2:$A$37,0))</f>
        <v>1</v>
      </c>
    </row>
    <row r="3452" customFormat="false" ht="15" hidden="false" customHeight="false" outlineLevel="0" collapsed="false">
      <c r="A3452" s="12" t="s">
        <v>177</v>
      </c>
      <c r="B3452" s="12" t="s">
        <v>44</v>
      </c>
      <c r="C3452" s="12" t="s">
        <v>307</v>
      </c>
      <c r="D3452" s="12" t="str">
        <f aca="false">INDEX('Country Tiers'!$C$2:$C$37,MATCH(C3452,'Country Tiers'!$A$2:$A$37,0))</f>
        <v>Tier 2</v>
      </c>
      <c r="E3452" s="12" t="n">
        <f aca="false">INDEX('Country Tiers'!$D$2:$D$37,MATCH(C3452,'Country Tiers'!$A$2:$A$37,0))</f>
        <v>2</v>
      </c>
    </row>
    <row r="3453" customFormat="false" ht="15" hidden="false" customHeight="false" outlineLevel="0" collapsed="false">
      <c r="A3453" s="12" t="s">
        <v>177</v>
      </c>
      <c r="B3453" s="12" t="s">
        <v>44</v>
      </c>
      <c r="C3453" s="12" t="s">
        <v>308</v>
      </c>
      <c r="D3453" s="12" t="str">
        <f aca="false">INDEX('Country Tiers'!$C$2:$C$37,MATCH(C3453,'Country Tiers'!$A$2:$A$37,0))</f>
        <v>Tier 3</v>
      </c>
      <c r="E3453" s="12" t="n">
        <f aca="false">INDEX('Country Tiers'!$D$2:$D$37,MATCH(C3453,'Country Tiers'!$A$2:$A$37,0))</f>
        <v>1</v>
      </c>
    </row>
    <row r="3454" customFormat="false" ht="15" hidden="false" customHeight="false" outlineLevel="0" collapsed="false">
      <c r="A3454" s="12" t="s">
        <v>177</v>
      </c>
      <c r="B3454" s="12" t="s">
        <v>44</v>
      </c>
      <c r="C3454" s="12" t="s">
        <v>313</v>
      </c>
      <c r="D3454" s="12" t="str">
        <f aca="false">INDEX('Country Tiers'!$C$2:$C$37,MATCH(C3454,'Country Tiers'!$A$2:$A$37,0))</f>
        <v>Tier 1</v>
      </c>
      <c r="E3454" s="12" t="n">
        <f aca="false">INDEX('Country Tiers'!$D$2:$D$37,MATCH(C3454,'Country Tiers'!$A$2:$A$37,0))</f>
        <v>3</v>
      </c>
    </row>
    <row r="3455" customFormat="false" ht="15" hidden="false" customHeight="false" outlineLevel="0" collapsed="false">
      <c r="A3455" s="12" t="s">
        <v>177</v>
      </c>
      <c r="B3455" s="12" t="s">
        <v>115</v>
      </c>
      <c r="C3455" s="12" t="s">
        <v>303</v>
      </c>
      <c r="D3455" s="12" t="str">
        <f aca="false">INDEX('Country Tiers'!$C$2:$C$37,MATCH(C3455,'Country Tiers'!$A$2:$A$37,0))</f>
        <v>Tier 2</v>
      </c>
      <c r="E3455" s="12" t="n">
        <f aca="false">INDEX('Country Tiers'!$D$2:$D$37,MATCH(C3455,'Country Tiers'!$A$2:$A$37,0))</f>
        <v>2</v>
      </c>
    </row>
    <row r="3456" customFormat="false" ht="15" hidden="false" customHeight="false" outlineLevel="0" collapsed="false">
      <c r="A3456" s="12" t="s">
        <v>178</v>
      </c>
      <c r="B3456" s="12" t="s">
        <v>47</v>
      </c>
      <c r="C3456" s="12" t="s">
        <v>311</v>
      </c>
      <c r="D3456" s="12" t="str">
        <f aca="false">INDEX('Country Tiers'!$C$2:$C$37,MATCH(C3456,'Country Tiers'!$A$2:$A$37,0))</f>
        <v>Tier 1</v>
      </c>
      <c r="E3456" s="12" t="n">
        <f aca="false">INDEX('Country Tiers'!$D$2:$D$37,MATCH(C3456,'Country Tiers'!$A$2:$A$37,0))</f>
        <v>3</v>
      </c>
    </row>
    <row r="3457" customFormat="false" ht="15" hidden="false" customHeight="false" outlineLevel="0" collapsed="false">
      <c r="A3457" s="12" t="s">
        <v>179</v>
      </c>
      <c r="B3457" s="12" t="s">
        <v>47</v>
      </c>
      <c r="C3457" s="12" t="s">
        <v>311</v>
      </c>
      <c r="D3457" s="12" t="str">
        <f aca="false">INDEX('Country Tiers'!$C$2:$C$37,MATCH(C3457,'Country Tiers'!$A$2:$A$37,0))</f>
        <v>Tier 1</v>
      </c>
      <c r="E3457" s="12" t="n">
        <f aca="false">INDEX('Country Tiers'!$D$2:$D$37,MATCH(C3457,'Country Tiers'!$A$2:$A$37,0))</f>
        <v>3</v>
      </c>
    </row>
    <row r="3458" customFormat="false" ht="15" hidden="false" customHeight="false" outlineLevel="0" collapsed="false">
      <c r="A3458" s="12" t="s">
        <v>180</v>
      </c>
      <c r="B3458" s="12" t="s">
        <v>57</v>
      </c>
      <c r="C3458" s="12" t="s">
        <v>311</v>
      </c>
      <c r="D3458" s="12" t="str">
        <f aca="false">INDEX('Country Tiers'!$C$2:$C$37,MATCH(C3458,'Country Tiers'!$A$2:$A$37,0))</f>
        <v>Tier 1</v>
      </c>
      <c r="E3458" s="12" t="n">
        <f aca="false">INDEX('Country Tiers'!$D$2:$D$37,MATCH(C3458,'Country Tiers'!$A$2:$A$37,0))</f>
        <v>3</v>
      </c>
    </row>
    <row r="3459" customFormat="false" ht="15" hidden="false" customHeight="false" outlineLevel="0" collapsed="false">
      <c r="A3459" s="12" t="s">
        <v>181</v>
      </c>
      <c r="B3459" s="12" t="s">
        <v>38</v>
      </c>
      <c r="C3459" s="12" t="s">
        <v>272</v>
      </c>
      <c r="D3459" s="12" t="str">
        <f aca="false">INDEX('Country Tiers'!$C$2:$C$37,MATCH(C3459,'Country Tiers'!$A$2:$A$37,0))</f>
        <v>Tier 2</v>
      </c>
      <c r="E3459" s="12" t="n">
        <f aca="false">INDEX('Country Tiers'!$D$2:$D$37,MATCH(C3459,'Country Tiers'!$A$2:$A$37,0))</f>
        <v>2</v>
      </c>
    </row>
    <row r="3460" customFormat="false" ht="15" hidden="false" customHeight="false" outlineLevel="0" collapsed="false">
      <c r="A3460" s="12" t="s">
        <v>181</v>
      </c>
      <c r="B3460" s="12" t="s">
        <v>38</v>
      </c>
      <c r="C3460" s="12" t="s">
        <v>274</v>
      </c>
      <c r="D3460" s="12" t="str">
        <f aca="false">INDEX('Country Tiers'!$C$2:$C$37,MATCH(C3460,'Country Tiers'!$A$2:$A$37,0))</f>
        <v>Tier 3</v>
      </c>
      <c r="E3460" s="12" t="n">
        <f aca="false">INDEX('Country Tiers'!$D$2:$D$37,MATCH(C3460,'Country Tiers'!$A$2:$A$37,0))</f>
        <v>1</v>
      </c>
    </row>
    <row r="3461" customFormat="false" ht="15" hidden="false" customHeight="false" outlineLevel="0" collapsed="false">
      <c r="A3461" s="12" t="s">
        <v>181</v>
      </c>
      <c r="B3461" s="12" t="s">
        <v>38</v>
      </c>
      <c r="C3461" s="12" t="s">
        <v>277</v>
      </c>
      <c r="D3461" s="12" t="str">
        <f aca="false">INDEX('Country Tiers'!$C$2:$C$37,MATCH(C3461,'Country Tiers'!$A$2:$A$37,0))</f>
        <v>Tier 1</v>
      </c>
      <c r="E3461" s="12" t="n">
        <f aca="false">INDEX('Country Tiers'!$D$2:$D$37,MATCH(C3461,'Country Tiers'!$A$2:$A$37,0))</f>
        <v>3</v>
      </c>
    </row>
    <row r="3462" customFormat="false" ht="15" hidden="false" customHeight="false" outlineLevel="0" collapsed="false">
      <c r="A3462" s="12" t="s">
        <v>181</v>
      </c>
      <c r="B3462" s="12" t="s">
        <v>38</v>
      </c>
      <c r="C3462" s="12" t="s">
        <v>278</v>
      </c>
      <c r="D3462" s="12" t="str">
        <f aca="false">INDEX('Country Tiers'!$C$2:$C$37,MATCH(C3462,'Country Tiers'!$A$2:$A$37,0))</f>
        <v>Tier 3</v>
      </c>
      <c r="E3462" s="12" t="n">
        <f aca="false">INDEX('Country Tiers'!$D$2:$D$37,MATCH(C3462,'Country Tiers'!$A$2:$A$37,0))</f>
        <v>1</v>
      </c>
    </row>
    <row r="3463" customFormat="false" ht="15" hidden="false" customHeight="false" outlineLevel="0" collapsed="false">
      <c r="A3463" s="12" t="s">
        <v>181</v>
      </c>
      <c r="B3463" s="12" t="s">
        <v>38</v>
      </c>
      <c r="C3463" s="12" t="s">
        <v>280</v>
      </c>
      <c r="D3463" s="12" t="str">
        <f aca="false">INDEX('Country Tiers'!$C$2:$C$37,MATCH(C3463,'Country Tiers'!$A$2:$A$37,0))</f>
        <v>Tier 3</v>
      </c>
      <c r="E3463" s="12" t="n">
        <f aca="false">INDEX('Country Tiers'!$D$2:$D$37,MATCH(C3463,'Country Tiers'!$A$2:$A$37,0))</f>
        <v>1</v>
      </c>
    </row>
    <row r="3464" customFormat="false" ht="15" hidden="false" customHeight="false" outlineLevel="0" collapsed="false">
      <c r="A3464" s="12" t="s">
        <v>181</v>
      </c>
      <c r="B3464" s="12" t="s">
        <v>38</v>
      </c>
      <c r="C3464" s="12" t="s">
        <v>281</v>
      </c>
      <c r="D3464" s="12" t="str">
        <f aca="false">INDEX('Country Tiers'!$C$2:$C$37,MATCH(C3464,'Country Tiers'!$A$2:$A$37,0))</f>
        <v>Tier 3</v>
      </c>
      <c r="E3464" s="12" t="n">
        <f aca="false">INDEX('Country Tiers'!$D$2:$D$37,MATCH(C3464,'Country Tiers'!$A$2:$A$37,0))</f>
        <v>1</v>
      </c>
    </row>
    <row r="3465" customFormat="false" ht="15" hidden="false" customHeight="false" outlineLevel="0" collapsed="false">
      <c r="A3465" s="12" t="s">
        <v>181</v>
      </c>
      <c r="B3465" s="12" t="s">
        <v>38</v>
      </c>
      <c r="C3465" s="12" t="s">
        <v>282</v>
      </c>
      <c r="D3465" s="12" t="str">
        <f aca="false">INDEX('Country Tiers'!$C$2:$C$37,MATCH(C3465,'Country Tiers'!$A$2:$A$37,0))</f>
        <v>Tier 3</v>
      </c>
      <c r="E3465" s="12" t="n">
        <f aca="false">INDEX('Country Tiers'!$D$2:$D$37,MATCH(C3465,'Country Tiers'!$A$2:$A$37,0))</f>
        <v>1</v>
      </c>
    </row>
    <row r="3466" customFormat="false" ht="15" hidden="false" customHeight="false" outlineLevel="0" collapsed="false">
      <c r="A3466" s="12" t="s">
        <v>181</v>
      </c>
      <c r="B3466" s="12" t="s">
        <v>38</v>
      </c>
      <c r="C3466" s="12" t="s">
        <v>283</v>
      </c>
      <c r="D3466" s="12" t="str">
        <f aca="false">INDEX('Country Tiers'!$C$2:$C$37,MATCH(C3466,'Country Tiers'!$A$2:$A$37,0))</f>
        <v>Tier 3</v>
      </c>
      <c r="E3466" s="12" t="n">
        <f aca="false">INDEX('Country Tiers'!$D$2:$D$37,MATCH(C3466,'Country Tiers'!$A$2:$A$37,0))</f>
        <v>1</v>
      </c>
    </row>
    <row r="3467" customFormat="false" ht="15" hidden="false" customHeight="false" outlineLevel="0" collapsed="false">
      <c r="A3467" s="12" t="s">
        <v>181</v>
      </c>
      <c r="B3467" s="12" t="s">
        <v>38</v>
      </c>
      <c r="C3467" s="12" t="s">
        <v>284</v>
      </c>
      <c r="D3467" s="12" t="str">
        <f aca="false">INDEX('Country Tiers'!$C$2:$C$37,MATCH(C3467,'Country Tiers'!$A$2:$A$37,0))</f>
        <v>Tier 3</v>
      </c>
      <c r="E3467" s="12" t="n">
        <f aca="false">INDEX('Country Tiers'!$D$2:$D$37,MATCH(C3467,'Country Tiers'!$A$2:$A$37,0))</f>
        <v>1</v>
      </c>
    </row>
    <row r="3468" customFormat="false" ht="15" hidden="false" customHeight="false" outlineLevel="0" collapsed="false">
      <c r="A3468" s="12" t="s">
        <v>181</v>
      </c>
      <c r="B3468" s="12" t="s">
        <v>38</v>
      </c>
      <c r="C3468" s="12" t="s">
        <v>285</v>
      </c>
      <c r="D3468" s="12" t="str">
        <f aca="false">INDEX('Country Tiers'!$C$2:$C$37,MATCH(C3468,'Country Tiers'!$A$2:$A$37,0))</f>
        <v>Tier 3</v>
      </c>
      <c r="E3468" s="12" t="n">
        <f aca="false">INDEX('Country Tiers'!$D$2:$D$37,MATCH(C3468,'Country Tiers'!$A$2:$A$37,0))</f>
        <v>1</v>
      </c>
    </row>
    <row r="3469" customFormat="false" ht="15" hidden="false" customHeight="false" outlineLevel="0" collapsed="false">
      <c r="A3469" s="12" t="s">
        <v>181</v>
      </c>
      <c r="B3469" s="12" t="s">
        <v>38</v>
      </c>
      <c r="C3469" s="12" t="s">
        <v>286</v>
      </c>
      <c r="D3469" s="12" t="str">
        <f aca="false">INDEX('Country Tiers'!$C$2:$C$37,MATCH(C3469,'Country Tiers'!$A$2:$A$37,0))</f>
        <v>Tier 1</v>
      </c>
      <c r="E3469" s="12" t="n">
        <f aca="false">INDEX('Country Tiers'!$D$2:$D$37,MATCH(C3469,'Country Tiers'!$A$2:$A$37,0))</f>
        <v>3</v>
      </c>
    </row>
    <row r="3470" customFormat="false" ht="15" hidden="false" customHeight="false" outlineLevel="0" collapsed="false">
      <c r="A3470" s="12" t="s">
        <v>181</v>
      </c>
      <c r="B3470" s="12" t="s">
        <v>38</v>
      </c>
      <c r="C3470" s="12" t="s">
        <v>287</v>
      </c>
      <c r="D3470" s="12" t="str">
        <f aca="false">INDEX('Country Tiers'!$C$2:$C$37,MATCH(C3470,'Country Tiers'!$A$2:$A$37,0))</f>
        <v>Tier 1</v>
      </c>
      <c r="E3470" s="12" t="n">
        <f aca="false">INDEX('Country Tiers'!$D$2:$D$37,MATCH(C3470,'Country Tiers'!$A$2:$A$37,0))</f>
        <v>3</v>
      </c>
    </row>
    <row r="3471" customFormat="false" ht="15" hidden="false" customHeight="false" outlineLevel="0" collapsed="false">
      <c r="A3471" s="12" t="s">
        <v>181</v>
      </c>
      <c r="B3471" s="12" t="s">
        <v>38</v>
      </c>
      <c r="C3471" s="12" t="s">
        <v>288</v>
      </c>
      <c r="D3471" s="12" t="str">
        <f aca="false">INDEX('Country Tiers'!$C$2:$C$37,MATCH(C3471,'Country Tiers'!$A$2:$A$37,0))</f>
        <v>Tier 3</v>
      </c>
      <c r="E3471" s="12" t="n">
        <f aca="false">INDEX('Country Tiers'!$D$2:$D$37,MATCH(C3471,'Country Tiers'!$A$2:$A$37,0))</f>
        <v>1</v>
      </c>
    </row>
    <row r="3472" customFormat="false" ht="15" hidden="false" customHeight="false" outlineLevel="0" collapsed="false">
      <c r="A3472" s="12" t="s">
        <v>181</v>
      </c>
      <c r="B3472" s="12" t="s">
        <v>38</v>
      </c>
      <c r="C3472" s="12" t="s">
        <v>289</v>
      </c>
      <c r="D3472" s="12" t="str">
        <f aca="false">INDEX('Country Tiers'!$C$2:$C$37,MATCH(C3472,'Country Tiers'!$A$2:$A$37,0))</f>
        <v>Tier 3</v>
      </c>
      <c r="E3472" s="12" t="n">
        <f aca="false">INDEX('Country Tiers'!$D$2:$D$37,MATCH(C3472,'Country Tiers'!$A$2:$A$37,0))</f>
        <v>1</v>
      </c>
    </row>
    <row r="3473" customFormat="false" ht="15" hidden="false" customHeight="false" outlineLevel="0" collapsed="false">
      <c r="A3473" s="12" t="s">
        <v>181</v>
      </c>
      <c r="B3473" s="12" t="s">
        <v>38</v>
      </c>
      <c r="C3473" s="12" t="s">
        <v>290</v>
      </c>
      <c r="D3473" s="12" t="str">
        <f aca="false">INDEX('Country Tiers'!$C$2:$C$37,MATCH(C3473,'Country Tiers'!$A$2:$A$37,0))</f>
        <v>Tier 3</v>
      </c>
      <c r="E3473" s="12" t="n">
        <f aca="false">INDEX('Country Tiers'!$D$2:$D$37,MATCH(C3473,'Country Tiers'!$A$2:$A$37,0))</f>
        <v>1</v>
      </c>
    </row>
    <row r="3474" customFormat="false" ht="15" hidden="false" customHeight="false" outlineLevel="0" collapsed="false">
      <c r="A3474" s="12" t="s">
        <v>181</v>
      </c>
      <c r="B3474" s="12" t="s">
        <v>38</v>
      </c>
      <c r="C3474" s="12" t="s">
        <v>291</v>
      </c>
      <c r="D3474" s="12" t="str">
        <f aca="false">INDEX('Country Tiers'!$C$2:$C$37,MATCH(C3474,'Country Tiers'!$A$2:$A$37,0))</f>
        <v>Tier 3</v>
      </c>
      <c r="E3474" s="12" t="n">
        <f aca="false">INDEX('Country Tiers'!$D$2:$D$37,MATCH(C3474,'Country Tiers'!$A$2:$A$37,0))</f>
        <v>1</v>
      </c>
    </row>
    <row r="3475" customFormat="false" ht="15" hidden="false" customHeight="false" outlineLevel="0" collapsed="false">
      <c r="A3475" s="12" t="s">
        <v>181</v>
      </c>
      <c r="B3475" s="12" t="s">
        <v>38</v>
      </c>
      <c r="C3475" s="12" t="s">
        <v>292</v>
      </c>
      <c r="D3475" s="12" t="str">
        <f aca="false">INDEX('Country Tiers'!$C$2:$C$37,MATCH(C3475,'Country Tiers'!$A$2:$A$37,0))</f>
        <v>Tier 2</v>
      </c>
      <c r="E3475" s="12" t="n">
        <f aca="false">INDEX('Country Tiers'!$D$2:$D$37,MATCH(C3475,'Country Tiers'!$A$2:$A$37,0))</f>
        <v>2</v>
      </c>
    </row>
    <row r="3476" customFormat="false" ht="15" hidden="false" customHeight="false" outlineLevel="0" collapsed="false">
      <c r="A3476" s="12" t="s">
        <v>181</v>
      </c>
      <c r="B3476" s="12" t="s">
        <v>38</v>
      </c>
      <c r="C3476" s="12" t="s">
        <v>293</v>
      </c>
      <c r="D3476" s="12" t="str">
        <f aca="false">INDEX('Country Tiers'!$C$2:$C$37,MATCH(C3476,'Country Tiers'!$A$2:$A$37,0))</f>
        <v>Tier 3</v>
      </c>
      <c r="E3476" s="12" t="n">
        <f aca="false">INDEX('Country Tiers'!$D$2:$D$37,MATCH(C3476,'Country Tiers'!$A$2:$A$37,0))</f>
        <v>1</v>
      </c>
    </row>
    <row r="3477" customFormat="false" ht="15" hidden="false" customHeight="false" outlineLevel="0" collapsed="false">
      <c r="A3477" s="12" t="s">
        <v>181</v>
      </c>
      <c r="B3477" s="12" t="s">
        <v>38</v>
      </c>
      <c r="C3477" s="12" t="s">
        <v>295</v>
      </c>
      <c r="D3477" s="12" t="str">
        <f aca="false">INDEX('Country Tiers'!$C$2:$C$37,MATCH(C3477,'Country Tiers'!$A$2:$A$37,0))</f>
        <v>Tier 3</v>
      </c>
      <c r="E3477" s="12" t="n">
        <f aca="false">INDEX('Country Tiers'!$D$2:$D$37,MATCH(C3477,'Country Tiers'!$A$2:$A$37,0))</f>
        <v>1</v>
      </c>
    </row>
    <row r="3478" customFormat="false" ht="15" hidden="false" customHeight="false" outlineLevel="0" collapsed="false">
      <c r="A3478" s="12" t="s">
        <v>181</v>
      </c>
      <c r="B3478" s="12" t="s">
        <v>38</v>
      </c>
      <c r="C3478" s="12" t="s">
        <v>296</v>
      </c>
      <c r="D3478" s="12" t="str">
        <f aca="false">INDEX('Country Tiers'!$C$2:$C$37,MATCH(C3478,'Country Tiers'!$A$2:$A$37,0))</f>
        <v>Tier 3</v>
      </c>
      <c r="E3478" s="12" t="n">
        <f aca="false">INDEX('Country Tiers'!$D$2:$D$37,MATCH(C3478,'Country Tiers'!$A$2:$A$37,0))</f>
        <v>1</v>
      </c>
    </row>
    <row r="3479" customFormat="false" ht="15" hidden="false" customHeight="false" outlineLevel="0" collapsed="false">
      <c r="A3479" s="12" t="s">
        <v>181</v>
      </c>
      <c r="B3479" s="12" t="s">
        <v>38</v>
      </c>
      <c r="C3479" s="12" t="s">
        <v>297</v>
      </c>
      <c r="D3479" s="12" t="str">
        <f aca="false">INDEX('Country Tiers'!$C$2:$C$37,MATCH(C3479,'Country Tiers'!$A$2:$A$37,0))</f>
        <v>Tier 2</v>
      </c>
      <c r="E3479" s="12" t="n">
        <f aca="false">INDEX('Country Tiers'!$D$2:$D$37,MATCH(C3479,'Country Tiers'!$A$2:$A$37,0))</f>
        <v>2</v>
      </c>
    </row>
    <row r="3480" customFormat="false" ht="15" hidden="false" customHeight="false" outlineLevel="0" collapsed="false">
      <c r="A3480" s="12" t="s">
        <v>181</v>
      </c>
      <c r="B3480" s="12" t="s">
        <v>38</v>
      </c>
      <c r="C3480" s="12" t="s">
        <v>298</v>
      </c>
      <c r="D3480" s="12" t="str">
        <f aca="false">INDEX('Country Tiers'!$C$2:$C$37,MATCH(C3480,'Country Tiers'!$A$2:$A$37,0))</f>
        <v>Tier 1</v>
      </c>
      <c r="E3480" s="12" t="n">
        <f aca="false">INDEX('Country Tiers'!$D$2:$D$37,MATCH(C3480,'Country Tiers'!$A$2:$A$37,0))</f>
        <v>3</v>
      </c>
    </row>
    <row r="3481" customFormat="false" ht="15" hidden="false" customHeight="false" outlineLevel="0" collapsed="false">
      <c r="A3481" s="12" t="s">
        <v>181</v>
      </c>
      <c r="B3481" s="12" t="s">
        <v>38</v>
      </c>
      <c r="C3481" s="12" t="s">
        <v>299</v>
      </c>
      <c r="D3481" s="12" t="str">
        <f aca="false">INDEX('Country Tiers'!$C$2:$C$37,MATCH(C3481,'Country Tiers'!$A$2:$A$37,0))</f>
        <v>Tier 3</v>
      </c>
      <c r="E3481" s="12" t="n">
        <f aca="false">INDEX('Country Tiers'!$D$2:$D$37,MATCH(C3481,'Country Tiers'!$A$2:$A$37,0))</f>
        <v>1</v>
      </c>
    </row>
    <row r="3482" customFormat="false" ht="15" hidden="false" customHeight="false" outlineLevel="0" collapsed="false">
      <c r="A3482" s="12" t="s">
        <v>181</v>
      </c>
      <c r="B3482" s="12" t="s">
        <v>38</v>
      </c>
      <c r="C3482" s="12" t="s">
        <v>300</v>
      </c>
      <c r="D3482" s="12" t="str">
        <f aca="false">INDEX('Country Tiers'!$C$2:$C$37,MATCH(C3482,'Country Tiers'!$A$2:$A$37,0))</f>
        <v>Tier 3</v>
      </c>
      <c r="E3482" s="12" t="n">
        <f aca="false">INDEX('Country Tiers'!$D$2:$D$37,MATCH(C3482,'Country Tiers'!$A$2:$A$37,0))</f>
        <v>1</v>
      </c>
    </row>
    <row r="3483" customFormat="false" ht="15" hidden="false" customHeight="false" outlineLevel="0" collapsed="false">
      <c r="A3483" s="12" t="s">
        <v>181</v>
      </c>
      <c r="B3483" s="12" t="s">
        <v>38</v>
      </c>
      <c r="C3483" s="12" t="s">
        <v>301</v>
      </c>
      <c r="D3483" s="12" t="str">
        <f aca="false">INDEX('Country Tiers'!$C$2:$C$37,MATCH(C3483,'Country Tiers'!$A$2:$A$37,0))</f>
        <v>Tier 3</v>
      </c>
      <c r="E3483" s="12" t="n">
        <f aca="false">INDEX('Country Tiers'!$D$2:$D$37,MATCH(C3483,'Country Tiers'!$A$2:$A$37,0))</f>
        <v>1</v>
      </c>
    </row>
    <row r="3484" customFormat="false" ht="15" hidden="false" customHeight="false" outlineLevel="0" collapsed="false">
      <c r="A3484" s="12" t="s">
        <v>181</v>
      </c>
      <c r="B3484" s="12" t="s">
        <v>38</v>
      </c>
      <c r="C3484" s="12" t="s">
        <v>302</v>
      </c>
      <c r="D3484" s="12" t="str">
        <f aca="false">INDEX('Country Tiers'!$C$2:$C$37,MATCH(C3484,'Country Tiers'!$A$2:$A$37,0))</f>
        <v>Tier 3</v>
      </c>
      <c r="E3484" s="12" t="n">
        <f aca="false">INDEX('Country Tiers'!$D$2:$D$37,MATCH(C3484,'Country Tiers'!$A$2:$A$37,0))</f>
        <v>1</v>
      </c>
    </row>
    <row r="3485" customFormat="false" ht="15" hidden="false" customHeight="false" outlineLevel="0" collapsed="false">
      <c r="A3485" s="12" t="s">
        <v>181</v>
      </c>
      <c r="B3485" s="12" t="s">
        <v>38</v>
      </c>
      <c r="C3485" s="12" t="s">
        <v>305</v>
      </c>
      <c r="D3485" s="12" t="str">
        <f aca="false">INDEX('Country Tiers'!$C$2:$C$37,MATCH(C3485,'Country Tiers'!$A$2:$A$37,0))</f>
        <v>Tier 3</v>
      </c>
      <c r="E3485" s="12" t="n">
        <f aca="false">INDEX('Country Tiers'!$D$2:$D$37,MATCH(C3485,'Country Tiers'!$A$2:$A$37,0))</f>
        <v>1</v>
      </c>
    </row>
    <row r="3486" customFormat="false" ht="15" hidden="false" customHeight="false" outlineLevel="0" collapsed="false">
      <c r="A3486" s="12" t="s">
        <v>181</v>
      </c>
      <c r="B3486" s="12" t="s">
        <v>38</v>
      </c>
      <c r="C3486" s="12" t="s">
        <v>306</v>
      </c>
      <c r="D3486" s="12" t="str">
        <f aca="false">INDEX('Country Tiers'!$C$2:$C$37,MATCH(C3486,'Country Tiers'!$A$2:$A$37,0))</f>
        <v>Tier 3</v>
      </c>
      <c r="E3486" s="12" t="n">
        <f aca="false">INDEX('Country Tiers'!$D$2:$D$37,MATCH(C3486,'Country Tiers'!$A$2:$A$37,0))</f>
        <v>1</v>
      </c>
    </row>
    <row r="3487" customFormat="false" ht="15" hidden="false" customHeight="false" outlineLevel="0" collapsed="false">
      <c r="A3487" s="12" t="s">
        <v>181</v>
      </c>
      <c r="B3487" s="12" t="s">
        <v>38</v>
      </c>
      <c r="C3487" s="12" t="s">
        <v>307</v>
      </c>
      <c r="D3487" s="12" t="str">
        <f aca="false">INDEX('Country Tiers'!$C$2:$C$37,MATCH(C3487,'Country Tiers'!$A$2:$A$37,0))</f>
        <v>Tier 2</v>
      </c>
      <c r="E3487" s="12" t="n">
        <f aca="false">INDEX('Country Tiers'!$D$2:$D$37,MATCH(C3487,'Country Tiers'!$A$2:$A$37,0))</f>
        <v>2</v>
      </c>
    </row>
    <row r="3488" customFormat="false" ht="15" hidden="false" customHeight="false" outlineLevel="0" collapsed="false">
      <c r="A3488" s="12" t="s">
        <v>181</v>
      </c>
      <c r="B3488" s="12" t="s">
        <v>38</v>
      </c>
      <c r="C3488" s="12" t="s">
        <v>308</v>
      </c>
      <c r="D3488" s="12" t="str">
        <f aca="false">INDEX('Country Tiers'!$C$2:$C$37,MATCH(C3488,'Country Tiers'!$A$2:$A$37,0))</f>
        <v>Tier 3</v>
      </c>
      <c r="E3488" s="12" t="n">
        <f aca="false">INDEX('Country Tiers'!$D$2:$D$37,MATCH(C3488,'Country Tiers'!$A$2:$A$37,0))</f>
        <v>1</v>
      </c>
    </row>
    <row r="3489" customFormat="false" ht="15" hidden="false" customHeight="false" outlineLevel="0" collapsed="false">
      <c r="A3489" s="12" t="s">
        <v>181</v>
      </c>
      <c r="B3489" s="12" t="s">
        <v>38</v>
      </c>
      <c r="C3489" s="12" t="s">
        <v>309</v>
      </c>
      <c r="D3489" s="12" t="str">
        <f aca="false">INDEX('Country Tiers'!$C$2:$C$37,MATCH(C3489,'Country Tiers'!$A$2:$A$37,0))</f>
        <v>Tier 1</v>
      </c>
      <c r="E3489" s="12" t="n">
        <f aca="false">INDEX('Country Tiers'!$D$2:$D$37,MATCH(C3489,'Country Tiers'!$A$2:$A$37,0))</f>
        <v>3</v>
      </c>
    </row>
    <row r="3490" customFormat="false" ht="15" hidden="false" customHeight="false" outlineLevel="0" collapsed="false">
      <c r="A3490" s="12" t="s">
        <v>181</v>
      </c>
      <c r="B3490" s="12" t="s">
        <v>38</v>
      </c>
      <c r="C3490" s="12" t="s">
        <v>313</v>
      </c>
      <c r="D3490" s="12" t="str">
        <f aca="false">INDEX('Country Tiers'!$C$2:$C$37,MATCH(C3490,'Country Tiers'!$A$2:$A$37,0))</f>
        <v>Tier 1</v>
      </c>
      <c r="E3490" s="12" t="n">
        <f aca="false">INDEX('Country Tiers'!$D$2:$D$37,MATCH(C3490,'Country Tiers'!$A$2:$A$37,0))</f>
        <v>3</v>
      </c>
    </row>
    <row r="3491" customFormat="false" ht="15" hidden="false" customHeight="false" outlineLevel="0" collapsed="false">
      <c r="A3491" s="12" t="s">
        <v>182</v>
      </c>
      <c r="B3491" s="12" t="s">
        <v>54</v>
      </c>
      <c r="C3491" s="12" t="s">
        <v>303</v>
      </c>
      <c r="D3491" s="12" t="str">
        <f aca="false">INDEX('Country Tiers'!$C$2:$C$37,MATCH(C3491,'Country Tiers'!$A$2:$A$37,0))</f>
        <v>Tier 2</v>
      </c>
      <c r="E3491" s="12" t="n">
        <f aca="false">INDEX('Country Tiers'!$D$2:$D$37,MATCH(C3491,'Country Tiers'!$A$2:$A$37,0))</f>
        <v>2</v>
      </c>
    </row>
    <row r="3492" customFormat="false" ht="15" hidden="false" customHeight="false" outlineLevel="0" collapsed="false">
      <c r="A3492" s="12" t="s">
        <v>183</v>
      </c>
      <c r="B3492" s="12" t="s">
        <v>55</v>
      </c>
      <c r="C3492" s="12" t="s">
        <v>279</v>
      </c>
      <c r="D3492" s="12" t="str">
        <f aca="false">INDEX('Country Tiers'!$C$2:$C$37,MATCH(C3492,'Country Tiers'!$A$2:$A$37,0))</f>
        <v>Tier 1</v>
      </c>
      <c r="E3492" s="12" t="n">
        <f aca="false">INDEX('Country Tiers'!$D$2:$D$37,MATCH(C3492,'Country Tiers'!$A$2:$A$37,0))</f>
        <v>3</v>
      </c>
    </row>
    <row r="3493" customFormat="false" ht="15" hidden="false" customHeight="false" outlineLevel="0" collapsed="false">
      <c r="A3493" s="12" t="s">
        <v>183</v>
      </c>
      <c r="B3493" s="12" t="s">
        <v>55</v>
      </c>
      <c r="C3493" s="12" t="s">
        <v>311</v>
      </c>
      <c r="D3493" s="12" t="str">
        <f aca="false">INDEX('Country Tiers'!$C$2:$C$37,MATCH(C3493,'Country Tiers'!$A$2:$A$37,0))</f>
        <v>Tier 1</v>
      </c>
      <c r="E3493" s="12" t="n">
        <f aca="false">INDEX('Country Tiers'!$D$2:$D$37,MATCH(C3493,'Country Tiers'!$A$2:$A$37,0))</f>
        <v>3</v>
      </c>
    </row>
    <row r="3494" customFormat="false" ht="15" hidden="false" customHeight="false" outlineLevel="0" collapsed="false">
      <c r="A3494" s="12" t="s">
        <v>183</v>
      </c>
      <c r="B3494" s="12" t="s">
        <v>57</v>
      </c>
      <c r="C3494" s="12" t="s">
        <v>311</v>
      </c>
      <c r="D3494" s="12" t="str">
        <f aca="false">INDEX('Country Tiers'!$C$2:$C$37,MATCH(C3494,'Country Tiers'!$A$2:$A$37,0))</f>
        <v>Tier 1</v>
      </c>
      <c r="E3494" s="12" t="n">
        <f aca="false">INDEX('Country Tiers'!$D$2:$D$37,MATCH(C3494,'Country Tiers'!$A$2:$A$37,0))</f>
        <v>3</v>
      </c>
    </row>
    <row r="3495" customFormat="false" ht="15" hidden="false" customHeight="false" outlineLevel="0" collapsed="false">
      <c r="A3495" s="12" t="s">
        <v>183</v>
      </c>
      <c r="B3495" s="12" t="s">
        <v>44</v>
      </c>
      <c r="C3495" s="12" t="s">
        <v>272</v>
      </c>
      <c r="D3495" s="12" t="str">
        <f aca="false">INDEX('Country Tiers'!$C$2:$C$37,MATCH(C3495,'Country Tiers'!$A$2:$A$37,0))</f>
        <v>Tier 2</v>
      </c>
      <c r="E3495" s="12" t="n">
        <f aca="false">INDEX('Country Tiers'!$D$2:$D$37,MATCH(C3495,'Country Tiers'!$A$2:$A$37,0))</f>
        <v>2</v>
      </c>
    </row>
    <row r="3496" customFormat="false" ht="15" hidden="false" customHeight="false" outlineLevel="0" collapsed="false">
      <c r="A3496" s="12" t="s">
        <v>183</v>
      </c>
      <c r="B3496" s="12" t="s">
        <v>65</v>
      </c>
      <c r="C3496" s="12" t="s">
        <v>311</v>
      </c>
      <c r="D3496" s="12" t="str">
        <f aca="false">INDEX('Country Tiers'!$C$2:$C$37,MATCH(C3496,'Country Tiers'!$A$2:$A$37,0))</f>
        <v>Tier 1</v>
      </c>
      <c r="E3496" s="12" t="n">
        <f aca="false">INDEX('Country Tiers'!$D$2:$D$37,MATCH(C3496,'Country Tiers'!$A$2:$A$37,0))</f>
        <v>3</v>
      </c>
    </row>
    <row r="3497" customFormat="false" ht="15" hidden="false" customHeight="false" outlineLevel="0" collapsed="false">
      <c r="A3497" s="12" t="s">
        <v>183</v>
      </c>
      <c r="B3497" s="12" t="s">
        <v>36</v>
      </c>
      <c r="C3497" s="12" t="s">
        <v>311</v>
      </c>
      <c r="D3497" s="12" t="str">
        <f aca="false">INDEX('Country Tiers'!$C$2:$C$37,MATCH(C3497,'Country Tiers'!$A$2:$A$37,0))</f>
        <v>Tier 1</v>
      </c>
      <c r="E3497" s="12" t="n">
        <f aca="false">INDEX('Country Tiers'!$D$2:$D$37,MATCH(C3497,'Country Tiers'!$A$2:$A$37,0))</f>
        <v>3</v>
      </c>
    </row>
    <row r="3498" customFormat="false" ht="15" hidden="false" customHeight="false" outlineLevel="0" collapsed="false">
      <c r="A3498" s="12" t="s">
        <v>184</v>
      </c>
      <c r="B3498" s="12" t="s">
        <v>54</v>
      </c>
      <c r="C3498" s="12" t="s">
        <v>272</v>
      </c>
      <c r="D3498" s="12" t="str">
        <f aca="false">INDEX('Country Tiers'!$C$2:$C$37,MATCH(C3498,'Country Tiers'!$A$2:$A$37,0))</f>
        <v>Tier 2</v>
      </c>
      <c r="E3498" s="12" t="n">
        <f aca="false">INDEX('Country Tiers'!$D$2:$D$37,MATCH(C3498,'Country Tiers'!$A$2:$A$37,0))</f>
        <v>2</v>
      </c>
    </row>
    <row r="3499" customFormat="false" ht="15" hidden="false" customHeight="false" outlineLevel="0" collapsed="false">
      <c r="A3499" s="12" t="s">
        <v>184</v>
      </c>
      <c r="B3499" s="12" t="s">
        <v>54</v>
      </c>
      <c r="C3499" s="12" t="s">
        <v>274</v>
      </c>
      <c r="D3499" s="12" t="str">
        <f aca="false">INDEX('Country Tiers'!$C$2:$C$37,MATCH(C3499,'Country Tiers'!$A$2:$A$37,0))</f>
        <v>Tier 3</v>
      </c>
      <c r="E3499" s="12" t="n">
        <f aca="false">INDEX('Country Tiers'!$D$2:$D$37,MATCH(C3499,'Country Tiers'!$A$2:$A$37,0))</f>
        <v>1</v>
      </c>
    </row>
    <row r="3500" customFormat="false" ht="15" hidden="false" customHeight="false" outlineLevel="0" collapsed="false">
      <c r="A3500" s="12" t="s">
        <v>184</v>
      </c>
      <c r="B3500" s="12" t="s">
        <v>54</v>
      </c>
      <c r="C3500" s="12" t="s">
        <v>277</v>
      </c>
      <c r="D3500" s="12" t="str">
        <f aca="false">INDEX('Country Tiers'!$C$2:$C$37,MATCH(C3500,'Country Tiers'!$A$2:$A$37,0))</f>
        <v>Tier 1</v>
      </c>
      <c r="E3500" s="12" t="n">
        <f aca="false">INDEX('Country Tiers'!$D$2:$D$37,MATCH(C3500,'Country Tiers'!$A$2:$A$37,0))</f>
        <v>3</v>
      </c>
    </row>
    <row r="3501" customFormat="false" ht="15" hidden="false" customHeight="false" outlineLevel="0" collapsed="false">
      <c r="A3501" s="12" t="s">
        <v>184</v>
      </c>
      <c r="B3501" s="12" t="s">
        <v>54</v>
      </c>
      <c r="C3501" s="12" t="s">
        <v>278</v>
      </c>
      <c r="D3501" s="12" t="str">
        <f aca="false">INDEX('Country Tiers'!$C$2:$C$37,MATCH(C3501,'Country Tiers'!$A$2:$A$37,0))</f>
        <v>Tier 3</v>
      </c>
      <c r="E3501" s="12" t="n">
        <f aca="false">INDEX('Country Tiers'!$D$2:$D$37,MATCH(C3501,'Country Tiers'!$A$2:$A$37,0))</f>
        <v>1</v>
      </c>
    </row>
    <row r="3502" customFormat="false" ht="15" hidden="false" customHeight="false" outlineLevel="0" collapsed="false">
      <c r="A3502" s="12" t="s">
        <v>184</v>
      </c>
      <c r="B3502" s="12" t="s">
        <v>54</v>
      </c>
      <c r="C3502" s="12" t="s">
        <v>280</v>
      </c>
      <c r="D3502" s="12" t="str">
        <f aca="false">INDEX('Country Tiers'!$C$2:$C$37,MATCH(C3502,'Country Tiers'!$A$2:$A$37,0))</f>
        <v>Tier 3</v>
      </c>
      <c r="E3502" s="12" t="n">
        <f aca="false">INDEX('Country Tiers'!$D$2:$D$37,MATCH(C3502,'Country Tiers'!$A$2:$A$37,0))</f>
        <v>1</v>
      </c>
    </row>
    <row r="3503" customFormat="false" ht="15" hidden="false" customHeight="false" outlineLevel="0" collapsed="false">
      <c r="A3503" s="12" t="s">
        <v>184</v>
      </c>
      <c r="B3503" s="12" t="s">
        <v>54</v>
      </c>
      <c r="C3503" s="12" t="s">
        <v>281</v>
      </c>
      <c r="D3503" s="12" t="str">
        <f aca="false">INDEX('Country Tiers'!$C$2:$C$37,MATCH(C3503,'Country Tiers'!$A$2:$A$37,0))</f>
        <v>Tier 3</v>
      </c>
      <c r="E3503" s="12" t="n">
        <f aca="false">INDEX('Country Tiers'!$D$2:$D$37,MATCH(C3503,'Country Tiers'!$A$2:$A$37,0))</f>
        <v>1</v>
      </c>
    </row>
    <row r="3504" customFormat="false" ht="15" hidden="false" customHeight="false" outlineLevel="0" collapsed="false">
      <c r="A3504" s="12" t="s">
        <v>184</v>
      </c>
      <c r="B3504" s="12" t="s">
        <v>54</v>
      </c>
      <c r="C3504" s="12" t="s">
        <v>282</v>
      </c>
      <c r="D3504" s="12" t="str">
        <f aca="false">INDEX('Country Tiers'!$C$2:$C$37,MATCH(C3504,'Country Tiers'!$A$2:$A$37,0))</f>
        <v>Tier 3</v>
      </c>
      <c r="E3504" s="12" t="n">
        <f aca="false">INDEX('Country Tiers'!$D$2:$D$37,MATCH(C3504,'Country Tiers'!$A$2:$A$37,0))</f>
        <v>1</v>
      </c>
    </row>
    <row r="3505" customFormat="false" ht="15" hidden="false" customHeight="false" outlineLevel="0" collapsed="false">
      <c r="A3505" s="12" t="s">
        <v>184</v>
      </c>
      <c r="B3505" s="12" t="s">
        <v>54</v>
      </c>
      <c r="C3505" s="12" t="s">
        <v>283</v>
      </c>
      <c r="D3505" s="12" t="str">
        <f aca="false">INDEX('Country Tiers'!$C$2:$C$37,MATCH(C3505,'Country Tiers'!$A$2:$A$37,0))</f>
        <v>Tier 3</v>
      </c>
      <c r="E3505" s="12" t="n">
        <f aca="false">INDEX('Country Tiers'!$D$2:$D$37,MATCH(C3505,'Country Tiers'!$A$2:$A$37,0))</f>
        <v>1</v>
      </c>
    </row>
    <row r="3506" customFormat="false" ht="15" hidden="false" customHeight="false" outlineLevel="0" collapsed="false">
      <c r="A3506" s="12" t="s">
        <v>184</v>
      </c>
      <c r="B3506" s="12" t="s">
        <v>54</v>
      </c>
      <c r="C3506" s="12" t="s">
        <v>284</v>
      </c>
      <c r="D3506" s="12" t="str">
        <f aca="false">INDEX('Country Tiers'!$C$2:$C$37,MATCH(C3506,'Country Tiers'!$A$2:$A$37,0))</f>
        <v>Tier 3</v>
      </c>
      <c r="E3506" s="12" t="n">
        <f aca="false">INDEX('Country Tiers'!$D$2:$D$37,MATCH(C3506,'Country Tiers'!$A$2:$A$37,0))</f>
        <v>1</v>
      </c>
    </row>
    <row r="3507" customFormat="false" ht="15" hidden="false" customHeight="false" outlineLevel="0" collapsed="false">
      <c r="A3507" s="12" t="s">
        <v>184</v>
      </c>
      <c r="B3507" s="12" t="s">
        <v>54</v>
      </c>
      <c r="C3507" s="12" t="s">
        <v>285</v>
      </c>
      <c r="D3507" s="12" t="str">
        <f aca="false">INDEX('Country Tiers'!$C$2:$C$37,MATCH(C3507,'Country Tiers'!$A$2:$A$37,0))</f>
        <v>Tier 3</v>
      </c>
      <c r="E3507" s="12" t="n">
        <f aca="false">INDEX('Country Tiers'!$D$2:$D$37,MATCH(C3507,'Country Tiers'!$A$2:$A$37,0))</f>
        <v>1</v>
      </c>
    </row>
    <row r="3508" customFormat="false" ht="15" hidden="false" customHeight="false" outlineLevel="0" collapsed="false">
      <c r="A3508" s="12" t="s">
        <v>184</v>
      </c>
      <c r="B3508" s="12" t="s">
        <v>54</v>
      </c>
      <c r="C3508" s="12" t="s">
        <v>286</v>
      </c>
      <c r="D3508" s="12" t="str">
        <f aca="false">INDEX('Country Tiers'!$C$2:$C$37,MATCH(C3508,'Country Tiers'!$A$2:$A$37,0))</f>
        <v>Tier 1</v>
      </c>
      <c r="E3508" s="12" t="n">
        <f aca="false">INDEX('Country Tiers'!$D$2:$D$37,MATCH(C3508,'Country Tiers'!$A$2:$A$37,0))</f>
        <v>3</v>
      </c>
    </row>
    <row r="3509" customFormat="false" ht="15" hidden="false" customHeight="false" outlineLevel="0" collapsed="false">
      <c r="A3509" s="12" t="s">
        <v>184</v>
      </c>
      <c r="B3509" s="12" t="s">
        <v>54</v>
      </c>
      <c r="C3509" s="12" t="s">
        <v>287</v>
      </c>
      <c r="D3509" s="12" t="str">
        <f aca="false">INDEX('Country Tiers'!$C$2:$C$37,MATCH(C3509,'Country Tiers'!$A$2:$A$37,0))</f>
        <v>Tier 1</v>
      </c>
      <c r="E3509" s="12" t="n">
        <f aca="false">INDEX('Country Tiers'!$D$2:$D$37,MATCH(C3509,'Country Tiers'!$A$2:$A$37,0))</f>
        <v>3</v>
      </c>
    </row>
    <row r="3510" customFormat="false" ht="15" hidden="false" customHeight="false" outlineLevel="0" collapsed="false">
      <c r="A3510" s="12" t="s">
        <v>184</v>
      </c>
      <c r="B3510" s="12" t="s">
        <v>54</v>
      </c>
      <c r="C3510" s="12" t="s">
        <v>288</v>
      </c>
      <c r="D3510" s="12" t="str">
        <f aca="false">INDEX('Country Tiers'!$C$2:$C$37,MATCH(C3510,'Country Tiers'!$A$2:$A$37,0))</f>
        <v>Tier 3</v>
      </c>
      <c r="E3510" s="12" t="n">
        <f aca="false">INDEX('Country Tiers'!$D$2:$D$37,MATCH(C3510,'Country Tiers'!$A$2:$A$37,0))</f>
        <v>1</v>
      </c>
    </row>
    <row r="3511" customFormat="false" ht="15" hidden="false" customHeight="false" outlineLevel="0" collapsed="false">
      <c r="A3511" s="12" t="s">
        <v>184</v>
      </c>
      <c r="B3511" s="12" t="s">
        <v>54</v>
      </c>
      <c r="C3511" s="12" t="s">
        <v>289</v>
      </c>
      <c r="D3511" s="12" t="str">
        <f aca="false">INDEX('Country Tiers'!$C$2:$C$37,MATCH(C3511,'Country Tiers'!$A$2:$A$37,0))</f>
        <v>Tier 3</v>
      </c>
      <c r="E3511" s="12" t="n">
        <f aca="false">INDEX('Country Tiers'!$D$2:$D$37,MATCH(C3511,'Country Tiers'!$A$2:$A$37,0))</f>
        <v>1</v>
      </c>
    </row>
    <row r="3512" customFormat="false" ht="15" hidden="false" customHeight="false" outlineLevel="0" collapsed="false">
      <c r="A3512" s="12" t="s">
        <v>184</v>
      </c>
      <c r="B3512" s="12" t="s">
        <v>54</v>
      </c>
      <c r="C3512" s="12" t="s">
        <v>290</v>
      </c>
      <c r="D3512" s="12" t="str">
        <f aca="false">INDEX('Country Tiers'!$C$2:$C$37,MATCH(C3512,'Country Tiers'!$A$2:$A$37,0))</f>
        <v>Tier 3</v>
      </c>
      <c r="E3512" s="12" t="n">
        <f aca="false">INDEX('Country Tiers'!$D$2:$D$37,MATCH(C3512,'Country Tiers'!$A$2:$A$37,0))</f>
        <v>1</v>
      </c>
    </row>
    <row r="3513" customFormat="false" ht="15" hidden="false" customHeight="false" outlineLevel="0" collapsed="false">
      <c r="A3513" s="12" t="s">
        <v>184</v>
      </c>
      <c r="B3513" s="12" t="s">
        <v>54</v>
      </c>
      <c r="C3513" s="12" t="s">
        <v>291</v>
      </c>
      <c r="D3513" s="12" t="str">
        <f aca="false">INDEX('Country Tiers'!$C$2:$C$37,MATCH(C3513,'Country Tiers'!$A$2:$A$37,0))</f>
        <v>Tier 3</v>
      </c>
      <c r="E3513" s="12" t="n">
        <f aca="false">INDEX('Country Tiers'!$D$2:$D$37,MATCH(C3513,'Country Tiers'!$A$2:$A$37,0))</f>
        <v>1</v>
      </c>
    </row>
    <row r="3514" customFormat="false" ht="15" hidden="false" customHeight="false" outlineLevel="0" collapsed="false">
      <c r="A3514" s="12" t="s">
        <v>184</v>
      </c>
      <c r="B3514" s="12" t="s">
        <v>54</v>
      </c>
      <c r="C3514" s="12" t="s">
        <v>292</v>
      </c>
      <c r="D3514" s="12" t="str">
        <f aca="false">INDEX('Country Tiers'!$C$2:$C$37,MATCH(C3514,'Country Tiers'!$A$2:$A$37,0))</f>
        <v>Tier 2</v>
      </c>
      <c r="E3514" s="12" t="n">
        <f aca="false">INDEX('Country Tiers'!$D$2:$D$37,MATCH(C3514,'Country Tiers'!$A$2:$A$37,0))</f>
        <v>2</v>
      </c>
    </row>
    <row r="3515" customFormat="false" ht="15" hidden="false" customHeight="false" outlineLevel="0" collapsed="false">
      <c r="A3515" s="12" t="s">
        <v>184</v>
      </c>
      <c r="B3515" s="12" t="s">
        <v>54</v>
      </c>
      <c r="C3515" s="12" t="s">
        <v>293</v>
      </c>
      <c r="D3515" s="12" t="str">
        <f aca="false">INDEX('Country Tiers'!$C$2:$C$37,MATCH(C3515,'Country Tiers'!$A$2:$A$37,0))</f>
        <v>Tier 3</v>
      </c>
      <c r="E3515" s="12" t="n">
        <f aca="false">INDEX('Country Tiers'!$D$2:$D$37,MATCH(C3515,'Country Tiers'!$A$2:$A$37,0))</f>
        <v>1</v>
      </c>
    </row>
    <row r="3516" customFormat="false" ht="15" hidden="false" customHeight="false" outlineLevel="0" collapsed="false">
      <c r="A3516" s="12" t="s">
        <v>184</v>
      </c>
      <c r="B3516" s="12" t="s">
        <v>54</v>
      </c>
      <c r="C3516" s="12" t="s">
        <v>294</v>
      </c>
      <c r="D3516" s="12" t="str">
        <f aca="false">INDEX('Country Tiers'!$C$2:$C$37,MATCH(C3516,'Country Tiers'!$A$2:$A$37,0))</f>
        <v>Tier 3</v>
      </c>
      <c r="E3516" s="12" t="n">
        <f aca="false">INDEX('Country Tiers'!$D$2:$D$37,MATCH(C3516,'Country Tiers'!$A$2:$A$37,0))</f>
        <v>1</v>
      </c>
    </row>
    <row r="3517" customFormat="false" ht="15" hidden="false" customHeight="false" outlineLevel="0" collapsed="false">
      <c r="A3517" s="12" t="s">
        <v>184</v>
      </c>
      <c r="B3517" s="12" t="s">
        <v>54</v>
      </c>
      <c r="C3517" s="12" t="s">
        <v>295</v>
      </c>
      <c r="D3517" s="12" t="str">
        <f aca="false">INDEX('Country Tiers'!$C$2:$C$37,MATCH(C3517,'Country Tiers'!$A$2:$A$37,0))</f>
        <v>Tier 3</v>
      </c>
      <c r="E3517" s="12" t="n">
        <f aca="false">INDEX('Country Tiers'!$D$2:$D$37,MATCH(C3517,'Country Tiers'!$A$2:$A$37,0))</f>
        <v>1</v>
      </c>
    </row>
    <row r="3518" customFormat="false" ht="15" hidden="false" customHeight="false" outlineLevel="0" collapsed="false">
      <c r="A3518" s="12" t="s">
        <v>184</v>
      </c>
      <c r="B3518" s="12" t="s">
        <v>54</v>
      </c>
      <c r="C3518" s="12" t="s">
        <v>296</v>
      </c>
      <c r="D3518" s="12" t="str">
        <f aca="false">INDEX('Country Tiers'!$C$2:$C$37,MATCH(C3518,'Country Tiers'!$A$2:$A$37,0))</f>
        <v>Tier 3</v>
      </c>
      <c r="E3518" s="12" t="n">
        <f aca="false">INDEX('Country Tiers'!$D$2:$D$37,MATCH(C3518,'Country Tiers'!$A$2:$A$37,0))</f>
        <v>1</v>
      </c>
    </row>
    <row r="3519" customFormat="false" ht="15" hidden="false" customHeight="false" outlineLevel="0" collapsed="false">
      <c r="A3519" s="12" t="s">
        <v>184</v>
      </c>
      <c r="B3519" s="12" t="s">
        <v>54</v>
      </c>
      <c r="C3519" s="12" t="s">
        <v>297</v>
      </c>
      <c r="D3519" s="12" t="str">
        <f aca="false">INDEX('Country Tiers'!$C$2:$C$37,MATCH(C3519,'Country Tiers'!$A$2:$A$37,0))</f>
        <v>Tier 2</v>
      </c>
      <c r="E3519" s="12" t="n">
        <f aca="false">INDEX('Country Tiers'!$D$2:$D$37,MATCH(C3519,'Country Tiers'!$A$2:$A$37,0))</f>
        <v>2</v>
      </c>
    </row>
    <row r="3520" customFormat="false" ht="15" hidden="false" customHeight="false" outlineLevel="0" collapsed="false">
      <c r="A3520" s="12" t="s">
        <v>184</v>
      </c>
      <c r="B3520" s="12" t="s">
        <v>54</v>
      </c>
      <c r="C3520" s="12" t="s">
        <v>298</v>
      </c>
      <c r="D3520" s="12" t="str">
        <f aca="false">INDEX('Country Tiers'!$C$2:$C$37,MATCH(C3520,'Country Tiers'!$A$2:$A$37,0))</f>
        <v>Tier 1</v>
      </c>
      <c r="E3520" s="12" t="n">
        <f aca="false">INDEX('Country Tiers'!$D$2:$D$37,MATCH(C3520,'Country Tiers'!$A$2:$A$37,0))</f>
        <v>3</v>
      </c>
    </row>
    <row r="3521" customFormat="false" ht="15" hidden="false" customHeight="false" outlineLevel="0" collapsed="false">
      <c r="A3521" s="12" t="s">
        <v>184</v>
      </c>
      <c r="B3521" s="12" t="s">
        <v>54</v>
      </c>
      <c r="C3521" s="12" t="s">
        <v>299</v>
      </c>
      <c r="D3521" s="12" t="str">
        <f aca="false">INDEX('Country Tiers'!$C$2:$C$37,MATCH(C3521,'Country Tiers'!$A$2:$A$37,0))</f>
        <v>Tier 3</v>
      </c>
      <c r="E3521" s="12" t="n">
        <f aca="false">INDEX('Country Tiers'!$D$2:$D$37,MATCH(C3521,'Country Tiers'!$A$2:$A$37,0))</f>
        <v>1</v>
      </c>
    </row>
    <row r="3522" customFormat="false" ht="15" hidden="false" customHeight="false" outlineLevel="0" collapsed="false">
      <c r="A3522" s="12" t="s">
        <v>184</v>
      </c>
      <c r="B3522" s="12" t="s">
        <v>54</v>
      </c>
      <c r="C3522" s="12" t="s">
        <v>300</v>
      </c>
      <c r="D3522" s="12" t="str">
        <f aca="false">INDEX('Country Tiers'!$C$2:$C$37,MATCH(C3522,'Country Tiers'!$A$2:$A$37,0))</f>
        <v>Tier 3</v>
      </c>
      <c r="E3522" s="12" t="n">
        <f aca="false">INDEX('Country Tiers'!$D$2:$D$37,MATCH(C3522,'Country Tiers'!$A$2:$A$37,0))</f>
        <v>1</v>
      </c>
    </row>
    <row r="3523" customFormat="false" ht="15" hidden="false" customHeight="false" outlineLevel="0" collapsed="false">
      <c r="A3523" s="12" t="s">
        <v>184</v>
      </c>
      <c r="B3523" s="12" t="s">
        <v>54</v>
      </c>
      <c r="C3523" s="12" t="s">
        <v>301</v>
      </c>
      <c r="D3523" s="12" t="str">
        <f aca="false">INDEX('Country Tiers'!$C$2:$C$37,MATCH(C3523,'Country Tiers'!$A$2:$A$37,0))</f>
        <v>Tier 3</v>
      </c>
      <c r="E3523" s="12" t="n">
        <f aca="false">INDEX('Country Tiers'!$D$2:$D$37,MATCH(C3523,'Country Tiers'!$A$2:$A$37,0))</f>
        <v>1</v>
      </c>
    </row>
    <row r="3524" customFormat="false" ht="15" hidden="false" customHeight="false" outlineLevel="0" collapsed="false">
      <c r="A3524" s="12" t="s">
        <v>184</v>
      </c>
      <c r="B3524" s="12" t="s">
        <v>54</v>
      </c>
      <c r="C3524" s="12" t="s">
        <v>302</v>
      </c>
      <c r="D3524" s="12" t="str">
        <f aca="false">INDEX('Country Tiers'!$C$2:$C$37,MATCH(C3524,'Country Tiers'!$A$2:$A$37,0))</f>
        <v>Tier 3</v>
      </c>
      <c r="E3524" s="12" t="n">
        <f aca="false">INDEX('Country Tiers'!$D$2:$D$37,MATCH(C3524,'Country Tiers'!$A$2:$A$37,0))</f>
        <v>1</v>
      </c>
    </row>
    <row r="3525" customFormat="false" ht="15" hidden="false" customHeight="false" outlineLevel="0" collapsed="false">
      <c r="A3525" s="12" t="s">
        <v>184</v>
      </c>
      <c r="B3525" s="12" t="s">
        <v>54</v>
      </c>
      <c r="C3525" s="12" t="s">
        <v>303</v>
      </c>
      <c r="D3525" s="12" t="str">
        <f aca="false">INDEX('Country Tiers'!$C$2:$C$37,MATCH(C3525,'Country Tiers'!$A$2:$A$37,0))</f>
        <v>Tier 2</v>
      </c>
      <c r="E3525" s="12" t="n">
        <f aca="false">INDEX('Country Tiers'!$D$2:$D$37,MATCH(C3525,'Country Tiers'!$A$2:$A$37,0))</f>
        <v>2</v>
      </c>
    </row>
    <row r="3526" customFormat="false" ht="15" hidden="false" customHeight="false" outlineLevel="0" collapsed="false">
      <c r="A3526" s="12" t="s">
        <v>184</v>
      </c>
      <c r="B3526" s="12" t="s">
        <v>54</v>
      </c>
      <c r="C3526" s="12" t="s">
        <v>305</v>
      </c>
      <c r="D3526" s="12" t="str">
        <f aca="false">INDEX('Country Tiers'!$C$2:$C$37,MATCH(C3526,'Country Tiers'!$A$2:$A$37,0))</f>
        <v>Tier 3</v>
      </c>
      <c r="E3526" s="12" t="n">
        <f aca="false">INDEX('Country Tiers'!$D$2:$D$37,MATCH(C3526,'Country Tiers'!$A$2:$A$37,0))</f>
        <v>1</v>
      </c>
    </row>
    <row r="3527" customFormat="false" ht="15" hidden="false" customHeight="false" outlineLevel="0" collapsed="false">
      <c r="A3527" s="12" t="s">
        <v>184</v>
      </c>
      <c r="B3527" s="12" t="s">
        <v>54</v>
      </c>
      <c r="C3527" s="12" t="s">
        <v>306</v>
      </c>
      <c r="D3527" s="12" t="str">
        <f aca="false">INDEX('Country Tiers'!$C$2:$C$37,MATCH(C3527,'Country Tiers'!$A$2:$A$37,0))</f>
        <v>Tier 3</v>
      </c>
      <c r="E3527" s="12" t="n">
        <f aca="false">INDEX('Country Tiers'!$D$2:$D$37,MATCH(C3527,'Country Tiers'!$A$2:$A$37,0))</f>
        <v>1</v>
      </c>
    </row>
    <row r="3528" customFormat="false" ht="15" hidden="false" customHeight="false" outlineLevel="0" collapsed="false">
      <c r="A3528" s="12" t="s">
        <v>184</v>
      </c>
      <c r="B3528" s="12" t="s">
        <v>54</v>
      </c>
      <c r="C3528" s="12" t="s">
        <v>307</v>
      </c>
      <c r="D3528" s="12" t="str">
        <f aca="false">INDEX('Country Tiers'!$C$2:$C$37,MATCH(C3528,'Country Tiers'!$A$2:$A$37,0))</f>
        <v>Tier 2</v>
      </c>
      <c r="E3528" s="12" t="n">
        <f aca="false">INDEX('Country Tiers'!$D$2:$D$37,MATCH(C3528,'Country Tiers'!$A$2:$A$37,0))</f>
        <v>2</v>
      </c>
    </row>
    <row r="3529" customFormat="false" ht="15" hidden="false" customHeight="false" outlineLevel="0" collapsed="false">
      <c r="A3529" s="12" t="s">
        <v>184</v>
      </c>
      <c r="B3529" s="12" t="s">
        <v>54</v>
      </c>
      <c r="C3529" s="12" t="s">
        <v>308</v>
      </c>
      <c r="D3529" s="12" t="str">
        <f aca="false">INDEX('Country Tiers'!$C$2:$C$37,MATCH(C3529,'Country Tiers'!$A$2:$A$37,0))</f>
        <v>Tier 3</v>
      </c>
      <c r="E3529" s="12" t="n">
        <f aca="false">INDEX('Country Tiers'!$D$2:$D$37,MATCH(C3529,'Country Tiers'!$A$2:$A$37,0))</f>
        <v>1</v>
      </c>
    </row>
    <row r="3530" customFormat="false" ht="15" hidden="false" customHeight="false" outlineLevel="0" collapsed="false">
      <c r="A3530" s="12" t="s">
        <v>184</v>
      </c>
      <c r="B3530" s="12" t="s">
        <v>54</v>
      </c>
      <c r="C3530" s="12" t="s">
        <v>313</v>
      </c>
      <c r="D3530" s="12" t="str">
        <f aca="false">INDEX('Country Tiers'!$C$2:$C$37,MATCH(C3530,'Country Tiers'!$A$2:$A$37,0))</f>
        <v>Tier 1</v>
      </c>
      <c r="E3530" s="12" t="n">
        <f aca="false">INDEX('Country Tiers'!$D$2:$D$37,MATCH(C3530,'Country Tiers'!$A$2:$A$37,0))</f>
        <v>3</v>
      </c>
    </row>
    <row r="3531" customFormat="false" ht="15" hidden="false" customHeight="false" outlineLevel="0" collapsed="false">
      <c r="A3531" s="12" t="s">
        <v>184</v>
      </c>
      <c r="B3531" s="12" t="s">
        <v>55</v>
      </c>
      <c r="C3531" s="12" t="s">
        <v>272</v>
      </c>
      <c r="D3531" s="12" t="str">
        <f aca="false">INDEX('Country Tiers'!$C$2:$C$37,MATCH(C3531,'Country Tiers'!$A$2:$A$37,0))</f>
        <v>Tier 2</v>
      </c>
      <c r="E3531" s="12" t="n">
        <f aca="false">INDEX('Country Tiers'!$D$2:$D$37,MATCH(C3531,'Country Tiers'!$A$2:$A$37,0))</f>
        <v>2</v>
      </c>
    </row>
    <row r="3532" customFormat="false" ht="15" hidden="false" customHeight="false" outlineLevel="0" collapsed="false">
      <c r="A3532" s="12" t="s">
        <v>184</v>
      </c>
      <c r="B3532" s="12" t="s">
        <v>55</v>
      </c>
      <c r="C3532" s="12" t="s">
        <v>274</v>
      </c>
      <c r="D3532" s="12" t="str">
        <f aca="false">INDEX('Country Tiers'!$C$2:$C$37,MATCH(C3532,'Country Tiers'!$A$2:$A$37,0))</f>
        <v>Tier 3</v>
      </c>
      <c r="E3532" s="12" t="n">
        <f aca="false">INDEX('Country Tiers'!$D$2:$D$37,MATCH(C3532,'Country Tiers'!$A$2:$A$37,0))</f>
        <v>1</v>
      </c>
    </row>
    <row r="3533" customFormat="false" ht="15" hidden="false" customHeight="false" outlineLevel="0" collapsed="false">
      <c r="A3533" s="12" t="s">
        <v>184</v>
      </c>
      <c r="B3533" s="12" t="s">
        <v>55</v>
      </c>
      <c r="C3533" s="12" t="s">
        <v>277</v>
      </c>
      <c r="D3533" s="12" t="str">
        <f aca="false">INDEX('Country Tiers'!$C$2:$C$37,MATCH(C3533,'Country Tiers'!$A$2:$A$37,0))</f>
        <v>Tier 1</v>
      </c>
      <c r="E3533" s="12" t="n">
        <f aca="false">INDEX('Country Tiers'!$D$2:$D$37,MATCH(C3533,'Country Tiers'!$A$2:$A$37,0))</f>
        <v>3</v>
      </c>
    </row>
    <row r="3534" customFormat="false" ht="15" hidden="false" customHeight="false" outlineLevel="0" collapsed="false">
      <c r="A3534" s="12" t="s">
        <v>184</v>
      </c>
      <c r="B3534" s="12" t="s">
        <v>55</v>
      </c>
      <c r="C3534" s="12" t="s">
        <v>278</v>
      </c>
      <c r="D3534" s="12" t="str">
        <f aca="false">INDEX('Country Tiers'!$C$2:$C$37,MATCH(C3534,'Country Tiers'!$A$2:$A$37,0))</f>
        <v>Tier 3</v>
      </c>
      <c r="E3534" s="12" t="n">
        <f aca="false">INDEX('Country Tiers'!$D$2:$D$37,MATCH(C3534,'Country Tiers'!$A$2:$A$37,0))</f>
        <v>1</v>
      </c>
    </row>
    <row r="3535" customFormat="false" ht="15" hidden="false" customHeight="false" outlineLevel="0" collapsed="false">
      <c r="A3535" s="12" t="s">
        <v>184</v>
      </c>
      <c r="B3535" s="12" t="s">
        <v>55</v>
      </c>
      <c r="C3535" s="12" t="s">
        <v>280</v>
      </c>
      <c r="D3535" s="12" t="str">
        <f aca="false">INDEX('Country Tiers'!$C$2:$C$37,MATCH(C3535,'Country Tiers'!$A$2:$A$37,0))</f>
        <v>Tier 3</v>
      </c>
      <c r="E3535" s="12" t="n">
        <f aca="false">INDEX('Country Tiers'!$D$2:$D$37,MATCH(C3535,'Country Tiers'!$A$2:$A$37,0))</f>
        <v>1</v>
      </c>
    </row>
    <row r="3536" customFormat="false" ht="15" hidden="false" customHeight="false" outlineLevel="0" collapsed="false">
      <c r="A3536" s="12" t="s">
        <v>184</v>
      </c>
      <c r="B3536" s="12" t="s">
        <v>55</v>
      </c>
      <c r="C3536" s="12" t="s">
        <v>281</v>
      </c>
      <c r="D3536" s="12" t="str">
        <f aca="false">INDEX('Country Tiers'!$C$2:$C$37,MATCH(C3536,'Country Tiers'!$A$2:$A$37,0))</f>
        <v>Tier 3</v>
      </c>
      <c r="E3536" s="12" t="n">
        <f aca="false">INDEX('Country Tiers'!$D$2:$D$37,MATCH(C3536,'Country Tiers'!$A$2:$A$37,0))</f>
        <v>1</v>
      </c>
    </row>
    <row r="3537" customFormat="false" ht="15" hidden="false" customHeight="false" outlineLevel="0" collapsed="false">
      <c r="A3537" s="12" t="s">
        <v>184</v>
      </c>
      <c r="B3537" s="12" t="s">
        <v>55</v>
      </c>
      <c r="C3537" s="12" t="s">
        <v>282</v>
      </c>
      <c r="D3537" s="12" t="str">
        <f aca="false">INDEX('Country Tiers'!$C$2:$C$37,MATCH(C3537,'Country Tiers'!$A$2:$A$37,0))</f>
        <v>Tier 3</v>
      </c>
      <c r="E3537" s="12" t="n">
        <f aca="false">INDEX('Country Tiers'!$D$2:$D$37,MATCH(C3537,'Country Tiers'!$A$2:$A$37,0))</f>
        <v>1</v>
      </c>
    </row>
    <row r="3538" customFormat="false" ht="15" hidden="false" customHeight="false" outlineLevel="0" collapsed="false">
      <c r="A3538" s="12" t="s">
        <v>184</v>
      </c>
      <c r="B3538" s="12" t="s">
        <v>55</v>
      </c>
      <c r="C3538" s="12" t="s">
        <v>283</v>
      </c>
      <c r="D3538" s="12" t="str">
        <f aca="false">INDEX('Country Tiers'!$C$2:$C$37,MATCH(C3538,'Country Tiers'!$A$2:$A$37,0))</f>
        <v>Tier 3</v>
      </c>
      <c r="E3538" s="12" t="n">
        <f aca="false">INDEX('Country Tiers'!$D$2:$D$37,MATCH(C3538,'Country Tiers'!$A$2:$A$37,0))</f>
        <v>1</v>
      </c>
    </row>
    <row r="3539" customFormat="false" ht="15" hidden="false" customHeight="false" outlineLevel="0" collapsed="false">
      <c r="A3539" s="12" t="s">
        <v>184</v>
      </c>
      <c r="B3539" s="12" t="s">
        <v>55</v>
      </c>
      <c r="C3539" s="12" t="s">
        <v>284</v>
      </c>
      <c r="D3539" s="12" t="str">
        <f aca="false">INDEX('Country Tiers'!$C$2:$C$37,MATCH(C3539,'Country Tiers'!$A$2:$A$37,0))</f>
        <v>Tier 3</v>
      </c>
      <c r="E3539" s="12" t="n">
        <f aca="false">INDEX('Country Tiers'!$D$2:$D$37,MATCH(C3539,'Country Tiers'!$A$2:$A$37,0))</f>
        <v>1</v>
      </c>
    </row>
    <row r="3540" customFormat="false" ht="15" hidden="false" customHeight="false" outlineLevel="0" collapsed="false">
      <c r="A3540" s="12" t="s">
        <v>184</v>
      </c>
      <c r="B3540" s="12" t="s">
        <v>55</v>
      </c>
      <c r="C3540" s="12" t="s">
        <v>285</v>
      </c>
      <c r="D3540" s="12" t="str">
        <f aca="false">INDEX('Country Tiers'!$C$2:$C$37,MATCH(C3540,'Country Tiers'!$A$2:$A$37,0))</f>
        <v>Tier 3</v>
      </c>
      <c r="E3540" s="12" t="n">
        <f aca="false">INDEX('Country Tiers'!$D$2:$D$37,MATCH(C3540,'Country Tiers'!$A$2:$A$37,0))</f>
        <v>1</v>
      </c>
    </row>
    <row r="3541" customFormat="false" ht="15" hidden="false" customHeight="false" outlineLevel="0" collapsed="false">
      <c r="A3541" s="12" t="s">
        <v>184</v>
      </c>
      <c r="B3541" s="12" t="s">
        <v>55</v>
      </c>
      <c r="C3541" s="12" t="s">
        <v>286</v>
      </c>
      <c r="D3541" s="12" t="str">
        <f aca="false">INDEX('Country Tiers'!$C$2:$C$37,MATCH(C3541,'Country Tiers'!$A$2:$A$37,0))</f>
        <v>Tier 1</v>
      </c>
      <c r="E3541" s="12" t="n">
        <f aca="false">INDEX('Country Tiers'!$D$2:$D$37,MATCH(C3541,'Country Tiers'!$A$2:$A$37,0))</f>
        <v>3</v>
      </c>
    </row>
    <row r="3542" customFormat="false" ht="15" hidden="false" customHeight="false" outlineLevel="0" collapsed="false">
      <c r="A3542" s="12" t="s">
        <v>184</v>
      </c>
      <c r="B3542" s="12" t="s">
        <v>55</v>
      </c>
      <c r="C3542" s="12" t="s">
        <v>287</v>
      </c>
      <c r="D3542" s="12" t="str">
        <f aca="false">INDEX('Country Tiers'!$C$2:$C$37,MATCH(C3542,'Country Tiers'!$A$2:$A$37,0))</f>
        <v>Tier 1</v>
      </c>
      <c r="E3542" s="12" t="n">
        <f aca="false">INDEX('Country Tiers'!$D$2:$D$37,MATCH(C3542,'Country Tiers'!$A$2:$A$37,0))</f>
        <v>3</v>
      </c>
    </row>
    <row r="3543" customFormat="false" ht="15" hidden="false" customHeight="false" outlineLevel="0" collapsed="false">
      <c r="A3543" s="12" t="s">
        <v>184</v>
      </c>
      <c r="B3543" s="12" t="s">
        <v>55</v>
      </c>
      <c r="C3543" s="12" t="s">
        <v>288</v>
      </c>
      <c r="D3543" s="12" t="str">
        <f aca="false">INDEX('Country Tiers'!$C$2:$C$37,MATCH(C3543,'Country Tiers'!$A$2:$A$37,0))</f>
        <v>Tier 3</v>
      </c>
      <c r="E3543" s="12" t="n">
        <f aca="false">INDEX('Country Tiers'!$D$2:$D$37,MATCH(C3543,'Country Tiers'!$A$2:$A$37,0))</f>
        <v>1</v>
      </c>
    </row>
    <row r="3544" customFormat="false" ht="15" hidden="false" customHeight="false" outlineLevel="0" collapsed="false">
      <c r="A3544" s="12" t="s">
        <v>184</v>
      </c>
      <c r="B3544" s="12" t="s">
        <v>55</v>
      </c>
      <c r="C3544" s="12" t="s">
        <v>289</v>
      </c>
      <c r="D3544" s="12" t="str">
        <f aca="false">INDEX('Country Tiers'!$C$2:$C$37,MATCH(C3544,'Country Tiers'!$A$2:$A$37,0))</f>
        <v>Tier 3</v>
      </c>
      <c r="E3544" s="12" t="n">
        <f aca="false">INDEX('Country Tiers'!$D$2:$D$37,MATCH(C3544,'Country Tiers'!$A$2:$A$37,0))</f>
        <v>1</v>
      </c>
    </row>
    <row r="3545" customFormat="false" ht="15" hidden="false" customHeight="false" outlineLevel="0" collapsed="false">
      <c r="A3545" s="12" t="s">
        <v>184</v>
      </c>
      <c r="B3545" s="12" t="s">
        <v>55</v>
      </c>
      <c r="C3545" s="12" t="s">
        <v>290</v>
      </c>
      <c r="D3545" s="12" t="str">
        <f aca="false">INDEX('Country Tiers'!$C$2:$C$37,MATCH(C3545,'Country Tiers'!$A$2:$A$37,0))</f>
        <v>Tier 3</v>
      </c>
      <c r="E3545" s="12" t="n">
        <f aca="false">INDEX('Country Tiers'!$D$2:$D$37,MATCH(C3545,'Country Tiers'!$A$2:$A$37,0))</f>
        <v>1</v>
      </c>
    </row>
    <row r="3546" customFormat="false" ht="15" hidden="false" customHeight="false" outlineLevel="0" collapsed="false">
      <c r="A3546" s="12" t="s">
        <v>184</v>
      </c>
      <c r="B3546" s="12" t="s">
        <v>55</v>
      </c>
      <c r="C3546" s="12" t="s">
        <v>291</v>
      </c>
      <c r="D3546" s="12" t="str">
        <f aca="false">INDEX('Country Tiers'!$C$2:$C$37,MATCH(C3546,'Country Tiers'!$A$2:$A$37,0))</f>
        <v>Tier 3</v>
      </c>
      <c r="E3546" s="12" t="n">
        <f aca="false">INDEX('Country Tiers'!$D$2:$D$37,MATCH(C3546,'Country Tiers'!$A$2:$A$37,0))</f>
        <v>1</v>
      </c>
    </row>
    <row r="3547" customFormat="false" ht="15" hidden="false" customHeight="false" outlineLevel="0" collapsed="false">
      <c r="A3547" s="12" t="s">
        <v>184</v>
      </c>
      <c r="B3547" s="12" t="s">
        <v>55</v>
      </c>
      <c r="C3547" s="12" t="s">
        <v>292</v>
      </c>
      <c r="D3547" s="12" t="str">
        <f aca="false">INDEX('Country Tiers'!$C$2:$C$37,MATCH(C3547,'Country Tiers'!$A$2:$A$37,0))</f>
        <v>Tier 2</v>
      </c>
      <c r="E3547" s="12" t="n">
        <f aca="false">INDEX('Country Tiers'!$D$2:$D$37,MATCH(C3547,'Country Tiers'!$A$2:$A$37,0))</f>
        <v>2</v>
      </c>
    </row>
    <row r="3548" customFormat="false" ht="15" hidden="false" customHeight="false" outlineLevel="0" collapsed="false">
      <c r="A3548" s="12" t="s">
        <v>184</v>
      </c>
      <c r="B3548" s="12" t="s">
        <v>55</v>
      </c>
      <c r="C3548" s="12" t="s">
        <v>293</v>
      </c>
      <c r="D3548" s="12" t="str">
        <f aca="false">INDEX('Country Tiers'!$C$2:$C$37,MATCH(C3548,'Country Tiers'!$A$2:$A$37,0))</f>
        <v>Tier 3</v>
      </c>
      <c r="E3548" s="12" t="n">
        <f aca="false">INDEX('Country Tiers'!$D$2:$D$37,MATCH(C3548,'Country Tiers'!$A$2:$A$37,0))</f>
        <v>1</v>
      </c>
    </row>
    <row r="3549" customFormat="false" ht="15" hidden="false" customHeight="false" outlineLevel="0" collapsed="false">
      <c r="A3549" s="12" t="s">
        <v>184</v>
      </c>
      <c r="B3549" s="12" t="s">
        <v>55</v>
      </c>
      <c r="C3549" s="12" t="s">
        <v>294</v>
      </c>
      <c r="D3549" s="12" t="str">
        <f aca="false">INDEX('Country Tiers'!$C$2:$C$37,MATCH(C3549,'Country Tiers'!$A$2:$A$37,0))</f>
        <v>Tier 3</v>
      </c>
      <c r="E3549" s="12" t="n">
        <f aca="false">INDEX('Country Tiers'!$D$2:$D$37,MATCH(C3549,'Country Tiers'!$A$2:$A$37,0))</f>
        <v>1</v>
      </c>
    </row>
    <row r="3550" customFormat="false" ht="15" hidden="false" customHeight="false" outlineLevel="0" collapsed="false">
      <c r="A3550" s="12" t="s">
        <v>184</v>
      </c>
      <c r="B3550" s="12" t="s">
        <v>55</v>
      </c>
      <c r="C3550" s="12" t="s">
        <v>295</v>
      </c>
      <c r="D3550" s="12" t="str">
        <f aca="false">INDEX('Country Tiers'!$C$2:$C$37,MATCH(C3550,'Country Tiers'!$A$2:$A$37,0))</f>
        <v>Tier 3</v>
      </c>
      <c r="E3550" s="12" t="n">
        <f aca="false">INDEX('Country Tiers'!$D$2:$D$37,MATCH(C3550,'Country Tiers'!$A$2:$A$37,0))</f>
        <v>1</v>
      </c>
    </row>
    <row r="3551" customFormat="false" ht="15" hidden="false" customHeight="false" outlineLevel="0" collapsed="false">
      <c r="A3551" s="12" t="s">
        <v>184</v>
      </c>
      <c r="B3551" s="12" t="s">
        <v>55</v>
      </c>
      <c r="C3551" s="12" t="s">
        <v>296</v>
      </c>
      <c r="D3551" s="12" t="str">
        <f aca="false">INDEX('Country Tiers'!$C$2:$C$37,MATCH(C3551,'Country Tiers'!$A$2:$A$37,0))</f>
        <v>Tier 3</v>
      </c>
      <c r="E3551" s="12" t="n">
        <f aca="false">INDEX('Country Tiers'!$D$2:$D$37,MATCH(C3551,'Country Tiers'!$A$2:$A$37,0))</f>
        <v>1</v>
      </c>
    </row>
    <row r="3552" customFormat="false" ht="15" hidden="false" customHeight="false" outlineLevel="0" collapsed="false">
      <c r="A3552" s="12" t="s">
        <v>184</v>
      </c>
      <c r="B3552" s="12" t="s">
        <v>55</v>
      </c>
      <c r="C3552" s="12" t="s">
        <v>297</v>
      </c>
      <c r="D3552" s="12" t="str">
        <f aca="false">INDEX('Country Tiers'!$C$2:$C$37,MATCH(C3552,'Country Tiers'!$A$2:$A$37,0))</f>
        <v>Tier 2</v>
      </c>
      <c r="E3552" s="12" t="n">
        <f aca="false">INDEX('Country Tiers'!$D$2:$D$37,MATCH(C3552,'Country Tiers'!$A$2:$A$37,0))</f>
        <v>2</v>
      </c>
    </row>
    <row r="3553" customFormat="false" ht="15" hidden="false" customHeight="false" outlineLevel="0" collapsed="false">
      <c r="A3553" s="12" t="s">
        <v>184</v>
      </c>
      <c r="B3553" s="12" t="s">
        <v>55</v>
      </c>
      <c r="C3553" s="12" t="s">
        <v>298</v>
      </c>
      <c r="D3553" s="12" t="str">
        <f aca="false">INDEX('Country Tiers'!$C$2:$C$37,MATCH(C3553,'Country Tiers'!$A$2:$A$37,0))</f>
        <v>Tier 1</v>
      </c>
      <c r="E3553" s="12" t="n">
        <f aca="false">INDEX('Country Tiers'!$D$2:$D$37,MATCH(C3553,'Country Tiers'!$A$2:$A$37,0))</f>
        <v>3</v>
      </c>
    </row>
    <row r="3554" customFormat="false" ht="15" hidden="false" customHeight="false" outlineLevel="0" collapsed="false">
      <c r="A3554" s="12" t="s">
        <v>184</v>
      </c>
      <c r="B3554" s="12" t="s">
        <v>55</v>
      </c>
      <c r="C3554" s="12" t="s">
        <v>299</v>
      </c>
      <c r="D3554" s="12" t="str">
        <f aca="false">INDEX('Country Tiers'!$C$2:$C$37,MATCH(C3554,'Country Tiers'!$A$2:$A$37,0))</f>
        <v>Tier 3</v>
      </c>
      <c r="E3554" s="12" t="n">
        <f aca="false">INDEX('Country Tiers'!$D$2:$D$37,MATCH(C3554,'Country Tiers'!$A$2:$A$37,0))</f>
        <v>1</v>
      </c>
    </row>
    <row r="3555" customFormat="false" ht="15" hidden="false" customHeight="false" outlineLevel="0" collapsed="false">
      <c r="A3555" s="12" t="s">
        <v>184</v>
      </c>
      <c r="B3555" s="12" t="s">
        <v>55</v>
      </c>
      <c r="C3555" s="12" t="s">
        <v>300</v>
      </c>
      <c r="D3555" s="12" t="str">
        <f aca="false">INDEX('Country Tiers'!$C$2:$C$37,MATCH(C3555,'Country Tiers'!$A$2:$A$37,0))</f>
        <v>Tier 3</v>
      </c>
      <c r="E3555" s="12" t="n">
        <f aca="false">INDEX('Country Tiers'!$D$2:$D$37,MATCH(C3555,'Country Tiers'!$A$2:$A$37,0))</f>
        <v>1</v>
      </c>
    </row>
    <row r="3556" customFormat="false" ht="15" hidden="false" customHeight="false" outlineLevel="0" collapsed="false">
      <c r="A3556" s="12" t="s">
        <v>184</v>
      </c>
      <c r="B3556" s="12" t="s">
        <v>55</v>
      </c>
      <c r="C3556" s="12" t="s">
        <v>301</v>
      </c>
      <c r="D3556" s="12" t="str">
        <f aca="false">INDEX('Country Tiers'!$C$2:$C$37,MATCH(C3556,'Country Tiers'!$A$2:$A$37,0))</f>
        <v>Tier 3</v>
      </c>
      <c r="E3556" s="12" t="n">
        <f aca="false">INDEX('Country Tiers'!$D$2:$D$37,MATCH(C3556,'Country Tiers'!$A$2:$A$37,0))</f>
        <v>1</v>
      </c>
    </row>
    <row r="3557" customFormat="false" ht="15" hidden="false" customHeight="false" outlineLevel="0" collapsed="false">
      <c r="A3557" s="12" t="s">
        <v>184</v>
      </c>
      <c r="B3557" s="12" t="s">
        <v>55</v>
      </c>
      <c r="C3557" s="12" t="s">
        <v>302</v>
      </c>
      <c r="D3557" s="12" t="str">
        <f aca="false">INDEX('Country Tiers'!$C$2:$C$37,MATCH(C3557,'Country Tiers'!$A$2:$A$37,0))</f>
        <v>Tier 3</v>
      </c>
      <c r="E3557" s="12" t="n">
        <f aca="false">INDEX('Country Tiers'!$D$2:$D$37,MATCH(C3557,'Country Tiers'!$A$2:$A$37,0))</f>
        <v>1</v>
      </c>
    </row>
    <row r="3558" customFormat="false" ht="15" hidden="false" customHeight="false" outlineLevel="0" collapsed="false">
      <c r="A3558" s="12" t="s">
        <v>184</v>
      </c>
      <c r="B3558" s="12" t="s">
        <v>55</v>
      </c>
      <c r="C3558" s="12" t="s">
        <v>303</v>
      </c>
      <c r="D3558" s="12" t="str">
        <f aca="false">INDEX('Country Tiers'!$C$2:$C$37,MATCH(C3558,'Country Tiers'!$A$2:$A$37,0))</f>
        <v>Tier 2</v>
      </c>
      <c r="E3558" s="12" t="n">
        <f aca="false">INDEX('Country Tiers'!$D$2:$D$37,MATCH(C3558,'Country Tiers'!$A$2:$A$37,0))</f>
        <v>2</v>
      </c>
    </row>
    <row r="3559" customFormat="false" ht="15" hidden="false" customHeight="false" outlineLevel="0" collapsed="false">
      <c r="A3559" s="12" t="s">
        <v>184</v>
      </c>
      <c r="B3559" s="12" t="s">
        <v>55</v>
      </c>
      <c r="C3559" s="12" t="s">
        <v>305</v>
      </c>
      <c r="D3559" s="12" t="str">
        <f aca="false">INDEX('Country Tiers'!$C$2:$C$37,MATCH(C3559,'Country Tiers'!$A$2:$A$37,0))</f>
        <v>Tier 3</v>
      </c>
      <c r="E3559" s="12" t="n">
        <f aca="false">INDEX('Country Tiers'!$D$2:$D$37,MATCH(C3559,'Country Tiers'!$A$2:$A$37,0))</f>
        <v>1</v>
      </c>
    </row>
    <row r="3560" customFormat="false" ht="15" hidden="false" customHeight="false" outlineLevel="0" collapsed="false">
      <c r="A3560" s="12" t="s">
        <v>184</v>
      </c>
      <c r="B3560" s="12" t="s">
        <v>55</v>
      </c>
      <c r="C3560" s="12" t="s">
        <v>306</v>
      </c>
      <c r="D3560" s="12" t="str">
        <f aca="false">INDEX('Country Tiers'!$C$2:$C$37,MATCH(C3560,'Country Tiers'!$A$2:$A$37,0))</f>
        <v>Tier 3</v>
      </c>
      <c r="E3560" s="12" t="n">
        <f aca="false">INDEX('Country Tiers'!$D$2:$D$37,MATCH(C3560,'Country Tiers'!$A$2:$A$37,0))</f>
        <v>1</v>
      </c>
    </row>
    <row r="3561" customFormat="false" ht="15" hidden="false" customHeight="false" outlineLevel="0" collapsed="false">
      <c r="A3561" s="12" t="s">
        <v>184</v>
      </c>
      <c r="B3561" s="12" t="s">
        <v>55</v>
      </c>
      <c r="C3561" s="12" t="s">
        <v>307</v>
      </c>
      <c r="D3561" s="12" t="str">
        <f aca="false">INDEX('Country Tiers'!$C$2:$C$37,MATCH(C3561,'Country Tiers'!$A$2:$A$37,0))</f>
        <v>Tier 2</v>
      </c>
      <c r="E3561" s="12" t="n">
        <f aca="false">INDEX('Country Tiers'!$D$2:$D$37,MATCH(C3561,'Country Tiers'!$A$2:$A$37,0))</f>
        <v>2</v>
      </c>
    </row>
    <row r="3562" customFormat="false" ht="15" hidden="false" customHeight="false" outlineLevel="0" collapsed="false">
      <c r="A3562" s="12" t="s">
        <v>184</v>
      </c>
      <c r="B3562" s="12" t="s">
        <v>55</v>
      </c>
      <c r="C3562" s="12" t="s">
        <v>308</v>
      </c>
      <c r="D3562" s="12" t="str">
        <f aca="false">INDEX('Country Tiers'!$C$2:$C$37,MATCH(C3562,'Country Tiers'!$A$2:$A$37,0))</f>
        <v>Tier 3</v>
      </c>
      <c r="E3562" s="12" t="n">
        <f aca="false">INDEX('Country Tiers'!$D$2:$D$37,MATCH(C3562,'Country Tiers'!$A$2:$A$37,0))</f>
        <v>1</v>
      </c>
    </row>
    <row r="3563" customFormat="false" ht="15" hidden="false" customHeight="false" outlineLevel="0" collapsed="false">
      <c r="A3563" s="12" t="s">
        <v>184</v>
      </c>
      <c r="B3563" s="12" t="s">
        <v>55</v>
      </c>
      <c r="C3563" s="12" t="s">
        <v>309</v>
      </c>
      <c r="D3563" s="12" t="str">
        <f aca="false">INDEX('Country Tiers'!$C$2:$C$37,MATCH(C3563,'Country Tiers'!$A$2:$A$37,0))</f>
        <v>Tier 1</v>
      </c>
      <c r="E3563" s="12" t="n">
        <f aca="false">INDEX('Country Tiers'!$D$2:$D$37,MATCH(C3563,'Country Tiers'!$A$2:$A$37,0))</f>
        <v>3</v>
      </c>
    </row>
    <row r="3564" customFormat="false" ht="15" hidden="false" customHeight="false" outlineLevel="0" collapsed="false">
      <c r="A3564" s="12" t="s">
        <v>184</v>
      </c>
      <c r="B3564" s="12" t="s">
        <v>55</v>
      </c>
      <c r="C3564" s="12" t="s">
        <v>311</v>
      </c>
      <c r="D3564" s="12" t="str">
        <f aca="false">INDEX('Country Tiers'!$C$2:$C$37,MATCH(C3564,'Country Tiers'!$A$2:$A$37,0))</f>
        <v>Tier 1</v>
      </c>
      <c r="E3564" s="12" t="n">
        <f aca="false">INDEX('Country Tiers'!$D$2:$D$37,MATCH(C3564,'Country Tiers'!$A$2:$A$37,0))</f>
        <v>3</v>
      </c>
    </row>
    <row r="3565" customFormat="false" ht="15" hidden="false" customHeight="false" outlineLevel="0" collapsed="false">
      <c r="A3565" s="12" t="s">
        <v>184</v>
      </c>
      <c r="B3565" s="12" t="s">
        <v>55</v>
      </c>
      <c r="C3565" s="12" t="s">
        <v>313</v>
      </c>
      <c r="D3565" s="12" t="str">
        <f aca="false">INDEX('Country Tiers'!$C$2:$C$37,MATCH(C3565,'Country Tiers'!$A$2:$A$37,0))</f>
        <v>Tier 1</v>
      </c>
      <c r="E3565" s="12" t="n">
        <f aca="false">INDEX('Country Tiers'!$D$2:$D$37,MATCH(C3565,'Country Tiers'!$A$2:$A$37,0))</f>
        <v>3</v>
      </c>
    </row>
    <row r="3566" customFormat="false" ht="15" hidden="false" customHeight="false" outlineLevel="0" collapsed="false">
      <c r="A3566" s="12" t="s">
        <v>184</v>
      </c>
      <c r="B3566" s="12" t="s">
        <v>35</v>
      </c>
      <c r="C3566" s="12" t="s">
        <v>274</v>
      </c>
      <c r="D3566" s="12" t="str">
        <f aca="false">INDEX('Country Tiers'!$C$2:$C$37,MATCH(C3566,'Country Tiers'!$A$2:$A$37,0))</f>
        <v>Tier 3</v>
      </c>
      <c r="E3566" s="12" t="n">
        <f aca="false">INDEX('Country Tiers'!$D$2:$D$37,MATCH(C3566,'Country Tiers'!$A$2:$A$37,0))</f>
        <v>1</v>
      </c>
    </row>
    <row r="3567" customFormat="false" ht="15" hidden="false" customHeight="false" outlineLevel="0" collapsed="false">
      <c r="A3567" s="12" t="s">
        <v>184</v>
      </c>
      <c r="B3567" s="12" t="s">
        <v>35</v>
      </c>
      <c r="C3567" s="12" t="s">
        <v>277</v>
      </c>
      <c r="D3567" s="12" t="str">
        <f aca="false">INDEX('Country Tiers'!$C$2:$C$37,MATCH(C3567,'Country Tiers'!$A$2:$A$37,0))</f>
        <v>Tier 1</v>
      </c>
      <c r="E3567" s="12" t="n">
        <f aca="false">INDEX('Country Tiers'!$D$2:$D$37,MATCH(C3567,'Country Tiers'!$A$2:$A$37,0))</f>
        <v>3</v>
      </c>
    </row>
    <row r="3568" customFormat="false" ht="15" hidden="false" customHeight="false" outlineLevel="0" collapsed="false">
      <c r="A3568" s="12" t="s">
        <v>184</v>
      </c>
      <c r="B3568" s="12" t="s">
        <v>35</v>
      </c>
      <c r="C3568" s="12" t="s">
        <v>278</v>
      </c>
      <c r="D3568" s="12" t="str">
        <f aca="false">INDEX('Country Tiers'!$C$2:$C$37,MATCH(C3568,'Country Tiers'!$A$2:$A$37,0))</f>
        <v>Tier 3</v>
      </c>
      <c r="E3568" s="12" t="n">
        <f aca="false">INDEX('Country Tiers'!$D$2:$D$37,MATCH(C3568,'Country Tiers'!$A$2:$A$37,0))</f>
        <v>1</v>
      </c>
    </row>
    <row r="3569" customFormat="false" ht="15" hidden="false" customHeight="false" outlineLevel="0" collapsed="false">
      <c r="A3569" s="12" t="s">
        <v>184</v>
      </c>
      <c r="B3569" s="12" t="s">
        <v>35</v>
      </c>
      <c r="C3569" s="12" t="s">
        <v>280</v>
      </c>
      <c r="D3569" s="12" t="str">
        <f aca="false">INDEX('Country Tiers'!$C$2:$C$37,MATCH(C3569,'Country Tiers'!$A$2:$A$37,0))</f>
        <v>Tier 3</v>
      </c>
      <c r="E3569" s="12" t="n">
        <f aca="false">INDEX('Country Tiers'!$D$2:$D$37,MATCH(C3569,'Country Tiers'!$A$2:$A$37,0))</f>
        <v>1</v>
      </c>
    </row>
    <row r="3570" customFormat="false" ht="15" hidden="false" customHeight="false" outlineLevel="0" collapsed="false">
      <c r="A3570" s="12" t="s">
        <v>184</v>
      </c>
      <c r="B3570" s="12" t="s">
        <v>35</v>
      </c>
      <c r="C3570" s="12" t="s">
        <v>281</v>
      </c>
      <c r="D3570" s="12" t="str">
        <f aca="false">INDEX('Country Tiers'!$C$2:$C$37,MATCH(C3570,'Country Tiers'!$A$2:$A$37,0))</f>
        <v>Tier 3</v>
      </c>
      <c r="E3570" s="12" t="n">
        <f aca="false">INDEX('Country Tiers'!$D$2:$D$37,MATCH(C3570,'Country Tiers'!$A$2:$A$37,0))</f>
        <v>1</v>
      </c>
    </row>
    <row r="3571" customFormat="false" ht="15" hidden="false" customHeight="false" outlineLevel="0" collapsed="false">
      <c r="A3571" s="12" t="s">
        <v>184</v>
      </c>
      <c r="B3571" s="12" t="s">
        <v>35</v>
      </c>
      <c r="C3571" s="12" t="s">
        <v>282</v>
      </c>
      <c r="D3571" s="12" t="str">
        <f aca="false">INDEX('Country Tiers'!$C$2:$C$37,MATCH(C3571,'Country Tiers'!$A$2:$A$37,0))</f>
        <v>Tier 3</v>
      </c>
      <c r="E3571" s="12" t="n">
        <f aca="false">INDEX('Country Tiers'!$D$2:$D$37,MATCH(C3571,'Country Tiers'!$A$2:$A$37,0))</f>
        <v>1</v>
      </c>
    </row>
    <row r="3572" customFormat="false" ht="15" hidden="false" customHeight="false" outlineLevel="0" collapsed="false">
      <c r="A3572" s="12" t="s">
        <v>184</v>
      </c>
      <c r="B3572" s="12" t="s">
        <v>35</v>
      </c>
      <c r="C3572" s="12" t="s">
        <v>283</v>
      </c>
      <c r="D3572" s="12" t="str">
        <f aca="false">INDEX('Country Tiers'!$C$2:$C$37,MATCH(C3572,'Country Tiers'!$A$2:$A$37,0))</f>
        <v>Tier 3</v>
      </c>
      <c r="E3572" s="12" t="n">
        <f aca="false">INDEX('Country Tiers'!$D$2:$D$37,MATCH(C3572,'Country Tiers'!$A$2:$A$37,0))</f>
        <v>1</v>
      </c>
    </row>
    <row r="3573" customFormat="false" ht="15" hidden="false" customHeight="false" outlineLevel="0" collapsed="false">
      <c r="A3573" s="12" t="s">
        <v>184</v>
      </c>
      <c r="B3573" s="12" t="s">
        <v>35</v>
      </c>
      <c r="C3573" s="12" t="s">
        <v>284</v>
      </c>
      <c r="D3573" s="12" t="str">
        <f aca="false">INDEX('Country Tiers'!$C$2:$C$37,MATCH(C3573,'Country Tiers'!$A$2:$A$37,0))</f>
        <v>Tier 3</v>
      </c>
      <c r="E3573" s="12" t="n">
        <f aca="false">INDEX('Country Tiers'!$D$2:$D$37,MATCH(C3573,'Country Tiers'!$A$2:$A$37,0))</f>
        <v>1</v>
      </c>
    </row>
    <row r="3574" customFormat="false" ht="15" hidden="false" customHeight="false" outlineLevel="0" collapsed="false">
      <c r="A3574" s="12" t="s">
        <v>184</v>
      </c>
      <c r="B3574" s="12" t="s">
        <v>35</v>
      </c>
      <c r="C3574" s="12" t="s">
        <v>285</v>
      </c>
      <c r="D3574" s="12" t="str">
        <f aca="false">INDEX('Country Tiers'!$C$2:$C$37,MATCH(C3574,'Country Tiers'!$A$2:$A$37,0))</f>
        <v>Tier 3</v>
      </c>
      <c r="E3574" s="12" t="n">
        <f aca="false">INDEX('Country Tiers'!$D$2:$D$37,MATCH(C3574,'Country Tiers'!$A$2:$A$37,0))</f>
        <v>1</v>
      </c>
    </row>
    <row r="3575" customFormat="false" ht="15" hidden="false" customHeight="false" outlineLevel="0" collapsed="false">
      <c r="A3575" s="12" t="s">
        <v>184</v>
      </c>
      <c r="B3575" s="12" t="s">
        <v>35</v>
      </c>
      <c r="C3575" s="12" t="s">
        <v>286</v>
      </c>
      <c r="D3575" s="12" t="str">
        <f aca="false">INDEX('Country Tiers'!$C$2:$C$37,MATCH(C3575,'Country Tiers'!$A$2:$A$37,0))</f>
        <v>Tier 1</v>
      </c>
      <c r="E3575" s="12" t="n">
        <f aca="false">INDEX('Country Tiers'!$D$2:$D$37,MATCH(C3575,'Country Tiers'!$A$2:$A$37,0))</f>
        <v>3</v>
      </c>
    </row>
    <row r="3576" customFormat="false" ht="15" hidden="false" customHeight="false" outlineLevel="0" collapsed="false">
      <c r="A3576" s="12" t="s">
        <v>184</v>
      </c>
      <c r="B3576" s="12" t="s">
        <v>35</v>
      </c>
      <c r="C3576" s="12" t="s">
        <v>287</v>
      </c>
      <c r="D3576" s="12" t="str">
        <f aca="false">INDEX('Country Tiers'!$C$2:$C$37,MATCH(C3576,'Country Tiers'!$A$2:$A$37,0))</f>
        <v>Tier 1</v>
      </c>
      <c r="E3576" s="12" t="n">
        <f aca="false">INDEX('Country Tiers'!$D$2:$D$37,MATCH(C3576,'Country Tiers'!$A$2:$A$37,0))</f>
        <v>3</v>
      </c>
    </row>
    <row r="3577" customFormat="false" ht="15" hidden="false" customHeight="false" outlineLevel="0" collapsed="false">
      <c r="A3577" s="12" t="s">
        <v>184</v>
      </c>
      <c r="B3577" s="12" t="s">
        <v>35</v>
      </c>
      <c r="C3577" s="12" t="s">
        <v>288</v>
      </c>
      <c r="D3577" s="12" t="str">
        <f aca="false">INDEX('Country Tiers'!$C$2:$C$37,MATCH(C3577,'Country Tiers'!$A$2:$A$37,0))</f>
        <v>Tier 3</v>
      </c>
      <c r="E3577" s="12" t="n">
        <f aca="false">INDEX('Country Tiers'!$D$2:$D$37,MATCH(C3577,'Country Tiers'!$A$2:$A$37,0))</f>
        <v>1</v>
      </c>
    </row>
    <row r="3578" customFormat="false" ht="15" hidden="false" customHeight="false" outlineLevel="0" collapsed="false">
      <c r="A3578" s="12" t="s">
        <v>184</v>
      </c>
      <c r="B3578" s="12" t="s">
        <v>35</v>
      </c>
      <c r="C3578" s="12" t="s">
        <v>289</v>
      </c>
      <c r="D3578" s="12" t="str">
        <f aca="false">INDEX('Country Tiers'!$C$2:$C$37,MATCH(C3578,'Country Tiers'!$A$2:$A$37,0))</f>
        <v>Tier 3</v>
      </c>
      <c r="E3578" s="12" t="n">
        <f aca="false">INDEX('Country Tiers'!$D$2:$D$37,MATCH(C3578,'Country Tiers'!$A$2:$A$37,0))</f>
        <v>1</v>
      </c>
    </row>
    <row r="3579" customFormat="false" ht="15" hidden="false" customHeight="false" outlineLevel="0" collapsed="false">
      <c r="A3579" s="12" t="s">
        <v>184</v>
      </c>
      <c r="B3579" s="12" t="s">
        <v>35</v>
      </c>
      <c r="C3579" s="12" t="s">
        <v>290</v>
      </c>
      <c r="D3579" s="12" t="str">
        <f aca="false">INDEX('Country Tiers'!$C$2:$C$37,MATCH(C3579,'Country Tiers'!$A$2:$A$37,0))</f>
        <v>Tier 3</v>
      </c>
      <c r="E3579" s="12" t="n">
        <f aca="false">INDEX('Country Tiers'!$D$2:$D$37,MATCH(C3579,'Country Tiers'!$A$2:$A$37,0))</f>
        <v>1</v>
      </c>
    </row>
    <row r="3580" customFormat="false" ht="15" hidden="false" customHeight="false" outlineLevel="0" collapsed="false">
      <c r="A3580" s="12" t="s">
        <v>184</v>
      </c>
      <c r="B3580" s="12" t="s">
        <v>35</v>
      </c>
      <c r="C3580" s="12" t="s">
        <v>291</v>
      </c>
      <c r="D3580" s="12" t="str">
        <f aca="false">INDEX('Country Tiers'!$C$2:$C$37,MATCH(C3580,'Country Tiers'!$A$2:$A$37,0))</f>
        <v>Tier 3</v>
      </c>
      <c r="E3580" s="12" t="n">
        <f aca="false">INDEX('Country Tiers'!$D$2:$D$37,MATCH(C3580,'Country Tiers'!$A$2:$A$37,0))</f>
        <v>1</v>
      </c>
    </row>
    <row r="3581" customFormat="false" ht="15" hidden="false" customHeight="false" outlineLevel="0" collapsed="false">
      <c r="A3581" s="12" t="s">
        <v>184</v>
      </c>
      <c r="B3581" s="12" t="s">
        <v>35</v>
      </c>
      <c r="C3581" s="12" t="s">
        <v>292</v>
      </c>
      <c r="D3581" s="12" t="str">
        <f aca="false">INDEX('Country Tiers'!$C$2:$C$37,MATCH(C3581,'Country Tiers'!$A$2:$A$37,0))</f>
        <v>Tier 2</v>
      </c>
      <c r="E3581" s="12" t="n">
        <f aca="false">INDEX('Country Tiers'!$D$2:$D$37,MATCH(C3581,'Country Tiers'!$A$2:$A$37,0))</f>
        <v>2</v>
      </c>
    </row>
    <row r="3582" customFormat="false" ht="15" hidden="false" customHeight="false" outlineLevel="0" collapsed="false">
      <c r="A3582" s="12" t="s">
        <v>184</v>
      </c>
      <c r="B3582" s="12" t="s">
        <v>35</v>
      </c>
      <c r="C3582" s="12" t="s">
        <v>293</v>
      </c>
      <c r="D3582" s="12" t="str">
        <f aca="false">INDEX('Country Tiers'!$C$2:$C$37,MATCH(C3582,'Country Tiers'!$A$2:$A$37,0))</f>
        <v>Tier 3</v>
      </c>
      <c r="E3582" s="12" t="n">
        <f aca="false">INDEX('Country Tiers'!$D$2:$D$37,MATCH(C3582,'Country Tiers'!$A$2:$A$37,0))</f>
        <v>1</v>
      </c>
    </row>
    <row r="3583" customFormat="false" ht="15" hidden="false" customHeight="false" outlineLevel="0" collapsed="false">
      <c r="A3583" s="12" t="s">
        <v>184</v>
      </c>
      <c r="B3583" s="12" t="s">
        <v>35</v>
      </c>
      <c r="C3583" s="12" t="s">
        <v>294</v>
      </c>
      <c r="D3583" s="12" t="str">
        <f aca="false">INDEX('Country Tiers'!$C$2:$C$37,MATCH(C3583,'Country Tiers'!$A$2:$A$37,0))</f>
        <v>Tier 3</v>
      </c>
      <c r="E3583" s="12" t="n">
        <f aca="false">INDEX('Country Tiers'!$D$2:$D$37,MATCH(C3583,'Country Tiers'!$A$2:$A$37,0))</f>
        <v>1</v>
      </c>
    </row>
    <row r="3584" customFormat="false" ht="15" hidden="false" customHeight="false" outlineLevel="0" collapsed="false">
      <c r="A3584" s="12" t="s">
        <v>184</v>
      </c>
      <c r="B3584" s="12" t="s">
        <v>35</v>
      </c>
      <c r="C3584" s="12" t="s">
        <v>295</v>
      </c>
      <c r="D3584" s="12" t="str">
        <f aca="false">INDEX('Country Tiers'!$C$2:$C$37,MATCH(C3584,'Country Tiers'!$A$2:$A$37,0))</f>
        <v>Tier 3</v>
      </c>
      <c r="E3584" s="12" t="n">
        <f aca="false">INDEX('Country Tiers'!$D$2:$D$37,MATCH(C3584,'Country Tiers'!$A$2:$A$37,0))</f>
        <v>1</v>
      </c>
    </row>
    <row r="3585" customFormat="false" ht="15" hidden="false" customHeight="false" outlineLevel="0" collapsed="false">
      <c r="A3585" s="12" t="s">
        <v>184</v>
      </c>
      <c r="B3585" s="12" t="s">
        <v>35</v>
      </c>
      <c r="C3585" s="12" t="s">
        <v>296</v>
      </c>
      <c r="D3585" s="12" t="str">
        <f aca="false">INDEX('Country Tiers'!$C$2:$C$37,MATCH(C3585,'Country Tiers'!$A$2:$A$37,0))</f>
        <v>Tier 3</v>
      </c>
      <c r="E3585" s="12" t="n">
        <f aca="false">INDEX('Country Tiers'!$D$2:$D$37,MATCH(C3585,'Country Tiers'!$A$2:$A$37,0))</f>
        <v>1</v>
      </c>
    </row>
    <row r="3586" customFormat="false" ht="15" hidden="false" customHeight="false" outlineLevel="0" collapsed="false">
      <c r="A3586" s="12" t="s">
        <v>184</v>
      </c>
      <c r="B3586" s="12" t="s">
        <v>35</v>
      </c>
      <c r="C3586" s="12" t="s">
        <v>297</v>
      </c>
      <c r="D3586" s="12" t="str">
        <f aca="false">INDEX('Country Tiers'!$C$2:$C$37,MATCH(C3586,'Country Tiers'!$A$2:$A$37,0))</f>
        <v>Tier 2</v>
      </c>
      <c r="E3586" s="12" t="n">
        <f aca="false">INDEX('Country Tiers'!$D$2:$D$37,MATCH(C3586,'Country Tiers'!$A$2:$A$37,0))</f>
        <v>2</v>
      </c>
    </row>
    <row r="3587" customFormat="false" ht="15" hidden="false" customHeight="false" outlineLevel="0" collapsed="false">
      <c r="A3587" s="12" t="s">
        <v>184</v>
      </c>
      <c r="B3587" s="12" t="s">
        <v>35</v>
      </c>
      <c r="C3587" s="12" t="s">
        <v>298</v>
      </c>
      <c r="D3587" s="12" t="str">
        <f aca="false">INDEX('Country Tiers'!$C$2:$C$37,MATCH(C3587,'Country Tiers'!$A$2:$A$37,0))</f>
        <v>Tier 1</v>
      </c>
      <c r="E3587" s="12" t="n">
        <f aca="false">INDEX('Country Tiers'!$D$2:$D$37,MATCH(C3587,'Country Tiers'!$A$2:$A$37,0))</f>
        <v>3</v>
      </c>
    </row>
    <row r="3588" customFormat="false" ht="15" hidden="false" customHeight="false" outlineLevel="0" collapsed="false">
      <c r="A3588" s="12" t="s">
        <v>184</v>
      </c>
      <c r="B3588" s="12" t="s">
        <v>35</v>
      </c>
      <c r="C3588" s="12" t="s">
        <v>299</v>
      </c>
      <c r="D3588" s="12" t="str">
        <f aca="false">INDEX('Country Tiers'!$C$2:$C$37,MATCH(C3588,'Country Tiers'!$A$2:$A$37,0))</f>
        <v>Tier 3</v>
      </c>
      <c r="E3588" s="12" t="n">
        <f aca="false">INDEX('Country Tiers'!$D$2:$D$37,MATCH(C3588,'Country Tiers'!$A$2:$A$37,0))</f>
        <v>1</v>
      </c>
    </row>
    <row r="3589" customFormat="false" ht="15" hidden="false" customHeight="false" outlineLevel="0" collapsed="false">
      <c r="A3589" s="12" t="s">
        <v>184</v>
      </c>
      <c r="B3589" s="12" t="s">
        <v>35</v>
      </c>
      <c r="C3589" s="12" t="s">
        <v>300</v>
      </c>
      <c r="D3589" s="12" t="str">
        <f aca="false">INDEX('Country Tiers'!$C$2:$C$37,MATCH(C3589,'Country Tiers'!$A$2:$A$37,0))</f>
        <v>Tier 3</v>
      </c>
      <c r="E3589" s="12" t="n">
        <f aca="false">INDEX('Country Tiers'!$D$2:$D$37,MATCH(C3589,'Country Tiers'!$A$2:$A$37,0))</f>
        <v>1</v>
      </c>
    </row>
    <row r="3590" customFormat="false" ht="15" hidden="false" customHeight="false" outlineLevel="0" collapsed="false">
      <c r="A3590" s="12" t="s">
        <v>184</v>
      </c>
      <c r="B3590" s="12" t="s">
        <v>35</v>
      </c>
      <c r="C3590" s="12" t="s">
        <v>301</v>
      </c>
      <c r="D3590" s="12" t="str">
        <f aca="false">INDEX('Country Tiers'!$C$2:$C$37,MATCH(C3590,'Country Tiers'!$A$2:$A$37,0))</f>
        <v>Tier 3</v>
      </c>
      <c r="E3590" s="12" t="n">
        <f aca="false">INDEX('Country Tiers'!$D$2:$D$37,MATCH(C3590,'Country Tiers'!$A$2:$A$37,0))</f>
        <v>1</v>
      </c>
    </row>
    <row r="3591" customFormat="false" ht="15" hidden="false" customHeight="false" outlineLevel="0" collapsed="false">
      <c r="A3591" s="12" t="s">
        <v>184</v>
      </c>
      <c r="B3591" s="12" t="s">
        <v>35</v>
      </c>
      <c r="C3591" s="12" t="s">
        <v>302</v>
      </c>
      <c r="D3591" s="12" t="str">
        <f aca="false">INDEX('Country Tiers'!$C$2:$C$37,MATCH(C3591,'Country Tiers'!$A$2:$A$37,0))</f>
        <v>Tier 3</v>
      </c>
      <c r="E3591" s="12" t="n">
        <f aca="false">INDEX('Country Tiers'!$D$2:$D$37,MATCH(C3591,'Country Tiers'!$A$2:$A$37,0))</f>
        <v>1</v>
      </c>
    </row>
    <row r="3592" customFormat="false" ht="15" hidden="false" customHeight="false" outlineLevel="0" collapsed="false">
      <c r="A3592" s="12" t="s">
        <v>184</v>
      </c>
      <c r="B3592" s="12" t="s">
        <v>35</v>
      </c>
      <c r="C3592" s="12" t="s">
        <v>305</v>
      </c>
      <c r="D3592" s="12" t="str">
        <f aca="false">INDEX('Country Tiers'!$C$2:$C$37,MATCH(C3592,'Country Tiers'!$A$2:$A$37,0))</f>
        <v>Tier 3</v>
      </c>
      <c r="E3592" s="12" t="n">
        <f aca="false">INDEX('Country Tiers'!$D$2:$D$37,MATCH(C3592,'Country Tiers'!$A$2:$A$37,0))</f>
        <v>1</v>
      </c>
    </row>
    <row r="3593" customFormat="false" ht="15" hidden="false" customHeight="false" outlineLevel="0" collapsed="false">
      <c r="A3593" s="12" t="s">
        <v>184</v>
      </c>
      <c r="B3593" s="12" t="s">
        <v>35</v>
      </c>
      <c r="C3593" s="12" t="s">
        <v>306</v>
      </c>
      <c r="D3593" s="12" t="str">
        <f aca="false">INDEX('Country Tiers'!$C$2:$C$37,MATCH(C3593,'Country Tiers'!$A$2:$A$37,0))</f>
        <v>Tier 3</v>
      </c>
      <c r="E3593" s="12" t="n">
        <f aca="false">INDEX('Country Tiers'!$D$2:$D$37,MATCH(C3593,'Country Tiers'!$A$2:$A$37,0))</f>
        <v>1</v>
      </c>
    </row>
    <row r="3594" customFormat="false" ht="15" hidden="false" customHeight="false" outlineLevel="0" collapsed="false">
      <c r="A3594" s="12" t="s">
        <v>184</v>
      </c>
      <c r="B3594" s="12" t="s">
        <v>35</v>
      </c>
      <c r="C3594" s="12" t="s">
        <v>307</v>
      </c>
      <c r="D3594" s="12" t="str">
        <f aca="false">INDEX('Country Tiers'!$C$2:$C$37,MATCH(C3594,'Country Tiers'!$A$2:$A$37,0))</f>
        <v>Tier 2</v>
      </c>
      <c r="E3594" s="12" t="n">
        <f aca="false">INDEX('Country Tiers'!$D$2:$D$37,MATCH(C3594,'Country Tiers'!$A$2:$A$37,0))</f>
        <v>2</v>
      </c>
    </row>
    <row r="3595" customFormat="false" ht="15" hidden="false" customHeight="false" outlineLevel="0" collapsed="false">
      <c r="A3595" s="12" t="s">
        <v>184</v>
      </c>
      <c r="B3595" s="12" t="s">
        <v>35</v>
      </c>
      <c r="C3595" s="12" t="s">
        <v>308</v>
      </c>
      <c r="D3595" s="12" t="str">
        <f aca="false">INDEX('Country Tiers'!$C$2:$C$37,MATCH(C3595,'Country Tiers'!$A$2:$A$37,0))</f>
        <v>Tier 3</v>
      </c>
      <c r="E3595" s="12" t="n">
        <f aca="false">INDEX('Country Tiers'!$D$2:$D$37,MATCH(C3595,'Country Tiers'!$A$2:$A$37,0))</f>
        <v>1</v>
      </c>
    </row>
    <row r="3596" customFormat="false" ht="15" hidden="false" customHeight="false" outlineLevel="0" collapsed="false">
      <c r="A3596" s="12" t="s">
        <v>184</v>
      </c>
      <c r="B3596" s="12" t="s">
        <v>35</v>
      </c>
      <c r="C3596" s="12" t="s">
        <v>309</v>
      </c>
      <c r="D3596" s="12" t="str">
        <f aca="false">INDEX('Country Tiers'!$C$2:$C$37,MATCH(C3596,'Country Tiers'!$A$2:$A$37,0))</f>
        <v>Tier 1</v>
      </c>
      <c r="E3596" s="12" t="n">
        <f aca="false">INDEX('Country Tiers'!$D$2:$D$37,MATCH(C3596,'Country Tiers'!$A$2:$A$37,0))</f>
        <v>3</v>
      </c>
    </row>
    <row r="3597" customFormat="false" ht="15" hidden="false" customHeight="false" outlineLevel="0" collapsed="false">
      <c r="A3597" s="12" t="s">
        <v>184</v>
      </c>
      <c r="B3597" s="12" t="s">
        <v>35</v>
      </c>
      <c r="C3597" s="12" t="s">
        <v>313</v>
      </c>
      <c r="D3597" s="12" t="str">
        <f aca="false">INDEX('Country Tiers'!$C$2:$C$37,MATCH(C3597,'Country Tiers'!$A$2:$A$37,0))</f>
        <v>Tier 1</v>
      </c>
      <c r="E3597" s="12" t="n">
        <f aca="false">INDEX('Country Tiers'!$D$2:$D$37,MATCH(C3597,'Country Tiers'!$A$2:$A$37,0))</f>
        <v>3</v>
      </c>
    </row>
    <row r="3598" customFormat="false" ht="15" hidden="false" customHeight="false" outlineLevel="0" collapsed="false">
      <c r="A3598" s="12" t="s">
        <v>184</v>
      </c>
      <c r="B3598" s="12" t="s">
        <v>56</v>
      </c>
      <c r="C3598" s="12" t="s">
        <v>274</v>
      </c>
      <c r="D3598" s="12" t="str">
        <f aca="false">INDEX('Country Tiers'!$C$2:$C$37,MATCH(C3598,'Country Tiers'!$A$2:$A$37,0))</f>
        <v>Tier 3</v>
      </c>
      <c r="E3598" s="12" t="n">
        <f aca="false">INDEX('Country Tiers'!$D$2:$D$37,MATCH(C3598,'Country Tiers'!$A$2:$A$37,0))</f>
        <v>1</v>
      </c>
    </row>
    <row r="3599" customFormat="false" ht="15" hidden="false" customHeight="false" outlineLevel="0" collapsed="false">
      <c r="A3599" s="12" t="s">
        <v>184</v>
      </c>
      <c r="B3599" s="12" t="s">
        <v>56</v>
      </c>
      <c r="C3599" s="12" t="s">
        <v>277</v>
      </c>
      <c r="D3599" s="12" t="str">
        <f aca="false">INDEX('Country Tiers'!$C$2:$C$37,MATCH(C3599,'Country Tiers'!$A$2:$A$37,0))</f>
        <v>Tier 1</v>
      </c>
      <c r="E3599" s="12" t="n">
        <f aca="false">INDEX('Country Tiers'!$D$2:$D$37,MATCH(C3599,'Country Tiers'!$A$2:$A$37,0))</f>
        <v>3</v>
      </c>
    </row>
    <row r="3600" customFormat="false" ht="15" hidden="false" customHeight="false" outlineLevel="0" collapsed="false">
      <c r="A3600" s="12" t="s">
        <v>184</v>
      </c>
      <c r="B3600" s="12" t="s">
        <v>56</v>
      </c>
      <c r="C3600" s="12" t="s">
        <v>278</v>
      </c>
      <c r="D3600" s="12" t="str">
        <f aca="false">INDEX('Country Tiers'!$C$2:$C$37,MATCH(C3600,'Country Tiers'!$A$2:$A$37,0))</f>
        <v>Tier 3</v>
      </c>
      <c r="E3600" s="12" t="n">
        <f aca="false">INDEX('Country Tiers'!$D$2:$D$37,MATCH(C3600,'Country Tiers'!$A$2:$A$37,0))</f>
        <v>1</v>
      </c>
    </row>
    <row r="3601" customFormat="false" ht="15" hidden="false" customHeight="false" outlineLevel="0" collapsed="false">
      <c r="A3601" s="12" t="s">
        <v>184</v>
      </c>
      <c r="B3601" s="12" t="s">
        <v>56</v>
      </c>
      <c r="C3601" s="12" t="s">
        <v>280</v>
      </c>
      <c r="D3601" s="12" t="str">
        <f aca="false">INDEX('Country Tiers'!$C$2:$C$37,MATCH(C3601,'Country Tiers'!$A$2:$A$37,0))</f>
        <v>Tier 3</v>
      </c>
      <c r="E3601" s="12" t="n">
        <f aca="false">INDEX('Country Tiers'!$D$2:$D$37,MATCH(C3601,'Country Tiers'!$A$2:$A$37,0))</f>
        <v>1</v>
      </c>
    </row>
    <row r="3602" customFormat="false" ht="15" hidden="false" customHeight="false" outlineLevel="0" collapsed="false">
      <c r="A3602" s="12" t="s">
        <v>184</v>
      </c>
      <c r="B3602" s="12" t="s">
        <v>56</v>
      </c>
      <c r="C3602" s="12" t="s">
        <v>281</v>
      </c>
      <c r="D3602" s="12" t="str">
        <f aca="false">INDEX('Country Tiers'!$C$2:$C$37,MATCH(C3602,'Country Tiers'!$A$2:$A$37,0))</f>
        <v>Tier 3</v>
      </c>
      <c r="E3602" s="12" t="n">
        <f aca="false">INDEX('Country Tiers'!$D$2:$D$37,MATCH(C3602,'Country Tiers'!$A$2:$A$37,0))</f>
        <v>1</v>
      </c>
    </row>
    <row r="3603" customFormat="false" ht="15" hidden="false" customHeight="false" outlineLevel="0" collapsed="false">
      <c r="A3603" s="12" t="s">
        <v>184</v>
      </c>
      <c r="B3603" s="12" t="s">
        <v>56</v>
      </c>
      <c r="C3603" s="12" t="s">
        <v>282</v>
      </c>
      <c r="D3603" s="12" t="str">
        <f aca="false">INDEX('Country Tiers'!$C$2:$C$37,MATCH(C3603,'Country Tiers'!$A$2:$A$37,0))</f>
        <v>Tier 3</v>
      </c>
      <c r="E3603" s="12" t="n">
        <f aca="false">INDEX('Country Tiers'!$D$2:$D$37,MATCH(C3603,'Country Tiers'!$A$2:$A$37,0))</f>
        <v>1</v>
      </c>
    </row>
    <row r="3604" customFormat="false" ht="15" hidden="false" customHeight="false" outlineLevel="0" collapsed="false">
      <c r="A3604" s="12" t="s">
        <v>184</v>
      </c>
      <c r="B3604" s="12" t="s">
        <v>56</v>
      </c>
      <c r="C3604" s="12" t="s">
        <v>283</v>
      </c>
      <c r="D3604" s="12" t="str">
        <f aca="false">INDEX('Country Tiers'!$C$2:$C$37,MATCH(C3604,'Country Tiers'!$A$2:$A$37,0))</f>
        <v>Tier 3</v>
      </c>
      <c r="E3604" s="12" t="n">
        <f aca="false">INDEX('Country Tiers'!$D$2:$D$37,MATCH(C3604,'Country Tiers'!$A$2:$A$37,0))</f>
        <v>1</v>
      </c>
    </row>
    <row r="3605" customFormat="false" ht="15" hidden="false" customHeight="false" outlineLevel="0" collapsed="false">
      <c r="A3605" s="12" t="s">
        <v>184</v>
      </c>
      <c r="B3605" s="12" t="s">
        <v>56</v>
      </c>
      <c r="C3605" s="12" t="s">
        <v>284</v>
      </c>
      <c r="D3605" s="12" t="str">
        <f aca="false">INDEX('Country Tiers'!$C$2:$C$37,MATCH(C3605,'Country Tiers'!$A$2:$A$37,0))</f>
        <v>Tier 3</v>
      </c>
      <c r="E3605" s="12" t="n">
        <f aca="false">INDEX('Country Tiers'!$D$2:$D$37,MATCH(C3605,'Country Tiers'!$A$2:$A$37,0))</f>
        <v>1</v>
      </c>
    </row>
    <row r="3606" customFormat="false" ht="15" hidden="false" customHeight="false" outlineLevel="0" collapsed="false">
      <c r="A3606" s="12" t="s">
        <v>184</v>
      </c>
      <c r="B3606" s="12" t="s">
        <v>56</v>
      </c>
      <c r="C3606" s="12" t="s">
        <v>285</v>
      </c>
      <c r="D3606" s="12" t="str">
        <f aca="false">INDEX('Country Tiers'!$C$2:$C$37,MATCH(C3606,'Country Tiers'!$A$2:$A$37,0))</f>
        <v>Tier 3</v>
      </c>
      <c r="E3606" s="12" t="n">
        <f aca="false">INDEX('Country Tiers'!$D$2:$D$37,MATCH(C3606,'Country Tiers'!$A$2:$A$37,0))</f>
        <v>1</v>
      </c>
    </row>
    <row r="3607" customFormat="false" ht="15" hidden="false" customHeight="false" outlineLevel="0" collapsed="false">
      <c r="A3607" s="12" t="s">
        <v>184</v>
      </c>
      <c r="B3607" s="12" t="s">
        <v>56</v>
      </c>
      <c r="C3607" s="12" t="s">
        <v>286</v>
      </c>
      <c r="D3607" s="12" t="str">
        <f aca="false">INDEX('Country Tiers'!$C$2:$C$37,MATCH(C3607,'Country Tiers'!$A$2:$A$37,0))</f>
        <v>Tier 1</v>
      </c>
      <c r="E3607" s="12" t="n">
        <f aca="false">INDEX('Country Tiers'!$D$2:$D$37,MATCH(C3607,'Country Tiers'!$A$2:$A$37,0))</f>
        <v>3</v>
      </c>
    </row>
    <row r="3608" customFormat="false" ht="15" hidden="false" customHeight="false" outlineLevel="0" collapsed="false">
      <c r="A3608" s="12" t="s">
        <v>184</v>
      </c>
      <c r="B3608" s="12" t="s">
        <v>56</v>
      </c>
      <c r="C3608" s="12" t="s">
        <v>287</v>
      </c>
      <c r="D3608" s="12" t="str">
        <f aca="false">INDEX('Country Tiers'!$C$2:$C$37,MATCH(C3608,'Country Tiers'!$A$2:$A$37,0))</f>
        <v>Tier 1</v>
      </c>
      <c r="E3608" s="12" t="n">
        <f aca="false">INDEX('Country Tiers'!$D$2:$D$37,MATCH(C3608,'Country Tiers'!$A$2:$A$37,0))</f>
        <v>3</v>
      </c>
    </row>
    <row r="3609" customFormat="false" ht="15" hidden="false" customHeight="false" outlineLevel="0" collapsed="false">
      <c r="A3609" s="12" t="s">
        <v>184</v>
      </c>
      <c r="B3609" s="12" t="s">
        <v>56</v>
      </c>
      <c r="C3609" s="12" t="s">
        <v>288</v>
      </c>
      <c r="D3609" s="12" t="str">
        <f aca="false">INDEX('Country Tiers'!$C$2:$C$37,MATCH(C3609,'Country Tiers'!$A$2:$A$37,0))</f>
        <v>Tier 3</v>
      </c>
      <c r="E3609" s="12" t="n">
        <f aca="false">INDEX('Country Tiers'!$D$2:$D$37,MATCH(C3609,'Country Tiers'!$A$2:$A$37,0))</f>
        <v>1</v>
      </c>
    </row>
    <row r="3610" customFormat="false" ht="15" hidden="false" customHeight="false" outlineLevel="0" collapsed="false">
      <c r="A3610" s="12" t="s">
        <v>184</v>
      </c>
      <c r="B3610" s="12" t="s">
        <v>56</v>
      </c>
      <c r="C3610" s="12" t="s">
        <v>289</v>
      </c>
      <c r="D3610" s="12" t="str">
        <f aca="false">INDEX('Country Tiers'!$C$2:$C$37,MATCH(C3610,'Country Tiers'!$A$2:$A$37,0))</f>
        <v>Tier 3</v>
      </c>
      <c r="E3610" s="12" t="n">
        <f aca="false">INDEX('Country Tiers'!$D$2:$D$37,MATCH(C3610,'Country Tiers'!$A$2:$A$37,0))</f>
        <v>1</v>
      </c>
    </row>
    <row r="3611" customFormat="false" ht="15" hidden="false" customHeight="false" outlineLevel="0" collapsed="false">
      <c r="A3611" s="12" t="s">
        <v>184</v>
      </c>
      <c r="B3611" s="12" t="s">
        <v>56</v>
      </c>
      <c r="C3611" s="12" t="s">
        <v>290</v>
      </c>
      <c r="D3611" s="12" t="str">
        <f aca="false">INDEX('Country Tiers'!$C$2:$C$37,MATCH(C3611,'Country Tiers'!$A$2:$A$37,0))</f>
        <v>Tier 3</v>
      </c>
      <c r="E3611" s="12" t="n">
        <f aca="false">INDEX('Country Tiers'!$D$2:$D$37,MATCH(C3611,'Country Tiers'!$A$2:$A$37,0))</f>
        <v>1</v>
      </c>
    </row>
    <row r="3612" customFormat="false" ht="15" hidden="false" customHeight="false" outlineLevel="0" collapsed="false">
      <c r="A3612" s="12" t="s">
        <v>184</v>
      </c>
      <c r="B3612" s="12" t="s">
        <v>56</v>
      </c>
      <c r="C3612" s="12" t="s">
        <v>291</v>
      </c>
      <c r="D3612" s="12" t="str">
        <f aca="false">INDEX('Country Tiers'!$C$2:$C$37,MATCH(C3612,'Country Tiers'!$A$2:$A$37,0))</f>
        <v>Tier 3</v>
      </c>
      <c r="E3612" s="12" t="n">
        <f aca="false">INDEX('Country Tiers'!$D$2:$D$37,MATCH(C3612,'Country Tiers'!$A$2:$A$37,0))</f>
        <v>1</v>
      </c>
    </row>
    <row r="3613" customFormat="false" ht="15" hidden="false" customHeight="false" outlineLevel="0" collapsed="false">
      <c r="A3613" s="12" t="s">
        <v>184</v>
      </c>
      <c r="B3613" s="12" t="s">
        <v>56</v>
      </c>
      <c r="C3613" s="12" t="s">
        <v>292</v>
      </c>
      <c r="D3613" s="12" t="str">
        <f aca="false">INDEX('Country Tiers'!$C$2:$C$37,MATCH(C3613,'Country Tiers'!$A$2:$A$37,0))</f>
        <v>Tier 2</v>
      </c>
      <c r="E3613" s="12" t="n">
        <f aca="false">INDEX('Country Tiers'!$D$2:$D$37,MATCH(C3613,'Country Tiers'!$A$2:$A$37,0))</f>
        <v>2</v>
      </c>
    </row>
    <row r="3614" customFormat="false" ht="15" hidden="false" customHeight="false" outlineLevel="0" collapsed="false">
      <c r="A3614" s="12" t="s">
        <v>184</v>
      </c>
      <c r="B3614" s="12" t="s">
        <v>56</v>
      </c>
      <c r="C3614" s="12" t="s">
        <v>293</v>
      </c>
      <c r="D3614" s="12" t="str">
        <f aca="false">INDEX('Country Tiers'!$C$2:$C$37,MATCH(C3614,'Country Tiers'!$A$2:$A$37,0))</f>
        <v>Tier 3</v>
      </c>
      <c r="E3614" s="12" t="n">
        <f aca="false">INDEX('Country Tiers'!$D$2:$D$37,MATCH(C3614,'Country Tiers'!$A$2:$A$37,0))</f>
        <v>1</v>
      </c>
    </row>
    <row r="3615" customFormat="false" ht="15" hidden="false" customHeight="false" outlineLevel="0" collapsed="false">
      <c r="A3615" s="12" t="s">
        <v>184</v>
      </c>
      <c r="B3615" s="12" t="s">
        <v>56</v>
      </c>
      <c r="C3615" s="12" t="s">
        <v>294</v>
      </c>
      <c r="D3615" s="12" t="str">
        <f aca="false">INDEX('Country Tiers'!$C$2:$C$37,MATCH(C3615,'Country Tiers'!$A$2:$A$37,0))</f>
        <v>Tier 3</v>
      </c>
      <c r="E3615" s="12" t="n">
        <f aca="false">INDEX('Country Tiers'!$D$2:$D$37,MATCH(C3615,'Country Tiers'!$A$2:$A$37,0))</f>
        <v>1</v>
      </c>
    </row>
    <row r="3616" customFormat="false" ht="15" hidden="false" customHeight="false" outlineLevel="0" collapsed="false">
      <c r="A3616" s="12" t="s">
        <v>184</v>
      </c>
      <c r="B3616" s="12" t="s">
        <v>56</v>
      </c>
      <c r="C3616" s="12" t="s">
        <v>295</v>
      </c>
      <c r="D3616" s="12" t="str">
        <f aca="false">INDEX('Country Tiers'!$C$2:$C$37,MATCH(C3616,'Country Tiers'!$A$2:$A$37,0))</f>
        <v>Tier 3</v>
      </c>
      <c r="E3616" s="12" t="n">
        <f aca="false">INDEX('Country Tiers'!$D$2:$D$37,MATCH(C3616,'Country Tiers'!$A$2:$A$37,0))</f>
        <v>1</v>
      </c>
    </row>
    <row r="3617" customFormat="false" ht="15" hidden="false" customHeight="false" outlineLevel="0" collapsed="false">
      <c r="A3617" s="12" t="s">
        <v>184</v>
      </c>
      <c r="B3617" s="12" t="s">
        <v>56</v>
      </c>
      <c r="C3617" s="12" t="s">
        <v>296</v>
      </c>
      <c r="D3617" s="12" t="str">
        <f aca="false">INDEX('Country Tiers'!$C$2:$C$37,MATCH(C3617,'Country Tiers'!$A$2:$A$37,0))</f>
        <v>Tier 3</v>
      </c>
      <c r="E3617" s="12" t="n">
        <f aca="false">INDEX('Country Tiers'!$D$2:$D$37,MATCH(C3617,'Country Tiers'!$A$2:$A$37,0))</f>
        <v>1</v>
      </c>
    </row>
    <row r="3618" customFormat="false" ht="15" hidden="false" customHeight="false" outlineLevel="0" collapsed="false">
      <c r="A3618" s="12" t="s">
        <v>184</v>
      </c>
      <c r="B3618" s="12" t="s">
        <v>56</v>
      </c>
      <c r="C3618" s="12" t="s">
        <v>297</v>
      </c>
      <c r="D3618" s="12" t="str">
        <f aca="false">INDEX('Country Tiers'!$C$2:$C$37,MATCH(C3618,'Country Tiers'!$A$2:$A$37,0))</f>
        <v>Tier 2</v>
      </c>
      <c r="E3618" s="12" t="n">
        <f aca="false">INDEX('Country Tiers'!$D$2:$D$37,MATCH(C3618,'Country Tiers'!$A$2:$A$37,0))</f>
        <v>2</v>
      </c>
    </row>
    <row r="3619" customFormat="false" ht="15" hidden="false" customHeight="false" outlineLevel="0" collapsed="false">
      <c r="A3619" s="12" t="s">
        <v>184</v>
      </c>
      <c r="B3619" s="12" t="s">
        <v>56</v>
      </c>
      <c r="C3619" s="12" t="s">
        <v>298</v>
      </c>
      <c r="D3619" s="12" t="str">
        <f aca="false">INDEX('Country Tiers'!$C$2:$C$37,MATCH(C3619,'Country Tiers'!$A$2:$A$37,0))</f>
        <v>Tier 1</v>
      </c>
      <c r="E3619" s="12" t="n">
        <f aca="false">INDEX('Country Tiers'!$D$2:$D$37,MATCH(C3619,'Country Tiers'!$A$2:$A$37,0))</f>
        <v>3</v>
      </c>
    </row>
    <row r="3620" customFormat="false" ht="15" hidden="false" customHeight="false" outlineLevel="0" collapsed="false">
      <c r="A3620" s="12" t="s">
        <v>184</v>
      </c>
      <c r="B3620" s="12" t="s">
        <v>56</v>
      </c>
      <c r="C3620" s="12" t="s">
        <v>299</v>
      </c>
      <c r="D3620" s="12" t="str">
        <f aca="false">INDEX('Country Tiers'!$C$2:$C$37,MATCH(C3620,'Country Tiers'!$A$2:$A$37,0))</f>
        <v>Tier 3</v>
      </c>
      <c r="E3620" s="12" t="n">
        <f aca="false">INDEX('Country Tiers'!$D$2:$D$37,MATCH(C3620,'Country Tiers'!$A$2:$A$37,0))</f>
        <v>1</v>
      </c>
    </row>
    <row r="3621" customFormat="false" ht="15" hidden="false" customHeight="false" outlineLevel="0" collapsed="false">
      <c r="A3621" s="12" t="s">
        <v>184</v>
      </c>
      <c r="B3621" s="12" t="s">
        <v>56</v>
      </c>
      <c r="C3621" s="12" t="s">
        <v>300</v>
      </c>
      <c r="D3621" s="12" t="str">
        <f aca="false">INDEX('Country Tiers'!$C$2:$C$37,MATCH(C3621,'Country Tiers'!$A$2:$A$37,0))</f>
        <v>Tier 3</v>
      </c>
      <c r="E3621" s="12" t="n">
        <f aca="false">INDEX('Country Tiers'!$D$2:$D$37,MATCH(C3621,'Country Tiers'!$A$2:$A$37,0))</f>
        <v>1</v>
      </c>
    </row>
    <row r="3622" customFormat="false" ht="15" hidden="false" customHeight="false" outlineLevel="0" collapsed="false">
      <c r="A3622" s="12" t="s">
        <v>184</v>
      </c>
      <c r="B3622" s="12" t="s">
        <v>56</v>
      </c>
      <c r="C3622" s="12" t="s">
        <v>301</v>
      </c>
      <c r="D3622" s="12" t="str">
        <f aca="false">INDEX('Country Tiers'!$C$2:$C$37,MATCH(C3622,'Country Tiers'!$A$2:$A$37,0))</f>
        <v>Tier 3</v>
      </c>
      <c r="E3622" s="12" t="n">
        <f aca="false">INDEX('Country Tiers'!$D$2:$D$37,MATCH(C3622,'Country Tiers'!$A$2:$A$37,0))</f>
        <v>1</v>
      </c>
    </row>
    <row r="3623" customFormat="false" ht="15" hidden="false" customHeight="false" outlineLevel="0" collapsed="false">
      <c r="A3623" s="12" t="s">
        <v>184</v>
      </c>
      <c r="B3623" s="12" t="s">
        <v>56</v>
      </c>
      <c r="C3623" s="12" t="s">
        <v>302</v>
      </c>
      <c r="D3623" s="12" t="str">
        <f aca="false">INDEX('Country Tiers'!$C$2:$C$37,MATCH(C3623,'Country Tiers'!$A$2:$A$37,0))</f>
        <v>Tier 3</v>
      </c>
      <c r="E3623" s="12" t="n">
        <f aca="false">INDEX('Country Tiers'!$D$2:$D$37,MATCH(C3623,'Country Tiers'!$A$2:$A$37,0))</f>
        <v>1</v>
      </c>
    </row>
    <row r="3624" customFormat="false" ht="15" hidden="false" customHeight="false" outlineLevel="0" collapsed="false">
      <c r="A3624" s="12" t="s">
        <v>184</v>
      </c>
      <c r="B3624" s="12" t="s">
        <v>56</v>
      </c>
      <c r="C3624" s="12" t="s">
        <v>305</v>
      </c>
      <c r="D3624" s="12" t="str">
        <f aca="false">INDEX('Country Tiers'!$C$2:$C$37,MATCH(C3624,'Country Tiers'!$A$2:$A$37,0))</f>
        <v>Tier 3</v>
      </c>
      <c r="E3624" s="12" t="n">
        <f aca="false">INDEX('Country Tiers'!$D$2:$D$37,MATCH(C3624,'Country Tiers'!$A$2:$A$37,0))</f>
        <v>1</v>
      </c>
    </row>
    <row r="3625" customFormat="false" ht="15" hidden="false" customHeight="false" outlineLevel="0" collapsed="false">
      <c r="A3625" s="12" t="s">
        <v>184</v>
      </c>
      <c r="B3625" s="12" t="s">
        <v>56</v>
      </c>
      <c r="C3625" s="12" t="s">
        <v>306</v>
      </c>
      <c r="D3625" s="12" t="str">
        <f aca="false">INDEX('Country Tiers'!$C$2:$C$37,MATCH(C3625,'Country Tiers'!$A$2:$A$37,0))</f>
        <v>Tier 3</v>
      </c>
      <c r="E3625" s="12" t="n">
        <f aca="false">INDEX('Country Tiers'!$D$2:$D$37,MATCH(C3625,'Country Tiers'!$A$2:$A$37,0))</f>
        <v>1</v>
      </c>
    </row>
    <row r="3626" customFormat="false" ht="15" hidden="false" customHeight="false" outlineLevel="0" collapsed="false">
      <c r="A3626" s="12" t="s">
        <v>184</v>
      </c>
      <c r="B3626" s="12" t="s">
        <v>56</v>
      </c>
      <c r="C3626" s="12" t="s">
        <v>307</v>
      </c>
      <c r="D3626" s="12" t="str">
        <f aca="false">INDEX('Country Tiers'!$C$2:$C$37,MATCH(C3626,'Country Tiers'!$A$2:$A$37,0))</f>
        <v>Tier 2</v>
      </c>
      <c r="E3626" s="12" t="n">
        <f aca="false">INDEX('Country Tiers'!$D$2:$D$37,MATCH(C3626,'Country Tiers'!$A$2:$A$37,0))</f>
        <v>2</v>
      </c>
    </row>
    <row r="3627" customFormat="false" ht="15" hidden="false" customHeight="false" outlineLevel="0" collapsed="false">
      <c r="A3627" s="12" t="s">
        <v>184</v>
      </c>
      <c r="B3627" s="12" t="s">
        <v>56</v>
      </c>
      <c r="C3627" s="12" t="s">
        <v>308</v>
      </c>
      <c r="D3627" s="12" t="str">
        <f aca="false">INDEX('Country Tiers'!$C$2:$C$37,MATCH(C3627,'Country Tiers'!$A$2:$A$37,0))</f>
        <v>Tier 3</v>
      </c>
      <c r="E3627" s="12" t="n">
        <f aca="false">INDEX('Country Tiers'!$D$2:$D$37,MATCH(C3627,'Country Tiers'!$A$2:$A$37,0))</f>
        <v>1</v>
      </c>
    </row>
    <row r="3628" customFormat="false" ht="15" hidden="false" customHeight="false" outlineLevel="0" collapsed="false">
      <c r="A3628" s="12" t="s">
        <v>184</v>
      </c>
      <c r="B3628" s="12" t="s">
        <v>56</v>
      </c>
      <c r="C3628" s="12" t="s">
        <v>309</v>
      </c>
      <c r="D3628" s="12" t="str">
        <f aca="false">INDEX('Country Tiers'!$C$2:$C$37,MATCH(C3628,'Country Tiers'!$A$2:$A$37,0))</f>
        <v>Tier 1</v>
      </c>
      <c r="E3628" s="12" t="n">
        <f aca="false">INDEX('Country Tiers'!$D$2:$D$37,MATCH(C3628,'Country Tiers'!$A$2:$A$37,0))</f>
        <v>3</v>
      </c>
    </row>
    <row r="3629" customFormat="false" ht="15" hidden="false" customHeight="false" outlineLevel="0" collapsed="false">
      <c r="A3629" s="12" t="s">
        <v>184</v>
      </c>
      <c r="B3629" s="12" t="s">
        <v>56</v>
      </c>
      <c r="C3629" s="12" t="s">
        <v>313</v>
      </c>
      <c r="D3629" s="12" t="str">
        <f aca="false">INDEX('Country Tiers'!$C$2:$C$37,MATCH(C3629,'Country Tiers'!$A$2:$A$37,0))</f>
        <v>Tier 1</v>
      </c>
      <c r="E3629" s="12" t="n">
        <f aca="false">INDEX('Country Tiers'!$D$2:$D$37,MATCH(C3629,'Country Tiers'!$A$2:$A$37,0))</f>
        <v>3</v>
      </c>
    </row>
    <row r="3630" customFormat="false" ht="15" hidden="false" customHeight="false" outlineLevel="0" collapsed="false">
      <c r="A3630" s="12" t="s">
        <v>184</v>
      </c>
      <c r="B3630" s="12" t="s">
        <v>57</v>
      </c>
      <c r="C3630" s="12" t="s">
        <v>274</v>
      </c>
      <c r="D3630" s="12" t="str">
        <f aca="false">INDEX('Country Tiers'!$C$2:$C$37,MATCH(C3630,'Country Tiers'!$A$2:$A$37,0))</f>
        <v>Tier 3</v>
      </c>
      <c r="E3630" s="12" t="n">
        <f aca="false">INDEX('Country Tiers'!$D$2:$D$37,MATCH(C3630,'Country Tiers'!$A$2:$A$37,0))</f>
        <v>1</v>
      </c>
    </row>
    <row r="3631" customFormat="false" ht="15" hidden="false" customHeight="false" outlineLevel="0" collapsed="false">
      <c r="A3631" s="12" t="s">
        <v>184</v>
      </c>
      <c r="B3631" s="12" t="s">
        <v>57</v>
      </c>
      <c r="C3631" s="12" t="s">
        <v>277</v>
      </c>
      <c r="D3631" s="12" t="str">
        <f aca="false">INDEX('Country Tiers'!$C$2:$C$37,MATCH(C3631,'Country Tiers'!$A$2:$A$37,0))</f>
        <v>Tier 1</v>
      </c>
      <c r="E3631" s="12" t="n">
        <f aca="false">INDEX('Country Tiers'!$D$2:$D$37,MATCH(C3631,'Country Tiers'!$A$2:$A$37,0))</f>
        <v>3</v>
      </c>
    </row>
    <row r="3632" customFormat="false" ht="15" hidden="false" customHeight="false" outlineLevel="0" collapsed="false">
      <c r="A3632" s="12" t="s">
        <v>184</v>
      </c>
      <c r="B3632" s="12" t="s">
        <v>57</v>
      </c>
      <c r="C3632" s="12" t="s">
        <v>278</v>
      </c>
      <c r="D3632" s="12" t="str">
        <f aca="false">INDEX('Country Tiers'!$C$2:$C$37,MATCH(C3632,'Country Tiers'!$A$2:$A$37,0))</f>
        <v>Tier 3</v>
      </c>
      <c r="E3632" s="12" t="n">
        <f aca="false">INDEX('Country Tiers'!$D$2:$D$37,MATCH(C3632,'Country Tiers'!$A$2:$A$37,0))</f>
        <v>1</v>
      </c>
    </row>
    <row r="3633" customFormat="false" ht="15" hidden="false" customHeight="false" outlineLevel="0" collapsed="false">
      <c r="A3633" s="12" t="s">
        <v>184</v>
      </c>
      <c r="B3633" s="12" t="s">
        <v>57</v>
      </c>
      <c r="C3633" s="12" t="s">
        <v>280</v>
      </c>
      <c r="D3633" s="12" t="str">
        <f aca="false">INDEX('Country Tiers'!$C$2:$C$37,MATCH(C3633,'Country Tiers'!$A$2:$A$37,0))</f>
        <v>Tier 3</v>
      </c>
      <c r="E3633" s="12" t="n">
        <f aca="false">INDEX('Country Tiers'!$D$2:$D$37,MATCH(C3633,'Country Tiers'!$A$2:$A$37,0))</f>
        <v>1</v>
      </c>
    </row>
    <row r="3634" customFormat="false" ht="15" hidden="false" customHeight="false" outlineLevel="0" collapsed="false">
      <c r="A3634" s="12" t="s">
        <v>184</v>
      </c>
      <c r="B3634" s="12" t="s">
        <v>57</v>
      </c>
      <c r="C3634" s="12" t="s">
        <v>281</v>
      </c>
      <c r="D3634" s="12" t="str">
        <f aca="false">INDEX('Country Tiers'!$C$2:$C$37,MATCH(C3634,'Country Tiers'!$A$2:$A$37,0))</f>
        <v>Tier 3</v>
      </c>
      <c r="E3634" s="12" t="n">
        <f aca="false">INDEX('Country Tiers'!$D$2:$D$37,MATCH(C3634,'Country Tiers'!$A$2:$A$37,0))</f>
        <v>1</v>
      </c>
    </row>
    <row r="3635" customFormat="false" ht="15" hidden="false" customHeight="false" outlineLevel="0" collapsed="false">
      <c r="A3635" s="12" t="s">
        <v>184</v>
      </c>
      <c r="B3635" s="12" t="s">
        <v>57</v>
      </c>
      <c r="C3635" s="12" t="s">
        <v>282</v>
      </c>
      <c r="D3635" s="12" t="str">
        <f aca="false">INDEX('Country Tiers'!$C$2:$C$37,MATCH(C3635,'Country Tiers'!$A$2:$A$37,0))</f>
        <v>Tier 3</v>
      </c>
      <c r="E3635" s="12" t="n">
        <f aca="false">INDEX('Country Tiers'!$D$2:$D$37,MATCH(C3635,'Country Tiers'!$A$2:$A$37,0))</f>
        <v>1</v>
      </c>
    </row>
    <row r="3636" customFormat="false" ht="15" hidden="false" customHeight="false" outlineLevel="0" collapsed="false">
      <c r="A3636" s="12" t="s">
        <v>184</v>
      </c>
      <c r="B3636" s="12" t="s">
        <v>57</v>
      </c>
      <c r="C3636" s="12" t="s">
        <v>283</v>
      </c>
      <c r="D3636" s="12" t="str">
        <f aca="false">INDEX('Country Tiers'!$C$2:$C$37,MATCH(C3636,'Country Tiers'!$A$2:$A$37,0))</f>
        <v>Tier 3</v>
      </c>
      <c r="E3636" s="12" t="n">
        <f aca="false">INDEX('Country Tiers'!$D$2:$D$37,MATCH(C3636,'Country Tiers'!$A$2:$A$37,0))</f>
        <v>1</v>
      </c>
    </row>
    <row r="3637" customFormat="false" ht="15" hidden="false" customHeight="false" outlineLevel="0" collapsed="false">
      <c r="A3637" s="12" t="s">
        <v>184</v>
      </c>
      <c r="B3637" s="12" t="s">
        <v>57</v>
      </c>
      <c r="C3637" s="12" t="s">
        <v>284</v>
      </c>
      <c r="D3637" s="12" t="str">
        <f aca="false">INDEX('Country Tiers'!$C$2:$C$37,MATCH(C3637,'Country Tiers'!$A$2:$A$37,0))</f>
        <v>Tier 3</v>
      </c>
      <c r="E3637" s="12" t="n">
        <f aca="false">INDEX('Country Tiers'!$D$2:$D$37,MATCH(C3637,'Country Tiers'!$A$2:$A$37,0))</f>
        <v>1</v>
      </c>
    </row>
    <row r="3638" customFormat="false" ht="15" hidden="false" customHeight="false" outlineLevel="0" collapsed="false">
      <c r="A3638" s="12" t="s">
        <v>184</v>
      </c>
      <c r="B3638" s="12" t="s">
        <v>57</v>
      </c>
      <c r="C3638" s="12" t="s">
        <v>285</v>
      </c>
      <c r="D3638" s="12" t="str">
        <f aca="false">INDEX('Country Tiers'!$C$2:$C$37,MATCH(C3638,'Country Tiers'!$A$2:$A$37,0))</f>
        <v>Tier 3</v>
      </c>
      <c r="E3638" s="12" t="n">
        <f aca="false">INDEX('Country Tiers'!$D$2:$D$37,MATCH(C3638,'Country Tiers'!$A$2:$A$37,0))</f>
        <v>1</v>
      </c>
    </row>
    <row r="3639" customFormat="false" ht="15" hidden="false" customHeight="false" outlineLevel="0" collapsed="false">
      <c r="A3639" s="12" t="s">
        <v>184</v>
      </c>
      <c r="B3639" s="12" t="s">
        <v>57</v>
      </c>
      <c r="C3639" s="12" t="s">
        <v>286</v>
      </c>
      <c r="D3639" s="12" t="str">
        <f aca="false">INDEX('Country Tiers'!$C$2:$C$37,MATCH(C3639,'Country Tiers'!$A$2:$A$37,0))</f>
        <v>Tier 1</v>
      </c>
      <c r="E3639" s="12" t="n">
        <f aca="false">INDEX('Country Tiers'!$D$2:$D$37,MATCH(C3639,'Country Tiers'!$A$2:$A$37,0))</f>
        <v>3</v>
      </c>
    </row>
    <row r="3640" customFormat="false" ht="15" hidden="false" customHeight="false" outlineLevel="0" collapsed="false">
      <c r="A3640" s="12" t="s">
        <v>184</v>
      </c>
      <c r="B3640" s="12" t="s">
        <v>57</v>
      </c>
      <c r="C3640" s="12" t="s">
        <v>287</v>
      </c>
      <c r="D3640" s="12" t="str">
        <f aca="false">INDEX('Country Tiers'!$C$2:$C$37,MATCH(C3640,'Country Tiers'!$A$2:$A$37,0))</f>
        <v>Tier 1</v>
      </c>
      <c r="E3640" s="12" t="n">
        <f aca="false">INDEX('Country Tiers'!$D$2:$D$37,MATCH(C3640,'Country Tiers'!$A$2:$A$37,0))</f>
        <v>3</v>
      </c>
    </row>
    <row r="3641" customFormat="false" ht="15" hidden="false" customHeight="false" outlineLevel="0" collapsed="false">
      <c r="A3641" s="12" t="s">
        <v>184</v>
      </c>
      <c r="B3641" s="12" t="s">
        <v>57</v>
      </c>
      <c r="C3641" s="12" t="s">
        <v>288</v>
      </c>
      <c r="D3641" s="12" t="str">
        <f aca="false">INDEX('Country Tiers'!$C$2:$C$37,MATCH(C3641,'Country Tiers'!$A$2:$A$37,0))</f>
        <v>Tier 3</v>
      </c>
      <c r="E3641" s="12" t="n">
        <f aca="false">INDEX('Country Tiers'!$D$2:$D$37,MATCH(C3641,'Country Tiers'!$A$2:$A$37,0))</f>
        <v>1</v>
      </c>
    </row>
    <row r="3642" customFormat="false" ht="15" hidden="false" customHeight="false" outlineLevel="0" collapsed="false">
      <c r="A3642" s="12" t="s">
        <v>184</v>
      </c>
      <c r="B3642" s="12" t="s">
        <v>57</v>
      </c>
      <c r="C3642" s="12" t="s">
        <v>289</v>
      </c>
      <c r="D3642" s="12" t="str">
        <f aca="false">INDEX('Country Tiers'!$C$2:$C$37,MATCH(C3642,'Country Tiers'!$A$2:$A$37,0))</f>
        <v>Tier 3</v>
      </c>
      <c r="E3642" s="12" t="n">
        <f aca="false">INDEX('Country Tiers'!$D$2:$D$37,MATCH(C3642,'Country Tiers'!$A$2:$A$37,0))</f>
        <v>1</v>
      </c>
    </row>
    <row r="3643" customFormat="false" ht="15" hidden="false" customHeight="false" outlineLevel="0" collapsed="false">
      <c r="A3643" s="12" t="s">
        <v>184</v>
      </c>
      <c r="B3643" s="12" t="s">
        <v>57</v>
      </c>
      <c r="C3643" s="12" t="s">
        <v>290</v>
      </c>
      <c r="D3643" s="12" t="str">
        <f aca="false">INDEX('Country Tiers'!$C$2:$C$37,MATCH(C3643,'Country Tiers'!$A$2:$A$37,0))</f>
        <v>Tier 3</v>
      </c>
      <c r="E3643" s="12" t="n">
        <f aca="false">INDEX('Country Tiers'!$D$2:$D$37,MATCH(C3643,'Country Tiers'!$A$2:$A$37,0))</f>
        <v>1</v>
      </c>
    </row>
    <row r="3644" customFormat="false" ht="15" hidden="false" customHeight="false" outlineLevel="0" collapsed="false">
      <c r="A3644" s="12" t="s">
        <v>184</v>
      </c>
      <c r="B3644" s="12" t="s">
        <v>57</v>
      </c>
      <c r="C3644" s="12" t="s">
        <v>291</v>
      </c>
      <c r="D3644" s="12" t="str">
        <f aca="false">INDEX('Country Tiers'!$C$2:$C$37,MATCH(C3644,'Country Tiers'!$A$2:$A$37,0))</f>
        <v>Tier 3</v>
      </c>
      <c r="E3644" s="12" t="n">
        <f aca="false">INDEX('Country Tiers'!$D$2:$D$37,MATCH(C3644,'Country Tiers'!$A$2:$A$37,0))</f>
        <v>1</v>
      </c>
    </row>
    <row r="3645" customFormat="false" ht="15" hidden="false" customHeight="false" outlineLevel="0" collapsed="false">
      <c r="A3645" s="12" t="s">
        <v>184</v>
      </c>
      <c r="B3645" s="12" t="s">
        <v>57</v>
      </c>
      <c r="C3645" s="12" t="s">
        <v>292</v>
      </c>
      <c r="D3645" s="12" t="str">
        <f aca="false">INDEX('Country Tiers'!$C$2:$C$37,MATCH(C3645,'Country Tiers'!$A$2:$A$37,0))</f>
        <v>Tier 2</v>
      </c>
      <c r="E3645" s="12" t="n">
        <f aca="false">INDEX('Country Tiers'!$D$2:$D$37,MATCH(C3645,'Country Tiers'!$A$2:$A$37,0))</f>
        <v>2</v>
      </c>
    </row>
    <row r="3646" customFormat="false" ht="15" hidden="false" customHeight="false" outlineLevel="0" collapsed="false">
      <c r="A3646" s="12" t="s">
        <v>184</v>
      </c>
      <c r="B3646" s="12" t="s">
        <v>57</v>
      </c>
      <c r="C3646" s="12" t="s">
        <v>293</v>
      </c>
      <c r="D3646" s="12" t="str">
        <f aca="false">INDEX('Country Tiers'!$C$2:$C$37,MATCH(C3646,'Country Tiers'!$A$2:$A$37,0))</f>
        <v>Tier 3</v>
      </c>
      <c r="E3646" s="12" t="n">
        <f aca="false">INDEX('Country Tiers'!$D$2:$D$37,MATCH(C3646,'Country Tiers'!$A$2:$A$37,0))</f>
        <v>1</v>
      </c>
    </row>
    <row r="3647" customFormat="false" ht="15" hidden="false" customHeight="false" outlineLevel="0" collapsed="false">
      <c r="A3647" s="12" t="s">
        <v>184</v>
      </c>
      <c r="B3647" s="12" t="s">
        <v>57</v>
      </c>
      <c r="C3647" s="12" t="s">
        <v>294</v>
      </c>
      <c r="D3647" s="12" t="str">
        <f aca="false">INDEX('Country Tiers'!$C$2:$C$37,MATCH(C3647,'Country Tiers'!$A$2:$A$37,0))</f>
        <v>Tier 3</v>
      </c>
      <c r="E3647" s="12" t="n">
        <f aca="false">INDEX('Country Tiers'!$D$2:$D$37,MATCH(C3647,'Country Tiers'!$A$2:$A$37,0))</f>
        <v>1</v>
      </c>
    </row>
    <row r="3648" customFormat="false" ht="15" hidden="false" customHeight="false" outlineLevel="0" collapsed="false">
      <c r="A3648" s="12" t="s">
        <v>184</v>
      </c>
      <c r="B3648" s="12" t="s">
        <v>57</v>
      </c>
      <c r="C3648" s="12" t="s">
        <v>295</v>
      </c>
      <c r="D3648" s="12" t="str">
        <f aca="false">INDEX('Country Tiers'!$C$2:$C$37,MATCH(C3648,'Country Tiers'!$A$2:$A$37,0))</f>
        <v>Tier 3</v>
      </c>
      <c r="E3648" s="12" t="n">
        <f aca="false">INDEX('Country Tiers'!$D$2:$D$37,MATCH(C3648,'Country Tiers'!$A$2:$A$37,0))</f>
        <v>1</v>
      </c>
    </row>
    <row r="3649" customFormat="false" ht="15" hidden="false" customHeight="false" outlineLevel="0" collapsed="false">
      <c r="A3649" s="12" t="s">
        <v>184</v>
      </c>
      <c r="B3649" s="12" t="s">
        <v>57</v>
      </c>
      <c r="C3649" s="12" t="s">
        <v>296</v>
      </c>
      <c r="D3649" s="12" t="str">
        <f aca="false">INDEX('Country Tiers'!$C$2:$C$37,MATCH(C3649,'Country Tiers'!$A$2:$A$37,0))</f>
        <v>Tier 3</v>
      </c>
      <c r="E3649" s="12" t="n">
        <f aca="false">INDEX('Country Tiers'!$D$2:$D$37,MATCH(C3649,'Country Tiers'!$A$2:$A$37,0))</f>
        <v>1</v>
      </c>
    </row>
    <row r="3650" customFormat="false" ht="15" hidden="false" customHeight="false" outlineLevel="0" collapsed="false">
      <c r="A3650" s="12" t="s">
        <v>184</v>
      </c>
      <c r="B3650" s="12" t="s">
        <v>57</v>
      </c>
      <c r="C3650" s="12" t="s">
        <v>297</v>
      </c>
      <c r="D3650" s="12" t="str">
        <f aca="false">INDEX('Country Tiers'!$C$2:$C$37,MATCH(C3650,'Country Tiers'!$A$2:$A$37,0))</f>
        <v>Tier 2</v>
      </c>
      <c r="E3650" s="12" t="n">
        <f aca="false">INDEX('Country Tiers'!$D$2:$D$37,MATCH(C3650,'Country Tiers'!$A$2:$A$37,0))</f>
        <v>2</v>
      </c>
    </row>
    <row r="3651" customFormat="false" ht="15" hidden="false" customHeight="false" outlineLevel="0" collapsed="false">
      <c r="A3651" s="12" t="s">
        <v>184</v>
      </c>
      <c r="B3651" s="12" t="s">
        <v>57</v>
      </c>
      <c r="C3651" s="12" t="s">
        <v>298</v>
      </c>
      <c r="D3651" s="12" t="str">
        <f aca="false">INDEX('Country Tiers'!$C$2:$C$37,MATCH(C3651,'Country Tiers'!$A$2:$A$37,0))</f>
        <v>Tier 1</v>
      </c>
      <c r="E3651" s="12" t="n">
        <f aca="false">INDEX('Country Tiers'!$D$2:$D$37,MATCH(C3651,'Country Tiers'!$A$2:$A$37,0))</f>
        <v>3</v>
      </c>
    </row>
    <row r="3652" customFormat="false" ht="15" hidden="false" customHeight="false" outlineLevel="0" collapsed="false">
      <c r="A3652" s="12" t="s">
        <v>184</v>
      </c>
      <c r="B3652" s="12" t="s">
        <v>57</v>
      </c>
      <c r="C3652" s="12" t="s">
        <v>299</v>
      </c>
      <c r="D3652" s="12" t="str">
        <f aca="false">INDEX('Country Tiers'!$C$2:$C$37,MATCH(C3652,'Country Tiers'!$A$2:$A$37,0))</f>
        <v>Tier 3</v>
      </c>
      <c r="E3652" s="12" t="n">
        <f aca="false">INDEX('Country Tiers'!$D$2:$D$37,MATCH(C3652,'Country Tiers'!$A$2:$A$37,0))</f>
        <v>1</v>
      </c>
    </row>
    <row r="3653" customFormat="false" ht="15" hidden="false" customHeight="false" outlineLevel="0" collapsed="false">
      <c r="A3653" s="12" t="s">
        <v>184</v>
      </c>
      <c r="B3653" s="12" t="s">
        <v>57</v>
      </c>
      <c r="C3653" s="12" t="s">
        <v>300</v>
      </c>
      <c r="D3653" s="12" t="str">
        <f aca="false">INDEX('Country Tiers'!$C$2:$C$37,MATCH(C3653,'Country Tiers'!$A$2:$A$37,0))</f>
        <v>Tier 3</v>
      </c>
      <c r="E3653" s="12" t="n">
        <f aca="false">INDEX('Country Tiers'!$D$2:$D$37,MATCH(C3653,'Country Tiers'!$A$2:$A$37,0))</f>
        <v>1</v>
      </c>
    </row>
    <row r="3654" customFormat="false" ht="15" hidden="false" customHeight="false" outlineLevel="0" collapsed="false">
      <c r="A3654" s="12" t="s">
        <v>184</v>
      </c>
      <c r="B3654" s="12" t="s">
        <v>57</v>
      </c>
      <c r="C3654" s="12" t="s">
        <v>301</v>
      </c>
      <c r="D3654" s="12" t="str">
        <f aca="false">INDEX('Country Tiers'!$C$2:$C$37,MATCH(C3654,'Country Tiers'!$A$2:$A$37,0))</f>
        <v>Tier 3</v>
      </c>
      <c r="E3654" s="12" t="n">
        <f aca="false">INDEX('Country Tiers'!$D$2:$D$37,MATCH(C3654,'Country Tiers'!$A$2:$A$37,0))</f>
        <v>1</v>
      </c>
    </row>
    <row r="3655" customFormat="false" ht="15" hidden="false" customHeight="false" outlineLevel="0" collapsed="false">
      <c r="A3655" s="12" t="s">
        <v>184</v>
      </c>
      <c r="B3655" s="12" t="s">
        <v>57</v>
      </c>
      <c r="C3655" s="12" t="s">
        <v>302</v>
      </c>
      <c r="D3655" s="12" t="str">
        <f aca="false">INDEX('Country Tiers'!$C$2:$C$37,MATCH(C3655,'Country Tiers'!$A$2:$A$37,0))</f>
        <v>Tier 3</v>
      </c>
      <c r="E3655" s="12" t="n">
        <f aca="false">INDEX('Country Tiers'!$D$2:$D$37,MATCH(C3655,'Country Tiers'!$A$2:$A$37,0))</f>
        <v>1</v>
      </c>
    </row>
    <row r="3656" customFormat="false" ht="15" hidden="false" customHeight="false" outlineLevel="0" collapsed="false">
      <c r="A3656" s="12" t="s">
        <v>184</v>
      </c>
      <c r="B3656" s="12" t="s">
        <v>57</v>
      </c>
      <c r="C3656" s="12" t="s">
        <v>303</v>
      </c>
      <c r="D3656" s="12" t="str">
        <f aca="false">INDEX('Country Tiers'!$C$2:$C$37,MATCH(C3656,'Country Tiers'!$A$2:$A$37,0))</f>
        <v>Tier 2</v>
      </c>
      <c r="E3656" s="12" t="n">
        <f aca="false">INDEX('Country Tiers'!$D$2:$D$37,MATCH(C3656,'Country Tiers'!$A$2:$A$37,0))</f>
        <v>2</v>
      </c>
    </row>
    <row r="3657" customFormat="false" ht="15" hidden="false" customHeight="false" outlineLevel="0" collapsed="false">
      <c r="A3657" s="12" t="s">
        <v>184</v>
      </c>
      <c r="B3657" s="12" t="s">
        <v>57</v>
      </c>
      <c r="C3657" s="12" t="s">
        <v>305</v>
      </c>
      <c r="D3657" s="12" t="str">
        <f aca="false">INDEX('Country Tiers'!$C$2:$C$37,MATCH(C3657,'Country Tiers'!$A$2:$A$37,0))</f>
        <v>Tier 3</v>
      </c>
      <c r="E3657" s="12" t="n">
        <f aca="false">INDEX('Country Tiers'!$D$2:$D$37,MATCH(C3657,'Country Tiers'!$A$2:$A$37,0))</f>
        <v>1</v>
      </c>
    </row>
    <row r="3658" customFormat="false" ht="15" hidden="false" customHeight="false" outlineLevel="0" collapsed="false">
      <c r="A3658" s="12" t="s">
        <v>184</v>
      </c>
      <c r="B3658" s="12" t="s">
        <v>57</v>
      </c>
      <c r="C3658" s="12" t="s">
        <v>306</v>
      </c>
      <c r="D3658" s="12" t="str">
        <f aca="false">INDEX('Country Tiers'!$C$2:$C$37,MATCH(C3658,'Country Tiers'!$A$2:$A$37,0))</f>
        <v>Tier 3</v>
      </c>
      <c r="E3658" s="12" t="n">
        <f aca="false">INDEX('Country Tiers'!$D$2:$D$37,MATCH(C3658,'Country Tiers'!$A$2:$A$37,0))</f>
        <v>1</v>
      </c>
    </row>
    <row r="3659" customFormat="false" ht="15" hidden="false" customHeight="false" outlineLevel="0" collapsed="false">
      <c r="A3659" s="12" t="s">
        <v>184</v>
      </c>
      <c r="B3659" s="12" t="s">
        <v>57</v>
      </c>
      <c r="C3659" s="12" t="s">
        <v>307</v>
      </c>
      <c r="D3659" s="12" t="str">
        <f aca="false">INDEX('Country Tiers'!$C$2:$C$37,MATCH(C3659,'Country Tiers'!$A$2:$A$37,0))</f>
        <v>Tier 2</v>
      </c>
      <c r="E3659" s="12" t="n">
        <f aca="false">INDEX('Country Tiers'!$D$2:$D$37,MATCH(C3659,'Country Tiers'!$A$2:$A$37,0))</f>
        <v>2</v>
      </c>
    </row>
    <row r="3660" customFormat="false" ht="15" hidden="false" customHeight="false" outlineLevel="0" collapsed="false">
      <c r="A3660" s="12" t="s">
        <v>184</v>
      </c>
      <c r="B3660" s="12" t="s">
        <v>57</v>
      </c>
      <c r="C3660" s="12" t="s">
        <v>308</v>
      </c>
      <c r="D3660" s="12" t="str">
        <f aca="false">INDEX('Country Tiers'!$C$2:$C$37,MATCH(C3660,'Country Tiers'!$A$2:$A$37,0))</f>
        <v>Tier 3</v>
      </c>
      <c r="E3660" s="12" t="n">
        <f aca="false">INDEX('Country Tiers'!$D$2:$D$37,MATCH(C3660,'Country Tiers'!$A$2:$A$37,0))</f>
        <v>1</v>
      </c>
    </row>
    <row r="3661" customFormat="false" ht="15" hidden="false" customHeight="false" outlineLevel="0" collapsed="false">
      <c r="A3661" s="12" t="s">
        <v>184</v>
      </c>
      <c r="B3661" s="12" t="s">
        <v>57</v>
      </c>
      <c r="C3661" s="12" t="s">
        <v>309</v>
      </c>
      <c r="D3661" s="12" t="str">
        <f aca="false">INDEX('Country Tiers'!$C$2:$C$37,MATCH(C3661,'Country Tiers'!$A$2:$A$37,0))</f>
        <v>Tier 1</v>
      </c>
      <c r="E3661" s="12" t="n">
        <f aca="false">INDEX('Country Tiers'!$D$2:$D$37,MATCH(C3661,'Country Tiers'!$A$2:$A$37,0))</f>
        <v>3</v>
      </c>
    </row>
    <row r="3662" customFormat="false" ht="15" hidden="false" customHeight="false" outlineLevel="0" collapsed="false">
      <c r="A3662" s="12" t="s">
        <v>184</v>
      </c>
      <c r="B3662" s="12" t="s">
        <v>57</v>
      </c>
      <c r="C3662" s="12" t="s">
        <v>311</v>
      </c>
      <c r="D3662" s="12" t="str">
        <f aca="false">INDEX('Country Tiers'!$C$2:$C$37,MATCH(C3662,'Country Tiers'!$A$2:$A$37,0))</f>
        <v>Tier 1</v>
      </c>
      <c r="E3662" s="12" t="n">
        <f aca="false">INDEX('Country Tiers'!$D$2:$D$37,MATCH(C3662,'Country Tiers'!$A$2:$A$37,0))</f>
        <v>3</v>
      </c>
    </row>
    <row r="3663" customFormat="false" ht="15" hidden="false" customHeight="false" outlineLevel="0" collapsed="false">
      <c r="A3663" s="12" t="s">
        <v>184</v>
      </c>
      <c r="B3663" s="12" t="s">
        <v>57</v>
      </c>
      <c r="C3663" s="12" t="s">
        <v>313</v>
      </c>
      <c r="D3663" s="12" t="str">
        <f aca="false">INDEX('Country Tiers'!$C$2:$C$37,MATCH(C3663,'Country Tiers'!$A$2:$A$37,0))</f>
        <v>Tier 1</v>
      </c>
      <c r="E3663" s="12" t="n">
        <f aca="false">INDEX('Country Tiers'!$D$2:$D$37,MATCH(C3663,'Country Tiers'!$A$2:$A$37,0))</f>
        <v>3</v>
      </c>
    </row>
    <row r="3664" customFormat="false" ht="15" hidden="false" customHeight="false" outlineLevel="0" collapsed="false">
      <c r="A3664" s="12" t="s">
        <v>184</v>
      </c>
      <c r="B3664" s="12" t="s">
        <v>44</v>
      </c>
      <c r="C3664" s="12" t="s">
        <v>272</v>
      </c>
      <c r="D3664" s="12" t="str">
        <f aca="false">INDEX('Country Tiers'!$C$2:$C$37,MATCH(C3664,'Country Tiers'!$A$2:$A$37,0))</f>
        <v>Tier 2</v>
      </c>
      <c r="E3664" s="12" t="n">
        <f aca="false">INDEX('Country Tiers'!$D$2:$D$37,MATCH(C3664,'Country Tiers'!$A$2:$A$37,0))</f>
        <v>2</v>
      </c>
    </row>
    <row r="3665" customFormat="false" ht="15" hidden="false" customHeight="false" outlineLevel="0" collapsed="false">
      <c r="A3665" s="12" t="s">
        <v>184</v>
      </c>
      <c r="B3665" s="12" t="s">
        <v>44</v>
      </c>
      <c r="C3665" s="12" t="s">
        <v>274</v>
      </c>
      <c r="D3665" s="12" t="str">
        <f aca="false">INDEX('Country Tiers'!$C$2:$C$37,MATCH(C3665,'Country Tiers'!$A$2:$A$37,0))</f>
        <v>Tier 3</v>
      </c>
      <c r="E3665" s="12" t="n">
        <f aca="false">INDEX('Country Tiers'!$D$2:$D$37,MATCH(C3665,'Country Tiers'!$A$2:$A$37,0))</f>
        <v>1</v>
      </c>
    </row>
    <row r="3666" customFormat="false" ht="15" hidden="false" customHeight="false" outlineLevel="0" collapsed="false">
      <c r="A3666" s="12" t="s">
        <v>184</v>
      </c>
      <c r="B3666" s="12" t="s">
        <v>44</v>
      </c>
      <c r="C3666" s="12" t="s">
        <v>277</v>
      </c>
      <c r="D3666" s="12" t="str">
        <f aca="false">INDEX('Country Tiers'!$C$2:$C$37,MATCH(C3666,'Country Tiers'!$A$2:$A$37,0))</f>
        <v>Tier 1</v>
      </c>
      <c r="E3666" s="12" t="n">
        <f aca="false">INDEX('Country Tiers'!$D$2:$D$37,MATCH(C3666,'Country Tiers'!$A$2:$A$37,0))</f>
        <v>3</v>
      </c>
    </row>
    <row r="3667" customFormat="false" ht="15" hidden="false" customHeight="false" outlineLevel="0" collapsed="false">
      <c r="A3667" s="12" t="s">
        <v>184</v>
      </c>
      <c r="B3667" s="12" t="s">
        <v>44</v>
      </c>
      <c r="C3667" s="12" t="s">
        <v>278</v>
      </c>
      <c r="D3667" s="12" t="str">
        <f aca="false">INDEX('Country Tiers'!$C$2:$C$37,MATCH(C3667,'Country Tiers'!$A$2:$A$37,0))</f>
        <v>Tier 3</v>
      </c>
      <c r="E3667" s="12" t="n">
        <f aca="false">INDEX('Country Tiers'!$D$2:$D$37,MATCH(C3667,'Country Tiers'!$A$2:$A$37,0))</f>
        <v>1</v>
      </c>
    </row>
    <row r="3668" customFormat="false" ht="15" hidden="false" customHeight="false" outlineLevel="0" collapsed="false">
      <c r="A3668" s="12" t="s">
        <v>184</v>
      </c>
      <c r="B3668" s="12" t="s">
        <v>44</v>
      </c>
      <c r="C3668" s="12" t="s">
        <v>280</v>
      </c>
      <c r="D3668" s="12" t="str">
        <f aca="false">INDEX('Country Tiers'!$C$2:$C$37,MATCH(C3668,'Country Tiers'!$A$2:$A$37,0))</f>
        <v>Tier 3</v>
      </c>
      <c r="E3668" s="12" t="n">
        <f aca="false">INDEX('Country Tiers'!$D$2:$D$37,MATCH(C3668,'Country Tiers'!$A$2:$A$37,0))</f>
        <v>1</v>
      </c>
    </row>
    <row r="3669" customFormat="false" ht="15" hidden="false" customHeight="false" outlineLevel="0" collapsed="false">
      <c r="A3669" s="12" t="s">
        <v>184</v>
      </c>
      <c r="B3669" s="12" t="s">
        <v>44</v>
      </c>
      <c r="C3669" s="12" t="s">
        <v>281</v>
      </c>
      <c r="D3669" s="12" t="str">
        <f aca="false">INDEX('Country Tiers'!$C$2:$C$37,MATCH(C3669,'Country Tiers'!$A$2:$A$37,0))</f>
        <v>Tier 3</v>
      </c>
      <c r="E3669" s="12" t="n">
        <f aca="false">INDEX('Country Tiers'!$D$2:$D$37,MATCH(C3669,'Country Tiers'!$A$2:$A$37,0))</f>
        <v>1</v>
      </c>
    </row>
    <row r="3670" customFormat="false" ht="15" hidden="false" customHeight="false" outlineLevel="0" collapsed="false">
      <c r="A3670" s="12" t="s">
        <v>184</v>
      </c>
      <c r="B3670" s="12" t="s">
        <v>44</v>
      </c>
      <c r="C3670" s="12" t="s">
        <v>282</v>
      </c>
      <c r="D3670" s="12" t="str">
        <f aca="false">INDEX('Country Tiers'!$C$2:$C$37,MATCH(C3670,'Country Tiers'!$A$2:$A$37,0))</f>
        <v>Tier 3</v>
      </c>
      <c r="E3670" s="12" t="n">
        <f aca="false">INDEX('Country Tiers'!$D$2:$D$37,MATCH(C3670,'Country Tiers'!$A$2:$A$37,0))</f>
        <v>1</v>
      </c>
    </row>
    <row r="3671" customFormat="false" ht="15" hidden="false" customHeight="false" outlineLevel="0" collapsed="false">
      <c r="A3671" s="12" t="s">
        <v>184</v>
      </c>
      <c r="B3671" s="12" t="s">
        <v>44</v>
      </c>
      <c r="C3671" s="12" t="s">
        <v>283</v>
      </c>
      <c r="D3671" s="12" t="str">
        <f aca="false">INDEX('Country Tiers'!$C$2:$C$37,MATCH(C3671,'Country Tiers'!$A$2:$A$37,0))</f>
        <v>Tier 3</v>
      </c>
      <c r="E3671" s="12" t="n">
        <f aca="false">INDEX('Country Tiers'!$D$2:$D$37,MATCH(C3671,'Country Tiers'!$A$2:$A$37,0))</f>
        <v>1</v>
      </c>
    </row>
    <row r="3672" customFormat="false" ht="15" hidden="false" customHeight="false" outlineLevel="0" collapsed="false">
      <c r="A3672" s="12" t="s">
        <v>184</v>
      </c>
      <c r="B3672" s="12" t="s">
        <v>44</v>
      </c>
      <c r="C3672" s="12" t="s">
        <v>284</v>
      </c>
      <c r="D3672" s="12" t="str">
        <f aca="false">INDEX('Country Tiers'!$C$2:$C$37,MATCH(C3672,'Country Tiers'!$A$2:$A$37,0))</f>
        <v>Tier 3</v>
      </c>
      <c r="E3672" s="12" t="n">
        <f aca="false">INDEX('Country Tiers'!$D$2:$D$37,MATCH(C3672,'Country Tiers'!$A$2:$A$37,0))</f>
        <v>1</v>
      </c>
    </row>
    <row r="3673" customFormat="false" ht="15" hidden="false" customHeight="false" outlineLevel="0" collapsed="false">
      <c r="A3673" s="12" t="s">
        <v>184</v>
      </c>
      <c r="B3673" s="12" t="s">
        <v>44</v>
      </c>
      <c r="C3673" s="12" t="s">
        <v>285</v>
      </c>
      <c r="D3673" s="12" t="str">
        <f aca="false">INDEX('Country Tiers'!$C$2:$C$37,MATCH(C3673,'Country Tiers'!$A$2:$A$37,0))</f>
        <v>Tier 3</v>
      </c>
      <c r="E3673" s="12" t="n">
        <f aca="false">INDEX('Country Tiers'!$D$2:$D$37,MATCH(C3673,'Country Tiers'!$A$2:$A$37,0))</f>
        <v>1</v>
      </c>
    </row>
    <row r="3674" customFormat="false" ht="15" hidden="false" customHeight="false" outlineLevel="0" collapsed="false">
      <c r="A3674" s="12" t="s">
        <v>184</v>
      </c>
      <c r="B3674" s="12" t="s">
        <v>44</v>
      </c>
      <c r="C3674" s="12" t="s">
        <v>286</v>
      </c>
      <c r="D3674" s="12" t="str">
        <f aca="false">INDEX('Country Tiers'!$C$2:$C$37,MATCH(C3674,'Country Tiers'!$A$2:$A$37,0))</f>
        <v>Tier 1</v>
      </c>
      <c r="E3674" s="12" t="n">
        <f aca="false">INDEX('Country Tiers'!$D$2:$D$37,MATCH(C3674,'Country Tiers'!$A$2:$A$37,0))</f>
        <v>3</v>
      </c>
    </row>
    <row r="3675" customFormat="false" ht="15" hidden="false" customHeight="false" outlineLevel="0" collapsed="false">
      <c r="A3675" s="12" t="s">
        <v>184</v>
      </c>
      <c r="B3675" s="12" t="s">
        <v>44</v>
      </c>
      <c r="C3675" s="12" t="s">
        <v>287</v>
      </c>
      <c r="D3675" s="12" t="str">
        <f aca="false">INDEX('Country Tiers'!$C$2:$C$37,MATCH(C3675,'Country Tiers'!$A$2:$A$37,0))</f>
        <v>Tier 1</v>
      </c>
      <c r="E3675" s="12" t="n">
        <f aca="false">INDEX('Country Tiers'!$D$2:$D$37,MATCH(C3675,'Country Tiers'!$A$2:$A$37,0))</f>
        <v>3</v>
      </c>
    </row>
    <row r="3676" customFormat="false" ht="15" hidden="false" customHeight="false" outlineLevel="0" collapsed="false">
      <c r="A3676" s="12" t="s">
        <v>184</v>
      </c>
      <c r="B3676" s="12" t="s">
        <v>44</v>
      </c>
      <c r="C3676" s="12" t="s">
        <v>288</v>
      </c>
      <c r="D3676" s="12" t="str">
        <f aca="false">INDEX('Country Tiers'!$C$2:$C$37,MATCH(C3676,'Country Tiers'!$A$2:$A$37,0))</f>
        <v>Tier 3</v>
      </c>
      <c r="E3676" s="12" t="n">
        <f aca="false">INDEX('Country Tiers'!$D$2:$D$37,MATCH(C3676,'Country Tiers'!$A$2:$A$37,0))</f>
        <v>1</v>
      </c>
    </row>
    <row r="3677" customFormat="false" ht="15" hidden="false" customHeight="false" outlineLevel="0" collapsed="false">
      <c r="A3677" s="12" t="s">
        <v>184</v>
      </c>
      <c r="B3677" s="12" t="s">
        <v>44</v>
      </c>
      <c r="C3677" s="12" t="s">
        <v>289</v>
      </c>
      <c r="D3677" s="12" t="str">
        <f aca="false">INDEX('Country Tiers'!$C$2:$C$37,MATCH(C3677,'Country Tiers'!$A$2:$A$37,0))</f>
        <v>Tier 3</v>
      </c>
      <c r="E3677" s="12" t="n">
        <f aca="false">INDEX('Country Tiers'!$D$2:$D$37,MATCH(C3677,'Country Tiers'!$A$2:$A$37,0))</f>
        <v>1</v>
      </c>
    </row>
    <row r="3678" customFormat="false" ht="15" hidden="false" customHeight="false" outlineLevel="0" collapsed="false">
      <c r="A3678" s="12" t="s">
        <v>184</v>
      </c>
      <c r="B3678" s="12" t="s">
        <v>44</v>
      </c>
      <c r="C3678" s="12" t="s">
        <v>290</v>
      </c>
      <c r="D3678" s="12" t="str">
        <f aca="false">INDEX('Country Tiers'!$C$2:$C$37,MATCH(C3678,'Country Tiers'!$A$2:$A$37,0))</f>
        <v>Tier 3</v>
      </c>
      <c r="E3678" s="12" t="n">
        <f aca="false">INDEX('Country Tiers'!$D$2:$D$37,MATCH(C3678,'Country Tiers'!$A$2:$A$37,0))</f>
        <v>1</v>
      </c>
    </row>
    <row r="3679" customFormat="false" ht="15" hidden="false" customHeight="false" outlineLevel="0" collapsed="false">
      <c r="A3679" s="12" t="s">
        <v>184</v>
      </c>
      <c r="B3679" s="12" t="s">
        <v>44</v>
      </c>
      <c r="C3679" s="12" t="s">
        <v>291</v>
      </c>
      <c r="D3679" s="12" t="str">
        <f aca="false">INDEX('Country Tiers'!$C$2:$C$37,MATCH(C3679,'Country Tiers'!$A$2:$A$37,0))</f>
        <v>Tier 3</v>
      </c>
      <c r="E3679" s="12" t="n">
        <f aca="false">INDEX('Country Tiers'!$D$2:$D$37,MATCH(C3679,'Country Tiers'!$A$2:$A$37,0))</f>
        <v>1</v>
      </c>
    </row>
    <row r="3680" customFormat="false" ht="15" hidden="false" customHeight="false" outlineLevel="0" collapsed="false">
      <c r="A3680" s="12" t="s">
        <v>184</v>
      </c>
      <c r="B3680" s="12" t="s">
        <v>44</v>
      </c>
      <c r="C3680" s="12" t="s">
        <v>292</v>
      </c>
      <c r="D3680" s="12" t="str">
        <f aca="false">INDEX('Country Tiers'!$C$2:$C$37,MATCH(C3680,'Country Tiers'!$A$2:$A$37,0))</f>
        <v>Tier 2</v>
      </c>
      <c r="E3680" s="12" t="n">
        <f aca="false">INDEX('Country Tiers'!$D$2:$D$37,MATCH(C3680,'Country Tiers'!$A$2:$A$37,0))</f>
        <v>2</v>
      </c>
    </row>
    <row r="3681" customFormat="false" ht="15" hidden="false" customHeight="false" outlineLevel="0" collapsed="false">
      <c r="A3681" s="12" t="s">
        <v>184</v>
      </c>
      <c r="B3681" s="12" t="s">
        <v>44</v>
      </c>
      <c r="C3681" s="12" t="s">
        <v>293</v>
      </c>
      <c r="D3681" s="12" t="str">
        <f aca="false">INDEX('Country Tiers'!$C$2:$C$37,MATCH(C3681,'Country Tiers'!$A$2:$A$37,0))</f>
        <v>Tier 3</v>
      </c>
      <c r="E3681" s="12" t="n">
        <f aca="false">INDEX('Country Tiers'!$D$2:$D$37,MATCH(C3681,'Country Tiers'!$A$2:$A$37,0))</f>
        <v>1</v>
      </c>
    </row>
    <row r="3682" customFormat="false" ht="15" hidden="false" customHeight="false" outlineLevel="0" collapsed="false">
      <c r="A3682" s="12" t="s">
        <v>184</v>
      </c>
      <c r="B3682" s="12" t="s">
        <v>44</v>
      </c>
      <c r="C3682" s="12" t="s">
        <v>294</v>
      </c>
      <c r="D3682" s="12" t="str">
        <f aca="false">INDEX('Country Tiers'!$C$2:$C$37,MATCH(C3682,'Country Tiers'!$A$2:$A$37,0))</f>
        <v>Tier 3</v>
      </c>
      <c r="E3682" s="12" t="n">
        <f aca="false">INDEX('Country Tiers'!$D$2:$D$37,MATCH(C3682,'Country Tiers'!$A$2:$A$37,0))</f>
        <v>1</v>
      </c>
    </row>
    <row r="3683" customFormat="false" ht="15" hidden="false" customHeight="false" outlineLevel="0" collapsed="false">
      <c r="A3683" s="12" t="s">
        <v>184</v>
      </c>
      <c r="B3683" s="12" t="s">
        <v>44</v>
      </c>
      <c r="C3683" s="12" t="s">
        <v>295</v>
      </c>
      <c r="D3683" s="12" t="str">
        <f aca="false">INDEX('Country Tiers'!$C$2:$C$37,MATCH(C3683,'Country Tiers'!$A$2:$A$37,0))</f>
        <v>Tier 3</v>
      </c>
      <c r="E3683" s="12" t="n">
        <f aca="false">INDEX('Country Tiers'!$D$2:$D$37,MATCH(C3683,'Country Tiers'!$A$2:$A$37,0))</f>
        <v>1</v>
      </c>
    </row>
    <row r="3684" customFormat="false" ht="15" hidden="false" customHeight="false" outlineLevel="0" collapsed="false">
      <c r="A3684" s="12" t="s">
        <v>184</v>
      </c>
      <c r="B3684" s="12" t="s">
        <v>44</v>
      </c>
      <c r="C3684" s="12" t="s">
        <v>296</v>
      </c>
      <c r="D3684" s="12" t="str">
        <f aca="false">INDEX('Country Tiers'!$C$2:$C$37,MATCH(C3684,'Country Tiers'!$A$2:$A$37,0))</f>
        <v>Tier 3</v>
      </c>
      <c r="E3684" s="12" t="n">
        <f aca="false">INDEX('Country Tiers'!$D$2:$D$37,MATCH(C3684,'Country Tiers'!$A$2:$A$37,0))</f>
        <v>1</v>
      </c>
    </row>
    <row r="3685" customFormat="false" ht="15" hidden="false" customHeight="false" outlineLevel="0" collapsed="false">
      <c r="A3685" s="12" t="s">
        <v>184</v>
      </c>
      <c r="B3685" s="12" t="s">
        <v>44</v>
      </c>
      <c r="C3685" s="12" t="s">
        <v>297</v>
      </c>
      <c r="D3685" s="12" t="str">
        <f aca="false">INDEX('Country Tiers'!$C$2:$C$37,MATCH(C3685,'Country Tiers'!$A$2:$A$37,0))</f>
        <v>Tier 2</v>
      </c>
      <c r="E3685" s="12" t="n">
        <f aca="false">INDEX('Country Tiers'!$D$2:$D$37,MATCH(C3685,'Country Tiers'!$A$2:$A$37,0))</f>
        <v>2</v>
      </c>
    </row>
    <row r="3686" customFormat="false" ht="15" hidden="false" customHeight="false" outlineLevel="0" collapsed="false">
      <c r="A3686" s="12" t="s">
        <v>184</v>
      </c>
      <c r="B3686" s="12" t="s">
        <v>44</v>
      </c>
      <c r="C3686" s="12" t="s">
        <v>298</v>
      </c>
      <c r="D3686" s="12" t="str">
        <f aca="false">INDEX('Country Tiers'!$C$2:$C$37,MATCH(C3686,'Country Tiers'!$A$2:$A$37,0))</f>
        <v>Tier 1</v>
      </c>
      <c r="E3686" s="12" t="n">
        <f aca="false">INDEX('Country Tiers'!$D$2:$D$37,MATCH(C3686,'Country Tiers'!$A$2:$A$37,0))</f>
        <v>3</v>
      </c>
    </row>
    <row r="3687" customFormat="false" ht="15" hidden="false" customHeight="false" outlineLevel="0" collapsed="false">
      <c r="A3687" s="12" t="s">
        <v>184</v>
      </c>
      <c r="B3687" s="12" t="s">
        <v>44</v>
      </c>
      <c r="C3687" s="12" t="s">
        <v>299</v>
      </c>
      <c r="D3687" s="12" t="str">
        <f aca="false">INDEX('Country Tiers'!$C$2:$C$37,MATCH(C3687,'Country Tiers'!$A$2:$A$37,0))</f>
        <v>Tier 3</v>
      </c>
      <c r="E3687" s="12" t="n">
        <f aca="false">INDEX('Country Tiers'!$D$2:$D$37,MATCH(C3687,'Country Tiers'!$A$2:$A$37,0))</f>
        <v>1</v>
      </c>
    </row>
    <row r="3688" customFormat="false" ht="15" hidden="false" customHeight="false" outlineLevel="0" collapsed="false">
      <c r="A3688" s="12" t="s">
        <v>184</v>
      </c>
      <c r="B3688" s="12" t="s">
        <v>44</v>
      </c>
      <c r="C3688" s="12" t="s">
        <v>300</v>
      </c>
      <c r="D3688" s="12" t="str">
        <f aca="false">INDEX('Country Tiers'!$C$2:$C$37,MATCH(C3688,'Country Tiers'!$A$2:$A$37,0))</f>
        <v>Tier 3</v>
      </c>
      <c r="E3688" s="12" t="n">
        <f aca="false">INDEX('Country Tiers'!$D$2:$D$37,MATCH(C3688,'Country Tiers'!$A$2:$A$37,0))</f>
        <v>1</v>
      </c>
    </row>
    <row r="3689" customFormat="false" ht="15" hidden="false" customHeight="false" outlineLevel="0" collapsed="false">
      <c r="A3689" s="12" t="s">
        <v>184</v>
      </c>
      <c r="B3689" s="12" t="s">
        <v>44</v>
      </c>
      <c r="C3689" s="12" t="s">
        <v>301</v>
      </c>
      <c r="D3689" s="12" t="str">
        <f aca="false">INDEX('Country Tiers'!$C$2:$C$37,MATCH(C3689,'Country Tiers'!$A$2:$A$37,0))</f>
        <v>Tier 3</v>
      </c>
      <c r="E3689" s="12" t="n">
        <f aca="false">INDEX('Country Tiers'!$D$2:$D$37,MATCH(C3689,'Country Tiers'!$A$2:$A$37,0))</f>
        <v>1</v>
      </c>
    </row>
    <row r="3690" customFormat="false" ht="15" hidden="false" customHeight="false" outlineLevel="0" collapsed="false">
      <c r="A3690" s="12" t="s">
        <v>184</v>
      </c>
      <c r="B3690" s="12" t="s">
        <v>44</v>
      </c>
      <c r="C3690" s="12" t="s">
        <v>302</v>
      </c>
      <c r="D3690" s="12" t="str">
        <f aca="false">INDEX('Country Tiers'!$C$2:$C$37,MATCH(C3690,'Country Tiers'!$A$2:$A$37,0))</f>
        <v>Tier 3</v>
      </c>
      <c r="E3690" s="12" t="n">
        <f aca="false">INDEX('Country Tiers'!$D$2:$D$37,MATCH(C3690,'Country Tiers'!$A$2:$A$37,0))</f>
        <v>1</v>
      </c>
    </row>
    <row r="3691" customFormat="false" ht="15" hidden="false" customHeight="false" outlineLevel="0" collapsed="false">
      <c r="A3691" s="12" t="s">
        <v>184</v>
      </c>
      <c r="B3691" s="12" t="s">
        <v>44</v>
      </c>
      <c r="C3691" s="12" t="s">
        <v>305</v>
      </c>
      <c r="D3691" s="12" t="str">
        <f aca="false">INDEX('Country Tiers'!$C$2:$C$37,MATCH(C3691,'Country Tiers'!$A$2:$A$37,0))</f>
        <v>Tier 3</v>
      </c>
      <c r="E3691" s="12" t="n">
        <f aca="false">INDEX('Country Tiers'!$D$2:$D$37,MATCH(C3691,'Country Tiers'!$A$2:$A$37,0))</f>
        <v>1</v>
      </c>
    </row>
    <row r="3692" customFormat="false" ht="15" hidden="false" customHeight="false" outlineLevel="0" collapsed="false">
      <c r="A3692" s="12" t="s">
        <v>184</v>
      </c>
      <c r="B3692" s="12" t="s">
        <v>44</v>
      </c>
      <c r="C3692" s="12" t="s">
        <v>306</v>
      </c>
      <c r="D3692" s="12" t="str">
        <f aca="false">INDEX('Country Tiers'!$C$2:$C$37,MATCH(C3692,'Country Tiers'!$A$2:$A$37,0))</f>
        <v>Tier 3</v>
      </c>
      <c r="E3692" s="12" t="n">
        <f aca="false">INDEX('Country Tiers'!$D$2:$D$37,MATCH(C3692,'Country Tiers'!$A$2:$A$37,0))</f>
        <v>1</v>
      </c>
    </row>
    <row r="3693" customFormat="false" ht="15" hidden="false" customHeight="false" outlineLevel="0" collapsed="false">
      <c r="A3693" s="12" t="s">
        <v>184</v>
      </c>
      <c r="B3693" s="12" t="s">
        <v>44</v>
      </c>
      <c r="C3693" s="12" t="s">
        <v>307</v>
      </c>
      <c r="D3693" s="12" t="str">
        <f aca="false">INDEX('Country Tiers'!$C$2:$C$37,MATCH(C3693,'Country Tiers'!$A$2:$A$37,0))</f>
        <v>Tier 2</v>
      </c>
      <c r="E3693" s="12" t="n">
        <f aca="false">INDEX('Country Tiers'!$D$2:$D$37,MATCH(C3693,'Country Tiers'!$A$2:$A$37,0))</f>
        <v>2</v>
      </c>
    </row>
    <row r="3694" customFormat="false" ht="15" hidden="false" customHeight="false" outlineLevel="0" collapsed="false">
      <c r="A3694" s="12" t="s">
        <v>184</v>
      </c>
      <c r="B3694" s="12" t="s">
        <v>44</v>
      </c>
      <c r="C3694" s="12" t="s">
        <v>308</v>
      </c>
      <c r="D3694" s="12" t="str">
        <f aca="false">INDEX('Country Tiers'!$C$2:$C$37,MATCH(C3694,'Country Tiers'!$A$2:$A$37,0))</f>
        <v>Tier 3</v>
      </c>
      <c r="E3694" s="12" t="n">
        <f aca="false">INDEX('Country Tiers'!$D$2:$D$37,MATCH(C3694,'Country Tiers'!$A$2:$A$37,0))</f>
        <v>1</v>
      </c>
    </row>
    <row r="3695" customFormat="false" ht="15" hidden="false" customHeight="false" outlineLevel="0" collapsed="false">
      <c r="A3695" s="12" t="s">
        <v>184</v>
      </c>
      <c r="B3695" s="12" t="s">
        <v>44</v>
      </c>
      <c r="C3695" s="12" t="s">
        <v>309</v>
      </c>
      <c r="D3695" s="12" t="str">
        <f aca="false">INDEX('Country Tiers'!$C$2:$C$37,MATCH(C3695,'Country Tiers'!$A$2:$A$37,0))</f>
        <v>Tier 1</v>
      </c>
      <c r="E3695" s="12" t="n">
        <f aca="false">INDEX('Country Tiers'!$D$2:$D$37,MATCH(C3695,'Country Tiers'!$A$2:$A$37,0))</f>
        <v>3</v>
      </c>
    </row>
    <row r="3696" customFormat="false" ht="15" hidden="false" customHeight="false" outlineLevel="0" collapsed="false">
      <c r="A3696" s="12" t="s">
        <v>184</v>
      </c>
      <c r="B3696" s="12" t="s">
        <v>44</v>
      </c>
      <c r="C3696" s="12" t="s">
        <v>313</v>
      </c>
      <c r="D3696" s="12" t="str">
        <f aca="false">INDEX('Country Tiers'!$C$2:$C$37,MATCH(C3696,'Country Tiers'!$A$2:$A$37,0))</f>
        <v>Tier 1</v>
      </c>
      <c r="E3696" s="12" t="n">
        <f aca="false">INDEX('Country Tiers'!$D$2:$D$37,MATCH(C3696,'Country Tiers'!$A$2:$A$37,0))</f>
        <v>3</v>
      </c>
    </row>
    <row r="3697" customFormat="false" ht="15" hidden="false" customHeight="false" outlineLevel="0" collapsed="false">
      <c r="A3697" s="12" t="s">
        <v>184</v>
      </c>
      <c r="B3697" s="12" t="s">
        <v>40</v>
      </c>
      <c r="C3697" s="12" t="s">
        <v>272</v>
      </c>
      <c r="D3697" s="12" t="str">
        <f aca="false">INDEX('Country Tiers'!$C$2:$C$37,MATCH(C3697,'Country Tiers'!$A$2:$A$37,0))</f>
        <v>Tier 2</v>
      </c>
      <c r="E3697" s="12" t="n">
        <f aca="false">INDEX('Country Tiers'!$D$2:$D$37,MATCH(C3697,'Country Tiers'!$A$2:$A$37,0))</f>
        <v>2</v>
      </c>
    </row>
    <row r="3698" customFormat="false" ht="15" hidden="false" customHeight="false" outlineLevel="0" collapsed="false">
      <c r="A3698" s="12" t="s">
        <v>184</v>
      </c>
      <c r="B3698" s="12" t="s">
        <v>40</v>
      </c>
      <c r="C3698" s="12" t="s">
        <v>311</v>
      </c>
      <c r="D3698" s="12" t="str">
        <f aca="false">INDEX('Country Tiers'!$C$2:$C$37,MATCH(C3698,'Country Tiers'!$A$2:$A$37,0))</f>
        <v>Tier 1</v>
      </c>
      <c r="E3698" s="12" t="n">
        <f aca="false">INDEX('Country Tiers'!$D$2:$D$37,MATCH(C3698,'Country Tiers'!$A$2:$A$37,0))</f>
        <v>3</v>
      </c>
    </row>
    <row r="3699" customFormat="false" ht="15" hidden="false" customHeight="false" outlineLevel="0" collapsed="false">
      <c r="A3699" s="12" t="s">
        <v>184</v>
      </c>
      <c r="B3699" s="12" t="s">
        <v>63</v>
      </c>
      <c r="C3699" s="12" t="s">
        <v>272</v>
      </c>
      <c r="D3699" s="12" t="str">
        <f aca="false">INDEX('Country Tiers'!$C$2:$C$37,MATCH(C3699,'Country Tiers'!$A$2:$A$37,0))</f>
        <v>Tier 2</v>
      </c>
      <c r="E3699" s="12" t="n">
        <f aca="false">INDEX('Country Tiers'!$D$2:$D$37,MATCH(C3699,'Country Tiers'!$A$2:$A$37,0))</f>
        <v>2</v>
      </c>
    </row>
    <row r="3700" customFormat="false" ht="15" hidden="false" customHeight="false" outlineLevel="0" collapsed="false">
      <c r="A3700" s="12" t="s">
        <v>184</v>
      </c>
      <c r="B3700" s="12" t="s">
        <v>63</v>
      </c>
      <c r="C3700" s="12" t="s">
        <v>309</v>
      </c>
      <c r="D3700" s="12" t="str">
        <f aca="false">INDEX('Country Tiers'!$C$2:$C$37,MATCH(C3700,'Country Tiers'!$A$2:$A$37,0))</f>
        <v>Tier 1</v>
      </c>
      <c r="E3700" s="12" t="n">
        <f aca="false">INDEX('Country Tiers'!$D$2:$D$37,MATCH(C3700,'Country Tiers'!$A$2:$A$37,0))</f>
        <v>3</v>
      </c>
    </row>
    <row r="3701" customFormat="false" ht="15" hidden="false" customHeight="false" outlineLevel="0" collapsed="false">
      <c r="A3701" s="12" t="s">
        <v>184</v>
      </c>
      <c r="B3701" s="12" t="s">
        <v>63</v>
      </c>
      <c r="C3701" s="12" t="s">
        <v>311</v>
      </c>
      <c r="D3701" s="12" t="str">
        <f aca="false">INDEX('Country Tiers'!$C$2:$C$37,MATCH(C3701,'Country Tiers'!$A$2:$A$37,0))</f>
        <v>Tier 1</v>
      </c>
      <c r="E3701" s="12" t="n">
        <f aca="false">INDEX('Country Tiers'!$D$2:$D$37,MATCH(C3701,'Country Tiers'!$A$2:$A$37,0))</f>
        <v>3</v>
      </c>
    </row>
    <row r="3702" customFormat="false" ht="15" hidden="false" customHeight="false" outlineLevel="0" collapsed="false">
      <c r="A3702" s="12" t="s">
        <v>184</v>
      </c>
      <c r="B3702" s="12" t="s">
        <v>41</v>
      </c>
      <c r="C3702" s="12" t="s">
        <v>274</v>
      </c>
      <c r="D3702" s="12" t="str">
        <f aca="false">INDEX('Country Tiers'!$C$2:$C$37,MATCH(C3702,'Country Tiers'!$A$2:$A$37,0))</f>
        <v>Tier 3</v>
      </c>
      <c r="E3702" s="12" t="n">
        <f aca="false">INDEX('Country Tiers'!$D$2:$D$37,MATCH(C3702,'Country Tiers'!$A$2:$A$37,0))</f>
        <v>1</v>
      </c>
    </row>
    <row r="3703" customFormat="false" ht="15" hidden="false" customHeight="false" outlineLevel="0" collapsed="false">
      <c r="A3703" s="12" t="s">
        <v>184</v>
      </c>
      <c r="B3703" s="12" t="s">
        <v>41</v>
      </c>
      <c r="C3703" s="12" t="s">
        <v>277</v>
      </c>
      <c r="D3703" s="12" t="str">
        <f aca="false">INDEX('Country Tiers'!$C$2:$C$37,MATCH(C3703,'Country Tiers'!$A$2:$A$37,0))</f>
        <v>Tier 1</v>
      </c>
      <c r="E3703" s="12" t="n">
        <f aca="false">INDEX('Country Tiers'!$D$2:$D$37,MATCH(C3703,'Country Tiers'!$A$2:$A$37,0))</f>
        <v>3</v>
      </c>
    </row>
    <row r="3704" customFormat="false" ht="15" hidden="false" customHeight="false" outlineLevel="0" collapsed="false">
      <c r="A3704" s="12" t="s">
        <v>184</v>
      </c>
      <c r="B3704" s="12" t="s">
        <v>41</v>
      </c>
      <c r="C3704" s="12" t="s">
        <v>278</v>
      </c>
      <c r="D3704" s="12" t="str">
        <f aca="false">INDEX('Country Tiers'!$C$2:$C$37,MATCH(C3704,'Country Tiers'!$A$2:$A$37,0))</f>
        <v>Tier 3</v>
      </c>
      <c r="E3704" s="12" t="n">
        <f aca="false">INDEX('Country Tiers'!$D$2:$D$37,MATCH(C3704,'Country Tiers'!$A$2:$A$37,0))</f>
        <v>1</v>
      </c>
    </row>
    <row r="3705" customFormat="false" ht="15" hidden="false" customHeight="false" outlineLevel="0" collapsed="false">
      <c r="A3705" s="12" t="s">
        <v>184</v>
      </c>
      <c r="B3705" s="12" t="s">
        <v>41</v>
      </c>
      <c r="C3705" s="12" t="s">
        <v>280</v>
      </c>
      <c r="D3705" s="12" t="str">
        <f aca="false">INDEX('Country Tiers'!$C$2:$C$37,MATCH(C3705,'Country Tiers'!$A$2:$A$37,0))</f>
        <v>Tier 3</v>
      </c>
      <c r="E3705" s="12" t="n">
        <f aca="false">INDEX('Country Tiers'!$D$2:$D$37,MATCH(C3705,'Country Tiers'!$A$2:$A$37,0))</f>
        <v>1</v>
      </c>
    </row>
    <row r="3706" customFormat="false" ht="15" hidden="false" customHeight="false" outlineLevel="0" collapsed="false">
      <c r="A3706" s="12" t="s">
        <v>184</v>
      </c>
      <c r="B3706" s="12" t="s">
        <v>41</v>
      </c>
      <c r="C3706" s="12" t="s">
        <v>281</v>
      </c>
      <c r="D3706" s="12" t="str">
        <f aca="false">INDEX('Country Tiers'!$C$2:$C$37,MATCH(C3706,'Country Tiers'!$A$2:$A$37,0))</f>
        <v>Tier 3</v>
      </c>
      <c r="E3706" s="12" t="n">
        <f aca="false">INDEX('Country Tiers'!$D$2:$D$37,MATCH(C3706,'Country Tiers'!$A$2:$A$37,0))</f>
        <v>1</v>
      </c>
    </row>
    <row r="3707" customFormat="false" ht="15" hidden="false" customHeight="false" outlineLevel="0" collapsed="false">
      <c r="A3707" s="12" t="s">
        <v>184</v>
      </c>
      <c r="B3707" s="12" t="s">
        <v>41</v>
      </c>
      <c r="C3707" s="12" t="s">
        <v>282</v>
      </c>
      <c r="D3707" s="12" t="str">
        <f aca="false">INDEX('Country Tiers'!$C$2:$C$37,MATCH(C3707,'Country Tiers'!$A$2:$A$37,0))</f>
        <v>Tier 3</v>
      </c>
      <c r="E3707" s="12" t="n">
        <f aca="false">INDEX('Country Tiers'!$D$2:$D$37,MATCH(C3707,'Country Tiers'!$A$2:$A$37,0))</f>
        <v>1</v>
      </c>
    </row>
    <row r="3708" customFormat="false" ht="15" hidden="false" customHeight="false" outlineLevel="0" collapsed="false">
      <c r="A3708" s="12" t="s">
        <v>184</v>
      </c>
      <c r="B3708" s="12" t="s">
        <v>41</v>
      </c>
      <c r="C3708" s="12" t="s">
        <v>283</v>
      </c>
      <c r="D3708" s="12" t="str">
        <f aca="false">INDEX('Country Tiers'!$C$2:$C$37,MATCH(C3708,'Country Tiers'!$A$2:$A$37,0))</f>
        <v>Tier 3</v>
      </c>
      <c r="E3708" s="12" t="n">
        <f aca="false">INDEX('Country Tiers'!$D$2:$D$37,MATCH(C3708,'Country Tiers'!$A$2:$A$37,0))</f>
        <v>1</v>
      </c>
    </row>
    <row r="3709" customFormat="false" ht="15" hidden="false" customHeight="false" outlineLevel="0" collapsed="false">
      <c r="A3709" s="12" t="s">
        <v>184</v>
      </c>
      <c r="B3709" s="12" t="s">
        <v>41</v>
      </c>
      <c r="C3709" s="12" t="s">
        <v>284</v>
      </c>
      <c r="D3709" s="12" t="str">
        <f aca="false">INDEX('Country Tiers'!$C$2:$C$37,MATCH(C3709,'Country Tiers'!$A$2:$A$37,0))</f>
        <v>Tier 3</v>
      </c>
      <c r="E3709" s="12" t="n">
        <f aca="false">INDEX('Country Tiers'!$D$2:$D$37,MATCH(C3709,'Country Tiers'!$A$2:$A$37,0))</f>
        <v>1</v>
      </c>
    </row>
    <row r="3710" customFormat="false" ht="15" hidden="false" customHeight="false" outlineLevel="0" collapsed="false">
      <c r="A3710" s="12" t="s">
        <v>184</v>
      </c>
      <c r="B3710" s="12" t="s">
        <v>41</v>
      </c>
      <c r="C3710" s="12" t="s">
        <v>285</v>
      </c>
      <c r="D3710" s="12" t="str">
        <f aca="false">INDEX('Country Tiers'!$C$2:$C$37,MATCH(C3710,'Country Tiers'!$A$2:$A$37,0))</f>
        <v>Tier 3</v>
      </c>
      <c r="E3710" s="12" t="n">
        <f aca="false">INDEX('Country Tiers'!$D$2:$D$37,MATCH(C3710,'Country Tiers'!$A$2:$A$37,0))</f>
        <v>1</v>
      </c>
    </row>
    <row r="3711" customFormat="false" ht="15" hidden="false" customHeight="false" outlineLevel="0" collapsed="false">
      <c r="A3711" s="12" t="s">
        <v>184</v>
      </c>
      <c r="B3711" s="12" t="s">
        <v>41</v>
      </c>
      <c r="C3711" s="12" t="s">
        <v>286</v>
      </c>
      <c r="D3711" s="12" t="str">
        <f aca="false">INDEX('Country Tiers'!$C$2:$C$37,MATCH(C3711,'Country Tiers'!$A$2:$A$37,0))</f>
        <v>Tier 1</v>
      </c>
      <c r="E3711" s="12" t="n">
        <f aca="false">INDEX('Country Tiers'!$D$2:$D$37,MATCH(C3711,'Country Tiers'!$A$2:$A$37,0))</f>
        <v>3</v>
      </c>
    </row>
    <row r="3712" customFormat="false" ht="15" hidden="false" customHeight="false" outlineLevel="0" collapsed="false">
      <c r="A3712" s="12" t="s">
        <v>184</v>
      </c>
      <c r="B3712" s="12" t="s">
        <v>41</v>
      </c>
      <c r="C3712" s="12" t="s">
        <v>287</v>
      </c>
      <c r="D3712" s="12" t="str">
        <f aca="false">INDEX('Country Tiers'!$C$2:$C$37,MATCH(C3712,'Country Tiers'!$A$2:$A$37,0))</f>
        <v>Tier 1</v>
      </c>
      <c r="E3712" s="12" t="n">
        <f aca="false">INDEX('Country Tiers'!$D$2:$D$37,MATCH(C3712,'Country Tiers'!$A$2:$A$37,0))</f>
        <v>3</v>
      </c>
    </row>
    <row r="3713" customFormat="false" ht="15" hidden="false" customHeight="false" outlineLevel="0" collapsed="false">
      <c r="A3713" s="12" t="s">
        <v>184</v>
      </c>
      <c r="B3713" s="12" t="s">
        <v>41</v>
      </c>
      <c r="C3713" s="12" t="s">
        <v>288</v>
      </c>
      <c r="D3713" s="12" t="str">
        <f aca="false">INDEX('Country Tiers'!$C$2:$C$37,MATCH(C3713,'Country Tiers'!$A$2:$A$37,0))</f>
        <v>Tier 3</v>
      </c>
      <c r="E3713" s="12" t="n">
        <f aca="false">INDEX('Country Tiers'!$D$2:$D$37,MATCH(C3713,'Country Tiers'!$A$2:$A$37,0))</f>
        <v>1</v>
      </c>
    </row>
    <row r="3714" customFormat="false" ht="15" hidden="false" customHeight="false" outlineLevel="0" collapsed="false">
      <c r="A3714" s="12" t="s">
        <v>184</v>
      </c>
      <c r="B3714" s="12" t="s">
        <v>41</v>
      </c>
      <c r="C3714" s="12" t="s">
        <v>289</v>
      </c>
      <c r="D3714" s="12" t="str">
        <f aca="false">INDEX('Country Tiers'!$C$2:$C$37,MATCH(C3714,'Country Tiers'!$A$2:$A$37,0))</f>
        <v>Tier 3</v>
      </c>
      <c r="E3714" s="12" t="n">
        <f aca="false">INDEX('Country Tiers'!$D$2:$D$37,MATCH(C3714,'Country Tiers'!$A$2:$A$37,0))</f>
        <v>1</v>
      </c>
    </row>
    <row r="3715" customFormat="false" ht="15" hidden="false" customHeight="false" outlineLevel="0" collapsed="false">
      <c r="A3715" s="12" t="s">
        <v>184</v>
      </c>
      <c r="B3715" s="12" t="s">
        <v>41</v>
      </c>
      <c r="C3715" s="12" t="s">
        <v>290</v>
      </c>
      <c r="D3715" s="12" t="str">
        <f aca="false">INDEX('Country Tiers'!$C$2:$C$37,MATCH(C3715,'Country Tiers'!$A$2:$A$37,0))</f>
        <v>Tier 3</v>
      </c>
      <c r="E3715" s="12" t="n">
        <f aca="false">INDEX('Country Tiers'!$D$2:$D$37,MATCH(C3715,'Country Tiers'!$A$2:$A$37,0))</f>
        <v>1</v>
      </c>
    </row>
    <row r="3716" customFormat="false" ht="15" hidden="false" customHeight="false" outlineLevel="0" collapsed="false">
      <c r="A3716" s="12" t="s">
        <v>184</v>
      </c>
      <c r="B3716" s="12" t="s">
        <v>41</v>
      </c>
      <c r="C3716" s="12" t="s">
        <v>291</v>
      </c>
      <c r="D3716" s="12" t="str">
        <f aca="false">INDEX('Country Tiers'!$C$2:$C$37,MATCH(C3716,'Country Tiers'!$A$2:$A$37,0))</f>
        <v>Tier 3</v>
      </c>
      <c r="E3716" s="12" t="n">
        <f aca="false">INDEX('Country Tiers'!$D$2:$D$37,MATCH(C3716,'Country Tiers'!$A$2:$A$37,0))</f>
        <v>1</v>
      </c>
    </row>
    <row r="3717" customFormat="false" ht="15" hidden="false" customHeight="false" outlineLevel="0" collapsed="false">
      <c r="A3717" s="12" t="s">
        <v>184</v>
      </c>
      <c r="B3717" s="12" t="s">
        <v>41</v>
      </c>
      <c r="C3717" s="12" t="s">
        <v>292</v>
      </c>
      <c r="D3717" s="12" t="str">
        <f aca="false">INDEX('Country Tiers'!$C$2:$C$37,MATCH(C3717,'Country Tiers'!$A$2:$A$37,0))</f>
        <v>Tier 2</v>
      </c>
      <c r="E3717" s="12" t="n">
        <f aca="false">INDEX('Country Tiers'!$D$2:$D$37,MATCH(C3717,'Country Tiers'!$A$2:$A$37,0))</f>
        <v>2</v>
      </c>
    </row>
    <row r="3718" customFormat="false" ht="15" hidden="false" customHeight="false" outlineLevel="0" collapsed="false">
      <c r="A3718" s="12" t="s">
        <v>184</v>
      </c>
      <c r="B3718" s="12" t="s">
        <v>41</v>
      </c>
      <c r="C3718" s="12" t="s">
        <v>293</v>
      </c>
      <c r="D3718" s="12" t="str">
        <f aca="false">INDEX('Country Tiers'!$C$2:$C$37,MATCH(C3718,'Country Tiers'!$A$2:$A$37,0))</f>
        <v>Tier 3</v>
      </c>
      <c r="E3718" s="12" t="n">
        <f aca="false">INDEX('Country Tiers'!$D$2:$D$37,MATCH(C3718,'Country Tiers'!$A$2:$A$37,0))</f>
        <v>1</v>
      </c>
    </row>
    <row r="3719" customFormat="false" ht="15" hidden="false" customHeight="false" outlineLevel="0" collapsed="false">
      <c r="A3719" s="12" t="s">
        <v>184</v>
      </c>
      <c r="B3719" s="12" t="s">
        <v>41</v>
      </c>
      <c r="C3719" s="12" t="s">
        <v>294</v>
      </c>
      <c r="D3719" s="12" t="str">
        <f aca="false">INDEX('Country Tiers'!$C$2:$C$37,MATCH(C3719,'Country Tiers'!$A$2:$A$37,0))</f>
        <v>Tier 3</v>
      </c>
      <c r="E3719" s="12" t="n">
        <f aca="false">INDEX('Country Tiers'!$D$2:$D$37,MATCH(C3719,'Country Tiers'!$A$2:$A$37,0))</f>
        <v>1</v>
      </c>
    </row>
    <row r="3720" customFormat="false" ht="15" hidden="false" customHeight="false" outlineLevel="0" collapsed="false">
      <c r="A3720" s="12" t="s">
        <v>184</v>
      </c>
      <c r="B3720" s="12" t="s">
        <v>41</v>
      </c>
      <c r="C3720" s="12" t="s">
        <v>295</v>
      </c>
      <c r="D3720" s="12" t="str">
        <f aca="false">INDEX('Country Tiers'!$C$2:$C$37,MATCH(C3720,'Country Tiers'!$A$2:$A$37,0))</f>
        <v>Tier 3</v>
      </c>
      <c r="E3720" s="12" t="n">
        <f aca="false">INDEX('Country Tiers'!$D$2:$D$37,MATCH(C3720,'Country Tiers'!$A$2:$A$37,0))</f>
        <v>1</v>
      </c>
    </row>
    <row r="3721" customFormat="false" ht="15" hidden="false" customHeight="false" outlineLevel="0" collapsed="false">
      <c r="A3721" s="12" t="s">
        <v>184</v>
      </c>
      <c r="B3721" s="12" t="s">
        <v>41</v>
      </c>
      <c r="C3721" s="12" t="s">
        <v>296</v>
      </c>
      <c r="D3721" s="12" t="str">
        <f aca="false">INDEX('Country Tiers'!$C$2:$C$37,MATCH(C3721,'Country Tiers'!$A$2:$A$37,0))</f>
        <v>Tier 3</v>
      </c>
      <c r="E3721" s="12" t="n">
        <f aca="false">INDEX('Country Tiers'!$D$2:$D$37,MATCH(C3721,'Country Tiers'!$A$2:$A$37,0))</f>
        <v>1</v>
      </c>
    </row>
    <row r="3722" customFormat="false" ht="15" hidden="false" customHeight="false" outlineLevel="0" collapsed="false">
      <c r="A3722" s="12" t="s">
        <v>184</v>
      </c>
      <c r="B3722" s="12" t="s">
        <v>41</v>
      </c>
      <c r="C3722" s="12" t="s">
        <v>297</v>
      </c>
      <c r="D3722" s="12" t="str">
        <f aca="false">INDEX('Country Tiers'!$C$2:$C$37,MATCH(C3722,'Country Tiers'!$A$2:$A$37,0))</f>
        <v>Tier 2</v>
      </c>
      <c r="E3722" s="12" t="n">
        <f aca="false">INDEX('Country Tiers'!$D$2:$D$37,MATCH(C3722,'Country Tiers'!$A$2:$A$37,0))</f>
        <v>2</v>
      </c>
    </row>
    <row r="3723" customFormat="false" ht="15" hidden="false" customHeight="false" outlineLevel="0" collapsed="false">
      <c r="A3723" s="12" t="s">
        <v>184</v>
      </c>
      <c r="B3723" s="12" t="s">
        <v>41</v>
      </c>
      <c r="C3723" s="12" t="s">
        <v>298</v>
      </c>
      <c r="D3723" s="12" t="str">
        <f aca="false">INDEX('Country Tiers'!$C$2:$C$37,MATCH(C3723,'Country Tiers'!$A$2:$A$37,0))</f>
        <v>Tier 1</v>
      </c>
      <c r="E3723" s="12" t="n">
        <f aca="false">INDEX('Country Tiers'!$D$2:$D$37,MATCH(C3723,'Country Tiers'!$A$2:$A$37,0))</f>
        <v>3</v>
      </c>
    </row>
    <row r="3724" customFormat="false" ht="15" hidden="false" customHeight="false" outlineLevel="0" collapsed="false">
      <c r="A3724" s="12" t="s">
        <v>184</v>
      </c>
      <c r="B3724" s="12" t="s">
        <v>41</v>
      </c>
      <c r="C3724" s="12" t="s">
        <v>299</v>
      </c>
      <c r="D3724" s="12" t="str">
        <f aca="false">INDEX('Country Tiers'!$C$2:$C$37,MATCH(C3724,'Country Tiers'!$A$2:$A$37,0))</f>
        <v>Tier 3</v>
      </c>
      <c r="E3724" s="12" t="n">
        <f aca="false">INDEX('Country Tiers'!$D$2:$D$37,MATCH(C3724,'Country Tiers'!$A$2:$A$37,0))</f>
        <v>1</v>
      </c>
    </row>
    <row r="3725" customFormat="false" ht="15" hidden="false" customHeight="false" outlineLevel="0" collapsed="false">
      <c r="A3725" s="12" t="s">
        <v>184</v>
      </c>
      <c r="B3725" s="12" t="s">
        <v>41</v>
      </c>
      <c r="C3725" s="12" t="s">
        <v>300</v>
      </c>
      <c r="D3725" s="12" t="str">
        <f aca="false">INDEX('Country Tiers'!$C$2:$C$37,MATCH(C3725,'Country Tiers'!$A$2:$A$37,0))</f>
        <v>Tier 3</v>
      </c>
      <c r="E3725" s="12" t="n">
        <f aca="false">INDEX('Country Tiers'!$D$2:$D$37,MATCH(C3725,'Country Tiers'!$A$2:$A$37,0))</f>
        <v>1</v>
      </c>
    </row>
    <row r="3726" customFormat="false" ht="15" hidden="false" customHeight="false" outlineLevel="0" collapsed="false">
      <c r="A3726" s="12" t="s">
        <v>184</v>
      </c>
      <c r="B3726" s="12" t="s">
        <v>41</v>
      </c>
      <c r="C3726" s="12" t="s">
        <v>301</v>
      </c>
      <c r="D3726" s="12" t="str">
        <f aca="false">INDEX('Country Tiers'!$C$2:$C$37,MATCH(C3726,'Country Tiers'!$A$2:$A$37,0))</f>
        <v>Tier 3</v>
      </c>
      <c r="E3726" s="12" t="n">
        <f aca="false">INDEX('Country Tiers'!$D$2:$D$37,MATCH(C3726,'Country Tiers'!$A$2:$A$37,0))</f>
        <v>1</v>
      </c>
    </row>
    <row r="3727" customFormat="false" ht="15" hidden="false" customHeight="false" outlineLevel="0" collapsed="false">
      <c r="A3727" s="12" t="s">
        <v>184</v>
      </c>
      <c r="B3727" s="12" t="s">
        <v>41</v>
      </c>
      <c r="C3727" s="12" t="s">
        <v>302</v>
      </c>
      <c r="D3727" s="12" t="str">
        <f aca="false">INDEX('Country Tiers'!$C$2:$C$37,MATCH(C3727,'Country Tiers'!$A$2:$A$37,0))</f>
        <v>Tier 3</v>
      </c>
      <c r="E3727" s="12" t="n">
        <f aca="false">INDEX('Country Tiers'!$D$2:$D$37,MATCH(C3727,'Country Tiers'!$A$2:$A$37,0))</f>
        <v>1</v>
      </c>
    </row>
    <row r="3728" customFormat="false" ht="15" hidden="false" customHeight="false" outlineLevel="0" collapsed="false">
      <c r="A3728" s="12" t="s">
        <v>184</v>
      </c>
      <c r="B3728" s="12" t="s">
        <v>41</v>
      </c>
      <c r="C3728" s="12" t="s">
        <v>305</v>
      </c>
      <c r="D3728" s="12" t="str">
        <f aca="false">INDEX('Country Tiers'!$C$2:$C$37,MATCH(C3728,'Country Tiers'!$A$2:$A$37,0))</f>
        <v>Tier 3</v>
      </c>
      <c r="E3728" s="12" t="n">
        <f aca="false">INDEX('Country Tiers'!$D$2:$D$37,MATCH(C3728,'Country Tiers'!$A$2:$A$37,0))</f>
        <v>1</v>
      </c>
    </row>
    <row r="3729" customFormat="false" ht="15" hidden="false" customHeight="false" outlineLevel="0" collapsed="false">
      <c r="A3729" s="12" t="s">
        <v>184</v>
      </c>
      <c r="B3729" s="12" t="s">
        <v>41</v>
      </c>
      <c r="C3729" s="12" t="s">
        <v>306</v>
      </c>
      <c r="D3729" s="12" t="str">
        <f aca="false">INDEX('Country Tiers'!$C$2:$C$37,MATCH(C3729,'Country Tiers'!$A$2:$A$37,0))</f>
        <v>Tier 3</v>
      </c>
      <c r="E3729" s="12" t="n">
        <f aca="false">INDEX('Country Tiers'!$D$2:$D$37,MATCH(C3729,'Country Tiers'!$A$2:$A$37,0))</f>
        <v>1</v>
      </c>
    </row>
    <row r="3730" customFormat="false" ht="15" hidden="false" customHeight="false" outlineLevel="0" collapsed="false">
      <c r="A3730" s="12" t="s">
        <v>184</v>
      </c>
      <c r="B3730" s="12" t="s">
        <v>41</v>
      </c>
      <c r="C3730" s="12" t="s">
        <v>307</v>
      </c>
      <c r="D3730" s="12" t="str">
        <f aca="false">INDEX('Country Tiers'!$C$2:$C$37,MATCH(C3730,'Country Tiers'!$A$2:$A$37,0))</f>
        <v>Tier 2</v>
      </c>
      <c r="E3730" s="12" t="n">
        <f aca="false">INDEX('Country Tiers'!$D$2:$D$37,MATCH(C3730,'Country Tiers'!$A$2:$A$37,0))</f>
        <v>2</v>
      </c>
    </row>
    <row r="3731" customFormat="false" ht="15" hidden="false" customHeight="false" outlineLevel="0" collapsed="false">
      <c r="A3731" s="12" t="s">
        <v>184</v>
      </c>
      <c r="B3731" s="12" t="s">
        <v>41</v>
      </c>
      <c r="C3731" s="12" t="s">
        <v>308</v>
      </c>
      <c r="D3731" s="12" t="str">
        <f aca="false">INDEX('Country Tiers'!$C$2:$C$37,MATCH(C3731,'Country Tiers'!$A$2:$A$37,0))</f>
        <v>Tier 3</v>
      </c>
      <c r="E3731" s="12" t="n">
        <f aca="false">INDEX('Country Tiers'!$D$2:$D$37,MATCH(C3731,'Country Tiers'!$A$2:$A$37,0))</f>
        <v>1</v>
      </c>
    </row>
    <row r="3732" customFormat="false" ht="15" hidden="false" customHeight="false" outlineLevel="0" collapsed="false">
      <c r="A3732" s="12" t="s">
        <v>184</v>
      </c>
      <c r="B3732" s="12" t="s">
        <v>41</v>
      </c>
      <c r="C3732" s="12" t="s">
        <v>309</v>
      </c>
      <c r="D3732" s="12" t="str">
        <f aca="false">INDEX('Country Tiers'!$C$2:$C$37,MATCH(C3732,'Country Tiers'!$A$2:$A$37,0))</f>
        <v>Tier 1</v>
      </c>
      <c r="E3732" s="12" t="n">
        <f aca="false">INDEX('Country Tiers'!$D$2:$D$37,MATCH(C3732,'Country Tiers'!$A$2:$A$37,0))</f>
        <v>3</v>
      </c>
    </row>
    <row r="3733" customFormat="false" ht="15" hidden="false" customHeight="false" outlineLevel="0" collapsed="false">
      <c r="A3733" s="12" t="s">
        <v>184</v>
      </c>
      <c r="B3733" s="12" t="s">
        <v>41</v>
      </c>
      <c r="C3733" s="12" t="s">
        <v>313</v>
      </c>
      <c r="D3733" s="12" t="str">
        <f aca="false">INDEX('Country Tiers'!$C$2:$C$37,MATCH(C3733,'Country Tiers'!$A$2:$A$37,0))</f>
        <v>Tier 1</v>
      </c>
      <c r="E3733" s="12" t="n">
        <f aca="false">INDEX('Country Tiers'!$D$2:$D$37,MATCH(C3733,'Country Tiers'!$A$2:$A$37,0))</f>
        <v>3</v>
      </c>
    </row>
    <row r="3734" customFormat="false" ht="15" hidden="false" customHeight="false" outlineLevel="0" collapsed="false">
      <c r="A3734" s="12" t="s">
        <v>184</v>
      </c>
      <c r="B3734" s="12" t="s">
        <v>50</v>
      </c>
      <c r="C3734" s="12" t="s">
        <v>303</v>
      </c>
      <c r="D3734" s="12" t="str">
        <f aca="false">INDEX('Country Tiers'!$C$2:$C$37,MATCH(C3734,'Country Tiers'!$A$2:$A$37,0))</f>
        <v>Tier 2</v>
      </c>
      <c r="E3734" s="12" t="n">
        <f aca="false">INDEX('Country Tiers'!$D$2:$D$37,MATCH(C3734,'Country Tiers'!$A$2:$A$37,0))</f>
        <v>2</v>
      </c>
    </row>
    <row r="3735" customFormat="false" ht="15" hidden="false" customHeight="false" outlineLevel="0" collapsed="false">
      <c r="A3735" s="12" t="s">
        <v>184</v>
      </c>
      <c r="B3735" s="12" t="s">
        <v>50</v>
      </c>
      <c r="C3735" s="12" t="s">
        <v>309</v>
      </c>
      <c r="D3735" s="12" t="str">
        <f aca="false">INDEX('Country Tiers'!$C$2:$C$37,MATCH(C3735,'Country Tiers'!$A$2:$A$37,0))</f>
        <v>Tier 1</v>
      </c>
      <c r="E3735" s="12" t="n">
        <f aca="false">INDEX('Country Tiers'!$D$2:$D$37,MATCH(C3735,'Country Tiers'!$A$2:$A$37,0))</f>
        <v>3</v>
      </c>
    </row>
    <row r="3736" customFormat="false" ht="15" hidden="false" customHeight="false" outlineLevel="0" collapsed="false">
      <c r="A3736" s="12" t="s">
        <v>184</v>
      </c>
      <c r="B3736" s="12" t="s">
        <v>50</v>
      </c>
      <c r="C3736" s="12" t="s">
        <v>311</v>
      </c>
      <c r="D3736" s="12" t="str">
        <f aca="false">INDEX('Country Tiers'!$C$2:$C$37,MATCH(C3736,'Country Tiers'!$A$2:$A$37,0))</f>
        <v>Tier 1</v>
      </c>
      <c r="E3736" s="12" t="n">
        <f aca="false">INDEX('Country Tiers'!$D$2:$D$37,MATCH(C3736,'Country Tiers'!$A$2:$A$37,0))</f>
        <v>3</v>
      </c>
    </row>
    <row r="3737" customFormat="false" ht="15" hidden="false" customHeight="false" outlineLevel="0" collapsed="false">
      <c r="A3737" s="12" t="s">
        <v>184</v>
      </c>
      <c r="B3737" s="12" t="s">
        <v>38</v>
      </c>
      <c r="C3737" s="12" t="s">
        <v>274</v>
      </c>
      <c r="D3737" s="12" t="str">
        <f aca="false">INDEX('Country Tiers'!$C$2:$C$37,MATCH(C3737,'Country Tiers'!$A$2:$A$37,0))</f>
        <v>Tier 3</v>
      </c>
      <c r="E3737" s="12" t="n">
        <f aca="false">INDEX('Country Tiers'!$D$2:$D$37,MATCH(C3737,'Country Tiers'!$A$2:$A$37,0))</f>
        <v>1</v>
      </c>
    </row>
    <row r="3738" customFormat="false" ht="15" hidden="false" customHeight="false" outlineLevel="0" collapsed="false">
      <c r="A3738" s="12" t="s">
        <v>184</v>
      </c>
      <c r="B3738" s="12" t="s">
        <v>38</v>
      </c>
      <c r="C3738" s="12" t="s">
        <v>278</v>
      </c>
      <c r="D3738" s="12" t="str">
        <f aca="false">INDEX('Country Tiers'!$C$2:$C$37,MATCH(C3738,'Country Tiers'!$A$2:$A$37,0))</f>
        <v>Tier 3</v>
      </c>
      <c r="E3738" s="12" t="n">
        <f aca="false">INDEX('Country Tiers'!$D$2:$D$37,MATCH(C3738,'Country Tiers'!$A$2:$A$37,0))</f>
        <v>1</v>
      </c>
    </row>
    <row r="3739" customFormat="false" ht="15" hidden="false" customHeight="false" outlineLevel="0" collapsed="false">
      <c r="A3739" s="12" t="s">
        <v>184</v>
      </c>
      <c r="B3739" s="12" t="s">
        <v>38</v>
      </c>
      <c r="C3739" s="12" t="s">
        <v>280</v>
      </c>
      <c r="D3739" s="12" t="str">
        <f aca="false">INDEX('Country Tiers'!$C$2:$C$37,MATCH(C3739,'Country Tiers'!$A$2:$A$37,0))</f>
        <v>Tier 3</v>
      </c>
      <c r="E3739" s="12" t="n">
        <f aca="false">INDEX('Country Tiers'!$D$2:$D$37,MATCH(C3739,'Country Tiers'!$A$2:$A$37,0))</f>
        <v>1</v>
      </c>
    </row>
    <row r="3740" customFormat="false" ht="15" hidden="false" customHeight="false" outlineLevel="0" collapsed="false">
      <c r="A3740" s="12" t="s">
        <v>184</v>
      </c>
      <c r="B3740" s="12" t="s">
        <v>38</v>
      </c>
      <c r="C3740" s="12" t="s">
        <v>282</v>
      </c>
      <c r="D3740" s="12" t="str">
        <f aca="false">INDEX('Country Tiers'!$C$2:$C$37,MATCH(C3740,'Country Tiers'!$A$2:$A$37,0))</f>
        <v>Tier 3</v>
      </c>
      <c r="E3740" s="12" t="n">
        <f aca="false">INDEX('Country Tiers'!$D$2:$D$37,MATCH(C3740,'Country Tiers'!$A$2:$A$37,0))</f>
        <v>1</v>
      </c>
    </row>
    <row r="3741" customFormat="false" ht="15" hidden="false" customHeight="false" outlineLevel="0" collapsed="false">
      <c r="A3741" s="12" t="s">
        <v>184</v>
      </c>
      <c r="B3741" s="12" t="s">
        <v>38</v>
      </c>
      <c r="C3741" s="12" t="s">
        <v>283</v>
      </c>
      <c r="D3741" s="12" t="str">
        <f aca="false">INDEX('Country Tiers'!$C$2:$C$37,MATCH(C3741,'Country Tiers'!$A$2:$A$37,0))</f>
        <v>Tier 3</v>
      </c>
      <c r="E3741" s="12" t="n">
        <f aca="false">INDEX('Country Tiers'!$D$2:$D$37,MATCH(C3741,'Country Tiers'!$A$2:$A$37,0))</f>
        <v>1</v>
      </c>
    </row>
    <row r="3742" customFormat="false" ht="15" hidden="false" customHeight="false" outlineLevel="0" collapsed="false">
      <c r="A3742" s="12" t="s">
        <v>184</v>
      </c>
      <c r="B3742" s="12" t="s">
        <v>38</v>
      </c>
      <c r="C3742" s="12" t="s">
        <v>284</v>
      </c>
      <c r="D3742" s="12" t="str">
        <f aca="false">INDEX('Country Tiers'!$C$2:$C$37,MATCH(C3742,'Country Tiers'!$A$2:$A$37,0))</f>
        <v>Tier 3</v>
      </c>
      <c r="E3742" s="12" t="n">
        <f aca="false">INDEX('Country Tiers'!$D$2:$D$37,MATCH(C3742,'Country Tiers'!$A$2:$A$37,0))</f>
        <v>1</v>
      </c>
    </row>
    <row r="3743" customFormat="false" ht="15" hidden="false" customHeight="false" outlineLevel="0" collapsed="false">
      <c r="A3743" s="12" t="s">
        <v>184</v>
      </c>
      <c r="B3743" s="12" t="s">
        <v>38</v>
      </c>
      <c r="C3743" s="12" t="s">
        <v>285</v>
      </c>
      <c r="D3743" s="12" t="str">
        <f aca="false">INDEX('Country Tiers'!$C$2:$C$37,MATCH(C3743,'Country Tiers'!$A$2:$A$37,0))</f>
        <v>Tier 3</v>
      </c>
      <c r="E3743" s="12" t="n">
        <f aca="false">INDEX('Country Tiers'!$D$2:$D$37,MATCH(C3743,'Country Tiers'!$A$2:$A$37,0))</f>
        <v>1</v>
      </c>
    </row>
    <row r="3744" customFormat="false" ht="15" hidden="false" customHeight="false" outlineLevel="0" collapsed="false">
      <c r="A3744" s="12" t="s">
        <v>184</v>
      </c>
      <c r="B3744" s="12" t="s">
        <v>38</v>
      </c>
      <c r="C3744" s="12" t="s">
        <v>286</v>
      </c>
      <c r="D3744" s="12" t="str">
        <f aca="false">INDEX('Country Tiers'!$C$2:$C$37,MATCH(C3744,'Country Tiers'!$A$2:$A$37,0))</f>
        <v>Tier 1</v>
      </c>
      <c r="E3744" s="12" t="n">
        <f aca="false">INDEX('Country Tiers'!$D$2:$D$37,MATCH(C3744,'Country Tiers'!$A$2:$A$37,0))</f>
        <v>3</v>
      </c>
    </row>
    <row r="3745" customFormat="false" ht="15" hidden="false" customHeight="false" outlineLevel="0" collapsed="false">
      <c r="A3745" s="12" t="s">
        <v>184</v>
      </c>
      <c r="B3745" s="12" t="s">
        <v>38</v>
      </c>
      <c r="C3745" s="12" t="s">
        <v>287</v>
      </c>
      <c r="D3745" s="12" t="str">
        <f aca="false">INDEX('Country Tiers'!$C$2:$C$37,MATCH(C3745,'Country Tiers'!$A$2:$A$37,0))</f>
        <v>Tier 1</v>
      </c>
      <c r="E3745" s="12" t="n">
        <f aca="false">INDEX('Country Tiers'!$D$2:$D$37,MATCH(C3745,'Country Tiers'!$A$2:$A$37,0))</f>
        <v>3</v>
      </c>
    </row>
    <row r="3746" customFormat="false" ht="15" hidden="false" customHeight="false" outlineLevel="0" collapsed="false">
      <c r="A3746" s="12" t="s">
        <v>184</v>
      </c>
      <c r="B3746" s="12" t="s">
        <v>38</v>
      </c>
      <c r="C3746" s="12" t="s">
        <v>288</v>
      </c>
      <c r="D3746" s="12" t="str">
        <f aca="false">INDEX('Country Tiers'!$C$2:$C$37,MATCH(C3746,'Country Tiers'!$A$2:$A$37,0))</f>
        <v>Tier 3</v>
      </c>
      <c r="E3746" s="12" t="n">
        <f aca="false">INDEX('Country Tiers'!$D$2:$D$37,MATCH(C3746,'Country Tiers'!$A$2:$A$37,0))</f>
        <v>1</v>
      </c>
    </row>
    <row r="3747" customFormat="false" ht="15" hidden="false" customHeight="false" outlineLevel="0" collapsed="false">
      <c r="A3747" s="12" t="s">
        <v>184</v>
      </c>
      <c r="B3747" s="12" t="s">
        <v>38</v>
      </c>
      <c r="C3747" s="12" t="s">
        <v>289</v>
      </c>
      <c r="D3747" s="12" t="str">
        <f aca="false">INDEX('Country Tiers'!$C$2:$C$37,MATCH(C3747,'Country Tiers'!$A$2:$A$37,0))</f>
        <v>Tier 3</v>
      </c>
      <c r="E3747" s="12" t="n">
        <f aca="false">INDEX('Country Tiers'!$D$2:$D$37,MATCH(C3747,'Country Tiers'!$A$2:$A$37,0))</f>
        <v>1</v>
      </c>
    </row>
    <row r="3748" customFormat="false" ht="15" hidden="false" customHeight="false" outlineLevel="0" collapsed="false">
      <c r="A3748" s="12" t="s">
        <v>184</v>
      </c>
      <c r="B3748" s="12" t="s">
        <v>38</v>
      </c>
      <c r="C3748" s="12" t="s">
        <v>290</v>
      </c>
      <c r="D3748" s="12" t="str">
        <f aca="false">INDEX('Country Tiers'!$C$2:$C$37,MATCH(C3748,'Country Tiers'!$A$2:$A$37,0))</f>
        <v>Tier 3</v>
      </c>
      <c r="E3748" s="12" t="n">
        <f aca="false">INDEX('Country Tiers'!$D$2:$D$37,MATCH(C3748,'Country Tiers'!$A$2:$A$37,0))</f>
        <v>1</v>
      </c>
    </row>
    <row r="3749" customFormat="false" ht="15" hidden="false" customHeight="false" outlineLevel="0" collapsed="false">
      <c r="A3749" s="12" t="s">
        <v>184</v>
      </c>
      <c r="B3749" s="12" t="s">
        <v>38</v>
      </c>
      <c r="C3749" s="12" t="s">
        <v>291</v>
      </c>
      <c r="D3749" s="12" t="str">
        <f aca="false">INDEX('Country Tiers'!$C$2:$C$37,MATCH(C3749,'Country Tiers'!$A$2:$A$37,0))</f>
        <v>Tier 3</v>
      </c>
      <c r="E3749" s="12" t="n">
        <f aca="false">INDEX('Country Tiers'!$D$2:$D$37,MATCH(C3749,'Country Tiers'!$A$2:$A$37,0))</f>
        <v>1</v>
      </c>
    </row>
    <row r="3750" customFormat="false" ht="15" hidden="false" customHeight="false" outlineLevel="0" collapsed="false">
      <c r="A3750" s="12" t="s">
        <v>184</v>
      </c>
      <c r="B3750" s="12" t="s">
        <v>38</v>
      </c>
      <c r="C3750" s="12" t="s">
        <v>292</v>
      </c>
      <c r="D3750" s="12" t="str">
        <f aca="false">INDEX('Country Tiers'!$C$2:$C$37,MATCH(C3750,'Country Tiers'!$A$2:$A$37,0))</f>
        <v>Tier 2</v>
      </c>
      <c r="E3750" s="12" t="n">
        <f aca="false">INDEX('Country Tiers'!$D$2:$D$37,MATCH(C3750,'Country Tiers'!$A$2:$A$37,0))</f>
        <v>2</v>
      </c>
    </row>
    <row r="3751" customFormat="false" ht="15" hidden="false" customHeight="false" outlineLevel="0" collapsed="false">
      <c r="A3751" s="12" t="s">
        <v>184</v>
      </c>
      <c r="B3751" s="12" t="s">
        <v>38</v>
      </c>
      <c r="C3751" s="12" t="s">
        <v>293</v>
      </c>
      <c r="D3751" s="12" t="str">
        <f aca="false">INDEX('Country Tiers'!$C$2:$C$37,MATCH(C3751,'Country Tiers'!$A$2:$A$37,0))</f>
        <v>Tier 3</v>
      </c>
      <c r="E3751" s="12" t="n">
        <f aca="false">INDEX('Country Tiers'!$D$2:$D$37,MATCH(C3751,'Country Tiers'!$A$2:$A$37,0))</f>
        <v>1</v>
      </c>
    </row>
    <row r="3752" customFormat="false" ht="15" hidden="false" customHeight="false" outlineLevel="0" collapsed="false">
      <c r="A3752" s="12" t="s">
        <v>184</v>
      </c>
      <c r="B3752" s="12" t="s">
        <v>38</v>
      </c>
      <c r="C3752" s="12" t="s">
        <v>294</v>
      </c>
      <c r="D3752" s="12" t="str">
        <f aca="false">INDEX('Country Tiers'!$C$2:$C$37,MATCH(C3752,'Country Tiers'!$A$2:$A$37,0))</f>
        <v>Tier 3</v>
      </c>
      <c r="E3752" s="12" t="n">
        <f aca="false">INDEX('Country Tiers'!$D$2:$D$37,MATCH(C3752,'Country Tiers'!$A$2:$A$37,0))</f>
        <v>1</v>
      </c>
    </row>
    <row r="3753" customFormat="false" ht="15" hidden="false" customHeight="false" outlineLevel="0" collapsed="false">
      <c r="A3753" s="12" t="s">
        <v>184</v>
      </c>
      <c r="B3753" s="12" t="s">
        <v>38</v>
      </c>
      <c r="C3753" s="12" t="s">
        <v>295</v>
      </c>
      <c r="D3753" s="12" t="str">
        <f aca="false">INDEX('Country Tiers'!$C$2:$C$37,MATCH(C3753,'Country Tiers'!$A$2:$A$37,0))</f>
        <v>Tier 3</v>
      </c>
      <c r="E3753" s="12" t="n">
        <f aca="false">INDEX('Country Tiers'!$D$2:$D$37,MATCH(C3753,'Country Tiers'!$A$2:$A$37,0))</f>
        <v>1</v>
      </c>
    </row>
    <row r="3754" customFormat="false" ht="15" hidden="false" customHeight="false" outlineLevel="0" collapsed="false">
      <c r="A3754" s="12" t="s">
        <v>184</v>
      </c>
      <c r="B3754" s="12" t="s">
        <v>38</v>
      </c>
      <c r="C3754" s="12" t="s">
        <v>298</v>
      </c>
      <c r="D3754" s="12" t="str">
        <f aca="false">INDEX('Country Tiers'!$C$2:$C$37,MATCH(C3754,'Country Tiers'!$A$2:$A$37,0))</f>
        <v>Tier 1</v>
      </c>
      <c r="E3754" s="12" t="n">
        <f aca="false">INDEX('Country Tiers'!$D$2:$D$37,MATCH(C3754,'Country Tiers'!$A$2:$A$37,0))</f>
        <v>3</v>
      </c>
    </row>
    <row r="3755" customFormat="false" ht="15" hidden="false" customHeight="false" outlineLevel="0" collapsed="false">
      <c r="A3755" s="12" t="s">
        <v>184</v>
      </c>
      <c r="B3755" s="12" t="s">
        <v>38</v>
      </c>
      <c r="C3755" s="12" t="s">
        <v>299</v>
      </c>
      <c r="D3755" s="12" t="str">
        <f aca="false">INDEX('Country Tiers'!$C$2:$C$37,MATCH(C3755,'Country Tiers'!$A$2:$A$37,0))</f>
        <v>Tier 3</v>
      </c>
      <c r="E3755" s="12" t="n">
        <f aca="false">INDEX('Country Tiers'!$D$2:$D$37,MATCH(C3755,'Country Tiers'!$A$2:$A$37,0))</f>
        <v>1</v>
      </c>
    </row>
    <row r="3756" customFormat="false" ht="15" hidden="false" customHeight="false" outlineLevel="0" collapsed="false">
      <c r="A3756" s="12" t="s">
        <v>184</v>
      </c>
      <c r="B3756" s="12" t="s">
        <v>38</v>
      </c>
      <c r="C3756" s="12" t="s">
        <v>301</v>
      </c>
      <c r="D3756" s="12" t="str">
        <f aca="false">INDEX('Country Tiers'!$C$2:$C$37,MATCH(C3756,'Country Tiers'!$A$2:$A$37,0))</f>
        <v>Tier 3</v>
      </c>
      <c r="E3756" s="12" t="n">
        <f aca="false">INDEX('Country Tiers'!$D$2:$D$37,MATCH(C3756,'Country Tiers'!$A$2:$A$37,0))</f>
        <v>1</v>
      </c>
    </row>
    <row r="3757" customFormat="false" ht="15" hidden="false" customHeight="false" outlineLevel="0" collapsed="false">
      <c r="A3757" s="12" t="s">
        <v>184</v>
      </c>
      <c r="B3757" s="12" t="s">
        <v>38</v>
      </c>
      <c r="C3757" s="12" t="s">
        <v>302</v>
      </c>
      <c r="D3757" s="12" t="str">
        <f aca="false">INDEX('Country Tiers'!$C$2:$C$37,MATCH(C3757,'Country Tiers'!$A$2:$A$37,0))</f>
        <v>Tier 3</v>
      </c>
      <c r="E3757" s="12" t="n">
        <f aca="false">INDEX('Country Tiers'!$D$2:$D$37,MATCH(C3757,'Country Tiers'!$A$2:$A$37,0))</f>
        <v>1</v>
      </c>
    </row>
    <row r="3758" customFormat="false" ht="15" hidden="false" customHeight="false" outlineLevel="0" collapsed="false">
      <c r="A3758" s="12" t="s">
        <v>184</v>
      </c>
      <c r="B3758" s="12" t="s">
        <v>38</v>
      </c>
      <c r="C3758" s="12" t="s">
        <v>305</v>
      </c>
      <c r="D3758" s="12" t="str">
        <f aca="false">INDEX('Country Tiers'!$C$2:$C$37,MATCH(C3758,'Country Tiers'!$A$2:$A$37,0))</f>
        <v>Tier 3</v>
      </c>
      <c r="E3758" s="12" t="n">
        <f aca="false">INDEX('Country Tiers'!$D$2:$D$37,MATCH(C3758,'Country Tiers'!$A$2:$A$37,0))</f>
        <v>1</v>
      </c>
    </row>
    <row r="3759" customFormat="false" ht="15" hidden="false" customHeight="false" outlineLevel="0" collapsed="false">
      <c r="A3759" s="12" t="s">
        <v>184</v>
      </c>
      <c r="B3759" s="12" t="s">
        <v>38</v>
      </c>
      <c r="C3759" s="12" t="s">
        <v>306</v>
      </c>
      <c r="D3759" s="12" t="str">
        <f aca="false">INDEX('Country Tiers'!$C$2:$C$37,MATCH(C3759,'Country Tiers'!$A$2:$A$37,0))</f>
        <v>Tier 3</v>
      </c>
      <c r="E3759" s="12" t="n">
        <f aca="false">INDEX('Country Tiers'!$D$2:$D$37,MATCH(C3759,'Country Tiers'!$A$2:$A$37,0))</f>
        <v>1</v>
      </c>
    </row>
    <row r="3760" customFormat="false" ht="15" hidden="false" customHeight="false" outlineLevel="0" collapsed="false">
      <c r="A3760" s="12" t="s">
        <v>184</v>
      </c>
      <c r="B3760" s="12" t="s">
        <v>38</v>
      </c>
      <c r="C3760" s="12" t="s">
        <v>307</v>
      </c>
      <c r="D3760" s="12" t="str">
        <f aca="false">INDEX('Country Tiers'!$C$2:$C$37,MATCH(C3760,'Country Tiers'!$A$2:$A$37,0))</f>
        <v>Tier 2</v>
      </c>
      <c r="E3760" s="12" t="n">
        <f aca="false">INDEX('Country Tiers'!$D$2:$D$37,MATCH(C3760,'Country Tiers'!$A$2:$A$37,0))</f>
        <v>2</v>
      </c>
    </row>
    <row r="3761" customFormat="false" ht="15" hidden="false" customHeight="false" outlineLevel="0" collapsed="false">
      <c r="A3761" s="12" t="s">
        <v>184</v>
      </c>
      <c r="B3761" s="12" t="s">
        <v>38</v>
      </c>
      <c r="C3761" s="12" t="s">
        <v>308</v>
      </c>
      <c r="D3761" s="12" t="str">
        <f aca="false">INDEX('Country Tiers'!$C$2:$C$37,MATCH(C3761,'Country Tiers'!$A$2:$A$37,0))</f>
        <v>Tier 3</v>
      </c>
      <c r="E3761" s="12" t="n">
        <f aca="false">INDEX('Country Tiers'!$D$2:$D$37,MATCH(C3761,'Country Tiers'!$A$2:$A$37,0))</f>
        <v>1</v>
      </c>
    </row>
    <row r="3762" customFormat="false" ht="15" hidden="false" customHeight="false" outlineLevel="0" collapsed="false">
      <c r="A3762" s="12" t="s">
        <v>184</v>
      </c>
      <c r="B3762" s="12" t="s">
        <v>38</v>
      </c>
      <c r="C3762" s="12" t="s">
        <v>309</v>
      </c>
      <c r="D3762" s="12" t="str">
        <f aca="false">INDEX('Country Tiers'!$C$2:$C$37,MATCH(C3762,'Country Tiers'!$A$2:$A$37,0))</f>
        <v>Tier 1</v>
      </c>
      <c r="E3762" s="12" t="n">
        <f aca="false">INDEX('Country Tiers'!$D$2:$D$37,MATCH(C3762,'Country Tiers'!$A$2:$A$37,0))</f>
        <v>3</v>
      </c>
    </row>
    <row r="3763" customFormat="false" ht="15" hidden="false" customHeight="false" outlineLevel="0" collapsed="false">
      <c r="A3763" s="12" t="s">
        <v>184</v>
      </c>
      <c r="B3763" s="12" t="s">
        <v>38</v>
      </c>
      <c r="C3763" s="12" t="s">
        <v>313</v>
      </c>
      <c r="D3763" s="12" t="str">
        <f aca="false">INDEX('Country Tiers'!$C$2:$C$37,MATCH(C3763,'Country Tiers'!$A$2:$A$37,0))</f>
        <v>Tier 1</v>
      </c>
      <c r="E3763" s="12" t="n">
        <f aca="false">INDEX('Country Tiers'!$D$2:$D$37,MATCH(C3763,'Country Tiers'!$A$2:$A$37,0))</f>
        <v>3</v>
      </c>
    </row>
    <row r="3764" customFormat="false" ht="15" hidden="false" customHeight="false" outlineLevel="0" collapsed="false">
      <c r="A3764" s="12" t="s">
        <v>184</v>
      </c>
      <c r="B3764" s="12" t="s">
        <v>36</v>
      </c>
      <c r="C3764" s="12" t="s">
        <v>311</v>
      </c>
      <c r="D3764" s="12" t="str">
        <f aca="false">INDEX('Country Tiers'!$C$2:$C$37,MATCH(C3764,'Country Tiers'!$A$2:$A$37,0))</f>
        <v>Tier 1</v>
      </c>
      <c r="E3764" s="12" t="n">
        <f aca="false">INDEX('Country Tiers'!$D$2:$D$37,MATCH(C3764,'Country Tiers'!$A$2:$A$37,0))</f>
        <v>3</v>
      </c>
    </row>
    <row r="3765" customFormat="false" ht="15" hidden="false" customHeight="false" outlineLevel="0" collapsed="false">
      <c r="A3765" s="12" t="s">
        <v>185</v>
      </c>
      <c r="B3765" s="12" t="s">
        <v>54</v>
      </c>
      <c r="C3765" s="12" t="s">
        <v>303</v>
      </c>
      <c r="D3765" s="12" t="str">
        <f aca="false">INDEX('Country Tiers'!$C$2:$C$37,MATCH(C3765,'Country Tiers'!$A$2:$A$37,0))</f>
        <v>Tier 2</v>
      </c>
      <c r="E3765" s="12" t="n">
        <f aca="false">INDEX('Country Tiers'!$D$2:$D$37,MATCH(C3765,'Country Tiers'!$A$2:$A$37,0))</f>
        <v>2</v>
      </c>
    </row>
    <row r="3766" customFormat="false" ht="15" hidden="false" customHeight="false" outlineLevel="0" collapsed="false">
      <c r="A3766" s="12" t="s">
        <v>185</v>
      </c>
      <c r="B3766" s="12" t="s">
        <v>57</v>
      </c>
      <c r="C3766" s="12" t="s">
        <v>274</v>
      </c>
      <c r="D3766" s="12" t="str">
        <f aca="false">INDEX('Country Tiers'!$C$2:$C$37,MATCH(C3766,'Country Tiers'!$A$2:$A$37,0))</f>
        <v>Tier 3</v>
      </c>
      <c r="E3766" s="12" t="n">
        <f aca="false">INDEX('Country Tiers'!$D$2:$D$37,MATCH(C3766,'Country Tiers'!$A$2:$A$37,0))</f>
        <v>1</v>
      </c>
    </row>
    <row r="3767" customFormat="false" ht="15" hidden="false" customHeight="false" outlineLevel="0" collapsed="false">
      <c r="A3767" s="12" t="s">
        <v>185</v>
      </c>
      <c r="B3767" s="12" t="s">
        <v>57</v>
      </c>
      <c r="C3767" s="12" t="s">
        <v>277</v>
      </c>
      <c r="D3767" s="12" t="str">
        <f aca="false">INDEX('Country Tiers'!$C$2:$C$37,MATCH(C3767,'Country Tiers'!$A$2:$A$37,0))</f>
        <v>Tier 1</v>
      </c>
      <c r="E3767" s="12" t="n">
        <f aca="false">INDEX('Country Tiers'!$D$2:$D$37,MATCH(C3767,'Country Tiers'!$A$2:$A$37,0))</f>
        <v>3</v>
      </c>
    </row>
    <row r="3768" customFormat="false" ht="15" hidden="false" customHeight="false" outlineLevel="0" collapsed="false">
      <c r="A3768" s="12" t="s">
        <v>185</v>
      </c>
      <c r="B3768" s="12" t="s">
        <v>57</v>
      </c>
      <c r="C3768" s="12" t="s">
        <v>278</v>
      </c>
      <c r="D3768" s="12" t="str">
        <f aca="false">INDEX('Country Tiers'!$C$2:$C$37,MATCH(C3768,'Country Tiers'!$A$2:$A$37,0))</f>
        <v>Tier 3</v>
      </c>
      <c r="E3768" s="12" t="n">
        <f aca="false">INDEX('Country Tiers'!$D$2:$D$37,MATCH(C3768,'Country Tiers'!$A$2:$A$37,0))</f>
        <v>1</v>
      </c>
    </row>
    <row r="3769" customFormat="false" ht="15" hidden="false" customHeight="false" outlineLevel="0" collapsed="false">
      <c r="A3769" s="12" t="s">
        <v>185</v>
      </c>
      <c r="B3769" s="12" t="s">
        <v>57</v>
      </c>
      <c r="C3769" s="12" t="s">
        <v>280</v>
      </c>
      <c r="D3769" s="12" t="str">
        <f aca="false">INDEX('Country Tiers'!$C$2:$C$37,MATCH(C3769,'Country Tiers'!$A$2:$A$37,0))</f>
        <v>Tier 3</v>
      </c>
      <c r="E3769" s="12" t="n">
        <f aca="false">INDEX('Country Tiers'!$D$2:$D$37,MATCH(C3769,'Country Tiers'!$A$2:$A$37,0))</f>
        <v>1</v>
      </c>
    </row>
    <row r="3770" customFormat="false" ht="15" hidden="false" customHeight="false" outlineLevel="0" collapsed="false">
      <c r="A3770" s="12" t="s">
        <v>185</v>
      </c>
      <c r="B3770" s="12" t="s">
        <v>57</v>
      </c>
      <c r="C3770" s="12" t="s">
        <v>281</v>
      </c>
      <c r="D3770" s="12" t="str">
        <f aca="false">INDEX('Country Tiers'!$C$2:$C$37,MATCH(C3770,'Country Tiers'!$A$2:$A$37,0))</f>
        <v>Tier 3</v>
      </c>
      <c r="E3770" s="12" t="n">
        <f aca="false">INDEX('Country Tiers'!$D$2:$D$37,MATCH(C3770,'Country Tiers'!$A$2:$A$37,0))</f>
        <v>1</v>
      </c>
    </row>
    <row r="3771" customFormat="false" ht="15" hidden="false" customHeight="false" outlineLevel="0" collapsed="false">
      <c r="A3771" s="12" t="s">
        <v>185</v>
      </c>
      <c r="B3771" s="12" t="s">
        <v>57</v>
      </c>
      <c r="C3771" s="12" t="s">
        <v>282</v>
      </c>
      <c r="D3771" s="12" t="str">
        <f aca="false">INDEX('Country Tiers'!$C$2:$C$37,MATCH(C3771,'Country Tiers'!$A$2:$A$37,0))</f>
        <v>Tier 3</v>
      </c>
      <c r="E3771" s="12" t="n">
        <f aca="false">INDEX('Country Tiers'!$D$2:$D$37,MATCH(C3771,'Country Tiers'!$A$2:$A$37,0))</f>
        <v>1</v>
      </c>
    </row>
    <row r="3772" customFormat="false" ht="15" hidden="false" customHeight="false" outlineLevel="0" collapsed="false">
      <c r="A3772" s="12" t="s">
        <v>185</v>
      </c>
      <c r="B3772" s="12" t="s">
        <v>57</v>
      </c>
      <c r="C3772" s="12" t="s">
        <v>283</v>
      </c>
      <c r="D3772" s="12" t="str">
        <f aca="false">INDEX('Country Tiers'!$C$2:$C$37,MATCH(C3772,'Country Tiers'!$A$2:$A$37,0))</f>
        <v>Tier 3</v>
      </c>
      <c r="E3772" s="12" t="n">
        <f aca="false">INDEX('Country Tiers'!$D$2:$D$37,MATCH(C3772,'Country Tiers'!$A$2:$A$37,0))</f>
        <v>1</v>
      </c>
    </row>
    <row r="3773" customFormat="false" ht="15" hidden="false" customHeight="false" outlineLevel="0" collapsed="false">
      <c r="A3773" s="12" t="s">
        <v>185</v>
      </c>
      <c r="B3773" s="12" t="s">
        <v>57</v>
      </c>
      <c r="C3773" s="12" t="s">
        <v>285</v>
      </c>
      <c r="D3773" s="12" t="str">
        <f aca="false">INDEX('Country Tiers'!$C$2:$C$37,MATCH(C3773,'Country Tiers'!$A$2:$A$37,0))</f>
        <v>Tier 3</v>
      </c>
      <c r="E3773" s="12" t="n">
        <f aca="false">INDEX('Country Tiers'!$D$2:$D$37,MATCH(C3773,'Country Tiers'!$A$2:$A$37,0))</f>
        <v>1</v>
      </c>
    </row>
    <row r="3774" customFormat="false" ht="15" hidden="false" customHeight="false" outlineLevel="0" collapsed="false">
      <c r="A3774" s="12" t="s">
        <v>185</v>
      </c>
      <c r="B3774" s="12" t="s">
        <v>57</v>
      </c>
      <c r="C3774" s="12" t="s">
        <v>286</v>
      </c>
      <c r="D3774" s="12" t="str">
        <f aca="false">INDEX('Country Tiers'!$C$2:$C$37,MATCH(C3774,'Country Tiers'!$A$2:$A$37,0))</f>
        <v>Tier 1</v>
      </c>
      <c r="E3774" s="12" t="n">
        <f aca="false">INDEX('Country Tiers'!$D$2:$D$37,MATCH(C3774,'Country Tiers'!$A$2:$A$37,0))</f>
        <v>3</v>
      </c>
    </row>
    <row r="3775" customFormat="false" ht="15" hidden="false" customHeight="false" outlineLevel="0" collapsed="false">
      <c r="A3775" s="12" t="s">
        <v>185</v>
      </c>
      <c r="B3775" s="12" t="s">
        <v>57</v>
      </c>
      <c r="C3775" s="12" t="s">
        <v>287</v>
      </c>
      <c r="D3775" s="12" t="str">
        <f aca="false">INDEX('Country Tiers'!$C$2:$C$37,MATCH(C3775,'Country Tiers'!$A$2:$A$37,0))</f>
        <v>Tier 1</v>
      </c>
      <c r="E3775" s="12" t="n">
        <f aca="false">INDEX('Country Tiers'!$D$2:$D$37,MATCH(C3775,'Country Tiers'!$A$2:$A$37,0))</f>
        <v>3</v>
      </c>
    </row>
    <row r="3776" customFormat="false" ht="15" hidden="false" customHeight="false" outlineLevel="0" collapsed="false">
      <c r="A3776" s="12" t="s">
        <v>185</v>
      </c>
      <c r="B3776" s="12" t="s">
        <v>57</v>
      </c>
      <c r="C3776" s="12" t="s">
        <v>288</v>
      </c>
      <c r="D3776" s="12" t="str">
        <f aca="false">INDEX('Country Tiers'!$C$2:$C$37,MATCH(C3776,'Country Tiers'!$A$2:$A$37,0))</f>
        <v>Tier 3</v>
      </c>
      <c r="E3776" s="12" t="n">
        <f aca="false">INDEX('Country Tiers'!$D$2:$D$37,MATCH(C3776,'Country Tiers'!$A$2:$A$37,0))</f>
        <v>1</v>
      </c>
    </row>
    <row r="3777" customFormat="false" ht="15" hidden="false" customHeight="false" outlineLevel="0" collapsed="false">
      <c r="A3777" s="12" t="s">
        <v>185</v>
      </c>
      <c r="B3777" s="12" t="s">
        <v>57</v>
      </c>
      <c r="C3777" s="12" t="s">
        <v>289</v>
      </c>
      <c r="D3777" s="12" t="str">
        <f aca="false">INDEX('Country Tiers'!$C$2:$C$37,MATCH(C3777,'Country Tiers'!$A$2:$A$37,0))</f>
        <v>Tier 3</v>
      </c>
      <c r="E3777" s="12" t="n">
        <f aca="false">INDEX('Country Tiers'!$D$2:$D$37,MATCH(C3777,'Country Tiers'!$A$2:$A$37,0))</f>
        <v>1</v>
      </c>
    </row>
    <row r="3778" customFormat="false" ht="15" hidden="false" customHeight="false" outlineLevel="0" collapsed="false">
      <c r="A3778" s="12" t="s">
        <v>185</v>
      </c>
      <c r="B3778" s="12" t="s">
        <v>57</v>
      </c>
      <c r="C3778" s="12" t="s">
        <v>291</v>
      </c>
      <c r="D3778" s="12" t="str">
        <f aca="false">INDEX('Country Tiers'!$C$2:$C$37,MATCH(C3778,'Country Tiers'!$A$2:$A$37,0))</f>
        <v>Tier 3</v>
      </c>
      <c r="E3778" s="12" t="n">
        <f aca="false">INDEX('Country Tiers'!$D$2:$D$37,MATCH(C3778,'Country Tiers'!$A$2:$A$37,0))</f>
        <v>1</v>
      </c>
    </row>
    <row r="3779" customFormat="false" ht="15" hidden="false" customHeight="false" outlineLevel="0" collapsed="false">
      <c r="A3779" s="12" t="s">
        <v>185</v>
      </c>
      <c r="B3779" s="12" t="s">
        <v>57</v>
      </c>
      <c r="C3779" s="12" t="s">
        <v>292</v>
      </c>
      <c r="D3779" s="12" t="str">
        <f aca="false">INDEX('Country Tiers'!$C$2:$C$37,MATCH(C3779,'Country Tiers'!$A$2:$A$37,0))</f>
        <v>Tier 2</v>
      </c>
      <c r="E3779" s="12" t="n">
        <f aca="false">INDEX('Country Tiers'!$D$2:$D$37,MATCH(C3779,'Country Tiers'!$A$2:$A$37,0))</f>
        <v>2</v>
      </c>
    </row>
    <row r="3780" customFormat="false" ht="15" hidden="false" customHeight="false" outlineLevel="0" collapsed="false">
      <c r="A3780" s="12" t="s">
        <v>185</v>
      </c>
      <c r="B3780" s="12" t="s">
        <v>57</v>
      </c>
      <c r="C3780" s="12" t="s">
        <v>296</v>
      </c>
      <c r="D3780" s="12" t="str">
        <f aca="false">INDEX('Country Tiers'!$C$2:$C$37,MATCH(C3780,'Country Tiers'!$A$2:$A$37,0))</f>
        <v>Tier 3</v>
      </c>
      <c r="E3780" s="12" t="n">
        <f aca="false">INDEX('Country Tiers'!$D$2:$D$37,MATCH(C3780,'Country Tiers'!$A$2:$A$37,0))</f>
        <v>1</v>
      </c>
    </row>
    <row r="3781" customFormat="false" ht="15" hidden="false" customHeight="false" outlineLevel="0" collapsed="false">
      <c r="A3781" s="12" t="s">
        <v>185</v>
      </c>
      <c r="B3781" s="12" t="s">
        <v>57</v>
      </c>
      <c r="C3781" s="12" t="s">
        <v>297</v>
      </c>
      <c r="D3781" s="12" t="str">
        <f aca="false">INDEX('Country Tiers'!$C$2:$C$37,MATCH(C3781,'Country Tiers'!$A$2:$A$37,0))</f>
        <v>Tier 2</v>
      </c>
      <c r="E3781" s="12" t="n">
        <f aca="false">INDEX('Country Tiers'!$D$2:$D$37,MATCH(C3781,'Country Tiers'!$A$2:$A$37,0))</f>
        <v>2</v>
      </c>
    </row>
    <row r="3782" customFormat="false" ht="15" hidden="false" customHeight="false" outlineLevel="0" collapsed="false">
      <c r="A3782" s="12" t="s">
        <v>185</v>
      </c>
      <c r="B3782" s="12" t="s">
        <v>57</v>
      </c>
      <c r="C3782" s="12" t="s">
        <v>298</v>
      </c>
      <c r="D3782" s="12" t="str">
        <f aca="false">INDEX('Country Tiers'!$C$2:$C$37,MATCH(C3782,'Country Tiers'!$A$2:$A$37,0))</f>
        <v>Tier 1</v>
      </c>
      <c r="E3782" s="12" t="n">
        <f aca="false">INDEX('Country Tiers'!$D$2:$D$37,MATCH(C3782,'Country Tiers'!$A$2:$A$37,0))</f>
        <v>3</v>
      </c>
    </row>
    <row r="3783" customFormat="false" ht="15" hidden="false" customHeight="false" outlineLevel="0" collapsed="false">
      <c r="A3783" s="12" t="s">
        <v>185</v>
      </c>
      <c r="B3783" s="12" t="s">
        <v>57</v>
      </c>
      <c r="C3783" s="12" t="s">
        <v>299</v>
      </c>
      <c r="D3783" s="12" t="str">
        <f aca="false">INDEX('Country Tiers'!$C$2:$C$37,MATCH(C3783,'Country Tiers'!$A$2:$A$37,0))</f>
        <v>Tier 3</v>
      </c>
      <c r="E3783" s="12" t="n">
        <f aca="false">INDEX('Country Tiers'!$D$2:$D$37,MATCH(C3783,'Country Tiers'!$A$2:$A$37,0))</f>
        <v>1</v>
      </c>
    </row>
    <row r="3784" customFormat="false" ht="15" hidden="false" customHeight="false" outlineLevel="0" collapsed="false">
      <c r="A3784" s="12" t="s">
        <v>185</v>
      </c>
      <c r="B3784" s="12" t="s">
        <v>57</v>
      </c>
      <c r="C3784" s="12" t="s">
        <v>300</v>
      </c>
      <c r="D3784" s="12" t="str">
        <f aca="false">INDEX('Country Tiers'!$C$2:$C$37,MATCH(C3784,'Country Tiers'!$A$2:$A$37,0))</f>
        <v>Tier 3</v>
      </c>
      <c r="E3784" s="12" t="n">
        <f aca="false">INDEX('Country Tiers'!$D$2:$D$37,MATCH(C3784,'Country Tiers'!$A$2:$A$37,0))</f>
        <v>1</v>
      </c>
    </row>
    <row r="3785" customFormat="false" ht="15" hidden="false" customHeight="false" outlineLevel="0" collapsed="false">
      <c r="A3785" s="12" t="s">
        <v>185</v>
      </c>
      <c r="B3785" s="12" t="s">
        <v>57</v>
      </c>
      <c r="C3785" s="12" t="s">
        <v>301</v>
      </c>
      <c r="D3785" s="12" t="str">
        <f aca="false">INDEX('Country Tiers'!$C$2:$C$37,MATCH(C3785,'Country Tiers'!$A$2:$A$37,0))</f>
        <v>Tier 3</v>
      </c>
      <c r="E3785" s="12" t="n">
        <f aca="false">INDEX('Country Tiers'!$D$2:$D$37,MATCH(C3785,'Country Tiers'!$A$2:$A$37,0))</f>
        <v>1</v>
      </c>
    </row>
    <row r="3786" customFormat="false" ht="15" hidden="false" customHeight="false" outlineLevel="0" collapsed="false">
      <c r="A3786" s="12" t="s">
        <v>185</v>
      </c>
      <c r="B3786" s="12" t="s">
        <v>57</v>
      </c>
      <c r="C3786" s="12" t="s">
        <v>302</v>
      </c>
      <c r="D3786" s="12" t="str">
        <f aca="false">INDEX('Country Tiers'!$C$2:$C$37,MATCH(C3786,'Country Tiers'!$A$2:$A$37,0))</f>
        <v>Tier 3</v>
      </c>
      <c r="E3786" s="12" t="n">
        <f aca="false">INDEX('Country Tiers'!$D$2:$D$37,MATCH(C3786,'Country Tiers'!$A$2:$A$37,0))</f>
        <v>1</v>
      </c>
    </row>
    <row r="3787" customFormat="false" ht="15" hidden="false" customHeight="false" outlineLevel="0" collapsed="false">
      <c r="A3787" s="12" t="s">
        <v>185</v>
      </c>
      <c r="B3787" s="12" t="s">
        <v>57</v>
      </c>
      <c r="C3787" s="12" t="s">
        <v>305</v>
      </c>
      <c r="D3787" s="12" t="str">
        <f aca="false">INDEX('Country Tiers'!$C$2:$C$37,MATCH(C3787,'Country Tiers'!$A$2:$A$37,0))</f>
        <v>Tier 3</v>
      </c>
      <c r="E3787" s="12" t="n">
        <f aca="false">INDEX('Country Tiers'!$D$2:$D$37,MATCH(C3787,'Country Tiers'!$A$2:$A$37,0))</f>
        <v>1</v>
      </c>
    </row>
    <row r="3788" customFormat="false" ht="15" hidden="false" customHeight="false" outlineLevel="0" collapsed="false">
      <c r="A3788" s="12" t="s">
        <v>185</v>
      </c>
      <c r="B3788" s="12" t="s">
        <v>57</v>
      </c>
      <c r="C3788" s="12" t="s">
        <v>306</v>
      </c>
      <c r="D3788" s="12" t="str">
        <f aca="false">INDEX('Country Tiers'!$C$2:$C$37,MATCH(C3788,'Country Tiers'!$A$2:$A$37,0))</f>
        <v>Tier 3</v>
      </c>
      <c r="E3788" s="12" t="n">
        <f aca="false">INDEX('Country Tiers'!$D$2:$D$37,MATCH(C3788,'Country Tiers'!$A$2:$A$37,0))</f>
        <v>1</v>
      </c>
    </row>
    <row r="3789" customFormat="false" ht="15" hidden="false" customHeight="false" outlineLevel="0" collapsed="false">
      <c r="A3789" s="12" t="s">
        <v>185</v>
      </c>
      <c r="B3789" s="12" t="s">
        <v>57</v>
      </c>
      <c r="C3789" s="12" t="s">
        <v>307</v>
      </c>
      <c r="D3789" s="12" t="str">
        <f aca="false">INDEX('Country Tiers'!$C$2:$C$37,MATCH(C3789,'Country Tiers'!$A$2:$A$37,0))</f>
        <v>Tier 2</v>
      </c>
      <c r="E3789" s="12" t="n">
        <f aca="false">INDEX('Country Tiers'!$D$2:$D$37,MATCH(C3789,'Country Tiers'!$A$2:$A$37,0))</f>
        <v>2</v>
      </c>
    </row>
    <row r="3790" customFormat="false" ht="15" hidden="false" customHeight="false" outlineLevel="0" collapsed="false">
      <c r="A3790" s="12" t="s">
        <v>185</v>
      </c>
      <c r="B3790" s="12" t="s">
        <v>57</v>
      </c>
      <c r="C3790" s="12" t="s">
        <v>308</v>
      </c>
      <c r="D3790" s="12" t="str">
        <f aca="false">INDEX('Country Tiers'!$C$2:$C$37,MATCH(C3790,'Country Tiers'!$A$2:$A$37,0))</f>
        <v>Tier 3</v>
      </c>
      <c r="E3790" s="12" t="n">
        <f aca="false">INDEX('Country Tiers'!$D$2:$D$37,MATCH(C3790,'Country Tiers'!$A$2:$A$37,0))</f>
        <v>1</v>
      </c>
    </row>
    <row r="3791" customFormat="false" ht="15" hidden="false" customHeight="false" outlineLevel="0" collapsed="false">
      <c r="A3791" s="12" t="s">
        <v>185</v>
      </c>
      <c r="B3791" s="12" t="s">
        <v>57</v>
      </c>
      <c r="C3791" s="12" t="s">
        <v>309</v>
      </c>
      <c r="D3791" s="12" t="str">
        <f aca="false">INDEX('Country Tiers'!$C$2:$C$37,MATCH(C3791,'Country Tiers'!$A$2:$A$37,0))</f>
        <v>Tier 1</v>
      </c>
      <c r="E3791" s="12" t="n">
        <f aca="false">INDEX('Country Tiers'!$D$2:$D$37,MATCH(C3791,'Country Tiers'!$A$2:$A$37,0))</f>
        <v>3</v>
      </c>
    </row>
    <row r="3792" customFormat="false" ht="15" hidden="false" customHeight="false" outlineLevel="0" collapsed="false">
      <c r="A3792" s="12" t="s">
        <v>185</v>
      </c>
      <c r="B3792" s="12" t="s">
        <v>57</v>
      </c>
      <c r="C3792" s="12" t="s">
        <v>313</v>
      </c>
      <c r="D3792" s="12" t="str">
        <f aca="false">INDEX('Country Tiers'!$C$2:$C$37,MATCH(C3792,'Country Tiers'!$A$2:$A$37,0))</f>
        <v>Tier 1</v>
      </c>
      <c r="E3792" s="12" t="n">
        <f aca="false">INDEX('Country Tiers'!$D$2:$D$37,MATCH(C3792,'Country Tiers'!$A$2:$A$37,0))</f>
        <v>3</v>
      </c>
    </row>
    <row r="3793" customFormat="false" ht="15" hidden="false" customHeight="false" outlineLevel="0" collapsed="false">
      <c r="A3793" s="12" t="s">
        <v>185</v>
      </c>
      <c r="B3793" s="12" t="s">
        <v>44</v>
      </c>
      <c r="C3793" s="12" t="s">
        <v>274</v>
      </c>
      <c r="D3793" s="12" t="str">
        <f aca="false">INDEX('Country Tiers'!$C$2:$C$37,MATCH(C3793,'Country Tiers'!$A$2:$A$37,0))</f>
        <v>Tier 3</v>
      </c>
      <c r="E3793" s="12" t="n">
        <f aca="false">INDEX('Country Tiers'!$D$2:$D$37,MATCH(C3793,'Country Tiers'!$A$2:$A$37,0))</f>
        <v>1</v>
      </c>
    </row>
    <row r="3794" customFormat="false" ht="15" hidden="false" customHeight="false" outlineLevel="0" collapsed="false">
      <c r="A3794" s="12" t="s">
        <v>185</v>
      </c>
      <c r="B3794" s="12" t="s">
        <v>44</v>
      </c>
      <c r="C3794" s="12" t="s">
        <v>277</v>
      </c>
      <c r="D3794" s="12" t="str">
        <f aca="false">INDEX('Country Tiers'!$C$2:$C$37,MATCH(C3794,'Country Tiers'!$A$2:$A$37,0))</f>
        <v>Tier 1</v>
      </c>
      <c r="E3794" s="12" t="n">
        <f aca="false">INDEX('Country Tiers'!$D$2:$D$37,MATCH(C3794,'Country Tiers'!$A$2:$A$37,0))</f>
        <v>3</v>
      </c>
    </row>
    <row r="3795" customFormat="false" ht="15" hidden="false" customHeight="false" outlineLevel="0" collapsed="false">
      <c r="A3795" s="12" t="s">
        <v>185</v>
      </c>
      <c r="B3795" s="12" t="s">
        <v>44</v>
      </c>
      <c r="C3795" s="12" t="s">
        <v>278</v>
      </c>
      <c r="D3795" s="12" t="str">
        <f aca="false">INDEX('Country Tiers'!$C$2:$C$37,MATCH(C3795,'Country Tiers'!$A$2:$A$37,0))</f>
        <v>Tier 3</v>
      </c>
      <c r="E3795" s="12" t="n">
        <f aca="false">INDEX('Country Tiers'!$D$2:$D$37,MATCH(C3795,'Country Tiers'!$A$2:$A$37,0))</f>
        <v>1</v>
      </c>
    </row>
    <row r="3796" customFormat="false" ht="15" hidden="false" customHeight="false" outlineLevel="0" collapsed="false">
      <c r="A3796" s="12" t="s">
        <v>185</v>
      </c>
      <c r="B3796" s="12" t="s">
        <v>44</v>
      </c>
      <c r="C3796" s="12" t="s">
        <v>280</v>
      </c>
      <c r="D3796" s="12" t="str">
        <f aca="false">INDEX('Country Tiers'!$C$2:$C$37,MATCH(C3796,'Country Tiers'!$A$2:$A$37,0))</f>
        <v>Tier 3</v>
      </c>
      <c r="E3796" s="12" t="n">
        <f aca="false">INDEX('Country Tiers'!$D$2:$D$37,MATCH(C3796,'Country Tiers'!$A$2:$A$37,0))</f>
        <v>1</v>
      </c>
    </row>
    <row r="3797" customFormat="false" ht="15" hidden="false" customHeight="false" outlineLevel="0" collapsed="false">
      <c r="A3797" s="12" t="s">
        <v>185</v>
      </c>
      <c r="B3797" s="12" t="s">
        <v>44</v>
      </c>
      <c r="C3797" s="12" t="s">
        <v>281</v>
      </c>
      <c r="D3797" s="12" t="str">
        <f aca="false">INDEX('Country Tiers'!$C$2:$C$37,MATCH(C3797,'Country Tiers'!$A$2:$A$37,0))</f>
        <v>Tier 3</v>
      </c>
      <c r="E3797" s="12" t="n">
        <f aca="false">INDEX('Country Tiers'!$D$2:$D$37,MATCH(C3797,'Country Tiers'!$A$2:$A$37,0))</f>
        <v>1</v>
      </c>
    </row>
    <row r="3798" customFormat="false" ht="15" hidden="false" customHeight="false" outlineLevel="0" collapsed="false">
      <c r="A3798" s="12" t="s">
        <v>185</v>
      </c>
      <c r="B3798" s="12" t="s">
        <v>44</v>
      </c>
      <c r="C3798" s="12" t="s">
        <v>282</v>
      </c>
      <c r="D3798" s="12" t="str">
        <f aca="false">INDEX('Country Tiers'!$C$2:$C$37,MATCH(C3798,'Country Tiers'!$A$2:$A$37,0))</f>
        <v>Tier 3</v>
      </c>
      <c r="E3798" s="12" t="n">
        <f aca="false">INDEX('Country Tiers'!$D$2:$D$37,MATCH(C3798,'Country Tiers'!$A$2:$A$37,0))</f>
        <v>1</v>
      </c>
    </row>
    <row r="3799" customFormat="false" ht="15" hidden="false" customHeight="false" outlineLevel="0" collapsed="false">
      <c r="A3799" s="12" t="s">
        <v>185</v>
      </c>
      <c r="B3799" s="12" t="s">
        <v>44</v>
      </c>
      <c r="C3799" s="12" t="s">
        <v>283</v>
      </c>
      <c r="D3799" s="12" t="str">
        <f aca="false">INDEX('Country Tiers'!$C$2:$C$37,MATCH(C3799,'Country Tiers'!$A$2:$A$37,0))</f>
        <v>Tier 3</v>
      </c>
      <c r="E3799" s="12" t="n">
        <f aca="false">INDEX('Country Tiers'!$D$2:$D$37,MATCH(C3799,'Country Tiers'!$A$2:$A$37,0))</f>
        <v>1</v>
      </c>
    </row>
    <row r="3800" customFormat="false" ht="15" hidden="false" customHeight="false" outlineLevel="0" collapsed="false">
      <c r="A3800" s="12" t="s">
        <v>185</v>
      </c>
      <c r="B3800" s="12" t="s">
        <v>44</v>
      </c>
      <c r="C3800" s="12" t="s">
        <v>285</v>
      </c>
      <c r="D3800" s="12" t="str">
        <f aca="false">INDEX('Country Tiers'!$C$2:$C$37,MATCH(C3800,'Country Tiers'!$A$2:$A$37,0))</f>
        <v>Tier 3</v>
      </c>
      <c r="E3800" s="12" t="n">
        <f aca="false">INDEX('Country Tiers'!$D$2:$D$37,MATCH(C3800,'Country Tiers'!$A$2:$A$37,0))</f>
        <v>1</v>
      </c>
    </row>
    <row r="3801" customFormat="false" ht="15" hidden="false" customHeight="false" outlineLevel="0" collapsed="false">
      <c r="A3801" s="12" t="s">
        <v>185</v>
      </c>
      <c r="B3801" s="12" t="s">
        <v>44</v>
      </c>
      <c r="C3801" s="12" t="s">
        <v>286</v>
      </c>
      <c r="D3801" s="12" t="str">
        <f aca="false">INDEX('Country Tiers'!$C$2:$C$37,MATCH(C3801,'Country Tiers'!$A$2:$A$37,0))</f>
        <v>Tier 1</v>
      </c>
      <c r="E3801" s="12" t="n">
        <f aca="false">INDEX('Country Tiers'!$D$2:$D$37,MATCH(C3801,'Country Tiers'!$A$2:$A$37,0))</f>
        <v>3</v>
      </c>
    </row>
    <row r="3802" customFormat="false" ht="15" hidden="false" customHeight="false" outlineLevel="0" collapsed="false">
      <c r="A3802" s="12" t="s">
        <v>185</v>
      </c>
      <c r="B3802" s="12" t="s">
        <v>44</v>
      </c>
      <c r="C3802" s="12" t="s">
        <v>287</v>
      </c>
      <c r="D3802" s="12" t="str">
        <f aca="false">INDEX('Country Tiers'!$C$2:$C$37,MATCH(C3802,'Country Tiers'!$A$2:$A$37,0))</f>
        <v>Tier 1</v>
      </c>
      <c r="E3802" s="12" t="n">
        <f aca="false">INDEX('Country Tiers'!$D$2:$D$37,MATCH(C3802,'Country Tiers'!$A$2:$A$37,0))</f>
        <v>3</v>
      </c>
    </row>
    <row r="3803" customFormat="false" ht="15" hidden="false" customHeight="false" outlineLevel="0" collapsed="false">
      <c r="A3803" s="12" t="s">
        <v>185</v>
      </c>
      <c r="B3803" s="12" t="s">
        <v>44</v>
      </c>
      <c r="C3803" s="12" t="s">
        <v>288</v>
      </c>
      <c r="D3803" s="12" t="str">
        <f aca="false">INDEX('Country Tiers'!$C$2:$C$37,MATCH(C3803,'Country Tiers'!$A$2:$A$37,0))</f>
        <v>Tier 3</v>
      </c>
      <c r="E3803" s="12" t="n">
        <f aca="false">INDEX('Country Tiers'!$D$2:$D$37,MATCH(C3803,'Country Tiers'!$A$2:$A$37,0))</f>
        <v>1</v>
      </c>
    </row>
    <row r="3804" customFormat="false" ht="15" hidden="false" customHeight="false" outlineLevel="0" collapsed="false">
      <c r="A3804" s="12" t="s">
        <v>185</v>
      </c>
      <c r="B3804" s="12" t="s">
        <v>44</v>
      </c>
      <c r="C3804" s="12" t="s">
        <v>289</v>
      </c>
      <c r="D3804" s="12" t="str">
        <f aca="false">INDEX('Country Tiers'!$C$2:$C$37,MATCH(C3804,'Country Tiers'!$A$2:$A$37,0))</f>
        <v>Tier 3</v>
      </c>
      <c r="E3804" s="12" t="n">
        <f aca="false">INDEX('Country Tiers'!$D$2:$D$37,MATCH(C3804,'Country Tiers'!$A$2:$A$37,0))</f>
        <v>1</v>
      </c>
    </row>
    <row r="3805" customFormat="false" ht="15" hidden="false" customHeight="false" outlineLevel="0" collapsed="false">
      <c r="A3805" s="12" t="s">
        <v>185</v>
      </c>
      <c r="B3805" s="12" t="s">
        <v>44</v>
      </c>
      <c r="C3805" s="12" t="s">
        <v>291</v>
      </c>
      <c r="D3805" s="12" t="str">
        <f aca="false">INDEX('Country Tiers'!$C$2:$C$37,MATCH(C3805,'Country Tiers'!$A$2:$A$37,0))</f>
        <v>Tier 3</v>
      </c>
      <c r="E3805" s="12" t="n">
        <f aca="false">INDEX('Country Tiers'!$D$2:$D$37,MATCH(C3805,'Country Tiers'!$A$2:$A$37,0))</f>
        <v>1</v>
      </c>
    </row>
    <row r="3806" customFormat="false" ht="15" hidden="false" customHeight="false" outlineLevel="0" collapsed="false">
      <c r="A3806" s="12" t="s">
        <v>185</v>
      </c>
      <c r="B3806" s="12" t="s">
        <v>44</v>
      </c>
      <c r="C3806" s="12" t="s">
        <v>292</v>
      </c>
      <c r="D3806" s="12" t="str">
        <f aca="false">INDEX('Country Tiers'!$C$2:$C$37,MATCH(C3806,'Country Tiers'!$A$2:$A$37,0))</f>
        <v>Tier 2</v>
      </c>
      <c r="E3806" s="12" t="n">
        <f aca="false">INDEX('Country Tiers'!$D$2:$D$37,MATCH(C3806,'Country Tiers'!$A$2:$A$37,0))</f>
        <v>2</v>
      </c>
    </row>
    <row r="3807" customFormat="false" ht="15" hidden="false" customHeight="false" outlineLevel="0" collapsed="false">
      <c r="A3807" s="12" t="s">
        <v>185</v>
      </c>
      <c r="B3807" s="12" t="s">
        <v>44</v>
      </c>
      <c r="C3807" s="12" t="s">
        <v>296</v>
      </c>
      <c r="D3807" s="12" t="str">
        <f aca="false">INDEX('Country Tiers'!$C$2:$C$37,MATCH(C3807,'Country Tiers'!$A$2:$A$37,0))</f>
        <v>Tier 3</v>
      </c>
      <c r="E3807" s="12" t="n">
        <f aca="false">INDEX('Country Tiers'!$D$2:$D$37,MATCH(C3807,'Country Tiers'!$A$2:$A$37,0))</f>
        <v>1</v>
      </c>
    </row>
    <row r="3808" customFormat="false" ht="15" hidden="false" customHeight="false" outlineLevel="0" collapsed="false">
      <c r="A3808" s="12" t="s">
        <v>185</v>
      </c>
      <c r="B3808" s="12" t="s">
        <v>44</v>
      </c>
      <c r="C3808" s="12" t="s">
        <v>297</v>
      </c>
      <c r="D3808" s="12" t="str">
        <f aca="false">INDEX('Country Tiers'!$C$2:$C$37,MATCH(C3808,'Country Tiers'!$A$2:$A$37,0))</f>
        <v>Tier 2</v>
      </c>
      <c r="E3808" s="12" t="n">
        <f aca="false">INDEX('Country Tiers'!$D$2:$D$37,MATCH(C3808,'Country Tiers'!$A$2:$A$37,0))</f>
        <v>2</v>
      </c>
    </row>
    <row r="3809" customFormat="false" ht="15" hidden="false" customHeight="false" outlineLevel="0" collapsed="false">
      <c r="A3809" s="12" t="s">
        <v>185</v>
      </c>
      <c r="B3809" s="12" t="s">
        <v>44</v>
      </c>
      <c r="C3809" s="12" t="s">
        <v>298</v>
      </c>
      <c r="D3809" s="12" t="str">
        <f aca="false">INDEX('Country Tiers'!$C$2:$C$37,MATCH(C3809,'Country Tiers'!$A$2:$A$37,0))</f>
        <v>Tier 1</v>
      </c>
      <c r="E3809" s="12" t="n">
        <f aca="false">INDEX('Country Tiers'!$D$2:$D$37,MATCH(C3809,'Country Tiers'!$A$2:$A$37,0))</f>
        <v>3</v>
      </c>
    </row>
    <row r="3810" customFormat="false" ht="15" hidden="false" customHeight="false" outlineLevel="0" collapsed="false">
      <c r="A3810" s="12" t="s">
        <v>185</v>
      </c>
      <c r="B3810" s="12" t="s">
        <v>44</v>
      </c>
      <c r="C3810" s="12" t="s">
        <v>299</v>
      </c>
      <c r="D3810" s="12" t="str">
        <f aca="false">INDEX('Country Tiers'!$C$2:$C$37,MATCH(C3810,'Country Tiers'!$A$2:$A$37,0))</f>
        <v>Tier 3</v>
      </c>
      <c r="E3810" s="12" t="n">
        <f aca="false">INDEX('Country Tiers'!$D$2:$D$37,MATCH(C3810,'Country Tiers'!$A$2:$A$37,0))</f>
        <v>1</v>
      </c>
    </row>
    <row r="3811" customFormat="false" ht="15" hidden="false" customHeight="false" outlineLevel="0" collapsed="false">
      <c r="A3811" s="12" t="s">
        <v>185</v>
      </c>
      <c r="B3811" s="12" t="s">
        <v>44</v>
      </c>
      <c r="C3811" s="12" t="s">
        <v>300</v>
      </c>
      <c r="D3811" s="12" t="str">
        <f aca="false">INDEX('Country Tiers'!$C$2:$C$37,MATCH(C3811,'Country Tiers'!$A$2:$A$37,0))</f>
        <v>Tier 3</v>
      </c>
      <c r="E3811" s="12" t="n">
        <f aca="false">INDEX('Country Tiers'!$D$2:$D$37,MATCH(C3811,'Country Tiers'!$A$2:$A$37,0))</f>
        <v>1</v>
      </c>
    </row>
    <row r="3812" customFormat="false" ht="15" hidden="false" customHeight="false" outlineLevel="0" collapsed="false">
      <c r="A3812" s="12" t="s">
        <v>185</v>
      </c>
      <c r="B3812" s="12" t="s">
        <v>44</v>
      </c>
      <c r="C3812" s="12" t="s">
        <v>301</v>
      </c>
      <c r="D3812" s="12" t="str">
        <f aca="false">INDEX('Country Tiers'!$C$2:$C$37,MATCH(C3812,'Country Tiers'!$A$2:$A$37,0))</f>
        <v>Tier 3</v>
      </c>
      <c r="E3812" s="12" t="n">
        <f aca="false">INDEX('Country Tiers'!$D$2:$D$37,MATCH(C3812,'Country Tiers'!$A$2:$A$37,0))</f>
        <v>1</v>
      </c>
    </row>
    <row r="3813" customFormat="false" ht="15" hidden="false" customHeight="false" outlineLevel="0" collapsed="false">
      <c r="A3813" s="12" t="s">
        <v>185</v>
      </c>
      <c r="B3813" s="12" t="s">
        <v>44</v>
      </c>
      <c r="C3813" s="12" t="s">
        <v>302</v>
      </c>
      <c r="D3813" s="12" t="str">
        <f aca="false">INDEX('Country Tiers'!$C$2:$C$37,MATCH(C3813,'Country Tiers'!$A$2:$A$37,0))</f>
        <v>Tier 3</v>
      </c>
      <c r="E3813" s="12" t="n">
        <f aca="false">INDEX('Country Tiers'!$D$2:$D$37,MATCH(C3813,'Country Tiers'!$A$2:$A$37,0))</f>
        <v>1</v>
      </c>
    </row>
    <row r="3814" customFormat="false" ht="15" hidden="false" customHeight="false" outlineLevel="0" collapsed="false">
      <c r="A3814" s="12" t="s">
        <v>185</v>
      </c>
      <c r="B3814" s="12" t="s">
        <v>44</v>
      </c>
      <c r="C3814" s="12" t="s">
        <v>305</v>
      </c>
      <c r="D3814" s="12" t="str">
        <f aca="false">INDEX('Country Tiers'!$C$2:$C$37,MATCH(C3814,'Country Tiers'!$A$2:$A$37,0))</f>
        <v>Tier 3</v>
      </c>
      <c r="E3814" s="12" t="n">
        <f aca="false">INDEX('Country Tiers'!$D$2:$D$37,MATCH(C3814,'Country Tiers'!$A$2:$A$37,0))</f>
        <v>1</v>
      </c>
    </row>
    <row r="3815" customFormat="false" ht="15" hidden="false" customHeight="false" outlineLevel="0" collapsed="false">
      <c r="A3815" s="12" t="s">
        <v>185</v>
      </c>
      <c r="B3815" s="12" t="s">
        <v>44</v>
      </c>
      <c r="C3815" s="12" t="s">
        <v>306</v>
      </c>
      <c r="D3815" s="12" t="str">
        <f aca="false">INDEX('Country Tiers'!$C$2:$C$37,MATCH(C3815,'Country Tiers'!$A$2:$A$37,0))</f>
        <v>Tier 3</v>
      </c>
      <c r="E3815" s="12" t="n">
        <f aca="false">INDEX('Country Tiers'!$D$2:$D$37,MATCH(C3815,'Country Tiers'!$A$2:$A$37,0))</f>
        <v>1</v>
      </c>
    </row>
    <row r="3816" customFormat="false" ht="15" hidden="false" customHeight="false" outlineLevel="0" collapsed="false">
      <c r="A3816" s="12" t="s">
        <v>185</v>
      </c>
      <c r="B3816" s="12" t="s">
        <v>44</v>
      </c>
      <c r="C3816" s="12" t="s">
        <v>307</v>
      </c>
      <c r="D3816" s="12" t="str">
        <f aca="false">INDEX('Country Tiers'!$C$2:$C$37,MATCH(C3816,'Country Tiers'!$A$2:$A$37,0))</f>
        <v>Tier 2</v>
      </c>
      <c r="E3816" s="12" t="n">
        <f aca="false">INDEX('Country Tiers'!$D$2:$D$37,MATCH(C3816,'Country Tiers'!$A$2:$A$37,0))</f>
        <v>2</v>
      </c>
    </row>
    <row r="3817" customFormat="false" ht="15" hidden="false" customHeight="false" outlineLevel="0" collapsed="false">
      <c r="A3817" s="12" t="s">
        <v>185</v>
      </c>
      <c r="B3817" s="12" t="s">
        <v>44</v>
      </c>
      <c r="C3817" s="12" t="s">
        <v>308</v>
      </c>
      <c r="D3817" s="12" t="str">
        <f aca="false">INDEX('Country Tiers'!$C$2:$C$37,MATCH(C3817,'Country Tiers'!$A$2:$A$37,0))</f>
        <v>Tier 3</v>
      </c>
      <c r="E3817" s="12" t="n">
        <f aca="false">INDEX('Country Tiers'!$D$2:$D$37,MATCH(C3817,'Country Tiers'!$A$2:$A$37,0))</f>
        <v>1</v>
      </c>
    </row>
    <row r="3818" customFormat="false" ht="15" hidden="false" customHeight="false" outlineLevel="0" collapsed="false">
      <c r="A3818" s="12" t="s">
        <v>185</v>
      </c>
      <c r="B3818" s="12" t="s">
        <v>44</v>
      </c>
      <c r="C3818" s="12" t="s">
        <v>313</v>
      </c>
      <c r="D3818" s="12" t="str">
        <f aca="false">INDEX('Country Tiers'!$C$2:$C$37,MATCH(C3818,'Country Tiers'!$A$2:$A$37,0))</f>
        <v>Tier 1</v>
      </c>
      <c r="E3818" s="12" t="n">
        <f aca="false">INDEX('Country Tiers'!$D$2:$D$37,MATCH(C3818,'Country Tiers'!$A$2:$A$37,0))</f>
        <v>3</v>
      </c>
    </row>
    <row r="3819" customFormat="false" ht="15" hidden="false" customHeight="false" outlineLevel="0" collapsed="false">
      <c r="A3819" s="12" t="s">
        <v>185</v>
      </c>
      <c r="B3819" s="12" t="s">
        <v>40</v>
      </c>
      <c r="C3819" s="12" t="s">
        <v>272</v>
      </c>
      <c r="D3819" s="12" t="str">
        <f aca="false">INDEX('Country Tiers'!$C$2:$C$37,MATCH(C3819,'Country Tiers'!$A$2:$A$37,0))</f>
        <v>Tier 2</v>
      </c>
      <c r="E3819" s="12" t="n">
        <f aca="false">INDEX('Country Tiers'!$D$2:$D$37,MATCH(C3819,'Country Tiers'!$A$2:$A$37,0))</f>
        <v>2</v>
      </c>
    </row>
    <row r="3820" customFormat="false" ht="15" hidden="false" customHeight="false" outlineLevel="0" collapsed="false">
      <c r="A3820" s="12" t="s">
        <v>185</v>
      </c>
      <c r="B3820" s="12" t="s">
        <v>40</v>
      </c>
      <c r="C3820" s="12" t="s">
        <v>303</v>
      </c>
      <c r="D3820" s="12" t="str">
        <f aca="false">INDEX('Country Tiers'!$C$2:$C$37,MATCH(C3820,'Country Tiers'!$A$2:$A$37,0))</f>
        <v>Tier 2</v>
      </c>
      <c r="E3820" s="12" t="n">
        <f aca="false">INDEX('Country Tiers'!$D$2:$D$37,MATCH(C3820,'Country Tiers'!$A$2:$A$37,0))</f>
        <v>2</v>
      </c>
    </row>
    <row r="3821" customFormat="false" ht="15" hidden="false" customHeight="false" outlineLevel="0" collapsed="false">
      <c r="A3821" s="12" t="s">
        <v>185</v>
      </c>
      <c r="B3821" s="12" t="s">
        <v>50</v>
      </c>
      <c r="C3821" s="12" t="s">
        <v>274</v>
      </c>
      <c r="D3821" s="12" t="str">
        <f aca="false">INDEX('Country Tiers'!$C$2:$C$37,MATCH(C3821,'Country Tiers'!$A$2:$A$37,0))</f>
        <v>Tier 3</v>
      </c>
      <c r="E3821" s="12" t="n">
        <f aca="false">INDEX('Country Tiers'!$D$2:$D$37,MATCH(C3821,'Country Tiers'!$A$2:$A$37,0))</f>
        <v>1</v>
      </c>
    </row>
    <row r="3822" customFormat="false" ht="15" hidden="false" customHeight="false" outlineLevel="0" collapsed="false">
      <c r="A3822" s="12" t="s">
        <v>185</v>
      </c>
      <c r="B3822" s="12" t="s">
        <v>50</v>
      </c>
      <c r="C3822" s="12" t="s">
        <v>277</v>
      </c>
      <c r="D3822" s="12" t="str">
        <f aca="false">INDEX('Country Tiers'!$C$2:$C$37,MATCH(C3822,'Country Tiers'!$A$2:$A$37,0))</f>
        <v>Tier 1</v>
      </c>
      <c r="E3822" s="12" t="n">
        <f aca="false">INDEX('Country Tiers'!$D$2:$D$37,MATCH(C3822,'Country Tiers'!$A$2:$A$37,0))</f>
        <v>3</v>
      </c>
    </row>
    <row r="3823" customFormat="false" ht="15" hidden="false" customHeight="false" outlineLevel="0" collapsed="false">
      <c r="A3823" s="12" t="s">
        <v>185</v>
      </c>
      <c r="B3823" s="12" t="s">
        <v>50</v>
      </c>
      <c r="C3823" s="12" t="s">
        <v>278</v>
      </c>
      <c r="D3823" s="12" t="str">
        <f aca="false">INDEX('Country Tiers'!$C$2:$C$37,MATCH(C3823,'Country Tiers'!$A$2:$A$37,0))</f>
        <v>Tier 3</v>
      </c>
      <c r="E3823" s="12" t="n">
        <f aca="false">INDEX('Country Tiers'!$D$2:$D$37,MATCH(C3823,'Country Tiers'!$A$2:$A$37,0))</f>
        <v>1</v>
      </c>
    </row>
    <row r="3824" customFormat="false" ht="15" hidden="false" customHeight="false" outlineLevel="0" collapsed="false">
      <c r="A3824" s="12" t="s">
        <v>185</v>
      </c>
      <c r="B3824" s="12" t="s">
        <v>50</v>
      </c>
      <c r="C3824" s="12" t="s">
        <v>280</v>
      </c>
      <c r="D3824" s="12" t="str">
        <f aca="false">INDEX('Country Tiers'!$C$2:$C$37,MATCH(C3824,'Country Tiers'!$A$2:$A$37,0))</f>
        <v>Tier 3</v>
      </c>
      <c r="E3824" s="12" t="n">
        <f aca="false">INDEX('Country Tiers'!$D$2:$D$37,MATCH(C3824,'Country Tiers'!$A$2:$A$37,0))</f>
        <v>1</v>
      </c>
    </row>
    <row r="3825" customFormat="false" ht="15" hidden="false" customHeight="false" outlineLevel="0" collapsed="false">
      <c r="A3825" s="12" t="s">
        <v>185</v>
      </c>
      <c r="B3825" s="12" t="s">
        <v>50</v>
      </c>
      <c r="C3825" s="12" t="s">
        <v>281</v>
      </c>
      <c r="D3825" s="12" t="str">
        <f aca="false">INDEX('Country Tiers'!$C$2:$C$37,MATCH(C3825,'Country Tiers'!$A$2:$A$37,0))</f>
        <v>Tier 3</v>
      </c>
      <c r="E3825" s="12" t="n">
        <f aca="false">INDEX('Country Tiers'!$D$2:$D$37,MATCH(C3825,'Country Tiers'!$A$2:$A$37,0))</f>
        <v>1</v>
      </c>
    </row>
    <row r="3826" customFormat="false" ht="15" hidden="false" customHeight="false" outlineLevel="0" collapsed="false">
      <c r="A3826" s="12" t="s">
        <v>185</v>
      </c>
      <c r="B3826" s="12" t="s">
        <v>50</v>
      </c>
      <c r="C3826" s="12" t="s">
        <v>282</v>
      </c>
      <c r="D3826" s="12" t="str">
        <f aca="false">INDEX('Country Tiers'!$C$2:$C$37,MATCH(C3826,'Country Tiers'!$A$2:$A$37,0))</f>
        <v>Tier 3</v>
      </c>
      <c r="E3826" s="12" t="n">
        <f aca="false">INDEX('Country Tiers'!$D$2:$D$37,MATCH(C3826,'Country Tiers'!$A$2:$A$37,0))</f>
        <v>1</v>
      </c>
    </row>
    <row r="3827" customFormat="false" ht="15" hidden="false" customHeight="false" outlineLevel="0" collapsed="false">
      <c r="A3827" s="12" t="s">
        <v>185</v>
      </c>
      <c r="B3827" s="12" t="s">
        <v>50</v>
      </c>
      <c r="C3827" s="12" t="s">
        <v>283</v>
      </c>
      <c r="D3827" s="12" t="str">
        <f aca="false">INDEX('Country Tiers'!$C$2:$C$37,MATCH(C3827,'Country Tiers'!$A$2:$A$37,0))</f>
        <v>Tier 3</v>
      </c>
      <c r="E3827" s="12" t="n">
        <f aca="false">INDEX('Country Tiers'!$D$2:$D$37,MATCH(C3827,'Country Tiers'!$A$2:$A$37,0))</f>
        <v>1</v>
      </c>
    </row>
    <row r="3828" customFormat="false" ht="15" hidden="false" customHeight="false" outlineLevel="0" collapsed="false">
      <c r="A3828" s="12" t="s">
        <v>185</v>
      </c>
      <c r="B3828" s="12" t="s">
        <v>50</v>
      </c>
      <c r="C3828" s="12" t="s">
        <v>285</v>
      </c>
      <c r="D3828" s="12" t="str">
        <f aca="false">INDEX('Country Tiers'!$C$2:$C$37,MATCH(C3828,'Country Tiers'!$A$2:$A$37,0))</f>
        <v>Tier 3</v>
      </c>
      <c r="E3828" s="12" t="n">
        <f aca="false">INDEX('Country Tiers'!$D$2:$D$37,MATCH(C3828,'Country Tiers'!$A$2:$A$37,0))</f>
        <v>1</v>
      </c>
    </row>
    <row r="3829" customFormat="false" ht="15" hidden="false" customHeight="false" outlineLevel="0" collapsed="false">
      <c r="A3829" s="12" t="s">
        <v>185</v>
      </c>
      <c r="B3829" s="12" t="s">
        <v>50</v>
      </c>
      <c r="C3829" s="12" t="s">
        <v>286</v>
      </c>
      <c r="D3829" s="12" t="str">
        <f aca="false">INDEX('Country Tiers'!$C$2:$C$37,MATCH(C3829,'Country Tiers'!$A$2:$A$37,0))</f>
        <v>Tier 1</v>
      </c>
      <c r="E3829" s="12" t="n">
        <f aca="false">INDEX('Country Tiers'!$D$2:$D$37,MATCH(C3829,'Country Tiers'!$A$2:$A$37,0))</f>
        <v>3</v>
      </c>
    </row>
    <row r="3830" customFormat="false" ht="15" hidden="false" customHeight="false" outlineLevel="0" collapsed="false">
      <c r="A3830" s="12" t="s">
        <v>185</v>
      </c>
      <c r="B3830" s="12" t="s">
        <v>50</v>
      </c>
      <c r="C3830" s="12" t="s">
        <v>287</v>
      </c>
      <c r="D3830" s="12" t="str">
        <f aca="false">INDEX('Country Tiers'!$C$2:$C$37,MATCH(C3830,'Country Tiers'!$A$2:$A$37,0))</f>
        <v>Tier 1</v>
      </c>
      <c r="E3830" s="12" t="n">
        <f aca="false">INDEX('Country Tiers'!$D$2:$D$37,MATCH(C3830,'Country Tiers'!$A$2:$A$37,0))</f>
        <v>3</v>
      </c>
    </row>
    <row r="3831" customFormat="false" ht="15" hidden="false" customHeight="false" outlineLevel="0" collapsed="false">
      <c r="A3831" s="12" t="s">
        <v>185</v>
      </c>
      <c r="B3831" s="12" t="s">
        <v>50</v>
      </c>
      <c r="C3831" s="12" t="s">
        <v>288</v>
      </c>
      <c r="D3831" s="12" t="str">
        <f aca="false">INDEX('Country Tiers'!$C$2:$C$37,MATCH(C3831,'Country Tiers'!$A$2:$A$37,0))</f>
        <v>Tier 3</v>
      </c>
      <c r="E3831" s="12" t="n">
        <f aca="false">INDEX('Country Tiers'!$D$2:$D$37,MATCH(C3831,'Country Tiers'!$A$2:$A$37,0))</f>
        <v>1</v>
      </c>
    </row>
    <row r="3832" customFormat="false" ht="15" hidden="false" customHeight="false" outlineLevel="0" collapsed="false">
      <c r="A3832" s="12" t="s">
        <v>185</v>
      </c>
      <c r="B3832" s="12" t="s">
        <v>50</v>
      </c>
      <c r="C3832" s="12" t="s">
        <v>289</v>
      </c>
      <c r="D3832" s="12" t="str">
        <f aca="false">INDEX('Country Tiers'!$C$2:$C$37,MATCH(C3832,'Country Tiers'!$A$2:$A$37,0))</f>
        <v>Tier 3</v>
      </c>
      <c r="E3832" s="12" t="n">
        <f aca="false">INDEX('Country Tiers'!$D$2:$D$37,MATCH(C3832,'Country Tiers'!$A$2:$A$37,0))</f>
        <v>1</v>
      </c>
    </row>
    <row r="3833" customFormat="false" ht="15" hidden="false" customHeight="false" outlineLevel="0" collapsed="false">
      <c r="A3833" s="12" t="s">
        <v>185</v>
      </c>
      <c r="B3833" s="12" t="s">
        <v>50</v>
      </c>
      <c r="C3833" s="12" t="s">
        <v>291</v>
      </c>
      <c r="D3833" s="12" t="str">
        <f aca="false">INDEX('Country Tiers'!$C$2:$C$37,MATCH(C3833,'Country Tiers'!$A$2:$A$37,0))</f>
        <v>Tier 3</v>
      </c>
      <c r="E3833" s="12" t="n">
        <f aca="false">INDEX('Country Tiers'!$D$2:$D$37,MATCH(C3833,'Country Tiers'!$A$2:$A$37,0))</f>
        <v>1</v>
      </c>
    </row>
    <row r="3834" customFormat="false" ht="15" hidden="false" customHeight="false" outlineLevel="0" collapsed="false">
      <c r="A3834" s="12" t="s">
        <v>185</v>
      </c>
      <c r="B3834" s="12" t="s">
        <v>50</v>
      </c>
      <c r="C3834" s="12" t="s">
        <v>292</v>
      </c>
      <c r="D3834" s="12" t="str">
        <f aca="false">INDEX('Country Tiers'!$C$2:$C$37,MATCH(C3834,'Country Tiers'!$A$2:$A$37,0))</f>
        <v>Tier 2</v>
      </c>
      <c r="E3834" s="12" t="n">
        <f aca="false">INDEX('Country Tiers'!$D$2:$D$37,MATCH(C3834,'Country Tiers'!$A$2:$A$37,0))</f>
        <v>2</v>
      </c>
    </row>
    <row r="3835" customFormat="false" ht="15" hidden="false" customHeight="false" outlineLevel="0" collapsed="false">
      <c r="A3835" s="12" t="s">
        <v>185</v>
      </c>
      <c r="B3835" s="12" t="s">
        <v>50</v>
      </c>
      <c r="C3835" s="12" t="s">
        <v>296</v>
      </c>
      <c r="D3835" s="12" t="str">
        <f aca="false">INDEX('Country Tiers'!$C$2:$C$37,MATCH(C3835,'Country Tiers'!$A$2:$A$37,0))</f>
        <v>Tier 3</v>
      </c>
      <c r="E3835" s="12" t="n">
        <f aca="false">INDEX('Country Tiers'!$D$2:$D$37,MATCH(C3835,'Country Tiers'!$A$2:$A$37,0))</f>
        <v>1</v>
      </c>
    </row>
    <row r="3836" customFormat="false" ht="15" hidden="false" customHeight="false" outlineLevel="0" collapsed="false">
      <c r="A3836" s="12" t="s">
        <v>185</v>
      </c>
      <c r="B3836" s="12" t="s">
        <v>50</v>
      </c>
      <c r="C3836" s="12" t="s">
        <v>297</v>
      </c>
      <c r="D3836" s="12" t="str">
        <f aca="false">INDEX('Country Tiers'!$C$2:$C$37,MATCH(C3836,'Country Tiers'!$A$2:$A$37,0))</f>
        <v>Tier 2</v>
      </c>
      <c r="E3836" s="12" t="n">
        <f aca="false">INDEX('Country Tiers'!$D$2:$D$37,MATCH(C3836,'Country Tiers'!$A$2:$A$37,0))</f>
        <v>2</v>
      </c>
    </row>
    <row r="3837" customFormat="false" ht="15" hidden="false" customHeight="false" outlineLevel="0" collapsed="false">
      <c r="A3837" s="12" t="s">
        <v>185</v>
      </c>
      <c r="B3837" s="12" t="s">
        <v>50</v>
      </c>
      <c r="C3837" s="12" t="s">
        <v>298</v>
      </c>
      <c r="D3837" s="12" t="str">
        <f aca="false">INDEX('Country Tiers'!$C$2:$C$37,MATCH(C3837,'Country Tiers'!$A$2:$A$37,0))</f>
        <v>Tier 1</v>
      </c>
      <c r="E3837" s="12" t="n">
        <f aca="false">INDEX('Country Tiers'!$D$2:$D$37,MATCH(C3837,'Country Tiers'!$A$2:$A$37,0))</f>
        <v>3</v>
      </c>
    </row>
    <row r="3838" customFormat="false" ht="15" hidden="false" customHeight="false" outlineLevel="0" collapsed="false">
      <c r="A3838" s="12" t="s">
        <v>185</v>
      </c>
      <c r="B3838" s="12" t="s">
        <v>50</v>
      </c>
      <c r="C3838" s="12" t="s">
        <v>299</v>
      </c>
      <c r="D3838" s="12" t="str">
        <f aca="false">INDEX('Country Tiers'!$C$2:$C$37,MATCH(C3838,'Country Tiers'!$A$2:$A$37,0))</f>
        <v>Tier 3</v>
      </c>
      <c r="E3838" s="12" t="n">
        <f aca="false">INDEX('Country Tiers'!$D$2:$D$37,MATCH(C3838,'Country Tiers'!$A$2:$A$37,0))</f>
        <v>1</v>
      </c>
    </row>
    <row r="3839" customFormat="false" ht="15" hidden="false" customHeight="false" outlineLevel="0" collapsed="false">
      <c r="A3839" s="12" t="s">
        <v>185</v>
      </c>
      <c r="B3839" s="12" t="s">
        <v>50</v>
      </c>
      <c r="C3839" s="12" t="s">
        <v>300</v>
      </c>
      <c r="D3839" s="12" t="str">
        <f aca="false">INDEX('Country Tiers'!$C$2:$C$37,MATCH(C3839,'Country Tiers'!$A$2:$A$37,0))</f>
        <v>Tier 3</v>
      </c>
      <c r="E3839" s="12" t="n">
        <f aca="false">INDEX('Country Tiers'!$D$2:$D$37,MATCH(C3839,'Country Tiers'!$A$2:$A$37,0))</f>
        <v>1</v>
      </c>
    </row>
    <row r="3840" customFormat="false" ht="15" hidden="false" customHeight="false" outlineLevel="0" collapsed="false">
      <c r="A3840" s="12" t="s">
        <v>185</v>
      </c>
      <c r="B3840" s="12" t="s">
        <v>50</v>
      </c>
      <c r="C3840" s="12" t="s">
        <v>301</v>
      </c>
      <c r="D3840" s="12" t="str">
        <f aca="false">INDEX('Country Tiers'!$C$2:$C$37,MATCH(C3840,'Country Tiers'!$A$2:$A$37,0))</f>
        <v>Tier 3</v>
      </c>
      <c r="E3840" s="12" t="n">
        <f aca="false">INDEX('Country Tiers'!$D$2:$D$37,MATCH(C3840,'Country Tiers'!$A$2:$A$37,0))</f>
        <v>1</v>
      </c>
    </row>
    <row r="3841" customFormat="false" ht="15" hidden="false" customHeight="false" outlineLevel="0" collapsed="false">
      <c r="A3841" s="12" t="s">
        <v>185</v>
      </c>
      <c r="B3841" s="12" t="s">
        <v>50</v>
      </c>
      <c r="C3841" s="12" t="s">
        <v>302</v>
      </c>
      <c r="D3841" s="12" t="str">
        <f aca="false">INDEX('Country Tiers'!$C$2:$C$37,MATCH(C3841,'Country Tiers'!$A$2:$A$37,0))</f>
        <v>Tier 3</v>
      </c>
      <c r="E3841" s="12" t="n">
        <f aca="false">INDEX('Country Tiers'!$D$2:$D$37,MATCH(C3841,'Country Tiers'!$A$2:$A$37,0))</f>
        <v>1</v>
      </c>
    </row>
    <row r="3842" customFormat="false" ht="15" hidden="false" customHeight="false" outlineLevel="0" collapsed="false">
      <c r="A3842" s="12" t="s">
        <v>185</v>
      </c>
      <c r="B3842" s="12" t="s">
        <v>50</v>
      </c>
      <c r="C3842" s="12" t="s">
        <v>305</v>
      </c>
      <c r="D3842" s="12" t="str">
        <f aca="false">INDEX('Country Tiers'!$C$2:$C$37,MATCH(C3842,'Country Tiers'!$A$2:$A$37,0))</f>
        <v>Tier 3</v>
      </c>
      <c r="E3842" s="12" t="n">
        <f aca="false">INDEX('Country Tiers'!$D$2:$D$37,MATCH(C3842,'Country Tiers'!$A$2:$A$37,0))</f>
        <v>1</v>
      </c>
    </row>
    <row r="3843" customFormat="false" ht="15" hidden="false" customHeight="false" outlineLevel="0" collapsed="false">
      <c r="A3843" s="12" t="s">
        <v>185</v>
      </c>
      <c r="B3843" s="12" t="s">
        <v>50</v>
      </c>
      <c r="C3843" s="12" t="s">
        <v>306</v>
      </c>
      <c r="D3843" s="12" t="str">
        <f aca="false">INDEX('Country Tiers'!$C$2:$C$37,MATCH(C3843,'Country Tiers'!$A$2:$A$37,0))</f>
        <v>Tier 3</v>
      </c>
      <c r="E3843" s="12" t="n">
        <f aca="false">INDEX('Country Tiers'!$D$2:$D$37,MATCH(C3843,'Country Tiers'!$A$2:$A$37,0))</f>
        <v>1</v>
      </c>
    </row>
    <row r="3844" customFormat="false" ht="15" hidden="false" customHeight="false" outlineLevel="0" collapsed="false">
      <c r="A3844" s="12" t="s">
        <v>185</v>
      </c>
      <c r="B3844" s="12" t="s">
        <v>50</v>
      </c>
      <c r="C3844" s="12" t="s">
        <v>307</v>
      </c>
      <c r="D3844" s="12" t="str">
        <f aca="false">INDEX('Country Tiers'!$C$2:$C$37,MATCH(C3844,'Country Tiers'!$A$2:$A$37,0))</f>
        <v>Tier 2</v>
      </c>
      <c r="E3844" s="12" t="n">
        <f aca="false">INDEX('Country Tiers'!$D$2:$D$37,MATCH(C3844,'Country Tiers'!$A$2:$A$37,0))</f>
        <v>2</v>
      </c>
    </row>
    <row r="3845" customFormat="false" ht="15" hidden="false" customHeight="false" outlineLevel="0" collapsed="false">
      <c r="A3845" s="12" t="s">
        <v>185</v>
      </c>
      <c r="B3845" s="12" t="s">
        <v>50</v>
      </c>
      <c r="C3845" s="12" t="s">
        <v>308</v>
      </c>
      <c r="D3845" s="12" t="str">
        <f aca="false">INDEX('Country Tiers'!$C$2:$C$37,MATCH(C3845,'Country Tiers'!$A$2:$A$37,0))</f>
        <v>Tier 3</v>
      </c>
      <c r="E3845" s="12" t="n">
        <f aca="false">INDEX('Country Tiers'!$D$2:$D$37,MATCH(C3845,'Country Tiers'!$A$2:$A$37,0))</f>
        <v>1</v>
      </c>
    </row>
    <row r="3846" customFormat="false" ht="15" hidden="false" customHeight="false" outlineLevel="0" collapsed="false">
      <c r="A3846" s="12" t="s">
        <v>185</v>
      </c>
      <c r="B3846" s="12" t="s">
        <v>50</v>
      </c>
      <c r="C3846" s="12" t="s">
        <v>309</v>
      </c>
      <c r="D3846" s="12" t="str">
        <f aca="false">INDEX('Country Tiers'!$C$2:$C$37,MATCH(C3846,'Country Tiers'!$A$2:$A$37,0))</f>
        <v>Tier 1</v>
      </c>
      <c r="E3846" s="12" t="n">
        <f aca="false">INDEX('Country Tiers'!$D$2:$D$37,MATCH(C3846,'Country Tiers'!$A$2:$A$37,0))</f>
        <v>3</v>
      </c>
    </row>
    <row r="3847" customFormat="false" ht="15" hidden="false" customHeight="false" outlineLevel="0" collapsed="false">
      <c r="A3847" s="12" t="s">
        <v>185</v>
      </c>
      <c r="B3847" s="12" t="s">
        <v>50</v>
      </c>
      <c r="C3847" s="12" t="s">
        <v>313</v>
      </c>
      <c r="D3847" s="12" t="str">
        <f aca="false">INDEX('Country Tiers'!$C$2:$C$37,MATCH(C3847,'Country Tiers'!$A$2:$A$37,0))</f>
        <v>Tier 1</v>
      </c>
      <c r="E3847" s="12" t="n">
        <f aca="false">INDEX('Country Tiers'!$D$2:$D$37,MATCH(C3847,'Country Tiers'!$A$2:$A$37,0))</f>
        <v>3</v>
      </c>
    </row>
    <row r="3848" customFormat="false" ht="15" hidden="false" customHeight="false" outlineLevel="0" collapsed="false">
      <c r="A3848" s="12" t="s">
        <v>186</v>
      </c>
      <c r="B3848" s="12" t="s">
        <v>50</v>
      </c>
      <c r="C3848" s="12" t="s">
        <v>274</v>
      </c>
      <c r="D3848" s="12" t="str">
        <f aca="false">INDEX('Country Tiers'!$C$2:$C$37,MATCH(C3848,'Country Tiers'!$A$2:$A$37,0))</f>
        <v>Tier 3</v>
      </c>
      <c r="E3848" s="12" t="n">
        <f aca="false">INDEX('Country Tiers'!$D$2:$D$37,MATCH(C3848,'Country Tiers'!$A$2:$A$37,0))</f>
        <v>1</v>
      </c>
    </row>
    <row r="3849" customFormat="false" ht="15" hidden="false" customHeight="false" outlineLevel="0" collapsed="false">
      <c r="A3849" s="12" t="s">
        <v>186</v>
      </c>
      <c r="B3849" s="12" t="s">
        <v>50</v>
      </c>
      <c r="C3849" s="12" t="s">
        <v>277</v>
      </c>
      <c r="D3849" s="12" t="str">
        <f aca="false">INDEX('Country Tiers'!$C$2:$C$37,MATCH(C3849,'Country Tiers'!$A$2:$A$37,0))</f>
        <v>Tier 1</v>
      </c>
      <c r="E3849" s="12" t="n">
        <f aca="false">INDEX('Country Tiers'!$D$2:$D$37,MATCH(C3849,'Country Tiers'!$A$2:$A$37,0))</f>
        <v>3</v>
      </c>
    </row>
    <row r="3850" customFormat="false" ht="15" hidden="false" customHeight="false" outlineLevel="0" collapsed="false">
      <c r="A3850" s="12" t="s">
        <v>186</v>
      </c>
      <c r="B3850" s="12" t="s">
        <v>50</v>
      </c>
      <c r="C3850" s="12" t="s">
        <v>278</v>
      </c>
      <c r="D3850" s="12" t="str">
        <f aca="false">INDEX('Country Tiers'!$C$2:$C$37,MATCH(C3850,'Country Tiers'!$A$2:$A$37,0))</f>
        <v>Tier 3</v>
      </c>
      <c r="E3850" s="12" t="n">
        <f aca="false">INDEX('Country Tiers'!$D$2:$D$37,MATCH(C3850,'Country Tiers'!$A$2:$A$37,0))</f>
        <v>1</v>
      </c>
    </row>
    <row r="3851" customFormat="false" ht="15" hidden="false" customHeight="false" outlineLevel="0" collapsed="false">
      <c r="A3851" s="12" t="s">
        <v>186</v>
      </c>
      <c r="B3851" s="12" t="s">
        <v>50</v>
      </c>
      <c r="C3851" s="12" t="s">
        <v>280</v>
      </c>
      <c r="D3851" s="12" t="str">
        <f aca="false">INDEX('Country Tiers'!$C$2:$C$37,MATCH(C3851,'Country Tiers'!$A$2:$A$37,0))</f>
        <v>Tier 3</v>
      </c>
      <c r="E3851" s="12" t="n">
        <f aca="false">INDEX('Country Tiers'!$D$2:$D$37,MATCH(C3851,'Country Tiers'!$A$2:$A$37,0))</f>
        <v>1</v>
      </c>
    </row>
    <row r="3852" customFormat="false" ht="15" hidden="false" customHeight="false" outlineLevel="0" collapsed="false">
      <c r="A3852" s="12" t="s">
        <v>186</v>
      </c>
      <c r="B3852" s="12" t="s">
        <v>50</v>
      </c>
      <c r="C3852" s="12" t="s">
        <v>283</v>
      </c>
      <c r="D3852" s="12" t="str">
        <f aca="false">INDEX('Country Tiers'!$C$2:$C$37,MATCH(C3852,'Country Tiers'!$A$2:$A$37,0))</f>
        <v>Tier 3</v>
      </c>
      <c r="E3852" s="12" t="n">
        <f aca="false">INDEX('Country Tiers'!$D$2:$D$37,MATCH(C3852,'Country Tiers'!$A$2:$A$37,0))</f>
        <v>1</v>
      </c>
    </row>
    <row r="3853" customFormat="false" ht="15" hidden="false" customHeight="false" outlineLevel="0" collapsed="false">
      <c r="A3853" s="12" t="s">
        <v>186</v>
      </c>
      <c r="B3853" s="12" t="s">
        <v>50</v>
      </c>
      <c r="C3853" s="12" t="s">
        <v>284</v>
      </c>
      <c r="D3853" s="12" t="str">
        <f aca="false">INDEX('Country Tiers'!$C$2:$C$37,MATCH(C3853,'Country Tiers'!$A$2:$A$37,0))</f>
        <v>Tier 3</v>
      </c>
      <c r="E3853" s="12" t="n">
        <f aca="false">INDEX('Country Tiers'!$D$2:$D$37,MATCH(C3853,'Country Tiers'!$A$2:$A$37,0))</f>
        <v>1</v>
      </c>
    </row>
    <row r="3854" customFormat="false" ht="15" hidden="false" customHeight="false" outlineLevel="0" collapsed="false">
      <c r="A3854" s="12" t="s">
        <v>186</v>
      </c>
      <c r="B3854" s="12" t="s">
        <v>50</v>
      </c>
      <c r="C3854" s="12" t="s">
        <v>285</v>
      </c>
      <c r="D3854" s="12" t="str">
        <f aca="false">INDEX('Country Tiers'!$C$2:$C$37,MATCH(C3854,'Country Tiers'!$A$2:$A$37,0))</f>
        <v>Tier 3</v>
      </c>
      <c r="E3854" s="12" t="n">
        <f aca="false">INDEX('Country Tiers'!$D$2:$D$37,MATCH(C3854,'Country Tiers'!$A$2:$A$37,0))</f>
        <v>1</v>
      </c>
    </row>
    <row r="3855" customFormat="false" ht="15" hidden="false" customHeight="false" outlineLevel="0" collapsed="false">
      <c r="A3855" s="12" t="s">
        <v>186</v>
      </c>
      <c r="B3855" s="12" t="s">
        <v>50</v>
      </c>
      <c r="C3855" s="12" t="s">
        <v>286</v>
      </c>
      <c r="D3855" s="12" t="str">
        <f aca="false">INDEX('Country Tiers'!$C$2:$C$37,MATCH(C3855,'Country Tiers'!$A$2:$A$37,0))</f>
        <v>Tier 1</v>
      </c>
      <c r="E3855" s="12" t="n">
        <f aca="false">INDEX('Country Tiers'!$D$2:$D$37,MATCH(C3855,'Country Tiers'!$A$2:$A$37,0))</f>
        <v>3</v>
      </c>
    </row>
    <row r="3856" customFormat="false" ht="15" hidden="false" customHeight="false" outlineLevel="0" collapsed="false">
      <c r="A3856" s="12" t="s">
        <v>186</v>
      </c>
      <c r="B3856" s="12" t="s">
        <v>50</v>
      </c>
      <c r="C3856" s="12" t="s">
        <v>287</v>
      </c>
      <c r="D3856" s="12" t="str">
        <f aca="false">INDEX('Country Tiers'!$C$2:$C$37,MATCH(C3856,'Country Tiers'!$A$2:$A$37,0))</f>
        <v>Tier 1</v>
      </c>
      <c r="E3856" s="12" t="n">
        <f aca="false">INDEX('Country Tiers'!$D$2:$D$37,MATCH(C3856,'Country Tiers'!$A$2:$A$37,0))</f>
        <v>3</v>
      </c>
    </row>
    <row r="3857" customFormat="false" ht="15" hidden="false" customHeight="false" outlineLevel="0" collapsed="false">
      <c r="A3857" s="12" t="s">
        <v>186</v>
      </c>
      <c r="B3857" s="12" t="s">
        <v>50</v>
      </c>
      <c r="C3857" s="12" t="s">
        <v>288</v>
      </c>
      <c r="D3857" s="12" t="str">
        <f aca="false">INDEX('Country Tiers'!$C$2:$C$37,MATCH(C3857,'Country Tiers'!$A$2:$A$37,0))</f>
        <v>Tier 3</v>
      </c>
      <c r="E3857" s="12" t="n">
        <f aca="false">INDEX('Country Tiers'!$D$2:$D$37,MATCH(C3857,'Country Tiers'!$A$2:$A$37,0))</f>
        <v>1</v>
      </c>
    </row>
    <row r="3858" customFormat="false" ht="15" hidden="false" customHeight="false" outlineLevel="0" collapsed="false">
      <c r="A3858" s="12" t="s">
        <v>186</v>
      </c>
      <c r="B3858" s="12" t="s">
        <v>50</v>
      </c>
      <c r="C3858" s="12" t="s">
        <v>290</v>
      </c>
      <c r="D3858" s="12" t="str">
        <f aca="false">INDEX('Country Tiers'!$C$2:$C$37,MATCH(C3858,'Country Tiers'!$A$2:$A$37,0))</f>
        <v>Tier 3</v>
      </c>
      <c r="E3858" s="12" t="n">
        <f aca="false">INDEX('Country Tiers'!$D$2:$D$37,MATCH(C3858,'Country Tiers'!$A$2:$A$37,0))</f>
        <v>1</v>
      </c>
    </row>
    <row r="3859" customFormat="false" ht="15" hidden="false" customHeight="false" outlineLevel="0" collapsed="false">
      <c r="A3859" s="12" t="s">
        <v>186</v>
      </c>
      <c r="B3859" s="12" t="s">
        <v>50</v>
      </c>
      <c r="C3859" s="12" t="s">
        <v>291</v>
      </c>
      <c r="D3859" s="12" t="str">
        <f aca="false">INDEX('Country Tiers'!$C$2:$C$37,MATCH(C3859,'Country Tiers'!$A$2:$A$37,0))</f>
        <v>Tier 3</v>
      </c>
      <c r="E3859" s="12" t="n">
        <f aca="false">INDEX('Country Tiers'!$D$2:$D$37,MATCH(C3859,'Country Tiers'!$A$2:$A$37,0))</f>
        <v>1</v>
      </c>
    </row>
    <row r="3860" customFormat="false" ht="15" hidden="false" customHeight="false" outlineLevel="0" collapsed="false">
      <c r="A3860" s="12" t="s">
        <v>186</v>
      </c>
      <c r="B3860" s="12" t="s">
        <v>50</v>
      </c>
      <c r="C3860" s="12" t="s">
        <v>292</v>
      </c>
      <c r="D3860" s="12" t="str">
        <f aca="false">INDEX('Country Tiers'!$C$2:$C$37,MATCH(C3860,'Country Tiers'!$A$2:$A$37,0))</f>
        <v>Tier 2</v>
      </c>
      <c r="E3860" s="12" t="n">
        <f aca="false">INDEX('Country Tiers'!$D$2:$D$37,MATCH(C3860,'Country Tiers'!$A$2:$A$37,0))</f>
        <v>2</v>
      </c>
    </row>
    <row r="3861" customFormat="false" ht="15" hidden="false" customHeight="false" outlineLevel="0" collapsed="false">
      <c r="A3861" s="12" t="s">
        <v>186</v>
      </c>
      <c r="B3861" s="12" t="s">
        <v>50</v>
      </c>
      <c r="C3861" s="12" t="s">
        <v>293</v>
      </c>
      <c r="D3861" s="12" t="str">
        <f aca="false">INDEX('Country Tiers'!$C$2:$C$37,MATCH(C3861,'Country Tiers'!$A$2:$A$37,0))</f>
        <v>Tier 3</v>
      </c>
      <c r="E3861" s="12" t="n">
        <f aca="false">INDEX('Country Tiers'!$D$2:$D$37,MATCH(C3861,'Country Tiers'!$A$2:$A$37,0))</f>
        <v>1</v>
      </c>
    </row>
    <row r="3862" customFormat="false" ht="15" hidden="false" customHeight="false" outlineLevel="0" collapsed="false">
      <c r="A3862" s="12" t="s">
        <v>186</v>
      </c>
      <c r="B3862" s="12" t="s">
        <v>50</v>
      </c>
      <c r="C3862" s="12" t="s">
        <v>295</v>
      </c>
      <c r="D3862" s="12" t="str">
        <f aca="false">INDEX('Country Tiers'!$C$2:$C$37,MATCH(C3862,'Country Tiers'!$A$2:$A$37,0))</f>
        <v>Tier 3</v>
      </c>
      <c r="E3862" s="12" t="n">
        <f aca="false">INDEX('Country Tiers'!$D$2:$D$37,MATCH(C3862,'Country Tiers'!$A$2:$A$37,0))</f>
        <v>1</v>
      </c>
    </row>
    <row r="3863" customFormat="false" ht="15" hidden="false" customHeight="false" outlineLevel="0" collapsed="false">
      <c r="A3863" s="12" t="s">
        <v>186</v>
      </c>
      <c r="B3863" s="12" t="s">
        <v>50</v>
      </c>
      <c r="C3863" s="12" t="s">
        <v>296</v>
      </c>
      <c r="D3863" s="12" t="str">
        <f aca="false">INDEX('Country Tiers'!$C$2:$C$37,MATCH(C3863,'Country Tiers'!$A$2:$A$37,0))</f>
        <v>Tier 3</v>
      </c>
      <c r="E3863" s="12" t="n">
        <f aca="false">INDEX('Country Tiers'!$D$2:$D$37,MATCH(C3863,'Country Tiers'!$A$2:$A$37,0))</f>
        <v>1</v>
      </c>
    </row>
    <row r="3864" customFormat="false" ht="15" hidden="false" customHeight="false" outlineLevel="0" collapsed="false">
      <c r="A3864" s="12" t="s">
        <v>186</v>
      </c>
      <c r="B3864" s="12" t="s">
        <v>50</v>
      </c>
      <c r="C3864" s="12" t="s">
        <v>298</v>
      </c>
      <c r="D3864" s="12" t="str">
        <f aca="false">INDEX('Country Tiers'!$C$2:$C$37,MATCH(C3864,'Country Tiers'!$A$2:$A$37,0))</f>
        <v>Tier 1</v>
      </c>
      <c r="E3864" s="12" t="n">
        <f aca="false">INDEX('Country Tiers'!$D$2:$D$37,MATCH(C3864,'Country Tiers'!$A$2:$A$37,0))</f>
        <v>3</v>
      </c>
    </row>
    <row r="3865" customFormat="false" ht="15" hidden="false" customHeight="false" outlineLevel="0" collapsed="false">
      <c r="A3865" s="12" t="s">
        <v>186</v>
      </c>
      <c r="B3865" s="12" t="s">
        <v>50</v>
      </c>
      <c r="C3865" s="12" t="s">
        <v>299</v>
      </c>
      <c r="D3865" s="12" t="str">
        <f aca="false">INDEX('Country Tiers'!$C$2:$C$37,MATCH(C3865,'Country Tiers'!$A$2:$A$37,0))</f>
        <v>Tier 3</v>
      </c>
      <c r="E3865" s="12" t="n">
        <f aca="false">INDEX('Country Tiers'!$D$2:$D$37,MATCH(C3865,'Country Tiers'!$A$2:$A$37,0))</f>
        <v>1</v>
      </c>
    </row>
    <row r="3866" customFormat="false" ht="15" hidden="false" customHeight="false" outlineLevel="0" collapsed="false">
      <c r="A3866" s="12" t="s">
        <v>186</v>
      </c>
      <c r="B3866" s="12" t="s">
        <v>50</v>
      </c>
      <c r="C3866" s="12" t="s">
        <v>300</v>
      </c>
      <c r="D3866" s="12" t="str">
        <f aca="false">INDEX('Country Tiers'!$C$2:$C$37,MATCH(C3866,'Country Tiers'!$A$2:$A$37,0))</f>
        <v>Tier 3</v>
      </c>
      <c r="E3866" s="12" t="n">
        <f aca="false">INDEX('Country Tiers'!$D$2:$D$37,MATCH(C3866,'Country Tiers'!$A$2:$A$37,0))</f>
        <v>1</v>
      </c>
    </row>
    <row r="3867" customFormat="false" ht="15" hidden="false" customHeight="false" outlineLevel="0" collapsed="false">
      <c r="A3867" s="12" t="s">
        <v>186</v>
      </c>
      <c r="B3867" s="12" t="s">
        <v>50</v>
      </c>
      <c r="C3867" s="12" t="s">
        <v>301</v>
      </c>
      <c r="D3867" s="12" t="str">
        <f aca="false">INDEX('Country Tiers'!$C$2:$C$37,MATCH(C3867,'Country Tiers'!$A$2:$A$37,0))</f>
        <v>Tier 3</v>
      </c>
      <c r="E3867" s="12" t="n">
        <f aca="false">INDEX('Country Tiers'!$D$2:$D$37,MATCH(C3867,'Country Tiers'!$A$2:$A$37,0))</f>
        <v>1</v>
      </c>
    </row>
    <row r="3868" customFormat="false" ht="15" hidden="false" customHeight="false" outlineLevel="0" collapsed="false">
      <c r="A3868" s="12" t="s">
        <v>186</v>
      </c>
      <c r="B3868" s="12" t="s">
        <v>50</v>
      </c>
      <c r="C3868" s="12" t="s">
        <v>302</v>
      </c>
      <c r="D3868" s="12" t="str">
        <f aca="false">INDEX('Country Tiers'!$C$2:$C$37,MATCH(C3868,'Country Tiers'!$A$2:$A$37,0))</f>
        <v>Tier 3</v>
      </c>
      <c r="E3868" s="12" t="n">
        <f aca="false">INDEX('Country Tiers'!$D$2:$D$37,MATCH(C3868,'Country Tiers'!$A$2:$A$37,0))</f>
        <v>1</v>
      </c>
    </row>
    <row r="3869" customFormat="false" ht="15" hidden="false" customHeight="false" outlineLevel="0" collapsed="false">
      <c r="A3869" s="12" t="s">
        <v>186</v>
      </c>
      <c r="B3869" s="12" t="s">
        <v>50</v>
      </c>
      <c r="C3869" s="12" t="s">
        <v>305</v>
      </c>
      <c r="D3869" s="12" t="str">
        <f aca="false">INDEX('Country Tiers'!$C$2:$C$37,MATCH(C3869,'Country Tiers'!$A$2:$A$37,0))</f>
        <v>Tier 3</v>
      </c>
      <c r="E3869" s="12" t="n">
        <f aca="false">INDEX('Country Tiers'!$D$2:$D$37,MATCH(C3869,'Country Tiers'!$A$2:$A$37,0))</f>
        <v>1</v>
      </c>
    </row>
    <row r="3870" customFormat="false" ht="15" hidden="false" customHeight="false" outlineLevel="0" collapsed="false">
      <c r="A3870" s="12" t="s">
        <v>186</v>
      </c>
      <c r="B3870" s="12" t="s">
        <v>50</v>
      </c>
      <c r="C3870" s="12" t="s">
        <v>306</v>
      </c>
      <c r="D3870" s="12" t="str">
        <f aca="false">INDEX('Country Tiers'!$C$2:$C$37,MATCH(C3870,'Country Tiers'!$A$2:$A$37,0))</f>
        <v>Tier 3</v>
      </c>
      <c r="E3870" s="12" t="n">
        <f aca="false">INDEX('Country Tiers'!$D$2:$D$37,MATCH(C3870,'Country Tiers'!$A$2:$A$37,0))</f>
        <v>1</v>
      </c>
    </row>
    <row r="3871" customFormat="false" ht="15" hidden="false" customHeight="false" outlineLevel="0" collapsed="false">
      <c r="A3871" s="12" t="s">
        <v>186</v>
      </c>
      <c r="B3871" s="12" t="s">
        <v>50</v>
      </c>
      <c r="C3871" s="12" t="s">
        <v>307</v>
      </c>
      <c r="D3871" s="12" t="str">
        <f aca="false">INDEX('Country Tiers'!$C$2:$C$37,MATCH(C3871,'Country Tiers'!$A$2:$A$37,0))</f>
        <v>Tier 2</v>
      </c>
      <c r="E3871" s="12" t="n">
        <f aca="false">INDEX('Country Tiers'!$D$2:$D$37,MATCH(C3871,'Country Tiers'!$A$2:$A$37,0))</f>
        <v>2</v>
      </c>
    </row>
    <row r="3872" customFormat="false" ht="15" hidden="false" customHeight="false" outlineLevel="0" collapsed="false">
      <c r="A3872" s="12" t="s">
        <v>186</v>
      </c>
      <c r="B3872" s="12" t="s">
        <v>50</v>
      </c>
      <c r="C3872" s="12" t="s">
        <v>308</v>
      </c>
      <c r="D3872" s="12" t="str">
        <f aca="false">INDEX('Country Tiers'!$C$2:$C$37,MATCH(C3872,'Country Tiers'!$A$2:$A$37,0))</f>
        <v>Tier 3</v>
      </c>
      <c r="E3872" s="12" t="n">
        <f aca="false">INDEX('Country Tiers'!$D$2:$D$37,MATCH(C3872,'Country Tiers'!$A$2:$A$37,0))</f>
        <v>1</v>
      </c>
    </row>
    <row r="3873" customFormat="false" ht="15" hidden="false" customHeight="false" outlineLevel="0" collapsed="false">
      <c r="A3873" s="12" t="s">
        <v>186</v>
      </c>
      <c r="B3873" s="12" t="s">
        <v>50</v>
      </c>
      <c r="C3873" s="12" t="s">
        <v>309</v>
      </c>
      <c r="D3873" s="12" t="str">
        <f aca="false">INDEX('Country Tiers'!$C$2:$C$37,MATCH(C3873,'Country Tiers'!$A$2:$A$37,0))</f>
        <v>Tier 1</v>
      </c>
      <c r="E3873" s="12" t="n">
        <f aca="false">INDEX('Country Tiers'!$D$2:$D$37,MATCH(C3873,'Country Tiers'!$A$2:$A$37,0))</f>
        <v>3</v>
      </c>
    </row>
    <row r="3874" customFormat="false" ht="15" hidden="false" customHeight="false" outlineLevel="0" collapsed="false">
      <c r="A3874" s="12" t="s">
        <v>186</v>
      </c>
      <c r="B3874" s="12" t="s">
        <v>50</v>
      </c>
      <c r="C3874" s="12" t="s">
        <v>313</v>
      </c>
      <c r="D3874" s="12" t="str">
        <f aca="false">INDEX('Country Tiers'!$C$2:$C$37,MATCH(C3874,'Country Tiers'!$A$2:$A$37,0))</f>
        <v>Tier 1</v>
      </c>
      <c r="E3874" s="12" t="n">
        <f aca="false">INDEX('Country Tiers'!$D$2:$D$37,MATCH(C3874,'Country Tiers'!$A$2:$A$37,0))</f>
        <v>3</v>
      </c>
    </row>
    <row r="3875" customFormat="false" ht="15" hidden="false" customHeight="false" outlineLevel="0" collapsed="false">
      <c r="A3875" s="12" t="s">
        <v>187</v>
      </c>
      <c r="B3875" s="12" t="s">
        <v>47</v>
      </c>
      <c r="C3875" s="12" t="s">
        <v>311</v>
      </c>
      <c r="D3875" s="12" t="str">
        <f aca="false">INDEX('Country Tiers'!$C$2:$C$37,MATCH(C3875,'Country Tiers'!$A$2:$A$37,0))</f>
        <v>Tier 1</v>
      </c>
      <c r="E3875" s="12" t="n">
        <f aca="false">INDEX('Country Tiers'!$D$2:$D$37,MATCH(C3875,'Country Tiers'!$A$2:$A$37,0))</f>
        <v>3</v>
      </c>
    </row>
    <row r="3876" customFormat="false" ht="15" hidden="false" customHeight="false" outlineLevel="0" collapsed="false">
      <c r="A3876" s="12" t="s">
        <v>187</v>
      </c>
      <c r="B3876" s="12" t="s">
        <v>54</v>
      </c>
      <c r="C3876" s="12" t="s">
        <v>311</v>
      </c>
      <c r="D3876" s="12" t="str">
        <f aca="false">INDEX('Country Tiers'!$C$2:$C$37,MATCH(C3876,'Country Tiers'!$A$2:$A$37,0))</f>
        <v>Tier 1</v>
      </c>
      <c r="E3876" s="12" t="n">
        <f aca="false">INDEX('Country Tiers'!$D$2:$D$37,MATCH(C3876,'Country Tiers'!$A$2:$A$37,0))</f>
        <v>3</v>
      </c>
    </row>
    <row r="3877" customFormat="false" ht="15" hidden="false" customHeight="false" outlineLevel="0" collapsed="false">
      <c r="A3877" s="12" t="s">
        <v>187</v>
      </c>
      <c r="B3877" s="12" t="s">
        <v>50</v>
      </c>
      <c r="C3877" s="12" t="s">
        <v>279</v>
      </c>
      <c r="D3877" s="12" t="str">
        <f aca="false">INDEX('Country Tiers'!$C$2:$C$37,MATCH(C3877,'Country Tiers'!$A$2:$A$37,0))</f>
        <v>Tier 1</v>
      </c>
      <c r="E3877" s="12" t="n">
        <f aca="false">INDEX('Country Tiers'!$D$2:$D$37,MATCH(C3877,'Country Tiers'!$A$2:$A$37,0))</f>
        <v>3</v>
      </c>
    </row>
    <row r="3878" customFormat="false" ht="15" hidden="false" customHeight="false" outlineLevel="0" collapsed="false">
      <c r="A3878" s="12" t="s">
        <v>188</v>
      </c>
      <c r="B3878" s="12" t="s">
        <v>47</v>
      </c>
      <c r="C3878" s="12" t="s">
        <v>311</v>
      </c>
      <c r="D3878" s="12" t="str">
        <f aca="false">INDEX('Country Tiers'!$C$2:$C$37,MATCH(C3878,'Country Tiers'!$A$2:$A$37,0))</f>
        <v>Tier 1</v>
      </c>
      <c r="E3878" s="12" t="n">
        <f aca="false">INDEX('Country Tiers'!$D$2:$D$37,MATCH(C3878,'Country Tiers'!$A$2:$A$37,0))</f>
        <v>3</v>
      </c>
    </row>
    <row r="3879" customFormat="false" ht="15" hidden="false" customHeight="false" outlineLevel="0" collapsed="false">
      <c r="A3879" s="12" t="s">
        <v>189</v>
      </c>
      <c r="B3879" s="12" t="s">
        <v>54</v>
      </c>
      <c r="C3879" s="12" t="s">
        <v>303</v>
      </c>
      <c r="D3879" s="12" t="str">
        <f aca="false">INDEX('Country Tiers'!$C$2:$C$37,MATCH(C3879,'Country Tiers'!$A$2:$A$37,0))</f>
        <v>Tier 2</v>
      </c>
      <c r="E3879" s="12" t="n">
        <f aca="false">INDEX('Country Tiers'!$D$2:$D$37,MATCH(C3879,'Country Tiers'!$A$2:$A$37,0))</f>
        <v>2</v>
      </c>
    </row>
    <row r="3880" customFormat="false" ht="15" hidden="false" customHeight="false" outlineLevel="0" collapsed="false">
      <c r="A3880" s="12" t="s">
        <v>189</v>
      </c>
      <c r="B3880" s="12" t="s">
        <v>40</v>
      </c>
      <c r="C3880" s="12" t="s">
        <v>303</v>
      </c>
      <c r="D3880" s="12" t="str">
        <f aca="false">INDEX('Country Tiers'!$C$2:$C$37,MATCH(C3880,'Country Tiers'!$A$2:$A$37,0))</f>
        <v>Tier 2</v>
      </c>
      <c r="E3880" s="12" t="n">
        <f aca="false">INDEX('Country Tiers'!$D$2:$D$37,MATCH(C3880,'Country Tiers'!$A$2:$A$37,0))</f>
        <v>2</v>
      </c>
    </row>
    <row r="3881" customFormat="false" ht="15" hidden="false" customHeight="false" outlineLevel="0" collapsed="false">
      <c r="A3881" s="12" t="s">
        <v>189</v>
      </c>
      <c r="B3881" s="12" t="s">
        <v>50</v>
      </c>
      <c r="C3881" s="12" t="s">
        <v>272</v>
      </c>
      <c r="D3881" s="12" t="str">
        <f aca="false">INDEX('Country Tiers'!$C$2:$C$37,MATCH(C3881,'Country Tiers'!$A$2:$A$37,0))</f>
        <v>Tier 2</v>
      </c>
      <c r="E3881" s="12" t="n">
        <f aca="false">INDEX('Country Tiers'!$D$2:$D$37,MATCH(C3881,'Country Tiers'!$A$2:$A$37,0))</f>
        <v>2</v>
      </c>
    </row>
    <row r="3882" customFormat="false" ht="15" hidden="false" customHeight="false" outlineLevel="0" collapsed="false">
      <c r="A3882" s="12" t="s">
        <v>189</v>
      </c>
      <c r="B3882" s="12" t="s">
        <v>50</v>
      </c>
      <c r="C3882" s="12" t="s">
        <v>274</v>
      </c>
      <c r="D3882" s="12" t="str">
        <f aca="false">INDEX('Country Tiers'!$C$2:$C$37,MATCH(C3882,'Country Tiers'!$A$2:$A$37,0))</f>
        <v>Tier 3</v>
      </c>
      <c r="E3882" s="12" t="n">
        <f aca="false">INDEX('Country Tiers'!$D$2:$D$37,MATCH(C3882,'Country Tiers'!$A$2:$A$37,0))</f>
        <v>1</v>
      </c>
    </row>
    <row r="3883" customFormat="false" ht="15" hidden="false" customHeight="false" outlineLevel="0" collapsed="false">
      <c r="A3883" s="12" t="s">
        <v>189</v>
      </c>
      <c r="B3883" s="12" t="s">
        <v>50</v>
      </c>
      <c r="C3883" s="12" t="s">
        <v>277</v>
      </c>
      <c r="D3883" s="12" t="str">
        <f aca="false">INDEX('Country Tiers'!$C$2:$C$37,MATCH(C3883,'Country Tiers'!$A$2:$A$37,0))</f>
        <v>Tier 1</v>
      </c>
      <c r="E3883" s="12" t="n">
        <f aca="false">INDEX('Country Tiers'!$D$2:$D$37,MATCH(C3883,'Country Tiers'!$A$2:$A$37,0))</f>
        <v>3</v>
      </c>
    </row>
    <row r="3884" customFormat="false" ht="15" hidden="false" customHeight="false" outlineLevel="0" collapsed="false">
      <c r="A3884" s="12" t="s">
        <v>189</v>
      </c>
      <c r="B3884" s="12" t="s">
        <v>50</v>
      </c>
      <c r="C3884" s="12" t="s">
        <v>278</v>
      </c>
      <c r="D3884" s="12" t="str">
        <f aca="false">INDEX('Country Tiers'!$C$2:$C$37,MATCH(C3884,'Country Tiers'!$A$2:$A$37,0))</f>
        <v>Tier 3</v>
      </c>
      <c r="E3884" s="12" t="n">
        <f aca="false">INDEX('Country Tiers'!$D$2:$D$37,MATCH(C3884,'Country Tiers'!$A$2:$A$37,0))</f>
        <v>1</v>
      </c>
    </row>
    <row r="3885" customFormat="false" ht="15" hidden="false" customHeight="false" outlineLevel="0" collapsed="false">
      <c r="A3885" s="12" t="s">
        <v>189</v>
      </c>
      <c r="B3885" s="12" t="s">
        <v>50</v>
      </c>
      <c r="C3885" s="12" t="s">
        <v>280</v>
      </c>
      <c r="D3885" s="12" t="str">
        <f aca="false">INDEX('Country Tiers'!$C$2:$C$37,MATCH(C3885,'Country Tiers'!$A$2:$A$37,0))</f>
        <v>Tier 3</v>
      </c>
      <c r="E3885" s="12" t="n">
        <f aca="false">INDEX('Country Tiers'!$D$2:$D$37,MATCH(C3885,'Country Tiers'!$A$2:$A$37,0))</f>
        <v>1</v>
      </c>
    </row>
    <row r="3886" customFormat="false" ht="15" hidden="false" customHeight="false" outlineLevel="0" collapsed="false">
      <c r="A3886" s="12" t="s">
        <v>189</v>
      </c>
      <c r="B3886" s="12" t="s">
        <v>50</v>
      </c>
      <c r="C3886" s="12" t="s">
        <v>281</v>
      </c>
      <c r="D3886" s="12" t="str">
        <f aca="false">INDEX('Country Tiers'!$C$2:$C$37,MATCH(C3886,'Country Tiers'!$A$2:$A$37,0))</f>
        <v>Tier 3</v>
      </c>
      <c r="E3886" s="12" t="n">
        <f aca="false">INDEX('Country Tiers'!$D$2:$D$37,MATCH(C3886,'Country Tiers'!$A$2:$A$37,0))</f>
        <v>1</v>
      </c>
    </row>
    <row r="3887" customFormat="false" ht="15" hidden="false" customHeight="false" outlineLevel="0" collapsed="false">
      <c r="A3887" s="12" t="s">
        <v>189</v>
      </c>
      <c r="B3887" s="12" t="s">
        <v>50</v>
      </c>
      <c r="C3887" s="12" t="s">
        <v>282</v>
      </c>
      <c r="D3887" s="12" t="str">
        <f aca="false">INDEX('Country Tiers'!$C$2:$C$37,MATCH(C3887,'Country Tiers'!$A$2:$A$37,0))</f>
        <v>Tier 3</v>
      </c>
      <c r="E3887" s="12" t="n">
        <f aca="false">INDEX('Country Tiers'!$D$2:$D$37,MATCH(C3887,'Country Tiers'!$A$2:$A$37,0))</f>
        <v>1</v>
      </c>
    </row>
    <row r="3888" customFormat="false" ht="15" hidden="false" customHeight="false" outlineLevel="0" collapsed="false">
      <c r="A3888" s="12" t="s">
        <v>189</v>
      </c>
      <c r="B3888" s="12" t="s">
        <v>50</v>
      </c>
      <c r="C3888" s="12" t="s">
        <v>283</v>
      </c>
      <c r="D3888" s="12" t="str">
        <f aca="false">INDEX('Country Tiers'!$C$2:$C$37,MATCH(C3888,'Country Tiers'!$A$2:$A$37,0))</f>
        <v>Tier 3</v>
      </c>
      <c r="E3888" s="12" t="n">
        <f aca="false">INDEX('Country Tiers'!$D$2:$D$37,MATCH(C3888,'Country Tiers'!$A$2:$A$37,0))</f>
        <v>1</v>
      </c>
    </row>
    <row r="3889" customFormat="false" ht="15" hidden="false" customHeight="false" outlineLevel="0" collapsed="false">
      <c r="A3889" s="12" t="s">
        <v>189</v>
      </c>
      <c r="B3889" s="12" t="s">
        <v>50</v>
      </c>
      <c r="C3889" s="12" t="s">
        <v>285</v>
      </c>
      <c r="D3889" s="12" t="str">
        <f aca="false">INDEX('Country Tiers'!$C$2:$C$37,MATCH(C3889,'Country Tiers'!$A$2:$A$37,0))</f>
        <v>Tier 3</v>
      </c>
      <c r="E3889" s="12" t="n">
        <f aca="false">INDEX('Country Tiers'!$D$2:$D$37,MATCH(C3889,'Country Tiers'!$A$2:$A$37,0))</f>
        <v>1</v>
      </c>
    </row>
    <row r="3890" customFormat="false" ht="15" hidden="false" customHeight="false" outlineLevel="0" collapsed="false">
      <c r="A3890" s="12" t="s">
        <v>189</v>
      </c>
      <c r="B3890" s="12" t="s">
        <v>50</v>
      </c>
      <c r="C3890" s="12" t="s">
        <v>286</v>
      </c>
      <c r="D3890" s="12" t="str">
        <f aca="false">INDEX('Country Tiers'!$C$2:$C$37,MATCH(C3890,'Country Tiers'!$A$2:$A$37,0))</f>
        <v>Tier 1</v>
      </c>
      <c r="E3890" s="12" t="n">
        <f aca="false">INDEX('Country Tiers'!$D$2:$D$37,MATCH(C3890,'Country Tiers'!$A$2:$A$37,0))</f>
        <v>3</v>
      </c>
    </row>
    <row r="3891" customFormat="false" ht="15" hidden="false" customHeight="false" outlineLevel="0" collapsed="false">
      <c r="A3891" s="12" t="s">
        <v>189</v>
      </c>
      <c r="B3891" s="12" t="s">
        <v>50</v>
      </c>
      <c r="C3891" s="12" t="s">
        <v>287</v>
      </c>
      <c r="D3891" s="12" t="str">
        <f aca="false">INDEX('Country Tiers'!$C$2:$C$37,MATCH(C3891,'Country Tiers'!$A$2:$A$37,0))</f>
        <v>Tier 1</v>
      </c>
      <c r="E3891" s="12" t="n">
        <f aca="false">INDEX('Country Tiers'!$D$2:$D$37,MATCH(C3891,'Country Tiers'!$A$2:$A$37,0))</f>
        <v>3</v>
      </c>
    </row>
    <row r="3892" customFormat="false" ht="15" hidden="false" customHeight="false" outlineLevel="0" collapsed="false">
      <c r="A3892" s="12" t="s">
        <v>189</v>
      </c>
      <c r="B3892" s="12" t="s">
        <v>50</v>
      </c>
      <c r="C3892" s="12" t="s">
        <v>288</v>
      </c>
      <c r="D3892" s="12" t="str">
        <f aca="false">INDEX('Country Tiers'!$C$2:$C$37,MATCH(C3892,'Country Tiers'!$A$2:$A$37,0))</f>
        <v>Tier 3</v>
      </c>
      <c r="E3892" s="12" t="n">
        <f aca="false">INDEX('Country Tiers'!$D$2:$D$37,MATCH(C3892,'Country Tiers'!$A$2:$A$37,0))</f>
        <v>1</v>
      </c>
    </row>
    <row r="3893" customFormat="false" ht="15" hidden="false" customHeight="false" outlineLevel="0" collapsed="false">
      <c r="A3893" s="12" t="s">
        <v>189</v>
      </c>
      <c r="B3893" s="12" t="s">
        <v>50</v>
      </c>
      <c r="C3893" s="12" t="s">
        <v>289</v>
      </c>
      <c r="D3893" s="12" t="str">
        <f aca="false">INDEX('Country Tiers'!$C$2:$C$37,MATCH(C3893,'Country Tiers'!$A$2:$A$37,0))</f>
        <v>Tier 3</v>
      </c>
      <c r="E3893" s="12" t="n">
        <f aca="false">INDEX('Country Tiers'!$D$2:$D$37,MATCH(C3893,'Country Tiers'!$A$2:$A$37,0))</f>
        <v>1</v>
      </c>
    </row>
    <row r="3894" customFormat="false" ht="15" hidden="false" customHeight="false" outlineLevel="0" collapsed="false">
      <c r="A3894" s="12" t="s">
        <v>189</v>
      </c>
      <c r="B3894" s="12" t="s">
        <v>50</v>
      </c>
      <c r="C3894" s="12" t="s">
        <v>290</v>
      </c>
      <c r="D3894" s="12" t="str">
        <f aca="false">INDEX('Country Tiers'!$C$2:$C$37,MATCH(C3894,'Country Tiers'!$A$2:$A$37,0))</f>
        <v>Tier 3</v>
      </c>
      <c r="E3894" s="12" t="n">
        <f aca="false">INDEX('Country Tiers'!$D$2:$D$37,MATCH(C3894,'Country Tiers'!$A$2:$A$37,0))</f>
        <v>1</v>
      </c>
    </row>
    <row r="3895" customFormat="false" ht="15" hidden="false" customHeight="false" outlineLevel="0" collapsed="false">
      <c r="A3895" s="12" t="s">
        <v>189</v>
      </c>
      <c r="B3895" s="12" t="s">
        <v>50</v>
      </c>
      <c r="C3895" s="12" t="s">
        <v>291</v>
      </c>
      <c r="D3895" s="12" t="str">
        <f aca="false">INDEX('Country Tiers'!$C$2:$C$37,MATCH(C3895,'Country Tiers'!$A$2:$A$37,0))</f>
        <v>Tier 3</v>
      </c>
      <c r="E3895" s="12" t="n">
        <f aca="false">INDEX('Country Tiers'!$D$2:$D$37,MATCH(C3895,'Country Tiers'!$A$2:$A$37,0))</f>
        <v>1</v>
      </c>
    </row>
    <row r="3896" customFormat="false" ht="15" hidden="false" customHeight="false" outlineLevel="0" collapsed="false">
      <c r="A3896" s="12" t="s">
        <v>189</v>
      </c>
      <c r="B3896" s="12" t="s">
        <v>50</v>
      </c>
      <c r="C3896" s="12" t="s">
        <v>292</v>
      </c>
      <c r="D3896" s="12" t="str">
        <f aca="false">INDEX('Country Tiers'!$C$2:$C$37,MATCH(C3896,'Country Tiers'!$A$2:$A$37,0))</f>
        <v>Tier 2</v>
      </c>
      <c r="E3896" s="12" t="n">
        <f aca="false">INDEX('Country Tiers'!$D$2:$D$37,MATCH(C3896,'Country Tiers'!$A$2:$A$37,0))</f>
        <v>2</v>
      </c>
    </row>
    <row r="3897" customFormat="false" ht="15" hidden="false" customHeight="false" outlineLevel="0" collapsed="false">
      <c r="A3897" s="12" t="s">
        <v>189</v>
      </c>
      <c r="B3897" s="12" t="s">
        <v>50</v>
      </c>
      <c r="C3897" s="12" t="s">
        <v>295</v>
      </c>
      <c r="D3897" s="12" t="str">
        <f aca="false">INDEX('Country Tiers'!$C$2:$C$37,MATCH(C3897,'Country Tiers'!$A$2:$A$37,0))</f>
        <v>Tier 3</v>
      </c>
      <c r="E3897" s="12" t="n">
        <f aca="false">INDEX('Country Tiers'!$D$2:$D$37,MATCH(C3897,'Country Tiers'!$A$2:$A$37,0))</f>
        <v>1</v>
      </c>
    </row>
    <row r="3898" customFormat="false" ht="15" hidden="false" customHeight="false" outlineLevel="0" collapsed="false">
      <c r="A3898" s="12" t="s">
        <v>189</v>
      </c>
      <c r="B3898" s="12" t="s">
        <v>50</v>
      </c>
      <c r="C3898" s="12" t="s">
        <v>296</v>
      </c>
      <c r="D3898" s="12" t="str">
        <f aca="false">INDEX('Country Tiers'!$C$2:$C$37,MATCH(C3898,'Country Tiers'!$A$2:$A$37,0))</f>
        <v>Tier 3</v>
      </c>
      <c r="E3898" s="12" t="n">
        <f aca="false">INDEX('Country Tiers'!$D$2:$D$37,MATCH(C3898,'Country Tiers'!$A$2:$A$37,0))</f>
        <v>1</v>
      </c>
    </row>
    <row r="3899" customFormat="false" ht="15" hidden="false" customHeight="false" outlineLevel="0" collapsed="false">
      <c r="A3899" s="12" t="s">
        <v>189</v>
      </c>
      <c r="B3899" s="12" t="s">
        <v>50</v>
      </c>
      <c r="C3899" s="12" t="s">
        <v>297</v>
      </c>
      <c r="D3899" s="12" t="str">
        <f aca="false">INDEX('Country Tiers'!$C$2:$C$37,MATCH(C3899,'Country Tiers'!$A$2:$A$37,0))</f>
        <v>Tier 2</v>
      </c>
      <c r="E3899" s="12" t="n">
        <f aca="false">INDEX('Country Tiers'!$D$2:$D$37,MATCH(C3899,'Country Tiers'!$A$2:$A$37,0))</f>
        <v>2</v>
      </c>
    </row>
    <row r="3900" customFormat="false" ht="15" hidden="false" customHeight="false" outlineLevel="0" collapsed="false">
      <c r="A3900" s="12" t="s">
        <v>189</v>
      </c>
      <c r="B3900" s="12" t="s">
        <v>50</v>
      </c>
      <c r="C3900" s="12" t="s">
        <v>298</v>
      </c>
      <c r="D3900" s="12" t="str">
        <f aca="false">INDEX('Country Tiers'!$C$2:$C$37,MATCH(C3900,'Country Tiers'!$A$2:$A$37,0))</f>
        <v>Tier 1</v>
      </c>
      <c r="E3900" s="12" t="n">
        <f aca="false">INDEX('Country Tiers'!$D$2:$D$37,MATCH(C3900,'Country Tiers'!$A$2:$A$37,0))</f>
        <v>3</v>
      </c>
    </row>
    <row r="3901" customFormat="false" ht="15" hidden="false" customHeight="false" outlineLevel="0" collapsed="false">
      <c r="A3901" s="12" t="s">
        <v>189</v>
      </c>
      <c r="B3901" s="12" t="s">
        <v>50</v>
      </c>
      <c r="C3901" s="12" t="s">
        <v>299</v>
      </c>
      <c r="D3901" s="12" t="str">
        <f aca="false">INDEX('Country Tiers'!$C$2:$C$37,MATCH(C3901,'Country Tiers'!$A$2:$A$37,0))</f>
        <v>Tier 3</v>
      </c>
      <c r="E3901" s="12" t="n">
        <f aca="false">INDEX('Country Tiers'!$D$2:$D$37,MATCH(C3901,'Country Tiers'!$A$2:$A$37,0))</f>
        <v>1</v>
      </c>
    </row>
    <row r="3902" customFormat="false" ht="15" hidden="false" customHeight="false" outlineLevel="0" collapsed="false">
      <c r="A3902" s="12" t="s">
        <v>189</v>
      </c>
      <c r="B3902" s="12" t="s">
        <v>50</v>
      </c>
      <c r="C3902" s="12" t="s">
        <v>300</v>
      </c>
      <c r="D3902" s="12" t="str">
        <f aca="false">INDEX('Country Tiers'!$C$2:$C$37,MATCH(C3902,'Country Tiers'!$A$2:$A$37,0))</f>
        <v>Tier 3</v>
      </c>
      <c r="E3902" s="12" t="n">
        <f aca="false">INDEX('Country Tiers'!$D$2:$D$37,MATCH(C3902,'Country Tiers'!$A$2:$A$37,0))</f>
        <v>1</v>
      </c>
    </row>
    <row r="3903" customFormat="false" ht="15" hidden="false" customHeight="false" outlineLevel="0" collapsed="false">
      <c r="A3903" s="12" t="s">
        <v>189</v>
      </c>
      <c r="B3903" s="12" t="s">
        <v>50</v>
      </c>
      <c r="C3903" s="12" t="s">
        <v>301</v>
      </c>
      <c r="D3903" s="12" t="str">
        <f aca="false">INDEX('Country Tiers'!$C$2:$C$37,MATCH(C3903,'Country Tiers'!$A$2:$A$37,0))</f>
        <v>Tier 3</v>
      </c>
      <c r="E3903" s="12" t="n">
        <f aca="false">INDEX('Country Tiers'!$D$2:$D$37,MATCH(C3903,'Country Tiers'!$A$2:$A$37,0))</f>
        <v>1</v>
      </c>
    </row>
    <row r="3904" customFormat="false" ht="15" hidden="false" customHeight="false" outlineLevel="0" collapsed="false">
      <c r="A3904" s="12" t="s">
        <v>189</v>
      </c>
      <c r="B3904" s="12" t="s">
        <v>50</v>
      </c>
      <c r="C3904" s="12" t="s">
        <v>302</v>
      </c>
      <c r="D3904" s="12" t="str">
        <f aca="false">INDEX('Country Tiers'!$C$2:$C$37,MATCH(C3904,'Country Tiers'!$A$2:$A$37,0))</f>
        <v>Tier 3</v>
      </c>
      <c r="E3904" s="12" t="n">
        <f aca="false">INDEX('Country Tiers'!$D$2:$D$37,MATCH(C3904,'Country Tiers'!$A$2:$A$37,0))</f>
        <v>1</v>
      </c>
    </row>
    <row r="3905" customFormat="false" ht="15" hidden="false" customHeight="false" outlineLevel="0" collapsed="false">
      <c r="A3905" s="12" t="s">
        <v>189</v>
      </c>
      <c r="B3905" s="12" t="s">
        <v>50</v>
      </c>
      <c r="C3905" s="12" t="s">
        <v>305</v>
      </c>
      <c r="D3905" s="12" t="str">
        <f aca="false">INDEX('Country Tiers'!$C$2:$C$37,MATCH(C3905,'Country Tiers'!$A$2:$A$37,0))</f>
        <v>Tier 3</v>
      </c>
      <c r="E3905" s="12" t="n">
        <f aca="false">INDEX('Country Tiers'!$D$2:$D$37,MATCH(C3905,'Country Tiers'!$A$2:$A$37,0))</f>
        <v>1</v>
      </c>
    </row>
    <row r="3906" customFormat="false" ht="15" hidden="false" customHeight="false" outlineLevel="0" collapsed="false">
      <c r="A3906" s="12" t="s">
        <v>189</v>
      </c>
      <c r="B3906" s="12" t="s">
        <v>50</v>
      </c>
      <c r="C3906" s="12" t="s">
        <v>306</v>
      </c>
      <c r="D3906" s="12" t="str">
        <f aca="false">INDEX('Country Tiers'!$C$2:$C$37,MATCH(C3906,'Country Tiers'!$A$2:$A$37,0))</f>
        <v>Tier 3</v>
      </c>
      <c r="E3906" s="12" t="n">
        <f aca="false">INDEX('Country Tiers'!$D$2:$D$37,MATCH(C3906,'Country Tiers'!$A$2:$A$37,0))</f>
        <v>1</v>
      </c>
    </row>
    <row r="3907" customFormat="false" ht="15" hidden="false" customHeight="false" outlineLevel="0" collapsed="false">
      <c r="A3907" s="12" t="s">
        <v>189</v>
      </c>
      <c r="B3907" s="12" t="s">
        <v>50</v>
      </c>
      <c r="C3907" s="12" t="s">
        <v>307</v>
      </c>
      <c r="D3907" s="12" t="str">
        <f aca="false">INDEX('Country Tiers'!$C$2:$C$37,MATCH(C3907,'Country Tiers'!$A$2:$A$37,0))</f>
        <v>Tier 2</v>
      </c>
      <c r="E3907" s="12" t="n">
        <f aca="false">INDEX('Country Tiers'!$D$2:$D$37,MATCH(C3907,'Country Tiers'!$A$2:$A$37,0))</f>
        <v>2</v>
      </c>
    </row>
    <row r="3908" customFormat="false" ht="15" hidden="false" customHeight="false" outlineLevel="0" collapsed="false">
      <c r="A3908" s="12" t="s">
        <v>189</v>
      </c>
      <c r="B3908" s="12" t="s">
        <v>50</v>
      </c>
      <c r="C3908" s="12" t="s">
        <v>308</v>
      </c>
      <c r="D3908" s="12" t="str">
        <f aca="false">INDEX('Country Tiers'!$C$2:$C$37,MATCH(C3908,'Country Tiers'!$A$2:$A$37,0))</f>
        <v>Tier 3</v>
      </c>
      <c r="E3908" s="12" t="n">
        <f aca="false">INDEX('Country Tiers'!$D$2:$D$37,MATCH(C3908,'Country Tiers'!$A$2:$A$37,0))</f>
        <v>1</v>
      </c>
    </row>
    <row r="3909" customFormat="false" ht="15" hidden="false" customHeight="false" outlineLevel="0" collapsed="false">
      <c r="A3909" s="12" t="s">
        <v>189</v>
      </c>
      <c r="B3909" s="12" t="s">
        <v>50</v>
      </c>
      <c r="C3909" s="12" t="s">
        <v>309</v>
      </c>
      <c r="D3909" s="12" t="str">
        <f aca="false">INDEX('Country Tiers'!$C$2:$C$37,MATCH(C3909,'Country Tiers'!$A$2:$A$37,0))</f>
        <v>Tier 1</v>
      </c>
      <c r="E3909" s="12" t="n">
        <f aca="false">INDEX('Country Tiers'!$D$2:$D$37,MATCH(C3909,'Country Tiers'!$A$2:$A$37,0))</f>
        <v>3</v>
      </c>
    </row>
    <row r="3910" customFormat="false" ht="15" hidden="false" customHeight="false" outlineLevel="0" collapsed="false">
      <c r="A3910" s="12" t="s">
        <v>189</v>
      </c>
      <c r="B3910" s="12" t="s">
        <v>50</v>
      </c>
      <c r="C3910" s="12" t="s">
        <v>313</v>
      </c>
      <c r="D3910" s="12" t="str">
        <f aca="false">INDEX('Country Tiers'!$C$2:$C$37,MATCH(C3910,'Country Tiers'!$A$2:$A$37,0))</f>
        <v>Tier 1</v>
      </c>
      <c r="E3910" s="12" t="n">
        <f aca="false">INDEX('Country Tiers'!$D$2:$D$37,MATCH(C3910,'Country Tiers'!$A$2:$A$37,0))</f>
        <v>3</v>
      </c>
    </row>
    <row r="3911" customFormat="false" ht="15" hidden="false" customHeight="false" outlineLevel="0" collapsed="false">
      <c r="A3911" s="12" t="s">
        <v>190</v>
      </c>
      <c r="B3911" s="12" t="s">
        <v>55</v>
      </c>
      <c r="C3911" s="12" t="s">
        <v>311</v>
      </c>
      <c r="D3911" s="12" t="str">
        <f aca="false">INDEX('Country Tiers'!$C$2:$C$37,MATCH(C3911,'Country Tiers'!$A$2:$A$37,0))</f>
        <v>Tier 1</v>
      </c>
      <c r="E3911" s="12" t="n">
        <f aca="false">INDEX('Country Tiers'!$D$2:$D$37,MATCH(C3911,'Country Tiers'!$A$2:$A$37,0))</f>
        <v>3</v>
      </c>
    </row>
    <row r="3912" customFormat="false" ht="15" hidden="false" customHeight="false" outlineLevel="0" collapsed="false">
      <c r="A3912" s="12" t="s">
        <v>191</v>
      </c>
      <c r="B3912" s="12" t="s">
        <v>44</v>
      </c>
      <c r="C3912" s="12" t="s">
        <v>272</v>
      </c>
      <c r="D3912" s="12" t="str">
        <f aca="false">INDEX('Country Tiers'!$C$2:$C$37,MATCH(C3912,'Country Tiers'!$A$2:$A$37,0))</f>
        <v>Tier 2</v>
      </c>
      <c r="E3912" s="12" t="n">
        <f aca="false">INDEX('Country Tiers'!$D$2:$D$37,MATCH(C3912,'Country Tiers'!$A$2:$A$37,0))</f>
        <v>2</v>
      </c>
    </row>
    <row r="3913" customFormat="false" ht="15" hidden="false" customHeight="false" outlineLevel="0" collapsed="false">
      <c r="A3913" s="12" t="s">
        <v>192</v>
      </c>
      <c r="B3913" s="12" t="s">
        <v>47</v>
      </c>
      <c r="C3913" s="12" t="s">
        <v>311</v>
      </c>
      <c r="D3913" s="12" t="str">
        <f aca="false">INDEX('Country Tiers'!$C$2:$C$37,MATCH(C3913,'Country Tiers'!$A$2:$A$37,0))</f>
        <v>Tier 1</v>
      </c>
      <c r="E3913" s="12" t="n">
        <f aca="false">INDEX('Country Tiers'!$D$2:$D$37,MATCH(C3913,'Country Tiers'!$A$2:$A$37,0))</f>
        <v>3</v>
      </c>
    </row>
    <row r="3914" customFormat="false" ht="15" hidden="false" customHeight="false" outlineLevel="0" collapsed="false">
      <c r="A3914" s="12" t="s">
        <v>193</v>
      </c>
      <c r="B3914" s="12" t="s">
        <v>47</v>
      </c>
      <c r="C3914" s="12" t="s">
        <v>279</v>
      </c>
      <c r="D3914" s="12" t="str">
        <f aca="false">INDEX('Country Tiers'!$C$2:$C$37,MATCH(C3914,'Country Tiers'!$A$2:$A$37,0))</f>
        <v>Tier 1</v>
      </c>
      <c r="E3914" s="12" t="n">
        <f aca="false">INDEX('Country Tiers'!$D$2:$D$37,MATCH(C3914,'Country Tiers'!$A$2:$A$37,0))</f>
        <v>3</v>
      </c>
    </row>
    <row r="3915" customFormat="false" ht="15" hidden="false" customHeight="false" outlineLevel="0" collapsed="false">
      <c r="A3915" s="12" t="s">
        <v>194</v>
      </c>
      <c r="B3915" s="12" t="s">
        <v>54</v>
      </c>
      <c r="C3915" s="12" t="s">
        <v>272</v>
      </c>
      <c r="D3915" s="12" t="str">
        <f aca="false">INDEX('Country Tiers'!$C$2:$C$37,MATCH(C3915,'Country Tiers'!$A$2:$A$37,0))</f>
        <v>Tier 2</v>
      </c>
      <c r="E3915" s="12" t="n">
        <f aca="false">INDEX('Country Tiers'!$D$2:$D$37,MATCH(C3915,'Country Tiers'!$A$2:$A$37,0))</f>
        <v>2</v>
      </c>
    </row>
    <row r="3916" customFormat="false" ht="15" hidden="false" customHeight="false" outlineLevel="0" collapsed="false">
      <c r="A3916" s="12" t="s">
        <v>195</v>
      </c>
      <c r="B3916" s="12" t="s">
        <v>70</v>
      </c>
      <c r="C3916" s="12" t="s">
        <v>311</v>
      </c>
      <c r="D3916" s="12" t="str">
        <f aca="false">INDEX('Country Tiers'!$C$2:$C$37,MATCH(C3916,'Country Tiers'!$A$2:$A$37,0))</f>
        <v>Tier 1</v>
      </c>
      <c r="E3916" s="12" t="n">
        <f aca="false">INDEX('Country Tiers'!$D$2:$D$37,MATCH(C3916,'Country Tiers'!$A$2:$A$37,0))</f>
        <v>3</v>
      </c>
    </row>
    <row r="3917" customFormat="false" ht="15" hidden="false" customHeight="false" outlineLevel="0" collapsed="false">
      <c r="A3917" s="12" t="s">
        <v>195</v>
      </c>
      <c r="B3917" s="12" t="s">
        <v>47</v>
      </c>
      <c r="C3917" s="12" t="s">
        <v>311</v>
      </c>
      <c r="D3917" s="12" t="str">
        <f aca="false">INDEX('Country Tiers'!$C$2:$C$37,MATCH(C3917,'Country Tiers'!$A$2:$A$37,0))</f>
        <v>Tier 1</v>
      </c>
      <c r="E3917" s="12" t="n">
        <f aca="false">INDEX('Country Tiers'!$D$2:$D$37,MATCH(C3917,'Country Tiers'!$A$2:$A$37,0))</f>
        <v>3</v>
      </c>
    </row>
    <row r="3918" customFormat="false" ht="15" hidden="false" customHeight="false" outlineLevel="0" collapsed="false">
      <c r="A3918" s="12" t="s">
        <v>195</v>
      </c>
      <c r="B3918" s="12" t="s">
        <v>55</v>
      </c>
      <c r="C3918" s="12" t="s">
        <v>311</v>
      </c>
      <c r="D3918" s="12" t="str">
        <f aca="false">INDEX('Country Tiers'!$C$2:$C$37,MATCH(C3918,'Country Tiers'!$A$2:$A$37,0))</f>
        <v>Tier 1</v>
      </c>
      <c r="E3918" s="12" t="n">
        <f aca="false">INDEX('Country Tiers'!$D$2:$D$37,MATCH(C3918,'Country Tiers'!$A$2:$A$37,0))</f>
        <v>3</v>
      </c>
    </row>
    <row r="3919" customFormat="false" ht="15" hidden="false" customHeight="false" outlineLevel="0" collapsed="false">
      <c r="A3919" s="12" t="s">
        <v>196</v>
      </c>
      <c r="B3919" s="12" t="s">
        <v>44</v>
      </c>
      <c r="C3919" s="12" t="s">
        <v>309</v>
      </c>
      <c r="D3919" s="12" t="str">
        <f aca="false">INDEX('Country Tiers'!$C$2:$C$37,MATCH(C3919,'Country Tiers'!$A$2:$A$37,0))</f>
        <v>Tier 1</v>
      </c>
      <c r="E3919" s="12" t="n">
        <f aca="false">INDEX('Country Tiers'!$D$2:$D$37,MATCH(C3919,'Country Tiers'!$A$2:$A$37,0))</f>
        <v>3</v>
      </c>
    </row>
    <row r="3920" customFormat="false" ht="15" hidden="false" customHeight="false" outlineLevel="0" collapsed="false">
      <c r="A3920" s="12" t="s">
        <v>197</v>
      </c>
      <c r="B3920" s="12" t="s">
        <v>38</v>
      </c>
      <c r="C3920" s="12" t="s">
        <v>274</v>
      </c>
      <c r="D3920" s="12" t="str">
        <f aca="false">INDEX('Country Tiers'!$C$2:$C$37,MATCH(C3920,'Country Tiers'!$A$2:$A$37,0))</f>
        <v>Tier 3</v>
      </c>
      <c r="E3920" s="12" t="n">
        <f aca="false">INDEX('Country Tiers'!$D$2:$D$37,MATCH(C3920,'Country Tiers'!$A$2:$A$37,0))</f>
        <v>1</v>
      </c>
    </row>
    <row r="3921" customFormat="false" ht="15" hidden="false" customHeight="false" outlineLevel="0" collapsed="false">
      <c r="A3921" s="12" t="s">
        <v>197</v>
      </c>
      <c r="B3921" s="12" t="s">
        <v>38</v>
      </c>
      <c r="C3921" s="12" t="s">
        <v>277</v>
      </c>
      <c r="D3921" s="12" t="str">
        <f aca="false">INDEX('Country Tiers'!$C$2:$C$37,MATCH(C3921,'Country Tiers'!$A$2:$A$37,0))</f>
        <v>Tier 1</v>
      </c>
      <c r="E3921" s="12" t="n">
        <f aca="false">INDEX('Country Tiers'!$D$2:$D$37,MATCH(C3921,'Country Tiers'!$A$2:$A$37,0))</f>
        <v>3</v>
      </c>
    </row>
    <row r="3922" customFormat="false" ht="15" hidden="false" customHeight="false" outlineLevel="0" collapsed="false">
      <c r="A3922" s="12" t="s">
        <v>197</v>
      </c>
      <c r="B3922" s="12" t="s">
        <v>38</v>
      </c>
      <c r="C3922" s="12" t="s">
        <v>278</v>
      </c>
      <c r="D3922" s="12" t="str">
        <f aca="false">INDEX('Country Tiers'!$C$2:$C$37,MATCH(C3922,'Country Tiers'!$A$2:$A$37,0))</f>
        <v>Tier 3</v>
      </c>
      <c r="E3922" s="12" t="n">
        <f aca="false">INDEX('Country Tiers'!$D$2:$D$37,MATCH(C3922,'Country Tiers'!$A$2:$A$37,0))</f>
        <v>1</v>
      </c>
    </row>
    <row r="3923" customFormat="false" ht="15" hidden="false" customHeight="false" outlineLevel="0" collapsed="false">
      <c r="A3923" s="12" t="s">
        <v>197</v>
      </c>
      <c r="B3923" s="12" t="s">
        <v>38</v>
      </c>
      <c r="C3923" s="12" t="s">
        <v>280</v>
      </c>
      <c r="D3923" s="12" t="str">
        <f aca="false">INDEX('Country Tiers'!$C$2:$C$37,MATCH(C3923,'Country Tiers'!$A$2:$A$37,0))</f>
        <v>Tier 3</v>
      </c>
      <c r="E3923" s="12" t="n">
        <f aca="false">INDEX('Country Tiers'!$D$2:$D$37,MATCH(C3923,'Country Tiers'!$A$2:$A$37,0))</f>
        <v>1</v>
      </c>
    </row>
    <row r="3924" customFormat="false" ht="15" hidden="false" customHeight="false" outlineLevel="0" collapsed="false">
      <c r="A3924" s="12" t="s">
        <v>197</v>
      </c>
      <c r="B3924" s="12" t="s">
        <v>38</v>
      </c>
      <c r="C3924" s="12" t="s">
        <v>281</v>
      </c>
      <c r="D3924" s="12" t="str">
        <f aca="false">INDEX('Country Tiers'!$C$2:$C$37,MATCH(C3924,'Country Tiers'!$A$2:$A$37,0))</f>
        <v>Tier 3</v>
      </c>
      <c r="E3924" s="12" t="n">
        <f aca="false">INDEX('Country Tiers'!$D$2:$D$37,MATCH(C3924,'Country Tiers'!$A$2:$A$37,0))</f>
        <v>1</v>
      </c>
    </row>
    <row r="3925" customFormat="false" ht="15" hidden="false" customHeight="false" outlineLevel="0" collapsed="false">
      <c r="A3925" s="12" t="s">
        <v>197</v>
      </c>
      <c r="B3925" s="12" t="s">
        <v>38</v>
      </c>
      <c r="C3925" s="12" t="s">
        <v>282</v>
      </c>
      <c r="D3925" s="12" t="str">
        <f aca="false">INDEX('Country Tiers'!$C$2:$C$37,MATCH(C3925,'Country Tiers'!$A$2:$A$37,0))</f>
        <v>Tier 3</v>
      </c>
      <c r="E3925" s="12" t="n">
        <f aca="false">INDEX('Country Tiers'!$D$2:$D$37,MATCH(C3925,'Country Tiers'!$A$2:$A$37,0))</f>
        <v>1</v>
      </c>
    </row>
    <row r="3926" customFormat="false" ht="15" hidden="false" customHeight="false" outlineLevel="0" collapsed="false">
      <c r="A3926" s="12" t="s">
        <v>197</v>
      </c>
      <c r="B3926" s="12" t="s">
        <v>38</v>
      </c>
      <c r="C3926" s="12" t="s">
        <v>283</v>
      </c>
      <c r="D3926" s="12" t="str">
        <f aca="false">INDEX('Country Tiers'!$C$2:$C$37,MATCH(C3926,'Country Tiers'!$A$2:$A$37,0))</f>
        <v>Tier 3</v>
      </c>
      <c r="E3926" s="12" t="n">
        <f aca="false">INDEX('Country Tiers'!$D$2:$D$37,MATCH(C3926,'Country Tiers'!$A$2:$A$37,0))</f>
        <v>1</v>
      </c>
    </row>
    <row r="3927" customFormat="false" ht="15" hidden="false" customHeight="false" outlineLevel="0" collapsed="false">
      <c r="A3927" s="12" t="s">
        <v>197</v>
      </c>
      <c r="B3927" s="12" t="s">
        <v>38</v>
      </c>
      <c r="C3927" s="12" t="s">
        <v>285</v>
      </c>
      <c r="D3927" s="12" t="str">
        <f aca="false">INDEX('Country Tiers'!$C$2:$C$37,MATCH(C3927,'Country Tiers'!$A$2:$A$37,0))</f>
        <v>Tier 3</v>
      </c>
      <c r="E3927" s="12" t="n">
        <f aca="false">INDEX('Country Tiers'!$D$2:$D$37,MATCH(C3927,'Country Tiers'!$A$2:$A$37,0))</f>
        <v>1</v>
      </c>
    </row>
    <row r="3928" customFormat="false" ht="15" hidden="false" customHeight="false" outlineLevel="0" collapsed="false">
      <c r="A3928" s="12" t="s">
        <v>197</v>
      </c>
      <c r="B3928" s="12" t="s">
        <v>38</v>
      </c>
      <c r="C3928" s="12" t="s">
        <v>286</v>
      </c>
      <c r="D3928" s="12" t="str">
        <f aca="false">INDEX('Country Tiers'!$C$2:$C$37,MATCH(C3928,'Country Tiers'!$A$2:$A$37,0))</f>
        <v>Tier 1</v>
      </c>
      <c r="E3928" s="12" t="n">
        <f aca="false">INDEX('Country Tiers'!$D$2:$D$37,MATCH(C3928,'Country Tiers'!$A$2:$A$37,0))</f>
        <v>3</v>
      </c>
    </row>
    <row r="3929" customFormat="false" ht="15" hidden="false" customHeight="false" outlineLevel="0" collapsed="false">
      <c r="A3929" s="12" t="s">
        <v>197</v>
      </c>
      <c r="B3929" s="12" t="s">
        <v>38</v>
      </c>
      <c r="C3929" s="12" t="s">
        <v>287</v>
      </c>
      <c r="D3929" s="12" t="str">
        <f aca="false">INDEX('Country Tiers'!$C$2:$C$37,MATCH(C3929,'Country Tiers'!$A$2:$A$37,0))</f>
        <v>Tier 1</v>
      </c>
      <c r="E3929" s="12" t="n">
        <f aca="false">INDEX('Country Tiers'!$D$2:$D$37,MATCH(C3929,'Country Tiers'!$A$2:$A$37,0))</f>
        <v>3</v>
      </c>
    </row>
    <row r="3930" customFormat="false" ht="15" hidden="false" customHeight="false" outlineLevel="0" collapsed="false">
      <c r="A3930" s="12" t="s">
        <v>197</v>
      </c>
      <c r="B3930" s="12" t="s">
        <v>38</v>
      </c>
      <c r="C3930" s="12" t="s">
        <v>288</v>
      </c>
      <c r="D3930" s="12" t="str">
        <f aca="false">INDEX('Country Tiers'!$C$2:$C$37,MATCH(C3930,'Country Tiers'!$A$2:$A$37,0))</f>
        <v>Tier 3</v>
      </c>
      <c r="E3930" s="12" t="n">
        <f aca="false">INDEX('Country Tiers'!$D$2:$D$37,MATCH(C3930,'Country Tiers'!$A$2:$A$37,0))</f>
        <v>1</v>
      </c>
    </row>
    <row r="3931" customFormat="false" ht="15" hidden="false" customHeight="false" outlineLevel="0" collapsed="false">
      <c r="A3931" s="12" t="s">
        <v>197</v>
      </c>
      <c r="B3931" s="12" t="s">
        <v>38</v>
      </c>
      <c r="C3931" s="12" t="s">
        <v>289</v>
      </c>
      <c r="D3931" s="12" t="str">
        <f aca="false">INDEX('Country Tiers'!$C$2:$C$37,MATCH(C3931,'Country Tiers'!$A$2:$A$37,0))</f>
        <v>Tier 3</v>
      </c>
      <c r="E3931" s="12" t="n">
        <f aca="false">INDEX('Country Tiers'!$D$2:$D$37,MATCH(C3931,'Country Tiers'!$A$2:$A$37,0))</f>
        <v>1</v>
      </c>
    </row>
    <row r="3932" customFormat="false" ht="15" hidden="false" customHeight="false" outlineLevel="0" collapsed="false">
      <c r="A3932" s="12" t="s">
        <v>197</v>
      </c>
      <c r="B3932" s="12" t="s">
        <v>38</v>
      </c>
      <c r="C3932" s="12" t="s">
        <v>291</v>
      </c>
      <c r="D3932" s="12" t="str">
        <f aca="false">INDEX('Country Tiers'!$C$2:$C$37,MATCH(C3932,'Country Tiers'!$A$2:$A$37,0))</f>
        <v>Tier 3</v>
      </c>
      <c r="E3932" s="12" t="n">
        <f aca="false">INDEX('Country Tiers'!$D$2:$D$37,MATCH(C3932,'Country Tiers'!$A$2:$A$37,0))</f>
        <v>1</v>
      </c>
    </row>
    <row r="3933" customFormat="false" ht="15" hidden="false" customHeight="false" outlineLevel="0" collapsed="false">
      <c r="A3933" s="12" t="s">
        <v>197</v>
      </c>
      <c r="B3933" s="12" t="s">
        <v>38</v>
      </c>
      <c r="C3933" s="12" t="s">
        <v>292</v>
      </c>
      <c r="D3933" s="12" t="str">
        <f aca="false">INDEX('Country Tiers'!$C$2:$C$37,MATCH(C3933,'Country Tiers'!$A$2:$A$37,0))</f>
        <v>Tier 2</v>
      </c>
      <c r="E3933" s="12" t="n">
        <f aca="false">INDEX('Country Tiers'!$D$2:$D$37,MATCH(C3933,'Country Tiers'!$A$2:$A$37,0))</f>
        <v>2</v>
      </c>
    </row>
    <row r="3934" customFormat="false" ht="15" hidden="false" customHeight="false" outlineLevel="0" collapsed="false">
      <c r="A3934" s="12" t="s">
        <v>197</v>
      </c>
      <c r="B3934" s="12" t="s">
        <v>38</v>
      </c>
      <c r="C3934" s="12" t="s">
        <v>295</v>
      </c>
      <c r="D3934" s="12" t="str">
        <f aca="false">INDEX('Country Tiers'!$C$2:$C$37,MATCH(C3934,'Country Tiers'!$A$2:$A$37,0))</f>
        <v>Tier 3</v>
      </c>
      <c r="E3934" s="12" t="n">
        <f aca="false">INDEX('Country Tiers'!$D$2:$D$37,MATCH(C3934,'Country Tiers'!$A$2:$A$37,0))</f>
        <v>1</v>
      </c>
    </row>
    <row r="3935" customFormat="false" ht="15" hidden="false" customHeight="false" outlineLevel="0" collapsed="false">
      <c r="A3935" s="12" t="s">
        <v>197</v>
      </c>
      <c r="B3935" s="12" t="s">
        <v>38</v>
      </c>
      <c r="C3935" s="12" t="s">
        <v>296</v>
      </c>
      <c r="D3935" s="12" t="str">
        <f aca="false">INDEX('Country Tiers'!$C$2:$C$37,MATCH(C3935,'Country Tiers'!$A$2:$A$37,0))</f>
        <v>Tier 3</v>
      </c>
      <c r="E3935" s="12" t="n">
        <f aca="false">INDEX('Country Tiers'!$D$2:$D$37,MATCH(C3935,'Country Tiers'!$A$2:$A$37,0))</f>
        <v>1</v>
      </c>
    </row>
    <row r="3936" customFormat="false" ht="15" hidden="false" customHeight="false" outlineLevel="0" collapsed="false">
      <c r="A3936" s="12" t="s">
        <v>197</v>
      </c>
      <c r="B3936" s="12" t="s">
        <v>38</v>
      </c>
      <c r="C3936" s="12" t="s">
        <v>297</v>
      </c>
      <c r="D3936" s="12" t="str">
        <f aca="false">INDEX('Country Tiers'!$C$2:$C$37,MATCH(C3936,'Country Tiers'!$A$2:$A$37,0))</f>
        <v>Tier 2</v>
      </c>
      <c r="E3936" s="12" t="n">
        <f aca="false">INDEX('Country Tiers'!$D$2:$D$37,MATCH(C3936,'Country Tiers'!$A$2:$A$37,0))</f>
        <v>2</v>
      </c>
    </row>
    <row r="3937" customFormat="false" ht="15" hidden="false" customHeight="false" outlineLevel="0" collapsed="false">
      <c r="A3937" s="12" t="s">
        <v>197</v>
      </c>
      <c r="B3937" s="12" t="s">
        <v>38</v>
      </c>
      <c r="C3937" s="12" t="s">
        <v>298</v>
      </c>
      <c r="D3937" s="12" t="str">
        <f aca="false">INDEX('Country Tiers'!$C$2:$C$37,MATCH(C3937,'Country Tiers'!$A$2:$A$37,0))</f>
        <v>Tier 1</v>
      </c>
      <c r="E3937" s="12" t="n">
        <f aca="false">INDEX('Country Tiers'!$D$2:$D$37,MATCH(C3937,'Country Tiers'!$A$2:$A$37,0))</f>
        <v>3</v>
      </c>
    </row>
    <row r="3938" customFormat="false" ht="15" hidden="false" customHeight="false" outlineLevel="0" collapsed="false">
      <c r="A3938" s="12" t="s">
        <v>197</v>
      </c>
      <c r="B3938" s="12" t="s">
        <v>38</v>
      </c>
      <c r="C3938" s="12" t="s">
        <v>299</v>
      </c>
      <c r="D3938" s="12" t="str">
        <f aca="false">INDEX('Country Tiers'!$C$2:$C$37,MATCH(C3938,'Country Tiers'!$A$2:$A$37,0))</f>
        <v>Tier 3</v>
      </c>
      <c r="E3938" s="12" t="n">
        <f aca="false">INDEX('Country Tiers'!$D$2:$D$37,MATCH(C3938,'Country Tiers'!$A$2:$A$37,0))</f>
        <v>1</v>
      </c>
    </row>
    <row r="3939" customFormat="false" ht="15" hidden="false" customHeight="false" outlineLevel="0" collapsed="false">
      <c r="A3939" s="12" t="s">
        <v>197</v>
      </c>
      <c r="B3939" s="12" t="s">
        <v>38</v>
      </c>
      <c r="C3939" s="12" t="s">
        <v>300</v>
      </c>
      <c r="D3939" s="12" t="str">
        <f aca="false">INDEX('Country Tiers'!$C$2:$C$37,MATCH(C3939,'Country Tiers'!$A$2:$A$37,0))</f>
        <v>Tier 3</v>
      </c>
      <c r="E3939" s="12" t="n">
        <f aca="false">INDEX('Country Tiers'!$D$2:$D$37,MATCH(C3939,'Country Tiers'!$A$2:$A$37,0))</f>
        <v>1</v>
      </c>
    </row>
    <row r="3940" customFormat="false" ht="15" hidden="false" customHeight="false" outlineLevel="0" collapsed="false">
      <c r="A3940" s="12" t="s">
        <v>197</v>
      </c>
      <c r="B3940" s="12" t="s">
        <v>38</v>
      </c>
      <c r="C3940" s="12" t="s">
        <v>301</v>
      </c>
      <c r="D3940" s="12" t="str">
        <f aca="false">INDEX('Country Tiers'!$C$2:$C$37,MATCH(C3940,'Country Tiers'!$A$2:$A$37,0))</f>
        <v>Tier 3</v>
      </c>
      <c r="E3940" s="12" t="n">
        <f aca="false">INDEX('Country Tiers'!$D$2:$D$37,MATCH(C3940,'Country Tiers'!$A$2:$A$37,0))</f>
        <v>1</v>
      </c>
    </row>
    <row r="3941" customFormat="false" ht="15" hidden="false" customHeight="false" outlineLevel="0" collapsed="false">
      <c r="A3941" s="12" t="s">
        <v>197</v>
      </c>
      <c r="B3941" s="12" t="s">
        <v>38</v>
      </c>
      <c r="C3941" s="12" t="s">
        <v>302</v>
      </c>
      <c r="D3941" s="12" t="str">
        <f aca="false">INDEX('Country Tiers'!$C$2:$C$37,MATCH(C3941,'Country Tiers'!$A$2:$A$37,0))</f>
        <v>Tier 3</v>
      </c>
      <c r="E3941" s="12" t="n">
        <f aca="false">INDEX('Country Tiers'!$D$2:$D$37,MATCH(C3941,'Country Tiers'!$A$2:$A$37,0))</f>
        <v>1</v>
      </c>
    </row>
    <row r="3942" customFormat="false" ht="15" hidden="false" customHeight="false" outlineLevel="0" collapsed="false">
      <c r="A3942" s="12" t="s">
        <v>197</v>
      </c>
      <c r="B3942" s="12" t="s">
        <v>38</v>
      </c>
      <c r="C3942" s="12" t="s">
        <v>305</v>
      </c>
      <c r="D3942" s="12" t="str">
        <f aca="false">INDEX('Country Tiers'!$C$2:$C$37,MATCH(C3942,'Country Tiers'!$A$2:$A$37,0))</f>
        <v>Tier 3</v>
      </c>
      <c r="E3942" s="12" t="n">
        <f aca="false">INDEX('Country Tiers'!$D$2:$D$37,MATCH(C3942,'Country Tiers'!$A$2:$A$37,0))</f>
        <v>1</v>
      </c>
    </row>
    <row r="3943" customFormat="false" ht="15" hidden="false" customHeight="false" outlineLevel="0" collapsed="false">
      <c r="A3943" s="12" t="s">
        <v>197</v>
      </c>
      <c r="B3943" s="12" t="s">
        <v>38</v>
      </c>
      <c r="C3943" s="12" t="s">
        <v>306</v>
      </c>
      <c r="D3943" s="12" t="str">
        <f aca="false">INDEX('Country Tiers'!$C$2:$C$37,MATCH(C3943,'Country Tiers'!$A$2:$A$37,0))</f>
        <v>Tier 3</v>
      </c>
      <c r="E3943" s="12" t="n">
        <f aca="false">INDEX('Country Tiers'!$D$2:$D$37,MATCH(C3943,'Country Tiers'!$A$2:$A$37,0))</f>
        <v>1</v>
      </c>
    </row>
    <row r="3944" customFormat="false" ht="15" hidden="false" customHeight="false" outlineLevel="0" collapsed="false">
      <c r="A3944" s="12" t="s">
        <v>197</v>
      </c>
      <c r="B3944" s="12" t="s">
        <v>38</v>
      </c>
      <c r="C3944" s="12" t="s">
        <v>307</v>
      </c>
      <c r="D3944" s="12" t="str">
        <f aca="false">INDEX('Country Tiers'!$C$2:$C$37,MATCH(C3944,'Country Tiers'!$A$2:$A$37,0))</f>
        <v>Tier 2</v>
      </c>
      <c r="E3944" s="12" t="n">
        <f aca="false">INDEX('Country Tiers'!$D$2:$D$37,MATCH(C3944,'Country Tiers'!$A$2:$A$37,0))</f>
        <v>2</v>
      </c>
    </row>
    <row r="3945" customFormat="false" ht="15" hidden="false" customHeight="false" outlineLevel="0" collapsed="false">
      <c r="A3945" s="12" t="s">
        <v>197</v>
      </c>
      <c r="B3945" s="12" t="s">
        <v>38</v>
      </c>
      <c r="C3945" s="12" t="s">
        <v>308</v>
      </c>
      <c r="D3945" s="12" t="str">
        <f aca="false">INDEX('Country Tiers'!$C$2:$C$37,MATCH(C3945,'Country Tiers'!$A$2:$A$37,0))</f>
        <v>Tier 3</v>
      </c>
      <c r="E3945" s="12" t="n">
        <f aca="false">INDEX('Country Tiers'!$D$2:$D$37,MATCH(C3945,'Country Tiers'!$A$2:$A$37,0))</f>
        <v>1</v>
      </c>
    </row>
    <row r="3946" customFormat="false" ht="15" hidden="false" customHeight="false" outlineLevel="0" collapsed="false">
      <c r="A3946" s="12" t="s">
        <v>197</v>
      </c>
      <c r="B3946" s="12" t="s">
        <v>38</v>
      </c>
      <c r="C3946" s="12" t="s">
        <v>313</v>
      </c>
      <c r="D3946" s="12" t="str">
        <f aca="false">INDEX('Country Tiers'!$C$2:$C$37,MATCH(C3946,'Country Tiers'!$A$2:$A$37,0))</f>
        <v>Tier 1</v>
      </c>
      <c r="E3946" s="12" t="n">
        <f aca="false">INDEX('Country Tiers'!$D$2:$D$37,MATCH(C3946,'Country Tiers'!$A$2:$A$37,0))</f>
        <v>3</v>
      </c>
    </row>
    <row r="3947" customFormat="false" ht="15" hidden="false" customHeight="false" outlineLevel="0" collapsed="false">
      <c r="A3947" s="12" t="s">
        <v>198</v>
      </c>
      <c r="B3947" s="12" t="s">
        <v>47</v>
      </c>
      <c r="C3947" s="12" t="s">
        <v>311</v>
      </c>
      <c r="D3947" s="12" t="str">
        <f aca="false">INDEX('Country Tiers'!$C$2:$C$37,MATCH(C3947,'Country Tiers'!$A$2:$A$37,0))</f>
        <v>Tier 1</v>
      </c>
      <c r="E3947" s="12" t="n">
        <f aca="false">INDEX('Country Tiers'!$D$2:$D$37,MATCH(C3947,'Country Tiers'!$A$2:$A$37,0))</f>
        <v>3</v>
      </c>
    </row>
    <row r="3948" customFormat="false" ht="15" hidden="false" customHeight="false" outlineLevel="0" collapsed="false">
      <c r="A3948" s="12" t="s">
        <v>198</v>
      </c>
      <c r="B3948" s="12" t="s">
        <v>50</v>
      </c>
      <c r="C3948" s="12" t="s">
        <v>272</v>
      </c>
      <c r="D3948" s="12" t="str">
        <f aca="false">INDEX('Country Tiers'!$C$2:$C$37,MATCH(C3948,'Country Tiers'!$A$2:$A$37,0))</f>
        <v>Tier 2</v>
      </c>
      <c r="E3948" s="12" t="n">
        <f aca="false">INDEX('Country Tiers'!$D$2:$D$37,MATCH(C3948,'Country Tiers'!$A$2:$A$37,0))</f>
        <v>2</v>
      </c>
    </row>
    <row r="3949" customFormat="false" ht="15" hidden="false" customHeight="false" outlineLevel="0" collapsed="false">
      <c r="A3949" s="12" t="s">
        <v>198</v>
      </c>
      <c r="B3949" s="12" t="s">
        <v>50</v>
      </c>
      <c r="C3949" s="12" t="s">
        <v>280</v>
      </c>
      <c r="D3949" s="12" t="str">
        <f aca="false">INDEX('Country Tiers'!$C$2:$C$37,MATCH(C3949,'Country Tiers'!$A$2:$A$37,0))</f>
        <v>Tier 3</v>
      </c>
      <c r="E3949" s="12" t="n">
        <f aca="false">INDEX('Country Tiers'!$D$2:$D$37,MATCH(C3949,'Country Tiers'!$A$2:$A$37,0))</f>
        <v>1</v>
      </c>
    </row>
    <row r="3950" customFormat="false" ht="15" hidden="false" customHeight="false" outlineLevel="0" collapsed="false">
      <c r="A3950" s="12" t="s">
        <v>198</v>
      </c>
      <c r="B3950" s="12" t="s">
        <v>50</v>
      </c>
      <c r="C3950" s="12" t="s">
        <v>287</v>
      </c>
      <c r="D3950" s="12" t="str">
        <f aca="false">INDEX('Country Tiers'!$C$2:$C$37,MATCH(C3950,'Country Tiers'!$A$2:$A$37,0))</f>
        <v>Tier 1</v>
      </c>
      <c r="E3950" s="12" t="n">
        <f aca="false">INDEX('Country Tiers'!$D$2:$D$37,MATCH(C3950,'Country Tiers'!$A$2:$A$37,0))</f>
        <v>3</v>
      </c>
    </row>
    <row r="3951" customFormat="false" ht="15" hidden="false" customHeight="false" outlineLevel="0" collapsed="false">
      <c r="A3951" s="12" t="s">
        <v>198</v>
      </c>
      <c r="B3951" s="12" t="s">
        <v>50</v>
      </c>
      <c r="C3951" s="12" t="s">
        <v>288</v>
      </c>
      <c r="D3951" s="12" t="str">
        <f aca="false">INDEX('Country Tiers'!$C$2:$C$37,MATCH(C3951,'Country Tiers'!$A$2:$A$37,0))</f>
        <v>Tier 3</v>
      </c>
      <c r="E3951" s="12" t="n">
        <f aca="false">INDEX('Country Tiers'!$D$2:$D$37,MATCH(C3951,'Country Tiers'!$A$2:$A$37,0))</f>
        <v>1</v>
      </c>
    </row>
    <row r="3952" customFormat="false" ht="15" hidden="false" customHeight="false" outlineLevel="0" collapsed="false">
      <c r="A3952" s="12" t="s">
        <v>198</v>
      </c>
      <c r="B3952" s="12" t="s">
        <v>50</v>
      </c>
      <c r="C3952" s="12" t="s">
        <v>298</v>
      </c>
      <c r="D3952" s="12" t="str">
        <f aca="false">INDEX('Country Tiers'!$C$2:$C$37,MATCH(C3952,'Country Tiers'!$A$2:$A$37,0))</f>
        <v>Tier 1</v>
      </c>
      <c r="E3952" s="12" t="n">
        <f aca="false">INDEX('Country Tiers'!$D$2:$D$37,MATCH(C3952,'Country Tiers'!$A$2:$A$37,0))</f>
        <v>3</v>
      </c>
    </row>
    <row r="3953" customFormat="false" ht="15" hidden="false" customHeight="false" outlineLevel="0" collapsed="false">
      <c r="A3953" s="12" t="s">
        <v>198</v>
      </c>
      <c r="B3953" s="12" t="s">
        <v>50</v>
      </c>
      <c r="C3953" s="12" t="s">
        <v>301</v>
      </c>
      <c r="D3953" s="12" t="str">
        <f aca="false">INDEX('Country Tiers'!$C$2:$C$37,MATCH(C3953,'Country Tiers'!$A$2:$A$37,0))</f>
        <v>Tier 3</v>
      </c>
      <c r="E3953" s="12" t="n">
        <f aca="false">INDEX('Country Tiers'!$D$2:$D$37,MATCH(C3953,'Country Tiers'!$A$2:$A$37,0))</f>
        <v>1</v>
      </c>
    </row>
    <row r="3954" customFormat="false" ht="15" hidden="false" customHeight="false" outlineLevel="0" collapsed="false">
      <c r="A3954" s="12" t="s">
        <v>198</v>
      </c>
      <c r="B3954" s="12" t="s">
        <v>50</v>
      </c>
      <c r="C3954" s="12" t="s">
        <v>303</v>
      </c>
      <c r="D3954" s="12" t="str">
        <f aca="false">INDEX('Country Tiers'!$C$2:$C$37,MATCH(C3954,'Country Tiers'!$A$2:$A$37,0))</f>
        <v>Tier 2</v>
      </c>
      <c r="E3954" s="12" t="n">
        <f aca="false">INDEX('Country Tiers'!$D$2:$D$37,MATCH(C3954,'Country Tiers'!$A$2:$A$37,0))</f>
        <v>2</v>
      </c>
    </row>
    <row r="3955" customFormat="false" ht="15" hidden="false" customHeight="false" outlineLevel="0" collapsed="false">
      <c r="A3955" s="12" t="s">
        <v>198</v>
      </c>
      <c r="B3955" s="12" t="s">
        <v>50</v>
      </c>
      <c r="C3955" s="12" t="s">
        <v>309</v>
      </c>
      <c r="D3955" s="12" t="str">
        <f aca="false">INDEX('Country Tiers'!$C$2:$C$37,MATCH(C3955,'Country Tiers'!$A$2:$A$37,0))</f>
        <v>Tier 1</v>
      </c>
      <c r="E3955" s="12" t="n">
        <f aca="false">INDEX('Country Tiers'!$D$2:$D$37,MATCH(C3955,'Country Tiers'!$A$2:$A$37,0))</f>
        <v>3</v>
      </c>
    </row>
    <row r="3956" customFormat="false" ht="15" hidden="false" customHeight="false" outlineLevel="0" collapsed="false">
      <c r="A3956" s="12" t="s">
        <v>198</v>
      </c>
      <c r="B3956" s="12" t="s">
        <v>50</v>
      </c>
      <c r="C3956" s="12" t="s">
        <v>313</v>
      </c>
      <c r="D3956" s="12" t="str">
        <f aca="false">INDEX('Country Tiers'!$C$2:$C$37,MATCH(C3956,'Country Tiers'!$A$2:$A$37,0))</f>
        <v>Tier 1</v>
      </c>
      <c r="E3956" s="12" t="n">
        <f aca="false">INDEX('Country Tiers'!$D$2:$D$37,MATCH(C3956,'Country Tiers'!$A$2:$A$37,0))</f>
        <v>3</v>
      </c>
    </row>
    <row r="3957" customFormat="false" ht="15" hidden="false" customHeight="false" outlineLevel="0" collapsed="false">
      <c r="A3957" s="12" t="s">
        <v>199</v>
      </c>
      <c r="B3957" s="12" t="s">
        <v>47</v>
      </c>
      <c r="C3957" s="12" t="s">
        <v>311</v>
      </c>
      <c r="D3957" s="12" t="str">
        <f aca="false">INDEX('Country Tiers'!$C$2:$C$37,MATCH(C3957,'Country Tiers'!$A$2:$A$37,0))</f>
        <v>Tier 1</v>
      </c>
      <c r="E3957" s="12" t="n">
        <f aca="false">INDEX('Country Tiers'!$D$2:$D$37,MATCH(C3957,'Country Tiers'!$A$2:$A$37,0))</f>
        <v>3</v>
      </c>
    </row>
    <row r="3958" customFormat="false" ht="15" hidden="false" customHeight="false" outlineLevel="0" collapsed="false">
      <c r="A3958" s="12" t="s">
        <v>199</v>
      </c>
      <c r="B3958" s="12" t="s">
        <v>57</v>
      </c>
      <c r="C3958" s="12" t="s">
        <v>311</v>
      </c>
      <c r="D3958" s="12" t="str">
        <f aca="false">INDEX('Country Tiers'!$C$2:$C$37,MATCH(C3958,'Country Tiers'!$A$2:$A$37,0))</f>
        <v>Tier 1</v>
      </c>
      <c r="E3958" s="12" t="n">
        <f aca="false">INDEX('Country Tiers'!$D$2:$D$37,MATCH(C3958,'Country Tiers'!$A$2:$A$37,0))</f>
        <v>3</v>
      </c>
    </row>
    <row r="3959" customFormat="false" ht="15" hidden="false" customHeight="false" outlineLevel="0" collapsed="false">
      <c r="A3959" s="12" t="s">
        <v>199</v>
      </c>
      <c r="B3959" s="12" t="s">
        <v>65</v>
      </c>
      <c r="C3959" s="12" t="s">
        <v>311</v>
      </c>
      <c r="D3959" s="12" t="str">
        <f aca="false">INDEX('Country Tiers'!$C$2:$C$37,MATCH(C3959,'Country Tiers'!$A$2:$A$37,0))</f>
        <v>Tier 1</v>
      </c>
      <c r="E3959" s="12" t="n">
        <f aca="false">INDEX('Country Tiers'!$D$2:$D$37,MATCH(C3959,'Country Tiers'!$A$2:$A$37,0))</f>
        <v>3</v>
      </c>
    </row>
    <row r="3960" customFormat="false" ht="15" hidden="false" customHeight="false" outlineLevel="0" collapsed="false">
      <c r="A3960" s="12" t="s">
        <v>199</v>
      </c>
      <c r="B3960" s="12" t="s">
        <v>36</v>
      </c>
      <c r="C3960" s="12" t="s">
        <v>311</v>
      </c>
      <c r="D3960" s="12" t="str">
        <f aca="false">INDEX('Country Tiers'!$C$2:$C$37,MATCH(C3960,'Country Tiers'!$A$2:$A$37,0))</f>
        <v>Tier 1</v>
      </c>
      <c r="E3960" s="12" t="n">
        <f aca="false">INDEX('Country Tiers'!$D$2:$D$37,MATCH(C3960,'Country Tiers'!$A$2:$A$37,0))</f>
        <v>3</v>
      </c>
    </row>
    <row r="3961" customFormat="false" ht="15" hidden="false" customHeight="false" outlineLevel="0" collapsed="false">
      <c r="A3961" s="12" t="s">
        <v>200</v>
      </c>
      <c r="B3961" s="12" t="s">
        <v>54</v>
      </c>
      <c r="C3961" s="12" t="s">
        <v>303</v>
      </c>
      <c r="D3961" s="12" t="str">
        <f aca="false">INDEX('Country Tiers'!$C$2:$C$37,MATCH(C3961,'Country Tiers'!$A$2:$A$37,0))</f>
        <v>Tier 2</v>
      </c>
      <c r="E3961" s="12" t="n">
        <f aca="false">INDEX('Country Tiers'!$D$2:$D$37,MATCH(C3961,'Country Tiers'!$A$2:$A$37,0))</f>
        <v>2</v>
      </c>
    </row>
    <row r="3962" customFormat="false" ht="15" hidden="false" customHeight="false" outlineLevel="0" collapsed="false">
      <c r="A3962" s="12" t="s">
        <v>201</v>
      </c>
      <c r="B3962" s="12" t="s">
        <v>44</v>
      </c>
      <c r="C3962" s="12" t="s">
        <v>303</v>
      </c>
      <c r="D3962" s="12" t="str">
        <f aca="false">INDEX('Country Tiers'!$C$2:$C$37,MATCH(C3962,'Country Tiers'!$A$2:$A$37,0))</f>
        <v>Tier 2</v>
      </c>
      <c r="E3962" s="12" t="n">
        <f aca="false">INDEX('Country Tiers'!$D$2:$D$37,MATCH(C3962,'Country Tiers'!$A$2:$A$37,0))</f>
        <v>2</v>
      </c>
    </row>
    <row r="3963" customFormat="false" ht="15" hidden="false" customHeight="false" outlineLevel="0" collapsed="false">
      <c r="A3963" s="12" t="s">
        <v>202</v>
      </c>
      <c r="B3963" s="12" t="s">
        <v>47</v>
      </c>
      <c r="C3963" s="12" t="s">
        <v>274</v>
      </c>
      <c r="D3963" s="12" t="str">
        <f aca="false">INDEX('Country Tiers'!$C$2:$C$37,MATCH(C3963,'Country Tiers'!$A$2:$A$37,0))</f>
        <v>Tier 3</v>
      </c>
      <c r="E3963" s="12" t="n">
        <f aca="false">INDEX('Country Tiers'!$D$2:$D$37,MATCH(C3963,'Country Tiers'!$A$2:$A$37,0))</f>
        <v>1</v>
      </c>
    </row>
    <row r="3964" customFormat="false" ht="15" hidden="false" customHeight="false" outlineLevel="0" collapsed="false">
      <c r="A3964" s="12" t="s">
        <v>202</v>
      </c>
      <c r="B3964" s="12" t="s">
        <v>47</v>
      </c>
      <c r="C3964" s="12" t="s">
        <v>277</v>
      </c>
      <c r="D3964" s="12" t="str">
        <f aca="false">INDEX('Country Tiers'!$C$2:$C$37,MATCH(C3964,'Country Tiers'!$A$2:$A$37,0))</f>
        <v>Tier 1</v>
      </c>
      <c r="E3964" s="12" t="n">
        <f aca="false">INDEX('Country Tiers'!$D$2:$D$37,MATCH(C3964,'Country Tiers'!$A$2:$A$37,0))</f>
        <v>3</v>
      </c>
    </row>
    <row r="3965" customFormat="false" ht="15" hidden="false" customHeight="false" outlineLevel="0" collapsed="false">
      <c r="A3965" s="12" t="s">
        <v>202</v>
      </c>
      <c r="B3965" s="12" t="s">
        <v>47</v>
      </c>
      <c r="C3965" s="12" t="s">
        <v>278</v>
      </c>
      <c r="D3965" s="12" t="str">
        <f aca="false">INDEX('Country Tiers'!$C$2:$C$37,MATCH(C3965,'Country Tiers'!$A$2:$A$37,0))</f>
        <v>Tier 3</v>
      </c>
      <c r="E3965" s="12" t="n">
        <f aca="false">INDEX('Country Tiers'!$D$2:$D$37,MATCH(C3965,'Country Tiers'!$A$2:$A$37,0))</f>
        <v>1</v>
      </c>
    </row>
    <row r="3966" customFormat="false" ht="15" hidden="false" customHeight="false" outlineLevel="0" collapsed="false">
      <c r="A3966" s="12" t="s">
        <v>202</v>
      </c>
      <c r="B3966" s="12" t="s">
        <v>47</v>
      </c>
      <c r="C3966" s="12" t="s">
        <v>280</v>
      </c>
      <c r="D3966" s="12" t="str">
        <f aca="false">INDEX('Country Tiers'!$C$2:$C$37,MATCH(C3966,'Country Tiers'!$A$2:$A$37,0))</f>
        <v>Tier 3</v>
      </c>
      <c r="E3966" s="12" t="n">
        <f aca="false">INDEX('Country Tiers'!$D$2:$D$37,MATCH(C3966,'Country Tiers'!$A$2:$A$37,0))</f>
        <v>1</v>
      </c>
    </row>
    <row r="3967" customFormat="false" ht="15" hidden="false" customHeight="false" outlineLevel="0" collapsed="false">
      <c r="A3967" s="12" t="s">
        <v>202</v>
      </c>
      <c r="B3967" s="12" t="s">
        <v>47</v>
      </c>
      <c r="C3967" s="12" t="s">
        <v>281</v>
      </c>
      <c r="D3967" s="12" t="str">
        <f aca="false">INDEX('Country Tiers'!$C$2:$C$37,MATCH(C3967,'Country Tiers'!$A$2:$A$37,0))</f>
        <v>Tier 3</v>
      </c>
      <c r="E3967" s="12" t="n">
        <f aca="false">INDEX('Country Tiers'!$D$2:$D$37,MATCH(C3967,'Country Tiers'!$A$2:$A$37,0))</f>
        <v>1</v>
      </c>
    </row>
    <row r="3968" customFormat="false" ht="15" hidden="false" customHeight="false" outlineLevel="0" collapsed="false">
      <c r="A3968" s="12" t="s">
        <v>202</v>
      </c>
      <c r="B3968" s="12" t="s">
        <v>47</v>
      </c>
      <c r="C3968" s="12" t="s">
        <v>282</v>
      </c>
      <c r="D3968" s="12" t="str">
        <f aca="false">INDEX('Country Tiers'!$C$2:$C$37,MATCH(C3968,'Country Tiers'!$A$2:$A$37,0))</f>
        <v>Tier 3</v>
      </c>
      <c r="E3968" s="12" t="n">
        <f aca="false">INDEX('Country Tiers'!$D$2:$D$37,MATCH(C3968,'Country Tiers'!$A$2:$A$37,0))</f>
        <v>1</v>
      </c>
    </row>
    <row r="3969" customFormat="false" ht="15" hidden="false" customHeight="false" outlineLevel="0" collapsed="false">
      <c r="A3969" s="12" t="s">
        <v>202</v>
      </c>
      <c r="B3969" s="12" t="s">
        <v>47</v>
      </c>
      <c r="C3969" s="12" t="s">
        <v>283</v>
      </c>
      <c r="D3969" s="12" t="str">
        <f aca="false">INDEX('Country Tiers'!$C$2:$C$37,MATCH(C3969,'Country Tiers'!$A$2:$A$37,0))</f>
        <v>Tier 3</v>
      </c>
      <c r="E3969" s="12" t="n">
        <f aca="false">INDEX('Country Tiers'!$D$2:$D$37,MATCH(C3969,'Country Tiers'!$A$2:$A$37,0))</f>
        <v>1</v>
      </c>
    </row>
    <row r="3970" customFormat="false" ht="15" hidden="false" customHeight="false" outlineLevel="0" collapsed="false">
      <c r="A3970" s="12" t="s">
        <v>202</v>
      </c>
      <c r="B3970" s="12" t="s">
        <v>47</v>
      </c>
      <c r="C3970" s="12" t="s">
        <v>284</v>
      </c>
      <c r="D3970" s="12" t="str">
        <f aca="false">INDEX('Country Tiers'!$C$2:$C$37,MATCH(C3970,'Country Tiers'!$A$2:$A$37,0))</f>
        <v>Tier 3</v>
      </c>
      <c r="E3970" s="12" t="n">
        <f aca="false">INDEX('Country Tiers'!$D$2:$D$37,MATCH(C3970,'Country Tiers'!$A$2:$A$37,0))</f>
        <v>1</v>
      </c>
    </row>
    <row r="3971" customFormat="false" ht="15" hidden="false" customHeight="false" outlineLevel="0" collapsed="false">
      <c r="A3971" s="12" t="s">
        <v>202</v>
      </c>
      <c r="B3971" s="12" t="s">
        <v>47</v>
      </c>
      <c r="C3971" s="12" t="s">
        <v>285</v>
      </c>
      <c r="D3971" s="12" t="str">
        <f aca="false">INDEX('Country Tiers'!$C$2:$C$37,MATCH(C3971,'Country Tiers'!$A$2:$A$37,0))</f>
        <v>Tier 3</v>
      </c>
      <c r="E3971" s="12" t="n">
        <f aca="false">INDEX('Country Tiers'!$D$2:$D$37,MATCH(C3971,'Country Tiers'!$A$2:$A$37,0))</f>
        <v>1</v>
      </c>
    </row>
    <row r="3972" customFormat="false" ht="15" hidden="false" customHeight="false" outlineLevel="0" collapsed="false">
      <c r="A3972" s="12" t="s">
        <v>202</v>
      </c>
      <c r="B3972" s="12" t="s">
        <v>47</v>
      </c>
      <c r="C3972" s="12" t="s">
        <v>286</v>
      </c>
      <c r="D3972" s="12" t="str">
        <f aca="false">INDEX('Country Tiers'!$C$2:$C$37,MATCH(C3972,'Country Tiers'!$A$2:$A$37,0))</f>
        <v>Tier 1</v>
      </c>
      <c r="E3972" s="12" t="n">
        <f aca="false">INDEX('Country Tiers'!$D$2:$D$37,MATCH(C3972,'Country Tiers'!$A$2:$A$37,0))</f>
        <v>3</v>
      </c>
    </row>
    <row r="3973" customFormat="false" ht="15" hidden="false" customHeight="false" outlineLevel="0" collapsed="false">
      <c r="A3973" s="12" t="s">
        <v>202</v>
      </c>
      <c r="B3973" s="12" t="s">
        <v>47</v>
      </c>
      <c r="C3973" s="12" t="s">
        <v>287</v>
      </c>
      <c r="D3973" s="12" t="str">
        <f aca="false">INDEX('Country Tiers'!$C$2:$C$37,MATCH(C3973,'Country Tiers'!$A$2:$A$37,0))</f>
        <v>Tier 1</v>
      </c>
      <c r="E3973" s="12" t="n">
        <f aca="false">INDEX('Country Tiers'!$D$2:$D$37,MATCH(C3973,'Country Tiers'!$A$2:$A$37,0))</f>
        <v>3</v>
      </c>
    </row>
    <row r="3974" customFormat="false" ht="15" hidden="false" customHeight="false" outlineLevel="0" collapsed="false">
      <c r="A3974" s="12" t="s">
        <v>202</v>
      </c>
      <c r="B3974" s="12" t="s">
        <v>47</v>
      </c>
      <c r="C3974" s="12" t="s">
        <v>288</v>
      </c>
      <c r="D3974" s="12" t="str">
        <f aca="false">INDEX('Country Tiers'!$C$2:$C$37,MATCH(C3974,'Country Tiers'!$A$2:$A$37,0))</f>
        <v>Tier 3</v>
      </c>
      <c r="E3974" s="12" t="n">
        <f aca="false">INDEX('Country Tiers'!$D$2:$D$37,MATCH(C3974,'Country Tiers'!$A$2:$A$37,0))</f>
        <v>1</v>
      </c>
    </row>
    <row r="3975" customFormat="false" ht="15" hidden="false" customHeight="false" outlineLevel="0" collapsed="false">
      <c r="A3975" s="12" t="s">
        <v>202</v>
      </c>
      <c r="B3975" s="12" t="s">
        <v>47</v>
      </c>
      <c r="C3975" s="12" t="s">
        <v>289</v>
      </c>
      <c r="D3975" s="12" t="str">
        <f aca="false">INDEX('Country Tiers'!$C$2:$C$37,MATCH(C3975,'Country Tiers'!$A$2:$A$37,0))</f>
        <v>Tier 3</v>
      </c>
      <c r="E3975" s="12" t="n">
        <f aca="false">INDEX('Country Tiers'!$D$2:$D$37,MATCH(C3975,'Country Tiers'!$A$2:$A$37,0))</f>
        <v>1</v>
      </c>
    </row>
    <row r="3976" customFormat="false" ht="15" hidden="false" customHeight="false" outlineLevel="0" collapsed="false">
      <c r="A3976" s="12" t="s">
        <v>202</v>
      </c>
      <c r="B3976" s="12" t="s">
        <v>47</v>
      </c>
      <c r="C3976" s="12" t="s">
        <v>290</v>
      </c>
      <c r="D3976" s="12" t="str">
        <f aca="false">INDEX('Country Tiers'!$C$2:$C$37,MATCH(C3976,'Country Tiers'!$A$2:$A$37,0))</f>
        <v>Tier 3</v>
      </c>
      <c r="E3976" s="12" t="n">
        <f aca="false">INDEX('Country Tiers'!$D$2:$D$37,MATCH(C3976,'Country Tiers'!$A$2:$A$37,0))</f>
        <v>1</v>
      </c>
    </row>
    <row r="3977" customFormat="false" ht="15" hidden="false" customHeight="false" outlineLevel="0" collapsed="false">
      <c r="A3977" s="12" t="s">
        <v>202</v>
      </c>
      <c r="B3977" s="12" t="s">
        <v>47</v>
      </c>
      <c r="C3977" s="12" t="s">
        <v>291</v>
      </c>
      <c r="D3977" s="12" t="str">
        <f aca="false">INDEX('Country Tiers'!$C$2:$C$37,MATCH(C3977,'Country Tiers'!$A$2:$A$37,0))</f>
        <v>Tier 3</v>
      </c>
      <c r="E3977" s="12" t="n">
        <f aca="false">INDEX('Country Tiers'!$D$2:$D$37,MATCH(C3977,'Country Tiers'!$A$2:$A$37,0))</f>
        <v>1</v>
      </c>
    </row>
    <row r="3978" customFormat="false" ht="15" hidden="false" customHeight="false" outlineLevel="0" collapsed="false">
      <c r="A3978" s="12" t="s">
        <v>202</v>
      </c>
      <c r="B3978" s="12" t="s">
        <v>47</v>
      </c>
      <c r="C3978" s="12" t="s">
        <v>292</v>
      </c>
      <c r="D3978" s="12" t="str">
        <f aca="false">INDEX('Country Tiers'!$C$2:$C$37,MATCH(C3978,'Country Tiers'!$A$2:$A$37,0))</f>
        <v>Tier 2</v>
      </c>
      <c r="E3978" s="12" t="n">
        <f aca="false">INDEX('Country Tiers'!$D$2:$D$37,MATCH(C3978,'Country Tiers'!$A$2:$A$37,0))</f>
        <v>2</v>
      </c>
    </row>
    <row r="3979" customFormat="false" ht="15" hidden="false" customHeight="false" outlineLevel="0" collapsed="false">
      <c r="A3979" s="12" t="s">
        <v>202</v>
      </c>
      <c r="B3979" s="12" t="s">
        <v>47</v>
      </c>
      <c r="C3979" s="12" t="s">
        <v>293</v>
      </c>
      <c r="D3979" s="12" t="str">
        <f aca="false">INDEX('Country Tiers'!$C$2:$C$37,MATCH(C3979,'Country Tiers'!$A$2:$A$37,0))</f>
        <v>Tier 3</v>
      </c>
      <c r="E3979" s="12" t="n">
        <f aca="false">INDEX('Country Tiers'!$D$2:$D$37,MATCH(C3979,'Country Tiers'!$A$2:$A$37,0))</f>
        <v>1</v>
      </c>
    </row>
    <row r="3980" customFormat="false" ht="15" hidden="false" customHeight="false" outlineLevel="0" collapsed="false">
      <c r="A3980" s="12" t="s">
        <v>202</v>
      </c>
      <c r="B3980" s="12" t="s">
        <v>47</v>
      </c>
      <c r="C3980" s="12" t="s">
        <v>295</v>
      </c>
      <c r="D3980" s="12" t="str">
        <f aca="false">INDEX('Country Tiers'!$C$2:$C$37,MATCH(C3980,'Country Tiers'!$A$2:$A$37,0))</f>
        <v>Tier 3</v>
      </c>
      <c r="E3980" s="12" t="n">
        <f aca="false">INDEX('Country Tiers'!$D$2:$D$37,MATCH(C3980,'Country Tiers'!$A$2:$A$37,0))</f>
        <v>1</v>
      </c>
    </row>
    <row r="3981" customFormat="false" ht="15" hidden="false" customHeight="false" outlineLevel="0" collapsed="false">
      <c r="A3981" s="12" t="s">
        <v>202</v>
      </c>
      <c r="B3981" s="12" t="s">
        <v>47</v>
      </c>
      <c r="C3981" s="12" t="s">
        <v>296</v>
      </c>
      <c r="D3981" s="12" t="str">
        <f aca="false">INDEX('Country Tiers'!$C$2:$C$37,MATCH(C3981,'Country Tiers'!$A$2:$A$37,0))</f>
        <v>Tier 3</v>
      </c>
      <c r="E3981" s="12" t="n">
        <f aca="false">INDEX('Country Tiers'!$D$2:$D$37,MATCH(C3981,'Country Tiers'!$A$2:$A$37,0))</f>
        <v>1</v>
      </c>
    </row>
    <row r="3982" customFormat="false" ht="15" hidden="false" customHeight="false" outlineLevel="0" collapsed="false">
      <c r="A3982" s="12" t="s">
        <v>202</v>
      </c>
      <c r="B3982" s="12" t="s">
        <v>47</v>
      </c>
      <c r="C3982" s="12" t="s">
        <v>297</v>
      </c>
      <c r="D3982" s="12" t="str">
        <f aca="false">INDEX('Country Tiers'!$C$2:$C$37,MATCH(C3982,'Country Tiers'!$A$2:$A$37,0))</f>
        <v>Tier 2</v>
      </c>
      <c r="E3982" s="12" t="n">
        <f aca="false">INDEX('Country Tiers'!$D$2:$D$37,MATCH(C3982,'Country Tiers'!$A$2:$A$37,0))</f>
        <v>2</v>
      </c>
    </row>
    <row r="3983" customFormat="false" ht="15" hidden="false" customHeight="false" outlineLevel="0" collapsed="false">
      <c r="A3983" s="12" t="s">
        <v>202</v>
      </c>
      <c r="B3983" s="12" t="s">
        <v>47</v>
      </c>
      <c r="C3983" s="12" t="s">
        <v>298</v>
      </c>
      <c r="D3983" s="12" t="str">
        <f aca="false">INDEX('Country Tiers'!$C$2:$C$37,MATCH(C3983,'Country Tiers'!$A$2:$A$37,0))</f>
        <v>Tier 1</v>
      </c>
      <c r="E3983" s="12" t="n">
        <f aca="false">INDEX('Country Tiers'!$D$2:$D$37,MATCH(C3983,'Country Tiers'!$A$2:$A$37,0))</f>
        <v>3</v>
      </c>
    </row>
    <row r="3984" customFormat="false" ht="15" hidden="false" customHeight="false" outlineLevel="0" collapsed="false">
      <c r="A3984" s="12" t="s">
        <v>202</v>
      </c>
      <c r="B3984" s="12" t="s">
        <v>47</v>
      </c>
      <c r="C3984" s="12" t="s">
        <v>299</v>
      </c>
      <c r="D3984" s="12" t="str">
        <f aca="false">INDEX('Country Tiers'!$C$2:$C$37,MATCH(C3984,'Country Tiers'!$A$2:$A$37,0))</f>
        <v>Tier 3</v>
      </c>
      <c r="E3984" s="12" t="n">
        <f aca="false">INDEX('Country Tiers'!$D$2:$D$37,MATCH(C3984,'Country Tiers'!$A$2:$A$37,0))</f>
        <v>1</v>
      </c>
    </row>
    <row r="3985" customFormat="false" ht="15" hidden="false" customHeight="false" outlineLevel="0" collapsed="false">
      <c r="A3985" s="12" t="s">
        <v>202</v>
      </c>
      <c r="B3985" s="12" t="s">
        <v>47</v>
      </c>
      <c r="C3985" s="12" t="s">
        <v>300</v>
      </c>
      <c r="D3985" s="12" t="str">
        <f aca="false">INDEX('Country Tiers'!$C$2:$C$37,MATCH(C3985,'Country Tiers'!$A$2:$A$37,0))</f>
        <v>Tier 3</v>
      </c>
      <c r="E3985" s="12" t="n">
        <f aca="false">INDEX('Country Tiers'!$D$2:$D$37,MATCH(C3985,'Country Tiers'!$A$2:$A$37,0))</f>
        <v>1</v>
      </c>
    </row>
    <row r="3986" customFormat="false" ht="15" hidden="false" customHeight="false" outlineLevel="0" collapsed="false">
      <c r="A3986" s="12" t="s">
        <v>202</v>
      </c>
      <c r="B3986" s="12" t="s">
        <v>47</v>
      </c>
      <c r="C3986" s="12" t="s">
        <v>301</v>
      </c>
      <c r="D3986" s="12" t="str">
        <f aca="false">INDEX('Country Tiers'!$C$2:$C$37,MATCH(C3986,'Country Tiers'!$A$2:$A$37,0))</f>
        <v>Tier 3</v>
      </c>
      <c r="E3986" s="12" t="n">
        <f aca="false">INDEX('Country Tiers'!$D$2:$D$37,MATCH(C3986,'Country Tiers'!$A$2:$A$37,0))</f>
        <v>1</v>
      </c>
    </row>
    <row r="3987" customFormat="false" ht="15" hidden="false" customHeight="false" outlineLevel="0" collapsed="false">
      <c r="A3987" s="12" t="s">
        <v>202</v>
      </c>
      <c r="B3987" s="12" t="s">
        <v>47</v>
      </c>
      <c r="C3987" s="12" t="s">
        <v>302</v>
      </c>
      <c r="D3987" s="12" t="str">
        <f aca="false">INDEX('Country Tiers'!$C$2:$C$37,MATCH(C3987,'Country Tiers'!$A$2:$A$37,0))</f>
        <v>Tier 3</v>
      </c>
      <c r="E3987" s="12" t="n">
        <f aca="false">INDEX('Country Tiers'!$D$2:$D$37,MATCH(C3987,'Country Tiers'!$A$2:$A$37,0))</f>
        <v>1</v>
      </c>
    </row>
    <row r="3988" customFormat="false" ht="15" hidden="false" customHeight="false" outlineLevel="0" collapsed="false">
      <c r="A3988" s="12" t="s">
        <v>202</v>
      </c>
      <c r="B3988" s="12" t="s">
        <v>47</v>
      </c>
      <c r="C3988" s="12" t="s">
        <v>305</v>
      </c>
      <c r="D3988" s="12" t="str">
        <f aca="false">INDEX('Country Tiers'!$C$2:$C$37,MATCH(C3988,'Country Tiers'!$A$2:$A$37,0))</f>
        <v>Tier 3</v>
      </c>
      <c r="E3988" s="12" t="n">
        <f aca="false">INDEX('Country Tiers'!$D$2:$D$37,MATCH(C3988,'Country Tiers'!$A$2:$A$37,0))</f>
        <v>1</v>
      </c>
    </row>
    <row r="3989" customFormat="false" ht="15" hidden="false" customHeight="false" outlineLevel="0" collapsed="false">
      <c r="A3989" s="12" t="s">
        <v>202</v>
      </c>
      <c r="B3989" s="12" t="s">
        <v>47</v>
      </c>
      <c r="C3989" s="12" t="s">
        <v>306</v>
      </c>
      <c r="D3989" s="12" t="str">
        <f aca="false">INDEX('Country Tiers'!$C$2:$C$37,MATCH(C3989,'Country Tiers'!$A$2:$A$37,0))</f>
        <v>Tier 3</v>
      </c>
      <c r="E3989" s="12" t="n">
        <f aca="false">INDEX('Country Tiers'!$D$2:$D$37,MATCH(C3989,'Country Tiers'!$A$2:$A$37,0))</f>
        <v>1</v>
      </c>
    </row>
    <row r="3990" customFormat="false" ht="15" hidden="false" customHeight="false" outlineLevel="0" collapsed="false">
      <c r="A3990" s="12" t="s">
        <v>202</v>
      </c>
      <c r="B3990" s="12" t="s">
        <v>47</v>
      </c>
      <c r="C3990" s="12" t="s">
        <v>307</v>
      </c>
      <c r="D3990" s="12" t="str">
        <f aca="false">INDEX('Country Tiers'!$C$2:$C$37,MATCH(C3990,'Country Tiers'!$A$2:$A$37,0))</f>
        <v>Tier 2</v>
      </c>
      <c r="E3990" s="12" t="n">
        <f aca="false">INDEX('Country Tiers'!$D$2:$D$37,MATCH(C3990,'Country Tiers'!$A$2:$A$37,0))</f>
        <v>2</v>
      </c>
    </row>
    <row r="3991" customFormat="false" ht="15" hidden="false" customHeight="false" outlineLevel="0" collapsed="false">
      <c r="A3991" s="12" t="s">
        <v>202</v>
      </c>
      <c r="B3991" s="12" t="s">
        <v>47</v>
      </c>
      <c r="C3991" s="12" t="s">
        <v>308</v>
      </c>
      <c r="D3991" s="12" t="str">
        <f aca="false">INDEX('Country Tiers'!$C$2:$C$37,MATCH(C3991,'Country Tiers'!$A$2:$A$37,0))</f>
        <v>Tier 3</v>
      </c>
      <c r="E3991" s="12" t="n">
        <f aca="false">INDEX('Country Tiers'!$D$2:$D$37,MATCH(C3991,'Country Tiers'!$A$2:$A$37,0))</f>
        <v>1</v>
      </c>
    </row>
    <row r="3992" customFormat="false" ht="15" hidden="false" customHeight="false" outlineLevel="0" collapsed="false">
      <c r="A3992" s="12" t="s">
        <v>202</v>
      </c>
      <c r="B3992" s="12" t="s">
        <v>47</v>
      </c>
      <c r="C3992" s="12" t="s">
        <v>313</v>
      </c>
      <c r="D3992" s="12" t="str">
        <f aca="false">INDEX('Country Tiers'!$C$2:$C$37,MATCH(C3992,'Country Tiers'!$A$2:$A$37,0))</f>
        <v>Tier 1</v>
      </c>
      <c r="E3992" s="12" t="n">
        <f aca="false">INDEX('Country Tiers'!$D$2:$D$37,MATCH(C3992,'Country Tiers'!$A$2:$A$37,0))</f>
        <v>3</v>
      </c>
    </row>
    <row r="3993" customFormat="false" ht="15" hidden="false" customHeight="false" outlineLevel="0" collapsed="false">
      <c r="A3993" s="12" t="s">
        <v>202</v>
      </c>
      <c r="B3993" s="12" t="s">
        <v>54</v>
      </c>
      <c r="C3993" s="12" t="s">
        <v>303</v>
      </c>
      <c r="D3993" s="12" t="str">
        <f aca="false">INDEX('Country Tiers'!$C$2:$C$37,MATCH(C3993,'Country Tiers'!$A$2:$A$37,0))</f>
        <v>Tier 2</v>
      </c>
      <c r="E3993" s="12" t="n">
        <f aca="false">INDEX('Country Tiers'!$D$2:$D$37,MATCH(C3993,'Country Tiers'!$A$2:$A$37,0))</f>
        <v>2</v>
      </c>
    </row>
    <row r="3994" customFormat="false" ht="15" hidden="false" customHeight="false" outlineLevel="0" collapsed="false">
      <c r="A3994" s="12" t="s">
        <v>202</v>
      </c>
      <c r="B3994" s="12" t="s">
        <v>44</v>
      </c>
      <c r="C3994" s="12" t="s">
        <v>274</v>
      </c>
      <c r="D3994" s="12" t="str">
        <f aca="false">INDEX('Country Tiers'!$C$2:$C$37,MATCH(C3994,'Country Tiers'!$A$2:$A$37,0))</f>
        <v>Tier 3</v>
      </c>
      <c r="E3994" s="12" t="n">
        <f aca="false">INDEX('Country Tiers'!$D$2:$D$37,MATCH(C3994,'Country Tiers'!$A$2:$A$37,0))</f>
        <v>1</v>
      </c>
    </row>
    <row r="3995" customFormat="false" ht="15" hidden="false" customHeight="false" outlineLevel="0" collapsed="false">
      <c r="A3995" s="12" t="s">
        <v>202</v>
      </c>
      <c r="B3995" s="12" t="s">
        <v>44</v>
      </c>
      <c r="C3995" s="12" t="s">
        <v>277</v>
      </c>
      <c r="D3995" s="12" t="str">
        <f aca="false">INDEX('Country Tiers'!$C$2:$C$37,MATCH(C3995,'Country Tiers'!$A$2:$A$37,0))</f>
        <v>Tier 1</v>
      </c>
      <c r="E3995" s="12" t="n">
        <f aca="false">INDEX('Country Tiers'!$D$2:$D$37,MATCH(C3995,'Country Tiers'!$A$2:$A$37,0))</f>
        <v>3</v>
      </c>
    </row>
    <row r="3996" customFormat="false" ht="15" hidden="false" customHeight="false" outlineLevel="0" collapsed="false">
      <c r="A3996" s="12" t="s">
        <v>202</v>
      </c>
      <c r="B3996" s="12" t="s">
        <v>44</v>
      </c>
      <c r="C3996" s="12" t="s">
        <v>278</v>
      </c>
      <c r="D3996" s="12" t="str">
        <f aca="false">INDEX('Country Tiers'!$C$2:$C$37,MATCH(C3996,'Country Tiers'!$A$2:$A$37,0))</f>
        <v>Tier 3</v>
      </c>
      <c r="E3996" s="12" t="n">
        <f aca="false">INDEX('Country Tiers'!$D$2:$D$37,MATCH(C3996,'Country Tiers'!$A$2:$A$37,0))</f>
        <v>1</v>
      </c>
    </row>
    <row r="3997" customFormat="false" ht="15" hidden="false" customHeight="false" outlineLevel="0" collapsed="false">
      <c r="A3997" s="12" t="s">
        <v>202</v>
      </c>
      <c r="B3997" s="12" t="s">
        <v>44</v>
      </c>
      <c r="C3997" s="12" t="s">
        <v>280</v>
      </c>
      <c r="D3997" s="12" t="str">
        <f aca="false">INDEX('Country Tiers'!$C$2:$C$37,MATCH(C3997,'Country Tiers'!$A$2:$A$37,0))</f>
        <v>Tier 3</v>
      </c>
      <c r="E3997" s="12" t="n">
        <f aca="false">INDEX('Country Tiers'!$D$2:$D$37,MATCH(C3997,'Country Tiers'!$A$2:$A$37,0))</f>
        <v>1</v>
      </c>
    </row>
    <row r="3998" customFormat="false" ht="15" hidden="false" customHeight="false" outlineLevel="0" collapsed="false">
      <c r="A3998" s="12" t="s">
        <v>202</v>
      </c>
      <c r="B3998" s="12" t="s">
        <v>44</v>
      </c>
      <c r="C3998" s="12" t="s">
        <v>281</v>
      </c>
      <c r="D3998" s="12" t="str">
        <f aca="false">INDEX('Country Tiers'!$C$2:$C$37,MATCH(C3998,'Country Tiers'!$A$2:$A$37,0))</f>
        <v>Tier 3</v>
      </c>
      <c r="E3998" s="12" t="n">
        <f aca="false">INDEX('Country Tiers'!$D$2:$D$37,MATCH(C3998,'Country Tiers'!$A$2:$A$37,0))</f>
        <v>1</v>
      </c>
    </row>
    <row r="3999" customFormat="false" ht="15" hidden="false" customHeight="false" outlineLevel="0" collapsed="false">
      <c r="A3999" s="12" t="s">
        <v>202</v>
      </c>
      <c r="B3999" s="12" t="s">
        <v>44</v>
      </c>
      <c r="C3999" s="12" t="s">
        <v>282</v>
      </c>
      <c r="D3999" s="12" t="str">
        <f aca="false">INDEX('Country Tiers'!$C$2:$C$37,MATCH(C3999,'Country Tiers'!$A$2:$A$37,0))</f>
        <v>Tier 3</v>
      </c>
      <c r="E3999" s="12" t="n">
        <f aca="false">INDEX('Country Tiers'!$D$2:$D$37,MATCH(C3999,'Country Tiers'!$A$2:$A$37,0))</f>
        <v>1</v>
      </c>
    </row>
    <row r="4000" customFormat="false" ht="15" hidden="false" customHeight="false" outlineLevel="0" collapsed="false">
      <c r="A4000" s="12" t="s">
        <v>202</v>
      </c>
      <c r="B4000" s="12" t="s">
        <v>44</v>
      </c>
      <c r="C4000" s="12" t="s">
        <v>283</v>
      </c>
      <c r="D4000" s="12" t="str">
        <f aca="false">INDEX('Country Tiers'!$C$2:$C$37,MATCH(C4000,'Country Tiers'!$A$2:$A$37,0))</f>
        <v>Tier 3</v>
      </c>
      <c r="E4000" s="12" t="n">
        <f aca="false">INDEX('Country Tiers'!$D$2:$D$37,MATCH(C4000,'Country Tiers'!$A$2:$A$37,0))</f>
        <v>1</v>
      </c>
    </row>
    <row r="4001" customFormat="false" ht="15" hidden="false" customHeight="false" outlineLevel="0" collapsed="false">
      <c r="A4001" s="12" t="s">
        <v>202</v>
      </c>
      <c r="B4001" s="12" t="s">
        <v>44</v>
      </c>
      <c r="C4001" s="12" t="s">
        <v>284</v>
      </c>
      <c r="D4001" s="12" t="str">
        <f aca="false">INDEX('Country Tiers'!$C$2:$C$37,MATCH(C4001,'Country Tiers'!$A$2:$A$37,0))</f>
        <v>Tier 3</v>
      </c>
      <c r="E4001" s="12" t="n">
        <f aca="false">INDEX('Country Tiers'!$D$2:$D$37,MATCH(C4001,'Country Tiers'!$A$2:$A$37,0))</f>
        <v>1</v>
      </c>
    </row>
    <row r="4002" customFormat="false" ht="15" hidden="false" customHeight="false" outlineLevel="0" collapsed="false">
      <c r="A4002" s="12" t="s">
        <v>202</v>
      </c>
      <c r="B4002" s="12" t="s">
        <v>44</v>
      </c>
      <c r="C4002" s="12" t="s">
        <v>285</v>
      </c>
      <c r="D4002" s="12" t="str">
        <f aca="false">INDEX('Country Tiers'!$C$2:$C$37,MATCH(C4002,'Country Tiers'!$A$2:$A$37,0))</f>
        <v>Tier 3</v>
      </c>
      <c r="E4002" s="12" t="n">
        <f aca="false">INDEX('Country Tiers'!$D$2:$D$37,MATCH(C4002,'Country Tiers'!$A$2:$A$37,0))</f>
        <v>1</v>
      </c>
    </row>
    <row r="4003" customFormat="false" ht="15" hidden="false" customHeight="false" outlineLevel="0" collapsed="false">
      <c r="A4003" s="12" t="s">
        <v>202</v>
      </c>
      <c r="B4003" s="12" t="s">
        <v>44</v>
      </c>
      <c r="C4003" s="12" t="s">
        <v>286</v>
      </c>
      <c r="D4003" s="12" t="str">
        <f aca="false">INDEX('Country Tiers'!$C$2:$C$37,MATCH(C4003,'Country Tiers'!$A$2:$A$37,0))</f>
        <v>Tier 1</v>
      </c>
      <c r="E4003" s="12" t="n">
        <f aca="false">INDEX('Country Tiers'!$D$2:$D$37,MATCH(C4003,'Country Tiers'!$A$2:$A$37,0))</f>
        <v>3</v>
      </c>
    </row>
    <row r="4004" customFormat="false" ht="15" hidden="false" customHeight="false" outlineLevel="0" collapsed="false">
      <c r="A4004" s="12" t="s">
        <v>202</v>
      </c>
      <c r="B4004" s="12" t="s">
        <v>44</v>
      </c>
      <c r="C4004" s="12" t="s">
        <v>287</v>
      </c>
      <c r="D4004" s="12" t="str">
        <f aca="false">INDEX('Country Tiers'!$C$2:$C$37,MATCH(C4004,'Country Tiers'!$A$2:$A$37,0))</f>
        <v>Tier 1</v>
      </c>
      <c r="E4004" s="12" t="n">
        <f aca="false">INDEX('Country Tiers'!$D$2:$D$37,MATCH(C4004,'Country Tiers'!$A$2:$A$37,0))</f>
        <v>3</v>
      </c>
    </row>
    <row r="4005" customFormat="false" ht="15" hidden="false" customHeight="false" outlineLevel="0" collapsed="false">
      <c r="A4005" s="12" t="s">
        <v>202</v>
      </c>
      <c r="B4005" s="12" t="s">
        <v>44</v>
      </c>
      <c r="C4005" s="12" t="s">
        <v>288</v>
      </c>
      <c r="D4005" s="12" t="str">
        <f aca="false">INDEX('Country Tiers'!$C$2:$C$37,MATCH(C4005,'Country Tiers'!$A$2:$A$37,0))</f>
        <v>Tier 3</v>
      </c>
      <c r="E4005" s="12" t="n">
        <f aca="false">INDEX('Country Tiers'!$D$2:$D$37,MATCH(C4005,'Country Tiers'!$A$2:$A$37,0))</f>
        <v>1</v>
      </c>
    </row>
    <row r="4006" customFormat="false" ht="15" hidden="false" customHeight="false" outlineLevel="0" collapsed="false">
      <c r="A4006" s="12" t="s">
        <v>202</v>
      </c>
      <c r="B4006" s="12" t="s">
        <v>44</v>
      </c>
      <c r="C4006" s="12" t="s">
        <v>289</v>
      </c>
      <c r="D4006" s="12" t="str">
        <f aca="false">INDEX('Country Tiers'!$C$2:$C$37,MATCH(C4006,'Country Tiers'!$A$2:$A$37,0))</f>
        <v>Tier 3</v>
      </c>
      <c r="E4006" s="12" t="n">
        <f aca="false">INDEX('Country Tiers'!$D$2:$D$37,MATCH(C4006,'Country Tiers'!$A$2:$A$37,0))</f>
        <v>1</v>
      </c>
    </row>
    <row r="4007" customFormat="false" ht="15" hidden="false" customHeight="false" outlineLevel="0" collapsed="false">
      <c r="A4007" s="12" t="s">
        <v>202</v>
      </c>
      <c r="B4007" s="12" t="s">
        <v>44</v>
      </c>
      <c r="C4007" s="12" t="s">
        <v>290</v>
      </c>
      <c r="D4007" s="12" t="str">
        <f aca="false">INDEX('Country Tiers'!$C$2:$C$37,MATCH(C4007,'Country Tiers'!$A$2:$A$37,0))</f>
        <v>Tier 3</v>
      </c>
      <c r="E4007" s="12" t="n">
        <f aca="false">INDEX('Country Tiers'!$D$2:$D$37,MATCH(C4007,'Country Tiers'!$A$2:$A$37,0))</f>
        <v>1</v>
      </c>
    </row>
    <row r="4008" customFormat="false" ht="15" hidden="false" customHeight="false" outlineLevel="0" collapsed="false">
      <c r="A4008" s="12" t="s">
        <v>202</v>
      </c>
      <c r="B4008" s="12" t="s">
        <v>44</v>
      </c>
      <c r="C4008" s="12" t="s">
        <v>291</v>
      </c>
      <c r="D4008" s="12" t="str">
        <f aca="false">INDEX('Country Tiers'!$C$2:$C$37,MATCH(C4008,'Country Tiers'!$A$2:$A$37,0))</f>
        <v>Tier 3</v>
      </c>
      <c r="E4008" s="12" t="n">
        <f aca="false">INDEX('Country Tiers'!$D$2:$D$37,MATCH(C4008,'Country Tiers'!$A$2:$A$37,0))</f>
        <v>1</v>
      </c>
    </row>
    <row r="4009" customFormat="false" ht="15" hidden="false" customHeight="false" outlineLevel="0" collapsed="false">
      <c r="A4009" s="12" t="s">
        <v>202</v>
      </c>
      <c r="B4009" s="12" t="s">
        <v>44</v>
      </c>
      <c r="C4009" s="12" t="s">
        <v>292</v>
      </c>
      <c r="D4009" s="12" t="str">
        <f aca="false">INDEX('Country Tiers'!$C$2:$C$37,MATCH(C4009,'Country Tiers'!$A$2:$A$37,0))</f>
        <v>Tier 2</v>
      </c>
      <c r="E4009" s="12" t="n">
        <f aca="false">INDEX('Country Tiers'!$D$2:$D$37,MATCH(C4009,'Country Tiers'!$A$2:$A$37,0))</f>
        <v>2</v>
      </c>
    </row>
    <row r="4010" customFormat="false" ht="15" hidden="false" customHeight="false" outlineLevel="0" collapsed="false">
      <c r="A4010" s="12" t="s">
        <v>202</v>
      </c>
      <c r="B4010" s="12" t="s">
        <v>44</v>
      </c>
      <c r="C4010" s="12" t="s">
        <v>293</v>
      </c>
      <c r="D4010" s="12" t="str">
        <f aca="false">INDEX('Country Tiers'!$C$2:$C$37,MATCH(C4010,'Country Tiers'!$A$2:$A$37,0))</f>
        <v>Tier 3</v>
      </c>
      <c r="E4010" s="12" t="n">
        <f aca="false">INDEX('Country Tiers'!$D$2:$D$37,MATCH(C4010,'Country Tiers'!$A$2:$A$37,0))</f>
        <v>1</v>
      </c>
    </row>
    <row r="4011" customFormat="false" ht="15" hidden="false" customHeight="false" outlineLevel="0" collapsed="false">
      <c r="A4011" s="12" t="s">
        <v>202</v>
      </c>
      <c r="B4011" s="12" t="s">
        <v>44</v>
      </c>
      <c r="C4011" s="12" t="s">
        <v>295</v>
      </c>
      <c r="D4011" s="12" t="str">
        <f aca="false">INDEX('Country Tiers'!$C$2:$C$37,MATCH(C4011,'Country Tiers'!$A$2:$A$37,0))</f>
        <v>Tier 3</v>
      </c>
      <c r="E4011" s="12" t="n">
        <f aca="false">INDEX('Country Tiers'!$D$2:$D$37,MATCH(C4011,'Country Tiers'!$A$2:$A$37,0))</f>
        <v>1</v>
      </c>
    </row>
    <row r="4012" customFormat="false" ht="15" hidden="false" customHeight="false" outlineLevel="0" collapsed="false">
      <c r="A4012" s="12" t="s">
        <v>202</v>
      </c>
      <c r="B4012" s="12" t="s">
        <v>44</v>
      </c>
      <c r="C4012" s="12" t="s">
        <v>296</v>
      </c>
      <c r="D4012" s="12" t="str">
        <f aca="false">INDEX('Country Tiers'!$C$2:$C$37,MATCH(C4012,'Country Tiers'!$A$2:$A$37,0))</f>
        <v>Tier 3</v>
      </c>
      <c r="E4012" s="12" t="n">
        <f aca="false">INDEX('Country Tiers'!$D$2:$D$37,MATCH(C4012,'Country Tiers'!$A$2:$A$37,0))</f>
        <v>1</v>
      </c>
    </row>
    <row r="4013" customFormat="false" ht="15" hidden="false" customHeight="false" outlineLevel="0" collapsed="false">
      <c r="A4013" s="12" t="s">
        <v>202</v>
      </c>
      <c r="B4013" s="12" t="s">
        <v>44</v>
      </c>
      <c r="C4013" s="12" t="s">
        <v>297</v>
      </c>
      <c r="D4013" s="12" t="str">
        <f aca="false">INDEX('Country Tiers'!$C$2:$C$37,MATCH(C4013,'Country Tiers'!$A$2:$A$37,0))</f>
        <v>Tier 2</v>
      </c>
      <c r="E4013" s="12" t="n">
        <f aca="false">INDEX('Country Tiers'!$D$2:$D$37,MATCH(C4013,'Country Tiers'!$A$2:$A$37,0))</f>
        <v>2</v>
      </c>
    </row>
    <row r="4014" customFormat="false" ht="15" hidden="false" customHeight="false" outlineLevel="0" collapsed="false">
      <c r="A4014" s="12" t="s">
        <v>202</v>
      </c>
      <c r="B4014" s="12" t="s">
        <v>44</v>
      </c>
      <c r="C4014" s="12" t="s">
        <v>298</v>
      </c>
      <c r="D4014" s="12" t="str">
        <f aca="false">INDEX('Country Tiers'!$C$2:$C$37,MATCH(C4014,'Country Tiers'!$A$2:$A$37,0))</f>
        <v>Tier 1</v>
      </c>
      <c r="E4014" s="12" t="n">
        <f aca="false">INDEX('Country Tiers'!$D$2:$D$37,MATCH(C4014,'Country Tiers'!$A$2:$A$37,0))</f>
        <v>3</v>
      </c>
    </row>
    <row r="4015" customFormat="false" ht="15" hidden="false" customHeight="false" outlineLevel="0" collapsed="false">
      <c r="A4015" s="12" t="s">
        <v>202</v>
      </c>
      <c r="B4015" s="12" t="s">
        <v>44</v>
      </c>
      <c r="C4015" s="12" t="s">
        <v>299</v>
      </c>
      <c r="D4015" s="12" t="str">
        <f aca="false">INDEX('Country Tiers'!$C$2:$C$37,MATCH(C4015,'Country Tiers'!$A$2:$A$37,0))</f>
        <v>Tier 3</v>
      </c>
      <c r="E4015" s="12" t="n">
        <f aca="false">INDEX('Country Tiers'!$D$2:$D$37,MATCH(C4015,'Country Tiers'!$A$2:$A$37,0))</f>
        <v>1</v>
      </c>
    </row>
    <row r="4016" customFormat="false" ht="15" hidden="false" customHeight="false" outlineLevel="0" collapsed="false">
      <c r="A4016" s="12" t="s">
        <v>202</v>
      </c>
      <c r="B4016" s="12" t="s">
        <v>44</v>
      </c>
      <c r="C4016" s="12" t="s">
        <v>300</v>
      </c>
      <c r="D4016" s="12" t="str">
        <f aca="false">INDEX('Country Tiers'!$C$2:$C$37,MATCH(C4016,'Country Tiers'!$A$2:$A$37,0))</f>
        <v>Tier 3</v>
      </c>
      <c r="E4016" s="12" t="n">
        <f aca="false">INDEX('Country Tiers'!$D$2:$D$37,MATCH(C4016,'Country Tiers'!$A$2:$A$37,0))</f>
        <v>1</v>
      </c>
    </row>
    <row r="4017" customFormat="false" ht="15" hidden="false" customHeight="false" outlineLevel="0" collapsed="false">
      <c r="A4017" s="12" t="s">
        <v>202</v>
      </c>
      <c r="B4017" s="12" t="s">
        <v>44</v>
      </c>
      <c r="C4017" s="12" t="s">
        <v>301</v>
      </c>
      <c r="D4017" s="12" t="str">
        <f aca="false">INDEX('Country Tiers'!$C$2:$C$37,MATCH(C4017,'Country Tiers'!$A$2:$A$37,0))</f>
        <v>Tier 3</v>
      </c>
      <c r="E4017" s="12" t="n">
        <f aca="false">INDEX('Country Tiers'!$D$2:$D$37,MATCH(C4017,'Country Tiers'!$A$2:$A$37,0))</f>
        <v>1</v>
      </c>
    </row>
    <row r="4018" customFormat="false" ht="15" hidden="false" customHeight="false" outlineLevel="0" collapsed="false">
      <c r="A4018" s="12" t="s">
        <v>202</v>
      </c>
      <c r="B4018" s="12" t="s">
        <v>44</v>
      </c>
      <c r="C4018" s="12" t="s">
        <v>302</v>
      </c>
      <c r="D4018" s="12" t="str">
        <f aca="false">INDEX('Country Tiers'!$C$2:$C$37,MATCH(C4018,'Country Tiers'!$A$2:$A$37,0))</f>
        <v>Tier 3</v>
      </c>
      <c r="E4018" s="12" t="n">
        <f aca="false">INDEX('Country Tiers'!$D$2:$D$37,MATCH(C4018,'Country Tiers'!$A$2:$A$37,0))</f>
        <v>1</v>
      </c>
    </row>
    <row r="4019" customFormat="false" ht="15" hidden="false" customHeight="false" outlineLevel="0" collapsed="false">
      <c r="A4019" s="12" t="s">
        <v>202</v>
      </c>
      <c r="B4019" s="12" t="s">
        <v>44</v>
      </c>
      <c r="C4019" s="12" t="s">
        <v>305</v>
      </c>
      <c r="D4019" s="12" t="str">
        <f aca="false">INDEX('Country Tiers'!$C$2:$C$37,MATCH(C4019,'Country Tiers'!$A$2:$A$37,0))</f>
        <v>Tier 3</v>
      </c>
      <c r="E4019" s="12" t="n">
        <f aca="false">INDEX('Country Tiers'!$D$2:$D$37,MATCH(C4019,'Country Tiers'!$A$2:$A$37,0))</f>
        <v>1</v>
      </c>
    </row>
    <row r="4020" customFormat="false" ht="15" hidden="false" customHeight="false" outlineLevel="0" collapsed="false">
      <c r="A4020" s="12" t="s">
        <v>202</v>
      </c>
      <c r="B4020" s="12" t="s">
        <v>44</v>
      </c>
      <c r="C4020" s="12" t="s">
        <v>306</v>
      </c>
      <c r="D4020" s="12" t="str">
        <f aca="false">INDEX('Country Tiers'!$C$2:$C$37,MATCH(C4020,'Country Tiers'!$A$2:$A$37,0))</f>
        <v>Tier 3</v>
      </c>
      <c r="E4020" s="12" t="n">
        <f aca="false">INDEX('Country Tiers'!$D$2:$D$37,MATCH(C4020,'Country Tiers'!$A$2:$A$37,0))</f>
        <v>1</v>
      </c>
    </row>
    <row r="4021" customFormat="false" ht="15" hidden="false" customHeight="false" outlineLevel="0" collapsed="false">
      <c r="A4021" s="12" t="s">
        <v>202</v>
      </c>
      <c r="B4021" s="12" t="s">
        <v>44</v>
      </c>
      <c r="C4021" s="12" t="s">
        <v>307</v>
      </c>
      <c r="D4021" s="12" t="str">
        <f aca="false">INDEX('Country Tiers'!$C$2:$C$37,MATCH(C4021,'Country Tiers'!$A$2:$A$37,0))</f>
        <v>Tier 2</v>
      </c>
      <c r="E4021" s="12" t="n">
        <f aca="false">INDEX('Country Tiers'!$D$2:$D$37,MATCH(C4021,'Country Tiers'!$A$2:$A$37,0))</f>
        <v>2</v>
      </c>
    </row>
    <row r="4022" customFormat="false" ht="15" hidden="false" customHeight="false" outlineLevel="0" collapsed="false">
      <c r="A4022" s="12" t="s">
        <v>202</v>
      </c>
      <c r="B4022" s="12" t="s">
        <v>44</v>
      </c>
      <c r="C4022" s="12" t="s">
        <v>308</v>
      </c>
      <c r="D4022" s="12" t="str">
        <f aca="false">INDEX('Country Tiers'!$C$2:$C$37,MATCH(C4022,'Country Tiers'!$A$2:$A$37,0))</f>
        <v>Tier 3</v>
      </c>
      <c r="E4022" s="12" t="n">
        <f aca="false">INDEX('Country Tiers'!$D$2:$D$37,MATCH(C4022,'Country Tiers'!$A$2:$A$37,0))</f>
        <v>1</v>
      </c>
    </row>
    <row r="4023" customFormat="false" ht="15" hidden="false" customHeight="false" outlineLevel="0" collapsed="false">
      <c r="A4023" s="12" t="s">
        <v>202</v>
      </c>
      <c r="B4023" s="12" t="s">
        <v>44</v>
      </c>
      <c r="C4023" s="12" t="s">
        <v>313</v>
      </c>
      <c r="D4023" s="12" t="str">
        <f aca="false">INDEX('Country Tiers'!$C$2:$C$37,MATCH(C4023,'Country Tiers'!$A$2:$A$37,0))</f>
        <v>Tier 1</v>
      </c>
      <c r="E4023" s="12" t="n">
        <f aca="false">INDEX('Country Tiers'!$D$2:$D$37,MATCH(C4023,'Country Tiers'!$A$2:$A$37,0))</f>
        <v>3</v>
      </c>
    </row>
    <row r="4024" customFormat="false" ht="15" hidden="false" customHeight="false" outlineLevel="0" collapsed="false">
      <c r="A4024" s="12" t="s">
        <v>203</v>
      </c>
      <c r="B4024" s="12" t="s">
        <v>115</v>
      </c>
      <c r="C4024" s="12" t="s">
        <v>274</v>
      </c>
      <c r="D4024" s="12" t="str">
        <f aca="false">INDEX('Country Tiers'!$C$2:$C$37,MATCH(C4024,'Country Tiers'!$A$2:$A$37,0))</f>
        <v>Tier 3</v>
      </c>
      <c r="E4024" s="12" t="n">
        <f aca="false">INDEX('Country Tiers'!$D$2:$D$37,MATCH(C4024,'Country Tiers'!$A$2:$A$37,0))</f>
        <v>1</v>
      </c>
    </row>
    <row r="4025" customFormat="false" ht="15" hidden="false" customHeight="false" outlineLevel="0" collapsed="false">
      <c r="A4025" s="12" t="s">
        <v>203</v>
      </c>
      <c r="B4025" s="12" t="s">
        <v>115</v>
      </c>
      <c r="C4025" s="12" t="s">
        <v>277</v>
      </c>
      <c r="D4025" s="12" t="str">
        <f aca="false">INDEX('Country Tiers'!$C$2:$C$37,MATCH(C4025,'Country Tiers'!$A$2:$A$37,0))</f>
        <v>Tier 1</v>
      </c>
      <c r="E4025" s="12" t="n">
        <f aca="false">INDEX('Country Tiers'!$D$2:$D$37,MATCH(C4025,'Country Tiers'!$A$2:$A$37,0))</f>
        <v>3</v>
      </c>
    </row>
    <row r="4026" customFormat="false" ht="15" hidden="false" customHeight="false" outlineLevel="0" collapsed="false">
      <c r="A4026" s="12" t="s">
        <v>203</v>
      </c>
      <c r="B4026" s="12" t="s">
        <v>115</v>
      </c>
      <c r="C4026" s="12" t="s">
        <v>278</v>
      </c>
      <c r="D4026" s="12" t="str">
        <f aca="false">INDEX('Country Tiers'!$C$2:$C$37,MATCH(C4026,'Country Tiers'!$A$2:$A$37,0))</f>
        <v>Tier 3</v>
      </c>
      <c r="E4026" s="12" t="n">
        <f aca="false">INDEX('Country Tiers'!$D$2:$D$37,MATCH(C4026,'Country Tiers'!$A$2:$A$37,0))</f>
        <v>1</v>
      </c>
    </row>
    <row r="4027" customFormat="false" ht="15" hidden="false" customHeight="false" outlineLevel="0" collapsed="false">
      <c r="A4027" s="12" t="s">
        <v>203</v>
      </c>
      <c r="B4027" s="12" t="s">
        <v>115</v>
      </c>
      <c r="C4027" s="12" t="s">
        <v>280</v>
      </c>
      <c r="D4027" s="12" t="str">
        <f aca="false">INDEX('Country Tiers'!$C$2:$C$37,MATCH(C4027,'Country Tiers'!$A$2:$A$37,0))</f>
        <v>Tier 3</v>
      </c>
      <c r="E4027" s="12" t="n">
        <f aca="false">INDEX('Country Tiers'!$D$2:$D$37,MATCH(C4027,'Country Tiers'!$A$2:$A$37,0))</f>
        <v>1</v>
      </c>
    </row>
    <row r="4028" customFormat="false" ht="15" hidden="false" customHeight="false" outlineLevel="0" collapsed="false">
      <c r="A4028" s="12" t="s">
        <v>203</v>
      </c>
      <c r="B4028" s="12" t="s">
        <v>115</v>
      </c>
      <c r="C4028" s="12" t="s">
        <v>281</v>
      </c>
      <c r="D4028" s="12" t="str">
        <f aca="false">INDEX('Country Tiers'!$C$2:$C$37,MATCH(C4028,'Country Tiers'!$A$2:$A$37,0))</f>
        <v>Tier 3</v>
      </c>
      <c r="E4028" s="12" t="n">
        <f aca="false">INDEX('Country Tiers'!$D$2:$D$37,MATCH(C4028,'Country Tiers'!$A$2:$A$37,0))</f>
        <v>1</v>
      </c>
    </row>
    <row r="4029" customFormat="false" ht="15" hidden="false" customHeight="false" outlineLevel="0" collapsed="false">
      <c r="A4029" s="12" t="s">
        <v>203</v>
      </c>
      <c r="B4029" s="12" t="s">
        <v>115</v>
      </c>
      <c r="C4029" s="12" t="s">
        <v>282</v>
      </c>
      <c r="D4029" s="12" t="str">
        <f aca="false">INDEX('Country Tiers'!$C$2:$C$37,MATCH(C4029,'Country Tiers'!$A$2:$A$37,0))</f>
        <v>Tier 3</v>
      </c>
      <c r="E4029" s="12" t="n">
        <f aca="false">INDEX('Country Tiers'!$D$2:$D$37,MATCH(C4029,'Country Tiers'!$A$2:$A$37,0))</f>
        <v>1</v>
      </c>
    </row>
    <row r="4030" customFormat="false" ht="15" hidden="false" customHeight="false" outlineLevel="0" collapsed="false">
      <c r="A4030" s="12" t="s">
        <v>203</v>
      </c>
      <c r="B4030" s="12" t="s">
        <v>115</v>
      </c>
      <c r="C4030" s="12" t="s">
        <v>283</v>
      </c>
      <c r="D4030" s="12" t="str">
        <f aca="false">INDEX('Country Tiers'!$C$2:$C$37,MATCH(C4030,'Country Tiers'!$A$2:$A$37,0))</f>
        <v>Tier 3</v>
      </c>
      <c r="E4030" s="12" t="n">
        <f aca="false">INDEX('Country Tiers'!$D$2:$D$37,MATCH(C4030,'Country Tiers'!$A$2:$A$37,0))</f>
        <v>1</v>
      </c>
    </row>
    <row r="4031" customFormat="false" ht="15" hidden="false" customHeight="false" outlineLevel="0" collapsed="false">
      <c r="A4031" s="12" t="s">
        <v>203</v>
      </c>
      <c r="B4031" s="12" t="s">
        <v>115</v>
      </c>
      <c r="C4031" s="12" t="s">
        <v>284</v>
      </c>
      <c r="D4031" s="12" t="str">
        <f aca="false">INDEX('Country Tiers'!$C$2:$C$37,MATCH(C4031,'Country Tiers'!$A$2:$A$37,0))</f>
        <v>Tier 3</v>
      </c>
      <c r="E4031" s="12" t="n">
        <f aca="false">INDEX('Country Tiers'!$D$2:$D$37,MATCH(C4031,'Country Tiers'!$A$2:$A$37,0))</f>
        <v>1</v>
      </c>
    </row>
    <row r="4032" customFormat="false" ht="15" hidden="false" customHeight="false" outlineLevel="0" collapsed="false">
      <c r="A4032" s="12" t="s">
        <v>203</v>
      </c>
      <c r="B4032" s="12" t="s">
        <v>115</v>
      </c>
      <c r="C4032" s="12" t="s">
        <v>285</v>
      </c>
      <c r="D4032" s="12" t="str">
        <f aca="false">INDEX('Country Tiers'!$C$2:$C$37,MATCH(C4032,'Country Tiers'!$A$2:$A$37,0))</f>
        <v>Tier 3</v>
      </c>
      <c r="E4032" s="12" t="n">
        <f aca="false">INDEX('Country Tiers'!$D$2:$D$37,MATCH(C4032,'Country Tiers'!$A$2:$A$37,0))</f>
        <v>1</v>
      </c>
    </row>
    <row r="4033" customFormat="false" ht="15" hidden="false" customHeight="false" outlineLevel="0" collapsed="false">
      <c r="A4033" s="12" t="s">
        <v>203</v>
      </c>
      <c r="B4033" s="12" t="s">
        <v>115</v>
      </c>
      <c r="C4033" s="12" t="s">
        <v>286</v>
      </c>
      <c r="D4033" s="12" t="str">
        <f aca="false">INDEX('Country Tiers'!$C$2:$C$37,MATCH(C4033,'Country Tiers'!$A$2:$A$37,0))</f>
        <v>Tier 1</v>
      </c>
      <c r="E4033" s="12" t="n">
        <f aca="false">INDEX('Country Tiers'!$D$2:$D$37,MATCH(C4033,'Country Tiers'!$A$2:$A$37,0))</f>
        <v>3</v>
      </c>
    </row>
    <row r="4034" customFormat="false" ht="15" hidden="false" customHeight="false" outlineLevel="0" collapsed="false">
      <c r="A4034" s="12" t="s">
        <v>203</v>
      </c>
      <c r="B4034" s="12" t="s">
        <v>115</v>
      </c>
      <c r="C4034" s="12" t="s">
        <v>287</v>
      </c>
      <c r="D4034" s="12" t="str">
        <f aca="false">INDEX('Country Tiers'!$C$2:$C$37,MATCH(C4034,'Country Tiers'!$A$2:$A$37,0))</f>
        <v>Tier 1</v>
      </c>
      <c r="E4034" s="12" t="n">
        <f aca="false">INDEX('Country Tiers'!$D$2:$D$37,MATCH(C4034,'Country Tiers'!$A$2:$A$37,0))</f>
        <v>3</v>
      </c>
    </row>
    <row r="4035" customFormat="false" ht="15" hidden="false" customHeight="false" outlineLevel="0" collapsed="false">
      <c r="A4035" s="12" t="s">
        <v>203</v>
      </c>
      <c r="B4035" s="12" t="s">
        <v>115</v>
      </c>
      <c r="C4035" s="12" t="s">
        <v>288</v>
      </c>
      <c r="D4035" s="12" t="str">
        <f aca="false">INDEX('Country Tiers'!$C$2:$C$37,MATCH(C4035,'Country Tiers'!$A$2:$A$37,0))</f>
        <v>Tier 3</v>
      </c>
      <c r="E4035" s="12" t="n">
        <f aca="false">INDEX('Country Tiers'!$D$2:$D$37,MATCH(C4035,'Country Tiers'!$A$2:$A$37,0))</f>
        <v>1</v>
      </c>
    </row>
    <row r="4036" customFormat="false" ht="15" hidden="false" customHeight="false" outlineLevel="0" collapsed="false">
      <c r="A4036" s="12" t="s">
        <v>203</v>
      </c>
      <c r="B4036" s="12" t="s">
        <v>115</v>
      </c>
      <c r="C4036" s="12" t="s">
        <v>289</v>
      </c>
      <c r="D4036" s="12" t="str">
        <f aca="false">INDEX('Country Tiers'!$C$2:$C$37,MATCH(C4036,'Country Tiers'!$A$2:$A$37,0))</f>
        <v>Tier 3</v>
      </c>
      <c r="E4036" s="12" t="n">
        <f aca="false">INDEX('Country Tiers'!$D$2:$D$37,MATCH(C4036,'Country Tiers'!$A$2:$A$37,0))</f>
        <v>1</v>
      </c>
    </row>
    <row r="4037" customFormat="false" ht="15" hidden="false" customHeight="false" outlineLevel="0" collapsed="false">
      <c r="A4037" s="12" t="s">
        <v>203</v>
      </c>
      <c r="B4037" s="12" t="s">
        <v>115</v>
      </c>
      <c r="C4037" s="12" t="s">
        <v>290</v>
      </c>
      <c r="D4037" s="12" t="str">
        <f aca="false">INDEX('Country Tiers'!$C$2:$C$37,MATCH(C4037,'Country Tiers'!$A$2:$A$37,0))</f>
        <v>Tier 3</v>
      </c>
      <c r="E4037" s="12" t="n">
        <f aca="false">INDEX('Country Tiers'!$D$2:$D$37,MATCH(C4037,'Country Tiers'!$A$2:$A$37,0))</f>
        <v>1</v>
      </c>
    </row>
    <row r="4038" customFormat="false" ht="15" hidden="false" customHeight="false" outlineLevel="0" collapsed="false">
      <c r="A4038" s="12" t="s">
        <v>203</v>
      </c>
      <c r="B4038" s="12" t="s">
        <v>115</v>
      </c>
      <c r="C4038" s="12" t="s">
        <v>291</v>
      </c>
      <c r="D4038" s="12" t="str">
        <f aca="false">INDEX('Country Tiers'!$C$2:$C$37,MATCH(C4038,'Country Tiers'!$A$2:$A$37,0))</f>
        <v>Tier 3</v>
      </c>
      <c r="E4038" s="12" t="n">
        <f aca="false">INDEX('Country Tiers'!$D$2:$D$37,MATCH(C4038,'Country Tiers'!$A$2:$A$37,0))</f>
        <v>1</v>
      </c>
    </row>
    <row r="4039" customFormat="false" ht="15" hidden="false" customHeight="false" outlineLevel="0" collapsed="false">
      <c r="A4039" s="12" t="s">
        <v>203</v>
      </c>
      <c r="B4039" s="12" t="s">
        <v>115</v>
      </c>
      <c r="C4039" s="12" t="s">
        <v>292</v>
      </c>
      <c r="D4039" s="12" t="str">
        <f aca="false">INDEX('Country Tiers'!$C$2:$C$37,MATCH(C4039,'Country Tiers'!$A$2:$A$37,0))</f>
        <v>Tier 2</v>
      </c>
      <c r="E4039" s="12" t="n">
        <f aca="false">INDEX('Country Tiers'!$D$2:$D$37,MATCH(C4039,'Country Tiers'!$A$2:$A$37,0))</f>
        <v>2</v>
      </c>
    </row>
    <row r="4040" customFormat="false" ht="15" hidden="false" customHeight="false" outlineLevel="0" collapsed="false">
      <c r="A4040" s="12" t="s">
        <v>203</v>
      </c>
      <c r="B4040" s="12" t="s">
        <v>115</v>
      </c>
      <c r="C4040" s="12" t="s">
        <v>293</v>
      </c>
      <c r="D4040" s="12" t="str">
        <f aca="false">INDEX('Country Tiers'!$C$2:$C$37,MATCH(C4040,'Country Tiers'!$A$2:$A$37,0))</f>
        <v>Tier 3</v>
      </c>
      <c r="E4040" s="12" t="n">
        <f aca="false">INDEX('Country Tiers'!$D$2:$D$37,MATCH(C4040,'Country Tiers'!$A$2:$A$37,0))</f>
        <v>1</v>
      </c>
    </row>
    <row r="4041" customFormat="false" ht="15" hidden="false" customHeight="false" outlineLevel="0" collapsed="false">
      <c r="A4041" s="12" t="s">
        <v>203</v>
      </c>
      <c r="B4041" s="12" t="s">
        <v>115</v>
      </c>
      <c r="C4041" s="12" t="s">
        <v>294</v>
      </c>
      <c r="D4041" s="12" t="str">
        <f aca="false">INDEX('Country Tiers'!$C$2:$C$37,MATCH(C4041,'Country Tiers'!$A$2:$A$37,0))</f>
        <v>Tier 3</v>
      </c>
      <c r="E4041" s="12" t="n">
        <f aca="false">INDEX('Country Tiers'!$D$2:$D$37,MATCH(C4041,'Country Tiers'!$A$2:$A$37,0))</f>
        <v>1</v>
      </c>
    </row>
    <row r="4042" customFormat="false" ht="15" hidden="false" customHeight="false" outlineLevel="0" collapsed="false">
      <c r="A4042" s="12" t="s">
        <v>203</v>
      </c>
      <c r="B4042" s="12" t="s">
        <v>115</v>
      </c>
      <c r="C4042" s="12" t="s">
        <v>295</v>
      </c>
      <c r="D4042" s="12" t="str">
        <f aca="false">INDEX('Country Tiers'!$C$2:$C$37,MATCH(C4042,'Country Tiers'!$A$2:$A$37,0))</f>
        <v>Tier 3</v>
      </c>
      <c r="E4042" s="12" t="n">
        <f aca="false">INDEX('Country Tiers'!$D$2:$D$37,MATCH(C4042,'Country Tiers'!$A$2:$A$37,0))</f>
        <v>1</v>
      </c>
    </row>
    <row r="4043" customFormat="false" ht="15" hidden="false" customHeight="false" outlineLevel="0" collapsed="false">
      <c r="A4043" s="12" t="s">
        <v>203</v>
      </c>
      <c r="B4043" s="12" t="s">
        <v>115</v>
      </c>
      <c r="C4043" s="12" t="s">
        <v>296</v>
      </c>
      <c r="D4043" s="12" t="str">
        <f aca="false">INDEX('Country Tiers'!$C$2:$C$37,MATCH(C4043,'Country Tiers'!$A$2:$A$37,0))</f>
        <v>Tier 3</v>
      </c>
      <c r="E4043" s="12" t="n">
        <f aca="false">INDEX('Country Tiers'!$D$2:$D$37,MATCH(C4043,'Country Tiers'!$A$2:$A$37,0))</f>
        <v>1</v>
      </c>
    </row>
    <row r="4044" customFormat="false" ht="15" hidden="false" customHeight="false" outlineLevel="0" collapsed="false">
      <c r="A4044" s="12" t="s">
        <v>203</v>
      </c>
      <c r="B4044" s="12" t="s">
        <v>115</v>
      </c>
      <c r="C4044" s="12" t="s">
        <v>297</v>
      </c>
      <c r="D4044" s="12" t="str">
        <f aca="false">INDEX('Country Tiers'!$C$2:$C$37,MATCH(C4044,'Country Tiers'!$A$2:$A$37,0))</f>
        <v>Tier 2</v>
      </c>
      <c r="E4044" s="12" t="n">
        <f aca="false">INDEX('Country Tiers'!$D$2:$D$37,MATCH(C4044,'Country Tiers'!$A$2:$A$37,0))</f>
        <v>2</v>
      </c>
    </row>
    <row r="4045" customFormat="false" ht="15" hidden="false" customHeight="false" outlineLevel="0" collapsed="false">
      <c r="A4045" s="12" t="s">
        <v>203</v>
      </c>
      <c r="B4045" s="12" t="s">
        <v>115</v>
      </c>
      <c r="C4045" s="12" t="s">
        <v>298</v>
      </c>
      <c r="D4045" s="12" t="str">
        <f aca="false">INDEX('Country Tiers'!$C$2:$C$37,MATCH(C4045,'Country Tiers'!$A$2:$A$37,0))</f>
        <v>Tier 1</v>
      </c>
      <c r="E4045" s="12" t="n">
        <f aca="false">INDEX('Country Tiers'!$D$2:$D$37,MATCH(C4045,'Country Tiers'!$A$2:$A$37,0))</f>
        <v>3</v>
      </c>
    </row>
    <row r="4046" customFormat="false" ht="15" hidden="false" customHeight="false" outlineLevel="0" collapsed="false">
      <c r="A4046" s="12" t="s">
        <v>203</v>
      </c>
      <c r="B4046" s="12" t="s">
        <v>115</v>
      </c>
      <c r="C4046" s="12" t="s">
        <v>299</v>
      </c>
      <c r="D4046" s="12" t="str">
        <f aca="false">INDEX('Country Tiers'!$C$2:$C$37,MATCH(C4046,'Country Tiers'!$A$2:$A$37,0))</f>
        <v>Tier 3</v>
      </c>
      <c r="E4046" s="12" t="n">
        <f aca="false">INDEX('Country Tiers'!$D$2:$D$37,MATCH(C4046,'Country Tiers'!$A$2:$A$37,0))</f>
        <v>1</v>
      </c>
    </row>
    <row r="4047" customFormat="false" ht="15" hidden="false" customHeight="false" outlineLevel="0" collapsed="false">
      <c r="A4047" s="12" t="s">
        <v>203</v>
      </c>
      <c r="B4047" s="12" t="s">
        <v>115</v>
      </c>
      <c r="C4047" s="12" t="s">
        <v>300</v>
      </c>
      <c r="D4047" s="12" t="str">
        <f aca="false">INDEX('Country Tiers'!$C$2:$C$37,MATCH(C4047,'Country Tiers'!$A$2:$A$37,0))</f>
        <v>Tier 3</v>
      </c>
      <c r="E4047" s="12" t="n">
        <f aca="false">INDEX('Country Tiers'!$D$2:$D$37,MATCH(C4047,'Country Tiers'!$A$2:$A$37,0))</f>
        <v>1</v>
      </c>
    </row>
    <row r="4048" customFormat="false" ht="15" hidden="false" customHeight="false" outlineLevel="0" collapsed="false">
      <c r="A4048" s="12" t="s">
        <v>203</v>
      </c>
      <c r="B4048" s="12" t="s">
        <v>115</v>
      </c>
      <c r="C4048" s="12" t="s">
        <v>301</v>
      </c>
      <c r="D4048" s="12" t="str">
        <f aca="false">INDEX('Country Tiers'!$C$2:$C$37,MATCH(C4048,'Country Tiers'!$A$2:$A$37,0))</f>
        <v>Tier 3</v>
      </c>
      <c r="E4048" s="12" t="n">
        <f aca="false">INDEX('Country Tiers'!$D$2:$D$37,MATCH(C4048,'Country Tiers'!$A$2:$A$37,0))</f>
        <v>1</v>
      </c>
    </row>
    <row r="4049" customFormat="false" ht="15" hidden="false" customHeight="false" outlineLevel="0" collapsed="false">
      <c r="A4049" s="12" t="s">
        <v>203</v>
      </c>
      <c r="B4049" s="12" t="s">
        <v>115</v>
      </c>
      <c r="C4049" s="12" t="s">
        <v>302</v>
      </c>
      <c r="D4049" s="12" t="str">
        <f aca="false">INDEX('Country Tiers'!$C$2:$C$37,MATCH(C4049,'Country Tiers'!$A$2:$A$37,0))</f>
        <v>Tier 3</v>
      </c>
      <c r="E4049" s="12" t="n">
        <f aca="false">INDEX('Country Tiers'!$D$2:$D$37,MATCH(C4049,'Country Tiers'!$A$2:$A$37,0))</f>
        <v>1</v>
      </c>
    </row>
    <row r="4050" customFormat="false" ht="15" hidden="false" customHeight="false" outlineLevel="0" collapsed="false">
      <c r="A4050" s="12" t="s">
        <v>203</v>
      </c>
      <c r="B4050" s="12" t="s">
        <v>115</v>
      </c>
      <c r="C4050" s="12" t="s">
        <v>305</v>
      </c>
      <c r="D4050" s="12" t="str">
        <f aca="false">INDEX('Country Tiers'!$C$2:$C$37,MATCH(C4050,'Country Tiers'!$A$2:$A$37,0))</f>
        <v>Tier 3</v>
      </c>
      <c r="E4050" s="12" t="n">
        <f aca="false">INDEX('Country Tiers'!$D$2:$D$37,MATCH(C4050,'Country Tiers'!$A$2:$A$37,0))</f>
        <v>1</v>
      </c>
    </row>
    <row r="4051" customFormat="false" ht="15" hidden="false" customHeight="false" outlineLevel="0" collapsed="false">
      <c r="A4051" s="12" t="s">
        <v>203</v>
      </c>
      <c r="B4051" s="12" t="s">
        <v>115</v>
      </c>
      <c r="C4051" s="12" t="s">
        <v>306</v>
      </c>
      <c r="D4051" s="12" t="str">
        <f aca="false">INDEX('Country Tiers'!$C$2:$C$37,MATCH(C4051,'Country Tiers'!$A$2:$A$37,0))</f>
        <v>Tier 3</v>
      </c>
      <c r="E4051" s="12" t="n">
        <f aca="false">INDEX('Country Tiers'!$D$2:$D$37,MATCH(C4051,'Country Tiers'!$A$2:$A$37,0))</f>
        <v>1</v>
      </c>
    </row>
    <row r="4052" customFormat="false" ht="15" hidden="false" customHeight="false" outlineLevel="0" collapsed="false">
      <c r="A4052" s="12" t="s">
        <v>203</v>
      </c>
      <c r="B4052" s="12" t="s">
        <v>115</v>
      </c>
      <c r="C4052" s="12" t="s">
        <v>307</v>
      </c>
      <c r="D4052" s="12" t="str">
        <f aca="false">INDEX('Country Tiers'!$C$2:$C$37,MATCH(C4052,'Country Tiers'!$A$2:$A$37,0))</f>
        <v>Tier 2</v>
      </c>
      <c r="E4052" s="12" t="n">
        <f aca="false">INDEX('Country Tiers'!$D$2:$D$37,MATCH(C4052,'Country Tiers'!$A$2:$A$37,0))</f>
        <v>2</v>
      </c>
    </row>
    <row r="4053" customFormat="false" ht="15" hidden="false" customHeight="false" outlineLevel="0" collapsed="false">
      <c r="A4053" s="12" t="s">
        <v>203</v>
      </c>
      <c r="B4053" s="12" t="s">
        <v>115</v>
      </c>
      <c r="C4053" s="12" t="s">
        <v>308</v>
      </c>
      <c r="D4053" s="12" t="str">
        <f aca="false">INDEX('Country Tiers'!$C$2:$C$37,MATCH(C4053,'Country Tiers'!$A$2:$A$37,0))</f>
        <v>Tier 3</v>
      </c>
      <c r="E4053" s="12" t="n">
        <f aca="false">INDEX('Country Tiers'!$D$2:$D$37,MATCH(C4053,'Country Tiers'!$A$2:$A$37,0))</f>
        <v>1</v>
      </c>
    </row>
    <row r="4054" customFormat="false" ht="15" hidden="false" customHeight="false" outlineLevel="0" collapsed="false">
      <c r="A4054" s="12" t="s">
        <v>203</v>
      </c>
      <c r="B4054" s="12" t="s">
        <v>115</v>
      </c>
      <c r="C4054" s="12" t="s">
        <v>313</v>
      </c>
      <c r="D4054" s="12" t="str">
        <f aca="false">INDEX('Country Tiers'!$C$2:$C$37,MATCH(C4054,'Country Tiers'!$A$2:$A$37,0))</f>
        <v>Tier 1</v>
      </c>
      <c r="E4054" s="12" t="n">
        <f aca="false">INDEX('Country Tiers'!$D$2:$D$37,MATCH(C4054,'Country Tiers'!$A$2:$A$37,0))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3" min="3" style="0" width="36"/>
    <col collapsed="false" customWidth="true" hidden="false" outlineLevel="0" max="4" min="4" style="0" width="22"/>
    <col collapsed="false" customWidth="true" hidden="false" outlineLevel="0" max="5" min="5" style="0" width="44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14"/>
  </cols>
  <sheetData>
    <row r="1" customFormat="false" ht="39.75" hidden="false" customHeight="true" outlineLevel="0" collapsed="false">
      <c r="A1" s="3" t="s">
        <v>3</v>
      </c>
      <c r="B1" s="3" t="s">
        <v>4</v>
      </c>
      <c r="C1" s="3" t="s">
        <v>466</v>
      </c>
      <c r="D1" s="3" t="s">
        <v>467</v>
      </c>
      <c r="E1" s="3" t="s">
        <v>468</v>
      </c>
      <c r="F1" s="3" t="s">
        <v>469</v>
      </c>
      <c r="G1" s="3" t="s">
        <v>470</v>
      </c>
      <c r="H1" s="3" t="s">
        <v>471</v>
      </c>
      <c r="I1" s="3" t="s">
        <v>472</v>
      </c>
    </row>
    <row r="2" customFormat="false" ht="15" hidden="false" customHeight="false" outlineLevel="0" collapsed="false">
      <c r="A2" s="12" t="s">
        <v>90</v>
      </c>
      <c r="B2" s="12" t="s">
        <v>70</v>
      </c>
      <c r="C2" s="12" t="s">
        <v>90</v>
      </c>
      <c r="D2" s="12" t="s">
        <v>473</v>
      </c>
      <c r="E2" s="12" t="s">
        <v>474</v>
      </c>
      <c r="F2" s="12" t="s">
        <v>475</v>
      </c>
      <c r="G2" s="12" t="s">
        <v>14</v>
      </c>
      <c r="H2" s="27"/>
      <c r="I2" s="12" t="s">
        <v>320</v>
      </c>
    </row>
    <row r="3" customFormat="false" ht="15" hidden="false" customHeight="false" outlineLevel="0" collapsed="false">
      <c r="A3" s="12" t="s">
        <v>144</v>
      </c>
      <c r="B3" s="12" t="s">
        <v>70</v>
      </c>
      <c r="C3" s="12" t="s">
        <v>476</v>
      </c>
      <c r="D3" s="12" t="s">
        <v>477</v>
      </c>
      <c r="E3" s="12" t="s">
        <v>478</v>
      </c>
      <c r="F3" s="12" t="s">
        <v>320</v>
      </c>
      <c r="G3" s="12" t="s">
        <v>12</v>
      </c>
      <c r="H3" s="27" t="n">
        <v>15.1</v>
      </c>
      <c r="I3" s="12" t="s">
        <v>320</v>
      </c>
    </row>
    <row r="4" customFormat="false" ht="15" hidden="false" customHeight="false" outlineLevel="0" collapsed="false">
      <c r="A4" s="12" t="s">
        <v>144</v>
      </c>
      <c r="B4" s="12" t="s">
        <v>70</v>
      </c>
      <c r="C4" s="12" t="s">
        <v>476</v>
      </c>
      <c r="D4" s="12" t="s">
        <v>479</v>
      </c>
      <c r="E4" s="12" t="s">
        <v>480</v>
      </c>
      <c r="F4" s="12" t="s">
        <v>320</v>
      </c>
      <c r="G4" s="12" t="s">
        <v>12</v>
      </c>
      <c r="H4" s="27" t="n">
        <v>5.61</v>
      </c>
      <c r="I4" s="12" t="s">
        <v>320</v>
      </c>
    </row>
    <row r="5" customFormat="false" ht="15" hidden="false" customHeight="false" outlineLevel="0" collapsed="false">
      <c r="A5" s="12" t="s">
        <v>168</v>
      </c>
      <c r="B5" s="12" t="s">
        <v>70</v>
      </c>
      <c r="C5" s="12" t="s">
        <v>168</v>
      </c>
      <c r="D5" s="12" t="s">
        <v>481</v>
      </c>
      <c r="E5" s="12" t="s">
        <v>482</v>
      </c>
      <c r="F5" s="12" t="s">
        <v>475</v>
      </c>
      <c r="G5" s="12" t="s">
        <v>14</v>
      </c>
      <c r="H5" s="27"/>
      <c r="I5" s="12" t="s">
        <v>320</v>
      </c>
    </row>
    <row r="6" customFormat="false" ht="15" hidden="false" customHeight="false" outlineLevel="0" collapsed="false">
      <c r="A6" s="12" t="s">
        <v>195</v>
      </c>
      <c r="B6" s="12" t="s">
        <v>70</v>
      </c>
      <c r="C6" s="12" t="s">
        <v>195</v>
      </c>
      <c r="D6" s="12" t="s">
        <v>483</v>
      </c>
      <c r="E6" s="12" t="s">
        <v>484</v>
      </c>
      <c r="F6" s="12" t="s">
        <v>320</v>
      </c>
      <c r="G6" s="12" t="s">
        <v>485</v>
      </c>
      <c r="H6" s="27"/>
      <c r="I6" s="12" t="s">
        <v>320</v>
      </c>
    </row>
    <row r="7" customFormat="false" ht="15" hidden="false" customHeight="false" outlineLevel="0" collapsed="false">
      <c r="A7" s="12" t="s">
        <v>114</v>
      </c>
      <c r="B7" s="12" t="s">
        <v>70</v>
      </c>
      <c r="C7" s="12" t="s">
        <v>114</v>
      </c>
      <c r="D7" s="12" t="s">
        <v>486</v>
      </c>
      <c r="E7" s="12" t="s">
        <v>487</v>
      </c>
      <c r="F7" s="12" t="s">
        <v>488</v>
      </c>
      <c r="G7" s="12" t="s">
        <v>14</v>
      </c>
      <c r="H7" s="27" t="n">
        <v>29.97</v>
      </c>
      <c r="I7" s="12" t="s">
        <v>320</v>
      </c>
    </row>
    <row r="8" customFormat="false" ht="15" hidden="false" customHeight="false" outlineLevel="0" collapsed="false">
      <c r="A8" s="12" t="s">
        <v>69</v>
      </c>
      <c r="B8" s="12" t="s">
        <v>70</v>
      </c>
      <c r="C8" s="12" t="s">
        <v>489</v>
      </c>
      <c r="D8" s="12" t="s">
        <v>490</v>
      </c>
      <c r="E8" s="12" t="s">
        <v>491</v>
      </c>
      <c r="F8" s="12" t="s">
        <v>320</v>
      </c>
      <c r="G8" s="12" t="s">
        <v>12</v>
      </c>
      <c r="H8" s="27" t="n">
        <v>74.8286</v>
      </c>
      <c r="I8" s="12" t="s">
        <v>320</v>
      </c>
    </row>
    <row r="9" customFormat="false" ht="15" hidden="false" customHeight="false" outlineLevel="0" collapsed="false">
      <c r="A9" s="12" t="s">
        <v>69</v>
      </c>
      <c r="B9" s="12" t="s">
        <v>47</v>
      </c>
      <c r="C9" s="12" t="s">
        <v>492</v>
      </c>
      <c r="D9" s="12" t="s">
        <v>493</v>
      </c>
      <c r="E9" s="12" t="s">
        <v>494</v>
      </c>
      <c r="F9" s="12" t="s">
        <v>320</v>
      </c>
      <c r="G9" s="12" t="s">
        <v>12</v>
      </c>
      <c r="H9" s="27" t="n">
        <v>30.01</v>
      </c>
      <c r="I9" s="12" t="s">
        <v>320</v>
      </c>
    </row>
    <row r="10" customFormat="false" ht="15" hidden="false" customHeight="false" outlineLevel="0" collapsed="false">
      <c r="A10" s="12" t="s">
        <v>78</v>
      </c>
      <c r="B10" s="12" t="s">
        <v>47</v>
      </c>
      <c r="C10" s="12" t="s">
        <v>495</v>
      </c>
      <c r="D10" s="12" t="s">
        <v>496</v>
      </c>
      <c r="E10" s="12" t="s">
        <v>497</v>
      </c>
      <c r="F10" s="12" t="s">
        <v>320</v>
      </c>
      <c r="G10" s="12" t="s">
        <v>485</v>
      </c>
      <c r="H10" s="27" t="n">
        <v>14.96</v>
      </c>
      <c r="I10" s="12" t="s">
        <v>320</v>
      </c>
    </row>
    <row r="11" customFormat="false" ht="15" hidden="false" customHeight="false" outlineLevel="0" collapsed="false">
      <c r="A11" s="12" t="s">
        <v>85</v>
      </c>
      <c r="B11" s="12" t="s">
        <v>47</v>
      </c>
      <c r="C11" s="12" t="s">
        <v>85</v>
      </c>
      <c r="D11" s="12" t="s">
        <v>498</v>
      </c>
      <c r="E11" s="12" t="s">
        <v>499</v>
      </c>
      <c r="F11" s="12" t="s">
        <v>320</v>
      </c>
      <c r="G11" s="12" t="s">
        <v>12</v>
      </c>
      <c r="H11" s="27" t="n">
        <v>427.8</v>
      </c>
      <c r="I11" s="12" t="s">
        <v>333</v>
      </c>
    </row>
    <row r="12" customFormat="false" ht="15" hidden="false" customHeight="false" outlineLevel="0" collapsed="false">
      <c r="A12" s="12" t="s">
        <v>98</v>
      </c>
      <c r="B12" s="12" t="s">
        <v>47</v>
      </c>
      <c r="C12" s="12" t="s">
        <v>98</v>
      </c>
      <c r="D12" s="12" t="s">
        <v>500</v>
      </c>
      <c r="E12" s="12" t="s">
        <v>501</v>
      </c>
      <c r="F12" s="12" t="s">
        <v>320</v>
      </c>
      <c r="G12" s="12" t="s">
        <v>12</v>
      </c>
      <c r="H12" s="27" t="n">
        <v>343.8</v>
      </c>
      <c r="I12" s="12" t="s">
        <v>320</v>
      </c>
    </row>
    <row r="13" customFormat="false" ht="15" hidden="false" customHeight="false" outlineLevel="0" collapsed="false">
      <c r="A13" s="12" t="s">
        <v>101</v>
      </c>
      <c r="B13" s="12" t="s">
        <v>47</v>
      </c>
      <c r="C13" s="12" t="s">
        <v>502</v>
      </c>
      <c r="D13" s="12" t="s">
        <v>503</v>
      </c>
      <c r="E13" s="12"/>
      <c r="F13" s="12"/>
      <c r="G13" s="12" t="s">
        <v>485</v>
      </c>
      <c r="H13" s="27"/>
      <c r="I13" s="12" t="s">
        <v>320</v>
      </c>
    </row>
    <row r="14" customFormat="false" ht="15" hidden="false" customHeight="false" outlineLevel="0" collapsed="false">
      <c r="A14" s="12" t="s">
        <v>101</v>
      </c>
      <c r="B14" s="12" t="s">
        <v>47</v>
      </c>
      <c r="C14" s="12" t="s">
        <v>502</v>
      </c>
      <c r="D14" s="12" t="s">
        <v>504</v>
      </c>
      <c r="E14" s="12" t="s">
        <v>505</v>
      </c>
      <c r="F14" s="12" t="s">
        <v>320</v>
      </c>
      <c r="G14" s="12" t="s">
        <v>506</v>
      </c>
      <c r="H14" s="27" t="n">
        <v>54.54</v>
      </c>
      <c r="I14" s="12" t="s">
        <v>320</v>
      </c>
    </row>
    <row r="15" customFormat="false" ht="15" hidden="false" customHeight="false" outlineLevel="0" collapsed="false">
      <c r="A15" s="12" t="s">
        <v>111</v>
      </c>
      <c r="B15" s="12" t="s">
        <v>47</v>
      </c>
      <c r="C15" s="12" t="s">
        <v>111</v>
      </c>
      <c r="D15" s="12" t="s">
        <v>507</v>
      </c>
      <c r="E15" s="12" t="s">
        <v>508</v>
      </c>
      <c r="F15" s="12" t="s">
        <v>320</v>
      </c>
      <c r="G15" s="12" t="s">
        <v>12</v>
      </c>
      <c r="H15" s="27" t="n">
        <v>5.68</v>
      </c>
      <c r="I15" s="12" t="s">
        <v>320</v>
      </c>
    </row>
    <row r="16" customFormat="false" ht="15" hidden="false" customHeight="false" outlineLevel="0" collapsed="false">
      <c r="A16" s="12" t="s">
        <v>112</v>
      </c>
      <c r="B16" s="12" t="s">
        <v>47</v>
      </c>
      <c r="C16" s="12" t="s">
        <v>112</v>
      </c>
      <c r="D16" s="12" t="s">
        <v>496</v>
      </c>
      <c r="E16" s="12" t="s">
        <v>509</v>
      </c>
      <c r="F16" s="12" t="s">
        <v>320</v>
      </c>
      <c r="G16" s="12" t="s">
        <v>12</v>
      </c>
      <c r="H16" s="27" t="n">
        <v>54.55</v>
      </c>
      <c r="I16" s="12" t="s">
        <v>320</v>
      </c>
    </row>
    <row r="17" customFormat="false" ht="15" hidden="false" customHeight="false" outlineLevel="0" collapsed="false">
      <c r="A17" s="12" t="s">
        <v>138</v>
      </c>
      <c r="B17" s="12" t="s">
        <v>47</v>
      </c>
      <c r="C17" s="12" t="s">
        <v>138</v>
      </c>
      <c r="D17" s="12" t="s">
        <v>510</v>
      </c>
      <c r="E17" s="12" t="s">
        <v>511</v>
      </c>
      <c r="F17" s="12" t="s">
        <v>320</v>
      </c>
      <c r="G17" s="12" t="s">
        <v>12</v>
      </c>
      <c r="H17" s="27" t="n">
        <v>25.66</v>
      </c>
      <c r="I17" s="12" t="s">
        <v>320</v>
      </c>
    </row>
    <row r="18" customFormat="false" ht="15" hidden="false" customHeight="false" outlineLevel="0" collapsed="false">
      <c r="A18" s="12" t="s">
        <v>138</v>
      </c>
      <c r="B18" s="12" t="s">
        <v>47</v>
      </c>
      <c r="C18" s="12" t="s">
        <v>138</v>
      </c>
      <c r="D18" s="12" t="s">
        <v>510</v>
      </c>
      <c r="E18" s="12" t="s">
        <v>512</v>
      </c>
      <c r="F18" s="12" t="s">
        <v>475</v>
      </c>
      <c r="G18" s="12" t="s">
        <v>14</v>
      </c>
      <c r="H18" s="27" t="n">
        <v>44.85</v>
      </c>
      <c r="I18" s="12" t="s">
        <v>320</v>
      </c>
    </row>
    <row r="19" customFormat="false" ht="15" hidden="false" customHeight="false" outlineLevel="0" collapsed="false">
      <c r="A19" s="12" t="s">
        <v>144</v>
      </c>
      <c r="B19" s="12" t="s">
        <v>47</v>
      </c>
      <c r="C19" s="12" t="s">
        <v>513</v>
      </c>
      <c r="D19" s="12" t="s">
        <v>479</v>
      </c>
      <c r="E19" s="12" t="s">
        <v>514</v>
      </c>
      <c r="F19" s="12" t="s">
        <v>320</v>
      </c>
      <c r="G19" s="12" t="s">
        <v>12</v>
      </c>
      <c r="H19" s="27" t="n">
        <v>7.15</v>
      </c>
      <c r="I19" s="12" t="s">
        <v>320</v>
      </c>
    </row>
    <row r="20" customFormat="false" ht="15" hidden="false" customHeight="false" outlineLevel="0" collapsed="false">
      <c r="A20" s="12" t="s">
        <v>144</v>
      </c>
      <c r="B20" s="12" t="s">
        <v>47</v>
      </c>
      <c r="C20" s="12" t="s">
        <v>513</v>
      </c>
      <c r="D20" s="12" t="s">
        <v>515</v>
      </c>
      <c r="E20" s="12" t="s">
        <v>516</v>
      </c>
      <c r="F20" s="12" t="s">
        <v>320</v>
      </c>
      <c r="G20" s="12" t="s">
        <v>12</v>
      </c>
      <c r="H20" s="27" t="n">
        <v>9.9</v>
      </c>
      <c r="I20" s="12" t="s">
        <v>320</v>
      </c>
    </row>
    <row r="21" customFormat="false" ht="15" hidden="false" customHeight="false" outlineLevel="0" collapsed="false">
      <c r="A21" s="12" t="s">
        <v>144</v>
      </c>
      <c r="B21" s="12" t="s">
        <v>47</v>
      </c>
      <c r="C21" s="12" t="s">
        <v>513</v>
      </c>
      <c r="D21" s="12" t="s">
        <v>517</v>
      </c>
      <c r="E21" s="12" t="s">
        <v>518</v>
      </c>
      <c r="F21" s="12" t="s">
        <v>320</v>
      </c>
      <c r="G21" s="12" t="s">
        <v>12</v>
      </c>
      <c r="H21" s="27" t="n">
        <v>12.38</v>
      </c>
      <c r="I21" s="12" t="s">
        <v>320</v>
      </c>
    </row>
    <row r="22" customFormat="false" ht="15" hidden="false" customHeight="false" outlineLevel="0" collapsed="false">
      <c r="A22" s="12" t="s">
        <v>145</v>
      </c>
      <c r="B22" s="12" t="s">
        <v>47</v>
      </c>
      <c r="C22" s="12" t="s">
        <v>145</v>
      </c>
      <c r="D22" s="12" t="s">
        <v>483</v>
      </c>
      <c r="E22" s="12" t="s">
        <v>519</v>
      </c>
      <c r="F22" s="12" t="s">
        <v>320</v>
      </c>
      <c r="G22" s="12" t="s">
        <v>12</v>
      </c>
      <c r="H22" s="27"/>
      <c r="I22" s="12" t="s">
        <v>333</v>
      </c>
    </row>
    <row r="23" customFormat="false" ht="15" hidden="false" customHeight="false" outlineLevel="0" collapsed="false">
      <c r="A23" s="12" t="s">
        <v>145</v>
      </c>
      <c r="B23" s="12" t="s">
        <v>47</v>
      </c>
      <c r="C23" s="12" t="s">
        <v>145</v>
      </c>
      <c r="D23" s="12" t="s">
        <v>520</v>
      </c>
      <c r="E23" s="12" t="s">
        <v>521</v>
      </c>
      <c r="F23" s="12" t="s">
        <v>320</v>
      </c>
      <c r="G23" s="12" t="s">
        <v>12</v>
      </c>
      <c r="H23" s="27"/>
      <c r="I23" s="12" t="s">
        <v>333</v>
      </c>
    </row>
    <row r="24" customFormat="false" ht="15" hidden="false" customHeight="false" outlineLevel="0" collapsed="false">
      <c r="A24" s="12" t="s">
        <v>151</v>
      </c>
      <c r="B24" s="12" t="s">
        <v>47</v>
      </c>
      <c r="C24" s="12" t="s">
        <v>522</v>
      </c>
      <c r="D24" s="12" t="s">
        <v>523</v>
      </c>
      <c r="E24" s="12" t="s">
        <v>524</v>
      </c>
      <c r="F24" s="12" t="s">
        <v>320</v>
      </c>
      <c r="G24" s="12" t="s">
        <v>12</v>
      </c>
      <c r="H24" s="27" t="n">
        <v>8.76</v>
      </c>
      <c r="I24" s="12" t="s">
        <v>333</v>
      </c>
    </row>
    <row r="25" customFormat="false" ht="15" hidden="false" customHeight="false" outlineLevel="0" collapsed="false">
      <c r="A25" s="12" t="s">
        <v>151</v>
      </c>
      <c r="B25" s="12" t="s">
        <v>47</v>
      </c>
      <c r="C25" s="12" t="s">
        <v>522</v>
      </c>
      <c r="D25" s="12" t="s">
        <v>525</v>
      </c>
      <c r="E25" s="12" t="s">
        <v>526</v>
      </c>
      <c r="F25" s="12" t="s">
        <v>320</v>
      </c>
      <c r="G25" s="12" t="s">
        <v>12</v>
      </c>
      <c r="H25" s="27" t="n">
        <v>6.06</v>
      </c>
      <c r="I25" s="12" t="s">
        <v>333</v>
      </c>
    </row>
    <row r="26" customFormat="false" ht="15" hidden="false" customHeight="false" outlineLevel="0" collapsed="false">
      <c r="A26" s="12" t="s">
        <v>152</v>
      </c>
      <c r="B26" s="12" t="s">
        <v>47</v>
      </c>
      <c r="C26" s="12" t="s">
        <v>527</v>
      </c>
      <c r="D26" s="12" t="s">
        <v>528</v>
      </c>
      <c r="E26" s="12" t="s">
        <v>529</v>
      </c>
      <c r="F26" s="12" t="s">
        <v>475</v>
      </c>
      <c r="G26" s="12" t="s">
        <v>14</v>
      </c>
      <c r="H26" s="27"/>
      <c r="I26" s="12" t="s">
        <v>320</v>
      </c>
    </row>
    <row r="27" customFormat="false" ht="15" hidden="false" customHeight="false" outlineLevel="0" collapsed="false">
      <c r="A27" s="12" t="s">
        <v>152</v>
      </c>
      <c r="B27" s="12" t="s">
        <v>47</v>
      </c>
      <c r="C27" s="12" t="s">
        <v>527</v>
      </c>
      <c r="D27" s="12" t="s">
        <v>530</v>
      </c>
      <c r="E27" s="12" t="s">
        <v>531</v>
      </c>
      <c r="F27" s="12" t="s">
        <v>320</v>
      </c>
      <c r="G27" s="12" t="s">
        <v>12</v>
      </c>
      <c r="H27" s="27" t="n">
        <v>6.43</v>
      </c>
      <c r="I27" s="12" t="s">
        <v>320</v>
      </c>
    </row>
    <row r="28" customFormat="false" ht="15" hidden="false" customHeight="false" outlineLevel="0" collapsed="false">
      <c r="A28" s="12" t="s">
        <v>157</v>
      </c>
      <c r="B28" s="12" t="s">
        <v>47</v>
      </c>
      <c r="C28" s="12" t="s">
        <v>532</v>
      </c>
      <c r="D28" s="12" t="s">
        <v>523</v>
      </c>
      <c r="E28" s="12" t="s">
        <v>533</v>
      </c>
      <c r="F28" s="12" t="s">
        <v>320</v>
      </c>
      <c r="G28" s="12" t="s">
        <v>12</v>
      </c>
      <c r="H28" s="27" t="n">
        <v>10.93</v>
      </c>
      <c r="I28" s="12" t="s">
        <v>333</v>
      </c>
    </row>
    <row r="29" customFormat="false" ht="15" hidden="false" customHeight="false" outlineLevel="0" collapsed="false">
      <c r="A29" s="12" t="s">
        <v>171</v>
      </c>
      <c r="B29" s="12" t="s">
        <v>47</v>
      </c>
      <c r="C29" s="12" t="s">
        <v>171</v>
      </c>
      <c r="D29" s="12" t="s">
        <v>534</v>
      </c>
      <c r="E29" s="12" t="s">
        <v>535</v>
      </c>
      <c r="F29" s="12" t="s">
        <v>320</v>
      </c>
      <c r="G29" s="12" t="s">
        <v>12</v>
      </c>
      <c r="H29" s="27" t="n">
        <v>22.25</v>
      </c>
      <c r="I29" s="12" t="s">
        <v>320</v>
      </c>
    </row>
    <row r="30" customFormat="false" ht="15" hidden="false" customHeight="false" outlineLevel="0" collapsed="false">
      <c r="A30" s="12" t="s">
        <v>187</v>
      </c>
      <c r="B30" s="12" t="s">
        <v>47</v>
      </c>
      <c r="C30" s="12" t="s">
        <v>187</v>
      </c>
      <c r="D30" s="12" t="s">
        <v>536</v>
      </c>
      <c r="E30" s="12" t="s">
        <v>537</v>
      </c>
      <c r="F30" s="12" t="s">
        <v>320</v>
      </c>
      <c r="G30" s="12" t="s">
        <v>12</v>
      </c>
      <c r="H30" s="27" t="n">
        <v>27.26</v>
      </c>
      <c r="I30" s="12" t="s">
        <v>320</v>
      </c>
    </row>
    <row r="31" customFormat="false" ht="15" hidden="false" customHeight="false" outlineLevel="0" collapsed="false">
      <c r="A31" s="12" t="s">
        <v>187</v>
      </c>
      <c r="B31" s="12" t="s">
        <v>47</v>
      </c>
      <c r="C31" s="12" t="s">
        <v>187</v>
      </c>
      <c r="D31" s="12" t="s">
        <v>538</v>
      </c>
      <c r="E31" s="12" t="s">
        <v>539</v>
      </c>
      <c r="F31" s="12" t="s">
        <v>320</v>
      </c>
      <c r="G31" s="12" t="s">
        <v>12</v>
      </c>
      <c r="H31" s="27" t="n">
        <v>14</v>
      </c>
      <c r="I31" s="12" t="s">
        <v>320</v>
      </c>
    </row>
    <row r="32" customFormat="false" ht="15" hidden="false" customHeight="false" outlineLevel="0" collapsed="false">
      <c r="A32" s="12" t="s">
        <v>188</v>
      </c>
      <c r="B32" s="12" t="s">
        <v>47</v>
      </c>
      <c r="C32" s="12" t="s">
        <v>188</v>
      </c>
      <c r="D32" s="12" t="s">
        <v>538</v>
      </c>
      <c r="E32" s="12" t="s">
        <v>540</v>
      </c>
      <c r="F32" s="12" t="s">
        <v>320</v>
      </c>
      <c r="G32" s="12" t="s">
        <v>12</v>
      </c>
      <c r="H32" s="27" t="n">
        <v>36.17</v>
      </c>
      <c r="I32" s="12" t="s">
        <v>320</v>
      </c>
    </row>
    <row r="33" customFormat="false" ht="15" hidden="false" customHeight="false" outlineLevel="0" collapsed="false">
      <c r="A33" s="12" t="s">
        <v>195</v>
      </c>
      <c r="B33" s="12" t="s">
        <v>47</v>
      </c>
      <c r="C33" s="12" t="s">
        <v>195</v>
      </c>
      <c r="D33" s="12" t="s">
        <v>483</v>
      </c>
      <c r="E33" s="12" t="s">
        <v>484</v>
      </c>
      <c r="F33" s="12" t="s">
        <v>484</v>
      </c>
      <c r="G33" s="12" t="s">
        <v>485</v>
      </c>
      <c r="H33" s="27"/>
      <c r="I33" s="12" t="s">
        <v>320</v>
      </c>
    </row>
    <row r="34" customFormat="false" ht="15" hidden="false" customHeight="false" outlineLevel="0" collapsed="false">
      <c r="A34" s="12" t="s">
        <v>198</v>
      </c>
      <c r="B34" s="12" t="s">
        <v>47</v>
      </c>
      <c r="C34" s="12" t="s">
        <v>541</v>
      </c>
      <c r="D34" s="12" t="s">
        <v>542</v>
      </c>
      <c r="E34" s="12" t="s">
        <v>543</v>
      </c>
      <c r="F34" s="12" t="s">
        <v>320</v>
      </c>
      <c r="G34" s="12" t="s">
        <v>12</v>
      </c>
      <c r="H34" s="27"/>
      <c r="I34" s="12" t="s">
        <v>320</v>
      </c>
    </row>
    <row r="35" customFormat="false" ht="15" hidden="false" customHeight="false" outlineLevel="0" collapsed="false">
      <c r="A35" s="12" t="s">
        <v>198</v>
      </c>
      <c r="B35" s="12" t="s">
        <v>47</v>
      </c>
      <c r="C35" s="12" t="s">
        <v>541</v>
      </c>
      <c r="D35" s="12" t="s">
        <v>544</v>
      </c>
      <c r="E35" s="12" t="s">
        <v>545</v>
      </c>
      <c r="F35" s="12" t="s">
        <v>320</v>
      </c>
      <c r="G35" s="12" t="s">
        <v>12</v>
      </c>
      <c r="H35" s="27"/>
      <c r="I35" s="12" t="s">
        <v>320</v>
      </c>
    </row>
    <row r="36" customFormat="false" ht="15" hidden="false" customHeight="false" outlineLevel="0" collapsed="false">
      <c r="A36" s="12" t="s">
        <v>199</v>
      </c>
      <c r="B36" s="12" t="s">
        <v>47</v>
      </c>
      <c r="C36" s="12" t="s">
        <v>546</v>
      </c>
      <c r="D36" s="12" t="s">
        <v>547</v>
      </c>
      <c r="E36" s="12" t="s">
        <v>548</v>
      </c>
      <c r="F36" s="12" t="s">
        <v>320</v>
      </c>
      <c r="G36" s="12" t="s">
        <v>12</v>
      </c>
      <c r="H36" s="27" t="n">
        <v>13.63</v>
      </c>
      <c r="I36" s="12" t="s">
        <v>320</v>
      </c>
    </row>
    <row r="37" customFormat="false" ht="15" hidden="false" customHeight="false" outlineLevel="0" collapsed="false">
      <c r="A37" s="12" t="s">
        <v>100</v>
      </c>
      <c r="B37" s="12" t="s">
        <v>47</v>
      </c>
      <c r="C37" s="12" t="s">
        <v>549</v>
      </c>
      <c r="D37" s="12" t="s">
        <v>523</v>
      </c>
      <c r="E37" s="12" t="s">
        <v>550</v>
      </c>
      <c r="F37" s="12" t="s">
        <v>320</v>
      </c>
      <c r="G37" s="12" t="s">
        <v>12</v>
      </c>
      <c r="H37" s="27" t="n">
        <v>10.02</v>
      </c>
      <c r="I37" s="12" t="s">
        <v>320</v>
      </c>
    </row>
    <row r="38" customFormat="false" ht="15" hidden="false" customHeight="false" outlineLevel="0" collapsed="false">
      <c r="A38" s="12" t="s">
        <v>126</v>
      </c>
      <c r="B38" s="12" t="s">
        <v>47</v>
      </c>
      <c r="C38" s="12" t="s">
        <v>551</v>
      </c>
      <c r="D38" s="12" t="s">
        <v>552</v>
      </c>
      <c r="E38" s="12" t="s">
        <v>553</v>
      </c>
      <c r="F38" s="12" t="s">
        <v>475</v>
      </c>
      <c r="G38" s="12" t="s">
        <v>14</v>
      </c>
      <c r="H38" s="27" t="n">
        <v>125</v>
      </c>
      <c r="I38" s="12" t="s">
        <v>320</v>
      </c>
    </row>
    <row r="39" customFormat="false" ht="15" hidden="false" customHeight="false" outlineLevel="0" collapsed="false">
      <c r="A39" s="12" t="s">
        <v>141</v>
      </c>
      <c r="B39" s="12" t="s">
        <v>47</v>
      </c>
      <c r="C39" s="12" t="s">
        <v>141</v>
      </c>
      <c r="D39" s="12" t="s">
        <v>536</v>
      </c>
      <c r="E39" s="12" t="s">
        <v>554</v>
      </c>
      <c r="F39" s="12" t="s">
        <v>320</v>
      </c>
      <c r="G39" s="12" t="s">
        <v>12</v>
      </c>
      <c r="H39" s="27" t="n">
        <v>22.25</v>
      </c>
      <c r="I39" s="12" t="s">
        <v>320</v>
      </c>
    </row>
    <row r="40" customFormat="false" ht="15" hidden="false" customHeight="false" outlineLevel="0" collapsed="false">
      <c r="A40" s="12" t="s">
        <v>161</v>
      </c>
      <c r="B40" s="12" t="s">
        <v>47</v>
      </c>
      <c r="C40" s="12" t="s">
        <v>555</v>
      </c>
      <c r="D40" s="12" t="s">
        <v>556</v>
      </c>
      <c r="E40" s="12" t="s">
        <v>557</v>
      </c>
      <c r="F40" s="12" t="s">
        <v>320</v>
      </c>
      <c r="G40" s="12" t="s">
        <v>12</v>
      </c>
      <c r="H40" s="27" t="n">
        <v>9.74</v>
      </c>
      <c r="I40" s="12" t="s">
        <v>320</v>
      </c>
    </row>
    <row r="41" customFormat="false" ht="15" hidden="false" customHeight="false" outlineLevel="0" collapsed="false">
      <c r="A41" s="12" t="s">
        <v>62</v>
      </c>
      <c r="B41" s="12" t="s">
        <v>47</v>
      </c>
      <c r="C41" s="12" t="s">
        <v>62</v>
      </c>
      <c r="D41" s="12" t="s">
        <v>558</v>
      </c>
      <c r="E41" s="12" t="s">
        <v>559</v>
      </c>
      <c r="F41" s="12" t="s">
        <v>320</v>
      </c>
      <c r="G41" s="12" t="s">
        <v>12</v>
      </c>
      <c r="H41" s="27" t="n">
        <v>22.25</v>
      </c>
      <c r="I41" s="12" t="s">
        <v>333</v>
      </c>
    </row>
    <row r="42" customFormat="false" ht="15" hidden="false" customHeight="false" outlineLevel="0" collapsed="false">
      <c r="A42" s="12" t="s">
        <v>178</v>
      </c>
      <c r="B42" s="12" t="s">
        <v>47</v>
      </c>
      <c r="C42" s="12" t="s">
        <v>560</v>
      </c>
      <c r="D42" s="12" t="s">
        <v>561</v>
      </c>
      <c r="E42" s="12" t="s">
        <v>562</v>
      </c>
      <c r="F42" s="12" t="s">
        <v>12</v>
      </c>
      <c r="G42" s="12" t="s">
        <v>12</v>
      </c>
      <c r="H42" s="27" t="n">
        <v>7.54</v>
      </c>
      <c r="I42" s="12" t="s">
        <v>320</v>
      </c>
    </row>
    <row r="43" customFormat="false" ht="15" hidden="false" customHeight="false" outlineLevel="0" collapsed="false">
      <c r="A43" s="12" t="s">
        <v>178</v>
      </c>
      <c r="B43" s="12" t="s">
        <v>47</v>
      </c>
      <c r="C43" s="12" t="s">
        <v>560</v>
      </c>
      <c r="D43" s="12" t="s">
        <v>563</v>
      </c>
      <c r="E43" s="12" t="s">
        <v>564</v>
      </c>
      <c r="F43" s="12" t="s">
        <v>12</v>
      </c>
      <c r="G43" s="12" t="s">
        <v>12</v>
      </c>
      <c r="H43" s="27" t="n">
        <v>5.02</v>
      </c>
      <c r="I43" s="12" t="s">
        <v>320</v>
      </c>
    </row>
    <row r="44" customFormat="false" ht="15" hidden="false" customHeight="false" outlineLevel="0" collapsed="false">
      <c r="A44" s="12" t="s">
        <v>178</v>
      </c>
      <c r="B44" s="12" t="s">
        <v>47</v>
      </c>
      <c r="C44" s="12" t="s">
        <v>560</v>
      </c>
      <c r="D44" s="12" t="s">
        <v>565</v>
      </c>
      <c r="E44" s="12" t="s">
        <v>566</v>
      </c>
      <c r="F44" s="12" t="s">
        <v>12</v>
      </c>
      <c r="G44" s="12" t="s">
        <v>12</v>
      </c>
      <c r="H44" s="27" t="n">
        <v>9.85</v>
      </c>
      <c r="I44" s="12" t="s">
        <v>320</v>
      </c>
    </row>
    <row r="45" customFormat="false" ht="15" hidden="false" customHeight="false" outlineLevel="0" collapsed="false">
      <c r="A45" s="12" t="s">
        <v>178</v>
      </c>
      <c r="B45" s="12" t="s">
        <v>47</v>
      </c>
      <c r="C45" s="12" t="s">
        <v>560</v>
      </c>
      <c r="D45" s="12" t="s">
        <v>567</v>
      </c>
      <c r="E45" s="12" t="s">
        <v>568</v>
      </c>
      <c r="F45" s="12" t="s">
        <v>12</v>
      </c>
      <c r="G45" s="12" t="s">
        <v>12</v>
      </c>
      <c r="H45" s="27" t="n">
        <v>7.03</v>
      </c>
      <c r="I45" s="12" t="s">
        <v>320</v>
      </c>
    </row>
    <row r="46" customFormat="false" ht="15" hidden="false" customHeight="false" outlineLevel="0" collapsed="false">
      <c r="A46" s="12" t="s">
        <v>178</v>
      </c>
      <c r="B46" s="12" t="s">
        <v>47</v>
      </c>
      <c r="C46" s="12" t="s">
        <v>560</v>
      </c>
      <c r="D46" s="12" t="s">
        <v>569</v>
      </c>
      <c r="E46" s="12" t="s">
        <v>570</v>
      </c>
      <c r="F46" s="12" t="s">
        <v>12</v>
      </c>
      <c r="G46" s="12" t="s">
        <v>12</v>
      </c>
      <c r="H46" s="27" t="n">
        <v>16.57</v>
      </c>
      <c r="I46" s="12" t="s">
        <v>320</v>
      </c>
    </row>
    <row r="47" customFormat="false" ht="15" hidden="false" customHeight="false" outlineLevel="0" collapsed="false">
      <c r="A47" s="12" t="s">
        <v>178</v>
      </c>
      <c r="B47" s="12" t="s">
        <v>47</v>
      </c>
      <c r="C47" s="12" t="s">
        <v>560</v>
      </c>
      <c r="D47" s="12" t="s">
        <v>571</v>
      </c>
      <c r="E47" s="12" t="s">
        <v>572</v>
      </c>
      <c r="F47" s="12" t="s">
        <v>12</v>
      </c>
      <c r="G47" s="12" t="s">
        <v>12</v>
      </c>
      <c r="H47" s="27" t="n">
        <v>7.03</v>
      </c>
      <c r="I47" s="12" t="s">
        <v>320</v>
      </c>
    </row>
    <row r="48" customFormat="false" ht="15" hidden="false" customHeight="false" outlineLevel="0" collapsed="false">
      <c r="A48" s="12" t="s">
        <v>48</v>
      </c>
      <c r="B48" s="12" t="s">
        <v>47</v>
      </c>
      <c r="C48" s="12" t="s">
        <v>573</v>
      </c>
      <c r="D48" s="12" t="s">
        <v>574</v>
      </c>
      <c r="E48" s="12" t="s">
        <v>575</v>
      </c>
      <c r="F48" s="12" t="s">
        <v>12</v>
      </c>
      <c r="G48" s="12" t="s">
        <v>12</v>
      </c>
      <c r="H48" s="27" t="n">
        <v>90.4</v>
      </c>
      <c r="I48" s="12" t="s">
        <v>320</v>
      </c>
    </row>
    <row r="49" customFormat="false" ht="15" hidden="false" customHeight="false" outlineLevel="0" collapsed="false">
      <c r="A49" s="12" t="s">
        <v>83</v>
      </c>
      <c r="B49" s="12" t="s">
        <v>47</v>
      </c>
      <c r="C49" s="12" t="s">
        <v>83</v>
      </c>
      <c r="D49" s="12" t="s">
        <v>576</v>
      </c>
      <c r="E49" s="12" t="s">
        <v>577</v>
      </c>
      <c r="F49" s="12" t="s">
        <v>12</v>
      </c>
      <c r="G49" s="12" t="s">
        <v>12</v>
      </c>
      <c r="H49" s="27" t="n">
        <v>216.12</v>
      </c>
      <c r="I49" s="12" t="s">
        <v>320</v>
      </c>
    </row>
    <row r="50" customFormat="false" ht="15" hidden="false" customHeight="false" outlineLevel="0" collapsed="false">
      <c r="A50" s="12" t="s">
        <v>83</v>
      </c>
      <c r="B50" s="12" t="s">
        <v>47</v>
      </c>
      <c r="C50" s="12" t="s">
        <v>83</v>
      </c>
      <c r="D50" s="12" t="s">
        <v>578</v>
      </c>
      <c r="E50" s="12" t="s">
        <v>579</v>
      </c>
      <c r="F50" s="12" t="s">
        <v>12</v>
      </c>
      <c r="G50" s="12" t="s">
        <v>12</v>
      </c>
      <c r="H50" s="27" t="n">
        <v>427.8</v>
      </c>
      <c r="I50" s="12" t="s">
        <v>320</v>
      </c>
    </row>
    <row r="51" customFormat="false" ht="15" hidden="false" customHeight="false" outlineLevel="0" collapsed="false">
      <c r="A51" s="12" t="s">
        <v>83</v>
      </c>
      <c r="B51" s="12" t="s">
        <v>47</v>
      </c>
      <c r="C51" s="12" t="s">
        <v>83</v>
      </c>
      <c r="D51" s="12" t="s">
        <v>580</v>
      </c>
      <c r="E51" s="12" t="s">
        <v>581</v>
      </c>
      <c r="F51" s="12" t="s">
        <v>12</v>
      </c>
      <c r="G51" s="12" t="s">
        <v>12</v>
      </c>
      <c r="H51" s="27" t="n">
        <v>58.2</v>
      </c>
      <c r="I51" s="12" t="s">
        <v>320</v>
      </c>
    </row>
    <row r="52" customFormat="false" ht="15" hidden="false" customHeight="false" outlineLevel="0" collapsed="false">
      <c r="A52" s="12" t="s">
        <v>95</v>
      </c>
      <c r="B52" s="12" t="s">
        <v>47</v>
      </c>
      <c r="C52" s="12" t="s">
        <v>582</v>
      </c>
      <c r="D52" s="12" t="s">
        <v>583</v>
      </c>
      <c r="E52" s="12" t="s">
        <v>584</v>
      </c>
      <c r="F52" s="12" t="s">
        <v>12</v>
      </c>
      <c r="G52" s="12" t="s">
        <v>12</v>
      </c>
      <c r="H52" s="27" t="n">
        <v>5.35</v>
      </c>
      <c r="I52" s="12" t="s">
        <v>320</v>
      </c>
    </row>
    <row r="53" customFormat="false" ht="15" hidden="false" customHeight="false" outlineLevel="0" collapsed="false">
      <c r="A53" s="12" t="s">
        <v>175</v>
      </c>
      <c r="B53" s="12" t="s">
        <v>47</v>
      </c>
      <c r="C53" s="12" t="s">
        <v>175</v>
      </c>
      <c r="D53" s="12" t="s">
        <v>585</v>
      </c>
      <c r="E53" s="12" t="s">
        <v>586</v>
      </c>
      <c r="F53" s="12" t="s">
        <v>587</v>
      </c>
      <c r="G53" s="12" t="s">
        <v>14</v>
      </c>
      <c r="H53" s="27"/>
      <c r="I53" s="12" t="s">
        <v>320</v>
      </c>
    </row>
    <row r="54" customFormat="false" ht="15" hidden="false" customHeight="false" outlineLevel="0" collapsed="false">
      <c r="A54" s="12" t="s">
        <v>179</v>
      </c>
      <c r="B54" s="12" t="s">
        <v>47</v>
      </c>
      <c r="C54" s="12" t="s">
        <v>588</v>
      </c>
      <c r="D54" s="12" t="s">
        <v>589</v>
      </c>
      <c r="E54" s="12" t="s">
        <v>590</v>
      </c>
      <c r="F54" s="12" t="s">
        <v>12</v>
      </c>
      <c r="G54" s="12" t="s">
        <v>12</v>
      </c>
      <c r="H54" s="27" t="n">
        <v>161.8</v>
      </c>
      <c r="I54" s="12" t="s">
        <v>320</v>
      </c>
    </row>
    <row r="55" customFormat="false" ht="15" hidden="false" customHeight="false" outlineLevel="0" collapsed="false">
      <c r="A55" s="12" t="s">
        <v>192</v>
      </c>
      <c r="B55" s="12" t="s">
        <v>47</v>
      </c>
      <c r="C55" s="12" t="s">
        <v>591</v>
      </c>
      <c r="D55" s="12" t="s">
        <v>592</v>
      </c>
      <c r="E55" s="12" t="s">
        <v>593</v>
      </c>
      <c r="F55" s="12" t="s">
        <v>320</v>
      </c>
      <c r="G55" s="12" t="s">
        <v>506</v>
      </c>
      <c r="H55" s="27" t="n">
        <v>81.22</v>
      </c>
      <c r="I55" s="12" t="s">
        <v>320</v>
      </c>
    </row>
    <row r="56" customFormat="false" ht="15" hidden="false" customHeight="false" outlineLevel="0" collapsed="false">
      <c r="A56" s="12" t="s">
        <v>192</v>
      </c>
      <c r="B56" s="12" t="s">
        <v>47</v>
      </c>
      <c r="C56" s="12" t="s">
        <v>591</v>
      </c>
      <c r="D56" s="12" t="s">
        <v>594</v>
      </c>
      <c r="E56" s="12" t="s">
        <v>595</v>
      </c>
      <c r="F56" s="12" t="s">
        <v>320</v>
      </c>
      <c r="G56" s="12" t="s">
        <v>506</v>
      </c>
      <c r="H56" s="27" t="n">
        <v>198.4</v>
      </c>
      <c r="I56" s="12" t="s">
        <v>320</v>
      </c>
    </row>
    <row r="57" customFormat="false" ht="15" hidden="false" customHeight="false" outlineLevel="0" collapsed="false">
      <c r="A57" s="12" t="s">
        <v>170</v>
      </c>
      <c r="B57" s="12" t="s">
        <v>47</v>
      </c>
      <c r="C57" s="12" t="s">
        <v>170</v>
      </c>
      <c r="D57" s="12" t="s">
        <v>596</v>
      </c>
      <c r="E57" s="12" t="s">
        <v>597</v>
      </c>
      <c r="F57" s="12" t="s">
        <v>320</v>
      </c>
      <c r="G57" s="12" t="s">
        <v>12</v>
      </c>
      <c r="H57" s="27" t="n">
        <v>343.8</v>
      </c>
      <c r="I57" s="12" t="s">
        <v>320</v>
      </c>
    </row>
    <row r="58" customFormat="false" ht="15" hidden="false" customHeight="false" outlineLevel="0" collapsed="false">
      <c r="A58" s="12" t="s">
        <v>62</v>
      </c>
      <c r="B58" s="12" t="s">
        <v>47</v>
      </c>
      <c r="C58" s="12" t="s">
        <v>598</v>
      </c>
      <c r="D58" s="12" t="s">
        <v>599</v>
      </c>
      <c r="E58" s="12" t="s">
        <v>600</v>
      </c>
      <c r="F58" s="12" t="s">
        <v>320</v>
      </c>
      <c r="G58" s="12" t="s">
        <v>12</v>
      </c>
      <c r="H58" s="27" t="n">
        <v>856.68</v>
      </c>
      <c r="I58" s="12" t="s">
        <v>333</v>
      </c>
    </row>
    <row r="59" customFormat="false" ht="15" hidden="false" customHeight="false" outlineLevel="0" collapsed="false">
      <c r="A59" s="12" t="s">
        <v>114</v>
      </c>
      <c r="B59" s="12" t="s">
        <v>47</v>
      </c>
      <c r="C59" s="12" t="s">
        <v>114</v>
      </c>
      <c r="D59" s="12" t="s">
        <v>601</v>
      </c>
      <c r="E59" s="12" t="s">
        <v>602</v>
      </c>
      <c r="F59" s="12" t="s">
        <v>475</v>
      </c>
      <c r="G59" s="12" t="s">
        <v>14</v>
      </c>
      <c r="H59" s="27" t="n">
        <v>345.31</v>
      </c>
      <c r="I59" s="12" t="s">
        <v>320</v>
      </c>
    </row>
    <row r="60" customFormat="false" ht="15" hidden="false" customHeight="false" outlineLevel="0" collapsed="false">
      <c r="A60" s="12" t="s">
        <v>170</v>
      </c>
      <c r="B60" s="12" t="s">
        <v>47</v>
      </c>
      <c r="C60" s="12" t="s">
        <v>170</v>
      </c>
      <c r="D60" s="12" t="s">
        <v>603</v>
      </c>
      <c r="E60" s="12" t="s">
        <v>604</v>
      </c>
      <c r="F60" s="12" t="s">
        <v>320</v>
      </c>
      <c r="G60" s="12" t="s">
        <v>12</v>
      </c>
      <c r="H60" s="27" t="n">
        <v>6345.6</v>
      </c>
      <c r="I60" s="12" t="s">
        <v>320</v>
      </c>
    </row>
    <row r="61" customFormat="false" ht="15" hidden="false" customHeight="false" outlineLevel="0" collapsed="false">
      <c r="A61" s="12" t="s">
        <v>53</v>
      </c>
      <c r="B61" s="12" t="s">
        <v>47</v>
      </c>
      <c r="C61" s="12" t="s">
        <v>53</v>
      </c>
      <c r="D61" s="12" t="s">
        <v>605</v>
      </c>
      <c r="E61" s="12" t="s">
        <v>606</v>
      </c>
      <c r="F61" s="12" t="s">
        <v>320</v>
      </c>
      <c r="G61" s="12" t="s">
        <v>12</v>
      </c>
      <c r="H61" s="27" t="n">
        <v>360.71</v>
      </c>
      <c r="I61" s="12" t="s">
        <v>333</v>
      </c>
    </row>
    <row r="62" customFormat="false" ht="15" hidden="false" customHeight="false" outlineLevel="0" collapsed="false">
      <c r="A62" s="12" t="s">
        <v>162</v>
      </c>
      <c r="B62" s="12" t="s">
        <v>47</v>
      </c>
      <c r="C62" s="12" t="s">
        <v>162</v>
      </c>
      <c r="D62" s="12" t="s">
        <v>607</v>
      </c>
      <c r="E62" s="12" t="s">
        <v>608</v>
      </c>
      <c r="F62" s="12" t="s">
        <v>320</v>
      </c>
      <c r="G62" s="12" t="s">
        <v>12</v>
      </c>
      <c r="H62" s="27" t="n">
        <v>6.61</v>
      </c>
      <c r="I62" s="12" t="s">
        <v>320</v>
      </c>
    </row>
    <row r="63" customFormat="false" ht="15" hidden="false" customHeight="false" outlineLevel="0" collapsed="false">
      <c r="A63" s="12" t="s">
        <v>156</v>
      </c>
      <c r="B63" s="12" t="s">
        <v>47</v>
      </c>
      <c r="C63" s="12" t="s">
        <v>156</v>
      </c>
      <c r="D63" s="12" t="s">
        <v>609</v>
      </c>
      <c r="E63" s="12" t="s">
        <v>610</v>
      </c>
      <c r="F63" s="12" t="s">
        <v>320</v>
      </c>
      <c r="G63" s="12" t="s">
        <v>13</v>
      </c>
      <c r="H63" s="27" t="n">
        <v>6.34</v>
      </c>
      <c r="I63" s="12" t="s">
        <v>320</v>
      </c>
    </row>
    <row r="64" customFormat="false" ht="15" hidden="false" customHeight="false" outlineLevel="0" collapsed="false">
      <c r="A64" s="12" t="s">
        <v>53</v>
      </c>
      <c r="B64" s="12" t="s">
        <v>47</v>
      </c>
      <c r="C64" s="12" t="s">
        <v>611</v>
      </c>
      <c r="D64" s="12" t="s">
        <v>612</v>
      </c>
      <c r="E64" s="12" t="s">
        <v>606</v>
      </c>
      <c r="F64" s="12" t="s">
        <v>320</v>
      </c>
      <c r="G64" s="12" t="s">
        <v>12</v>
      </c>
      <c r="H64" s="27" t="n">
        <v>397.421</v>
      </c>
      <c r="I64" s="12" t="s">
        <v>333</v>
      </c>
    </row>
    <row r="65" customFormat="false" ht="15" hidden="false" customHeight="false" outlineLevel="0" collapsed="false">
      <c r="A65" s="12" t="s">
        <v>62</v>
      </c>
      <c r="B65" s="12" t="s">
        <v>47</v>
      </c>
      <c r="C65" s="12" t="s">
        <v>613</v>
      </c>
      <c r="D65" s="12" t="s">
        <v>614</v>
      </c>
      <c r="E65" s="12" t="s">
        <v>600</v>
      </c>
      <c r="F65" s="12" t="s">
        <v>320</v>
      </c>
      <c r="G65" s="12" t="s">
        <v>12</v>
      </c>
      <c r="H65" s="27" t="n">
        <v>1444.1174</v>
      </c>
      <c r="I65" s="12" t="s">
        <v>333</v>
      </c>
    </row>
    <row r="66" customFormat="false" ht="15" hidden="false" customHeight="false" outlineLevel="0" collapsed="false">
      <c r="A66" s="12" t="s">
        <v>66</v>
      </c>
      <c r="B66" s="12" t="s">
        <v>47</v>
      </c>
      <c r="C66" s="12" t="s">
        <v>615</v>
      </c>
      <c r="D66" s="12" t="s">
        <v>616</v>
      </c>
      <c r="E66" s="12" t="s">
        <v>617</v>
      </c>
      <c r="F66" s="12" t="s">
        <v>320</v>
      </c>
      <c r="G66" s="12" t="s">
        <v>13</v>
      </c>
      <c r="H66" s="27" t="n">
        <v>5.1528</v>
      </c>
      <c r="I66" s="12" t="s">
        <v>320</v>
      </c>
    </row>
    <row r="67" customFormat="false" ht="15" hidden="false" customHeight="false" outlineLevel="0" collapsed="false">
      <c r="A67" s="12" t="s">
        <v>74</v>
      </c>
      <c r="B67" s="12" t="s">
        <v>47</v>
      </c>
      <c r="C67" s="12" t="s">
        <v>618</v>
      </c>
      <c r="D67" s="12" t="s">
        <v>619</v>
      </c>
      <c r="E67" s="12" t="s">
        <v>620</v>
      </c>
      <c r="F67" s="12" t="s">
        <v>320</v>
      </c>
      <c r="G67" s="12" t="s">
        <v>12</v>
      </c>
      <c r="H67" s="27" t="n">
        <v>8.4976</v>
      </c>
      <c r="I67" s="12" t="s">
        <v>333</v>
      </c>
    </row>
    <row r="68" customFormat="false" ht="15" hidden="false" customHeight="false" outlineLevel="0" collapsed="false">
      <c r="A68" s="12" t="s">
        <v>75</v>
      </c>
      <c r="B68" s="12" t="s">
        <v>47</v>
      </c>
      <c r="C68" s="12" t="s">
        <v>621</v>
      </c>
      <c r="D68" s="12" t="s">
        <v>619</v>
      </c>
      <c r="E68" s="12" t="s">
        <v>622</v>
      </c>
      <c r="F68" s="12" t="s">
        <v>320</v>
      </c>
      <c r="G68" s="12" t="s">
        <v>13</v>
      </c>
      <c r="H68" s="27" t="n">
        <v>5.6048</v>
      </c>
      <c r="I68" s="12" t="s">
        <v>333</v>
      </c>
    </row>
    <row r="69" customFormat="false" ht="15" hidden="false" customHeight="false" outlineLevel="0" collapsed="false">
      <c r="A69" s="12" t="s">
        <v>75</v>
      </c>
      <c r="B69" s="12" t="s">
        <v>47</v>
      </c>
      <c r="C69" s="12" t="s">
        <v>623</v>
      </c>
      <c r="D69" s="12" t="s">
        <v>619</v>
      </c>
      <c r="E69" s="12" t="s">
        <v>624</v>
      </c>
      <c r="F69" s="12" t="s">
        <v>320</v>
      </c>
      <c r="G69" s="12" t="s">
        <v>13</v>
      </c>
      <c r="H69" s="27" t="n">
        <v>5.6048</v>
      </c>
      <c r="I69" s="12" t="s">
        <v>333</v>
      </c>
    </row>
    <row r="70" customFormat="false" ht="15" hidden="false" customHeight="false" outlineLevel="0" collapsed="false">
      <c r="A70" s="12" t="s">
        <v>86</v>
      </c>
      <c r="B70" s="12" t="s">
        <v>47</v>
      </c>
      <c r="C70" s="12" t="s">
        <v>625</v>
      </c>
      <c r="D70" s="12" t="s">
        <v>626</v>
      </c>
      <c r="E70" s="12" t="s">
        <v>627</v>
      </c>
      <c r="F70" s="12" t="s">
        <v>320</v>
      </c>
      <c r="G70" s="12" t="s">
        <v>12</v>
      </c>
      <c r="H70" s="27" t="n">
        <v>93.7335</v>
      </c>
      <c r="I70" s="12" t="s">
        <v>333</v>
      </c>
    </row>
    <row r="71" customFormat="false" ht="15" hidden="false" customHeight="false" outlineLevel="0" collapsed="false">
      <c r="A71" s="12" t="s">
        <v>92</v>
      </c>
      <c r="B71" s="12" t="s">
        <v>47</v>
      </c>
      <c r="C71" s="12" t="s">
        <v>628</v>
      </c>
      <c r="D71" s="12" t="s">
        <v>629</v>
      </c>
      <c r="E71" s="12" t="s">
        <v>630</v>
      </c>
      <c r="F71" s="12" t="s">
        <v>320</v>
      </c>
      <c r="G71" s="12" t="s">
        <v>12</v>
      </c>
      <c r="H71" s="27" t="n">
        <v>16.837</v>
      </c>
      <c r="I71" s="12" t="s">
        <v>320</v>
      </c>
    </row>
    <row r="72" customFormat="false" ht="15" hidden="false" customHeight="false" outlineLevel="0" collapsed="false">
      <c r="A72" s="12" t="s">
        <v>97</v>
      </c>
      <c r="B72" s="12" t="s">
        <v>47</v>
      </c>
      <c r="C72" s="12" t="s">
        <v>631</v>
      </c>
      <c r="D72" s="12" t="s">
        <v>632</v>
      </c>
      <c r="E72" s="12" t="s">
        <v>633</v>
      </c>
      <c r="F72" s="12" t="s">
        <v>320</v>
      </c>
      <c r="G72" s="12" t="s">
        <v>12</v>
      </c>
      <c r="H72" s="27" t="n">
        <v>91.7334</v>
      </c>
      <c r="I72" s="12" t="s">
        <v>320</v>
      </c>
    </row>
    <row r="73" customFormat="false" ht="15" hidden="false" customHeight="false" outlineLevel="0" collapsed="false">
      <c r="A73" s="12" t="s">
        <v>113</v>
      </c>
      <c r="B73" s="12" t="s">
        <v>47</v>
      </c>
      <c r="C73" s="12" t="s">
        <v>634</v>
      </c>
      <c r="D73" s="12" t="s">
        <v>635</v>
      </c>
      <c r="E73" s="12" t="s">
        <v>636</v>
      </c>
      <c r="F73" s="12" t="s">
        <v>320</v>
      </c>
      <c r="G73" s="12" t="s">
        <v>12</v>
      </c>
      <c r="H73" s="27" t="n">
        <v>64.9298</v>
      </c>
      <c r="I73" s="12" t="s">
        <v>320</v>
      </c>
    </row>
    <row r="74" customFormat="false" ht="15" hidden="false" customHeight="false" outlineLevel="0" collapsed="false">
      <c r="A74" s="12" t="s">
        <v>114</v>
      </c>
      <c r="B74" s="12" t="s">
        <v>47</v>
      </c>
      <c r="C74" s="12" t="s">
        <v>637</v>
      </c>
      <c r="D74" s="12" t="s">
        <v>638</v>
      </c>
      <c r="E74" s="12" t="s">
        <v>639</v>
      </c>
      <c r="F74" s="12" t="s">
        <v>475</v>
      </c>
      <c r="G74" s="12" t="s">
        <v>14</v>
      </c>
      <c r="H74" s="27" t="n">
        <v>531.8684</v>
      </c>
      <c r="I74" s="12" t="s">
        <v>320</v>
      </c>
    </row>
    <row r="75" customFormat="false" ht="15" hidden="false" customHeight="false" outlineLevel="0" collapsed="false">
      <c r="A75" s="12" t="s">
        <v>139</v>
      </c>
      <c r="B75" s="12" t="s">
        <v>47</v>
      </c>
      <c r="C75" s="12" t="s">
        <v>640</v>
      </c>
      <c r="D75" s="12" t="s">
        <v>641</v>
      </c>
      <c r="E75" s="12" t="s">
        <v>642</v>
      </c>
      <c r="F75" s="12" t="s">
        <v>320</v>
      </c>
      <c r="G75" s="12" t="s">
        <v>12</v>
      </c>
      <c r="H75" s="27" t="n">
        <v>95.2025</v>
      </c>
      <c r="I75" s="12" t="s">
        <v>333</v>
      </c>
    </row>
    <row r="76" customFormat="false" ht="15" hidden="false" customHeight="false" outlineLevel="0" collapsed="false">
      <c r="A76" s="12" t="s">
        <v>140</v>
      </c>
      <c r="B76" s="12" t="s">
        <v>47</v>
      </c>
      <c r="C76" s="12" t="s">
        <v>643</v>
      </c>
      <c r="D76" s="12" t="s">
        <v>644</v>
      </c>
      <c r="E76" s="12" t="s">
        <v>645</v>
      </c>
      <c r="F76" s="12" t="s">
        <v>320</v>
      </c>
      <c r="G76" s="12" t="s">
        <v>12</v>
      </c>
      <c r="H76" s="27" t="n">
        <v>12.0797</v>
      </c>
      <c r="I76" s="12" t="s">
        <v>333</v>
      </c>
    </row>
    <row r="77" customFormat="false" ht="15" hidden="false" customHeight="false" outlineLevel="0" collapsed="false">
      <c r="A77" s="12" t="s">
        <v>140</v>
      </c>
      <c r="B77" s="12" t="s">
        <v>47</v>
      </c>
      <c r="C77" s="12" t="s">
        <v>646</v>
      </c>
      <c r="D77" s="12" t="s">
        <v>644</v>
      </c>
      <c r="E77" s="12" t="s">
        <v>645</v>
      </c>
      <c r="F77" s="12" t="s">
        <v>320</v>
      </c>
      <c r="G77" s="12" t="s">
        <v>12</v>
      </c>
      <c r="H77" s="27" t="n">
        <v>12.0797</v>
      </c>
      <c r="I77" s="12" t="s">
        <v>333</v>
      </c>
    </row>
    <row r="78" customFormat="false" ht="15" hidden="false" customHeight="false" outlineLevel="0" collapsed="false">
      <c r="A78" s="12" t="s">
        <v>140</v>
      </c>
      <c r="B78" s="12" t="s">
        <v>47</v>
      </c>
      <c r="C78" s="12" t="s">
        <v>647</v>
      </c>
      <c r="D78" s="12" t="s">
        <v>644</v>
      </c>
      <c r="E78" s="12" t="s">
        <v>645</v>
      </c>
      <c r="F78" s="12" t="s">
        <v>320</v>
      </c>
      <c r="G78" s="12" t="s">
        <v>12</v>
      </c>
      <c r="H78" s="27" t="n">
        <v>12.0797</v>
      </c>
      <c r="I78" s="12" t="s">
        <v>333</v>
      </c>
    </row>
    <row r="79" customFormat="false" ht="15" hidden="false" customHeight="false" outlineLevel="0" collapsed="false">
      <c r="A79" s="12" t="s">
        <v>148</v>
      </c>
      <c r="B79" s="12" t="s">
        <v>47</v>
      </c>
      <c r="C79" s="12" t="s">
        <v>648</v>
      </c>
      <c r="D79" s="12" t="s">
        <v>649</v>
      </c>
      <c r="E79" s="12" t="s">
        <v>650</v>
      </c>
      <c r="F79" s="12" t="s">
        <v>320</v>
      </c>
      <c r="G79" s="12" t="s">
        <v>12</v>
      </c>
      <c r="H79" s="27" t="n">
        <v>55.8898</v>
      </c>
      <c r="I79" s="12" t="s">
        <v>333</v>
      </c>
    </row>
    <row r="80" customFormat="false" ht="15" hidden="false" customHeight="false" outlineLevel="0" collapsed="false">
      <c r="A80" s="12" t="s">
        <v>156</v>
      </c>
      <c r="B80" s="12" t="s">
        <v>47</v>
      </c>
      <c r="C80" s="12" t="s">
        <v>651</v>
      </c>
      <c r="D80" s="12" t="s">
        <v>652</v>
      </c>
      <c r="E80" s="12" t="s">
        <v>653</v>
      </c>
      <c r="F80" s="12" t="s">
        <v>320</v>
      </c>
      <c r="G80" s="12" t="s">
        <v>13</v>
      </c>
      <c r="H80" s="27" t="n">
        <v>5.3223</v>
      </c>
      <c r="I80" s="12" t="s">
        <v>320</v>
      </c>
    </row>
    <row r="81" customFormat="false" ht="15" hidden="false" customHeight="false" outlineLevel="0" collapsed="false">
      <c r="A81" s="12" t="s">
        <v>170</v>
      </c>
      <c r="B81" s="12" t="s">
        <v>47</v>
      </c>
      <c r="C81" s="12" t="s">
        <v>654</v>
      </c>
      <c r="D81" s="12" t="s">
        <v>655</v>
      </c>
      <c r="E81" s="12" t="s">
        <v>604</v>
      </c>
      <c r="F81" s="12" t="s">
        <v>320</v>
      </c>
      <c r="G81" s="12" t="s">
        <v>12</v>
      </c>
      <c r="H81" s="27" t="n">
        <v>7322.4226</v>
      </c>
      <c r="I81" s="12" t="s">
        <v>320</v>
      </c>
    </row>
    <row r="82" customFormat="false" ht="15" hidden="false" customHeight="false" outlineLevel="0" collapsed="false">
      <c r="A82" s="12" t="s">
        <v>176</v>
      </c>
      <c r="B82" s="12" t="s">
        <v>47</v>
      </c>
      <c r="C82" s="12" t="s">
        <v>656</v>
      </c>
      <c r="D82" s="12" t="s">
        <v>657</v>
      </c>
      <c r="E82" s="12" t="s">
        <v>658</v>
      </c>
      <c r="F82" s="12" t="s">
        <v>320</v>
      </c>
      <c r="G82" s="12" t="s">
        <v>12</v>
      </c>
      <c r="H82" s="27" t="n">
        <v>7.0399</v>
      </c>
      <c r="I82" s="12" t="s">
        <v>333</v>
      </c>
    </row>
    <row r="83" customFormat="false" ht="15" hidden="false" customHeight="false" outlineLevel="0" collapsed="false">
      <c r="A83" s="12" t="s">
        <v>202</v>
      </c>
      <c r="B83" s="12" t="s">
        <v>47</v>
      </c>
      <c r="C83" s="12" t="s">
        <v>659</v>
      </c>
      <c r="D83" s="12" t="s">
        <v>660</v>
      </c>
      <c r="E83" s="12" t="s">
        <v>661</v>
      </c>
      <c r="F83" s="12" t="s">
        <v>320</v>
      </c>
      <c r="G83" s="12" t="s">
        <v>12</v>
      </c>
      <c r="H83" s="27" t="n">
        <v>24.3967</v>
      </c>
      <c r="I83" s="12" t="s">
        <v>320</v>
      </c>
    </row>
    <row r="84" customFormat="false" ht="15" hidden="false" customHeight="false" outlineLevel="0" collapsed="false">
      <c r="A84" s="12" t="s">
        <v>202</v>
      </c>
      <c r="B84" s="12" t="s">
        <v>47</v>
      </c>
      <c r="C84" s="12" t="s">
        <v>662</v>
      </c>
      <c r="D84" s="12" t="s">
        <v>660</v>
      </c>
      <c r="E84" s="12" t="s">
        <v>661</v>
      </c>
      <c r="F84" s="12" t="s">
        <v>320</v>
      </c>
      <c r="G84" s="12" t="s">
        <v>12</v>
      </c>
      <c r="H84" s="27" t="n">
        <v>24.3967</v>
      </c>
      <c r="I84" s="12" t="s">
        <v>320</v>
      </c>
    </row>
    <row r="85" customFormat="false" ht="15" hidden="false" customHeight="false" outlineLevel="0" collapsed="false">
      <c r="A85" s="12" t="s">
        <v>162</v>
      </c>
      <c r="B85" s="12" t="s">
        <v>47</v>
      </c>
      <c r="C85" s="12" t="s">
        <v>162</v>
      </c>
      <c r="D85" s="12" t="s">
        <v>663</v>
      </c>
      <c r="E85" s="12" t="s">
        <v>664</v>
      </c>
      <c r="F85" s="12" t="s">
        <v>320</v>
      </c>
      <c r="G85" s="12" t="s">
        <v>12</v>
      </c>
      <c r="H85" s="27" t="n">
        <v>8.2474</v>
      </c>
      <c r="I85" s="12" t="s">
        <v>320</v>
      </c>
    </row>
    <row r="86" customFormat="false" ht="15" hidden="false" customHeight="false" outlineLevel="0" collapsed="false">
      <c r="A86" s="12" t="s">
        <v>46</v>
      </c>
      <c r="B86" s="12" t="s">
        <v>47</v>
      </c>
      <c r="C86" s="12" t="s">
        <v>665</v>
      </c>
      <c r="D86" s="12" t="s">
        <v>666</v>
      </c>
      <c r="E86" s="12" t="s">
        <v>667</v>
      </c>
      <c r="F86" s="12" t="s">
        <v>320</v>
      </c>
      <c r="G86" s="12" t="s">
        <v>12</v>
      </c>
      <c r="H86" s="27" t="n">
        <v>7.7889</v>
      </c>
      <c r="I86" s="12" t="s">
        <v>320</v>
      </c>
    </row>
    <row r="87" customFormat="false" ht="15" hidden="false" customHeight="false" outlineLevel="0" collapsed="false">
      <c r="A87" s="12" t="s">
        <v>140</v>
      </c>
      <c r="B87" s="12" t="s">
        <v>47</v>
      </c>
      <c r="C87" s="12" t="s">
        <v>140</v>
      </c>
      <c r="D87" s="12" t="s">
        <v>668</v>
      </c>
      <c r="E87" s="12" t="s">
        <v>669</v>
      </c>
      <c r="F87" s="12" t="s">
        <v>320</v>
      </c>
      <c r="G87" s="12" t="s">
        <v>12</v>
      </c>
      <c r="H87" s="27" t="n">
        <v>16.247</v>
      </c>
      <c r="I87" s="12" t="s">
        <v>320</v>
      </c>
    </row>
    <row r="88" customFormat="false" ht="15" hidden="false" customHeight="false" outlineLevel="0" collapsed="false">
      <c r="A88" s="12" t="s">
        <v>140</v>
      </c>
      <c r="B88" s="12" t="s">
        <v>47</v>
      </c>
      <c r="C88" s="12" t="s">
        <v>140</v>
      </c>
      <c r="D88" s="12" t="s">
        <v>670</v>
      </c>
      <c r="E88" s="12" t="s">
        <v>671</v>
      </c>
      <c r="F88" s="12" t="s">
        <v>320</v>
      </c>
      <c r="G88" s="12" t="s">
        <v>12</v>
      </c>
      <c r="H88" s="27" t="n">
        <v>36.113</v>
      </c>
      <c r="I88" s="12" t="s">
        <v>320</v>
      </c>
    </row>
    <row r="89" customFormat="false" ht="15" hidden="false" customHeight="false" outlineLevel="0" collapsed="false">
      <c r="A89" s="12" t="s">
        <v>193</v>
      </c>
      <c r="B89" s="12" t="s">
        <v>47</v>
      </c>
      <c r="C89" s="12" t="s">
        <v>193</v>
      </c>
      <c r="D89" s="12" t="s">
        <v>672</v>
      </c>
      <c r="E89" s="12" t="s">
        <v>673</v>
      </c>
      <c r="F89" s="12" t="s">
        <v>320</v>
      </c>
      <c r="G89" s="12" t="s">
        <v>13</v>
      </c>
      <c r="H89" s="27" t="n">
        <v>13.20375</v>
      </c>
      <c r="I89" s="12" t="s">
        <v>320</v>
      </c>
    </row>
    <row r="90" customFormat="false" ht="15" hidden="false" customHeight="false" outlineLevel="0" collapsed="false">
      <c r="A90" s="12" t="s">
        <v>156</v>
      </c>
      <c r="B90" s="12" t="s">
        <v>47</v>
      </c>
      <c r="C90" s="12" t="s">
        <v>674</v>
      </c>
      <c r="D90" s="12" t="s">
        <v>609</v>
      </c>
      <c r="E90" s="12" t="s">
        <v>675</v>
      </c>
      <c r="F90" s="12" t="s">
        <v>320</v>
      </c>
      <c r="G90" s="12" t="s">
        <v>12</v>
      </c>
      <c r="H90" s="27" t="n">
        <v>9.2526</v>
      </c>
      <c r="I90" s="12" t="s">
        <v>320</v>
      </c>
    </row>
    <row r="91" customFormat="false" ht="15" hidden="false" customHeight="false" outlineLevel="0" collapsed="false">
      <c r="A91" s="12" t="s">
        <v>156</v>
      </c>
      <c r="B91" s="12" t="s">
        <v>47</v>
      </c>
      <c r="C91" s="12" t="s">
        <v>674</v>
      </c>
      <c r="D91" s="12" t="s">
        <v>609</v>
      </c>
      <c r="E91" s="12" t="s">
        <v>676</v>
      </c>
      <c r="F91" s="12" t="s">
        <v>320</v>
      </c>
      <c r="G91" s="12" t="s">
        <v>12</v>
      </c>
      <c r="H91" s="27" t="n">
        <v>18.5052</v>
      </c>
      <c r="I91" s="12" t="s">
        <v>320</v>
      </c>
    </row>
    <row r="92" customFormat="false" ht="15" hidden="false" customHeight="false" outlineLevel="0" collapsed="false">
      <c r="A92" s="12" t="s">
        <v>100</v>
      </c>
      <c r="B92" s="12" t="s">
        <v>47</v>
      </c>
      <c r="C92" s="12" t="s">
        <v>100</v>
      </c>
      <c r="D92" s="12" t="s">
        <v>670</v>
      </c>
      <c r="E92" s="12" t="s">
        <v>677</v>
      </c>
      <c r="F92" s="12" t="s">
        <v>320</v>
      </c>
      <c r="G92" s="12" t="s">
        <v>12</v>
      </c>
      <c r="H92" s="27" t="n">
        <v>42.56</v>
      </c>
      <c r="I92" s="12" t="s">
        <v>333</v>
      </c>
    </row>
    <row r="93" customFormat="false" ht="15" hidden="false" customHeight="false" outlineLevel="0" collapsed="false">
      <c r="A93" s="12" t="s">
        <v>122</v>
      </c>
      <c r="B93" s="12" t="s">
        <v>47</v>
      </c>
      <c r="C93" s="12" t="s">
        <v>678</v>
      </c>
      <c r="D93" s="12" t="s">
        <v>603</v>
      </c>
      <c r="E93" s="12" t="s">
        <v>679</v>
      </c>
      <c r="F93" s="12" t="s">
        <v>320</v>
      </c>
      <c r="G93" s="12" t="s">
        <v>12</v>
      </c>
      <c r="H93" s="27" t="n">
        <v>6.11625</v>
      </c>
      <c r="I93" s="12" t="s">
        <v>320</v>
      </c>
    </row>
    <row r="94" customFormat="false" ht="15" hidden="false" customHeight="false" outlineLevel="0" collapsed="false">
      <c r="A94" s="12" t="s">
        <v>140</v>
      </c>
      <c r="B94" s="12" t="s">
        <v>47</v>
      </c>
      <c r="C94" s="12" t="s">
        <v>140</v>
      </c>
      <c r="D94" s="12" t="s">
        <v>668</v>
      </c>
      <c r="E94" s="12" t="s">
        <v>680</v>
      </c>
      <c r="F94" s="12" t="s">
        <v>320</v>
      </c>
      <c r="G94" s="12" t="s">
        <v>12</v>
      </c>
      <c r="H94" s="27" t="n">
        <v>16.247</v>
      </c>
      <c r="I94" s="12" t="s">
        <v>320</v>
      </c>
    </row>
    <row r="95" customFormat="false" ht="15" hidden="false" customHeight="false" outlineLevel="0" collapsed="false">
      <c r="A95" s="12" t="s">
        <v>140</v>
      </c>
      <c r="B95" s="12" t="s">
        <v>47</v>
      </c>
      <c r="C95" s="12" t="s">
        <v>140</v>
      </c>
      <c r="D95" s="12" t="s">
        <v>670</v>
      </c>
      <c r="E95" s="12" t="s">
        <v>681</v>
      </c>
      <c r="F95" s="12" t="s">
        <v>320</v>
      </c>
      <c r="G95" s="12" t="s">
        <v>12</v>
      </c>
      <c r="H95" s="27" t="n">
        <v>36.113</v>
      </c>
      <c r="I95" s="12" t="s">
        <v>320</v>
      </c>
    </row>
    <row r="96" customFormat="false" ht="15" hidden="false" customHeight="false" outlineLevel="0" collapsed="false">
      <c r="A96" s="12" t="s">
        <v>162</v>
      </c>
      <c r="B96" s="12" t="s">
        <v>47</v>
      </c>
      <c r="C96" s="12" t="s">
        <v>162</v>
      </c>
      <c r="D96" s="12" t="s">
        <v>663</v>
      </c>
      <c r="E96" s="12" t="s">
        <v>682</v>
      </c>
      <c r="F96" s="12" t="s">
        <v>320</v>
      </c>
      <c r="G96" s="12" t="s">
        <v>12</v>
      </c>
      <c r="H96" s="27" t="n">
        <v>8.2474</v>
      </c>
      <c r="I96" s="12" t="s">
        <v>320</v>
      </c>
    </row>
    <row r="97" customFormat="false" ht="15" hidden="false" customHeight="false" outlineLevel="0" collapsed="false">
      <c r="A97" s="12" t="s">
        <v>46</v>
      </c>
      <c r="B97" s="12" t="s">
        <v>47</v>
      </c>
      <c r="C97" s="12" t="s">
        <v>665</v>
      </c>
      <c r="D97" s="12" t="s">
        <v>666</v>
      </c>
      <c r="E97" s="12" t="s">
        <v>683</v>
      </c>
      <c r="F97" s="12" t="s">
        <v>320</v>
      </c>
      <c r="G97" s="12" t="s">
        <v>12</v>
      </c>
      <c r="H97" s="27" t="n">
        <v>7.7889</v>
      </c>
      <c r="I97" s="12" t="s">
        <v>320</v>
      </c>
    </row>
    <row r="98" customFormat="false" ht="15" hidden="false" customHeight="false" outlineLevel="0" collapsed="false">
      <c r="A98" s="12" t="s">
        <v>193</v>
      </c>
      <c r="B98" s="12" t="s">
        <v>47</v>
      </c>
      <c r="C98" s="12" t="s">
        <v>193</v>
      </c>
      <c r="D98" s="12" t="s">
        <v>672</v>
      </c>
      <c r="E98" s="12" t="s">
        <v>684</v>
      </c>
      <c r="F98" s="12" t="s">
        <v>320</v>
      </c>
      <c r="G98" s="12" t="s">
        <v>13</v>
      </c>
      <c r="H98" s="27" t="n">
        <v>13.20375</v>
      </c>
      <c r="I98" s="12" t="s">
        <v>320</v>
      </c>
    </row>
    <row r="99" customFormat="false" ht="15" hidden="false" customHeight="false" outlineLevel="0" collapsed="false">
      <c r="A99" s="12" t="s">
        <v>193</v>
      </c>
      <c r="B99" s="12" t="s">
        <v>47</v>
      </c>
      <c r="C99" s="12" t="s">
        <v>193</v>
      </c>
      <c r="D99" s="12" t="s">
        <v>672</v>
      </c>
      <c r="E99" s="12" t="s">
        <v>685</v>
      </c>
      <c r="F99" s="12" t="s">
        <v>320</v>
      </c>
      <c r="G99" s="12" t="s">
        <v>12</v>
      </c>
      <c r="H99" s="27" t="n">
        <v>14.19425</v>
      </c>
      <c r="I99" s="12" t="s">
        <v>320</v>
      </c>
    </row>
    <row r="100" customFormat="false" ht="15" hidden="false" customHeight="false" outlineLevel="0" collapsed="false">
      <c r="A100" s="12" t="s">
        <v>152</v>
      </c>
      <c r="B100" s="12" t="s">
        <v>47</v>
      </c>
      <c r="C100" s="12" t="s">
        <v>527</v>
      </c>
      <c r="D100" s="12" t="s">
        <v>686</v>
      </c>
      <c r="E100" s="12" t="s">
        <v>687</v>
      </c>
      <c r="F100" s="12" t="s">
        <v>320</v>
      </c>
      <c r="G100" s="12" t="s">
        <v>12</v>
      </c>
      <c r="H100" s="27" t="n">
        <v>96.215</v>
      </c>
      <c r="I100" s="12" t="s">
        <v>320</v>
      </c>
    </row>
    <row r="101" customFormat="false" ht="15" hidden="false" customHeight="false" outlineLevel="0" collapsed="false">
      <c r="A101" s="12" t="s">
        <v>100</v>
      </c>
      <c r="B101" s="12" t="s">
        <v>47</v>
      </c>
      <c r="C101" s="12" t="s">
        <v>100</v>
      </c>
      <c r="D101" s="12" t="s">
        <v>670</v>
      </c>
      <c r="E101" s="12" t="s">
        <v>688</v>
      </c>
      <c r="F101" s="12" t="s">
        <v>320</v>
      </c>
      <c r="G101" s="12" t="s">
        <v>12</v>
      </c>
      <c r="H101" s="27" t="n">
        <v>42.56</v>
      </c>
      <c r="I101" s="12" t="s">
        <v>320</v>
      </c>
    </row>
    <row r="102" customFormat="false" ht="15" hidden="false" customHeight="false" outlineLevel="0" collapsed="false">
      <c r="A102" s="12" t="s">
        <v>122</v>
      </c>
      <c r="B102" s="12" t="s">
        <v>47</v>
      </c>
      <c r="C102" s="12" t="s">
        <v>678</v>
      </c>
      <c r="D102" s="12" t="s">
        <v>603</v>
      </c>
      <c r="E102" s="12" t="s">
        <v>689</v>
      </c>
      <c r="F102" s="12" t="s">
        <v>320</v>
      </c>
      <c r="G102" s="12" t="s">
        <v>12</v>
      </c>
      <c r="H102" s="27" t="n">
        <v>8.6037</v>
      </c>
      <c r="I102" s="12" t="s">
        <v>320</v>
      </c>
    </row>
    <row r="103" customFormat="false" ht="15" hidden="false" customHeight="false" outlineLevel="0" collapsed="false">
      <c r="A103" s="12" t="s">
        <v>170</v>
      </c>
      <c r="B103" s="12" t="s">
        <v>47</v>
      </c>
      <c r="C103" s="12" t="s">
        <v>170</v>
      </c>
      <c r="D103" s="12" t="s">
        <v>603</v>
      </c>
      <c r="E103" s="12" t="s">
        <v>690</v>
      </c>
      <c r="F103" s="12" t="s">
        <v>320</v>
      </c>
      <c r="G103" s="12" t="s">
        <v>12</v>
      </c>
      <c r="H103" s="27" t="n">
        <v>3979.598</v>
      </c>
      <c r="I103" s="12" t="s">
        <v>320</v>
      </c>
    </row>
    <row r="104" customFormat="false" ht="15" hidden="false" customHeight="false" outlineLevel="0" collapsed="false">
      <c r="A104" s="12" t="s">
        <v>156</v>
      </c>
      <c r="B104" s="12" t="s">
        <v>47</v>
      </c>
      <c r="C104" s="12" t="s">
        <v>691</v>
      </c>
      <c r="D104" s="12" t="s">
        <v>609</v>
      </c>
      <c r="E104" s="12" t="s">
        <v>692</v>
      </c>
      <c r="F104" s="12" t="s">
        <v>320</v>
      </c>
      <c r="G104" s="12" t="s">
        <v>12</v>
      </c>
      <c r="H104" s="27" t="n">
        <v>9.67456</v>
      </c>
      <c r="I104" s="12" t="s">
        <v>320</v>
      </c>
    </row>
    <row r="105" customFormat="false" ht="15" hidden="false" customHeight="false" outlineLevel="0" collapsed="false">
      <c r="A105" s="12" t="s">
        <v>108</v>
      </c>
      <c r="B105" s="12" t="s">
        <v>47</v>
      </c>
      <c r="C105" s="12" t="s">
        <v>693</v>
      </c>
      <c r="D105" s="12" t="s">
        <v>694</v>
      </c>
      <c r="E105" s="12" t="s">
        <v>695</v>
      </c>
      <c r="F105" s="12" t="s">
        <v>320</v>
      </c>
      <c r="G105" s="12" t="s">
        <v>12</v>
      </c>
      <c r="H105" s="27"/>
      <c r="I105" s="12" t="s">
        <v>333</v>
      </c>
    </row>
    <row r="106" customFormat="false" ht="15" hidden="false" customHeight="false" outlineLevel="0" collapsed="false">
      <c r="A106" s="12" t="s">
        <v>108</v>
      </c>
      <c r="B106" s="12" t="s">
        <v>47</v>
      </c>
      <c r="C106" s="12" t="s">
        <v>693</v>
      </c>
      <c r="D106" s="12" t="s">
        <v>696</v>
      </c>
      <c r="E106" s="12" t="s">
        <v>697</v>
      </c>
      <c r="F106" s="12" t="s">
        <v>320</v>
      </c>
      <c r="G106" s="12" t="s">
        <v>12</v>
      </c>
      <c r="H106" s="27"/>
      <c r="I106" s="12" t="s">
        <v>333</v>
      </c>
    </row>
    <row r="107" customFormat="false" ht="15" hidden="false" customHeight="false" outlineLevel="0" collapsed="false">
      <c r="A107" s="12" t="s">
        <v>108</v>
      </c>
      <c r="B107" s="12" t="s">
        <v>47</v>
      </c>
      <c r="C107" s="12" t="s">
        <v>693</v>
      </c>
      <c r="D107" s="12" t="s">
        <v>698</v>
      </c>
      <c r="E107" s="12" t="s">
        <v>699</v>
      </c>
      <c r="F107" s="12" t="s">
        <v>320</v>
      </c>
      <c r="G107" s="12" t="s">
        <v>12</v>
      </c>
      <c r="H107" s="27"/>
      <c r="I107" s="12" t="s">
        <v>333</v>
      </c>
    </row>
    <row r="108" customFormat="false" ht="15" hidden="false" customHeight="false" outlineLevel="0" collapsed="false">
      <c r="A108" s="12" t="s">
        <v>114</v>
      </c>
      <c r="B108" s="12" t="s">
        <v>47</v>
      </c>
      <c r="C108" s="12" t="s">
        <v>700</v>
      </c>
      <c r="D108" s="12" t="s">
        <v>701</v>
      </c>
      <c r="E108" s="12" t="s">
        <v>702</v>
      </c>
      <c r="F108" s="12" t="s">
        <v>475</v>
      </c>
      <c r="G108" s="12" t="s">
        <v>14</v>
      </c>
      <c r="H108" s="27" t="n">
        <v>47.11</v>
      </c>
      <c r="I108" s="12" t="s">
        <v>320</v>
      </c>
    </row>
    <row r="109" customFormat="false" ht="15" hidden="false" customHeight="false" outlineLevel="0" collapsed="false">
      <c r="A109" s="12" t="s">
        <v>53</v>
      </c>
      <c r="B109" s="12" t="s">
        <v>47</v>
      </c>
      <c r="C109" s="12" t="s">
        <v>703</v>
      </c>
      <c r="D109" s="12" t="s">
        <v>704</v>
      </c>
      <c r="E109" s="12" t="s">
        <v>705</v>
      </c>
      <c r="F109" s="12" t="s">
        <v>320</v>
      </c>
      <c r="G109" s="12" t="s">
        <v>12</v>
      </c>
      <c r="H109" s="27" t="n">
        <v>10.241</v>
      </c>
      <c r="I109" s="12" t="s">
        <v>333</v>
      </c>
    </row>
    <row r="110" customFormat="false" ht="15" hidden="false" customHeight="false" outlineLevel="0" collapsed="false">
      <c r="A110" s="12" t="s">
        <v>62</v>
      </c>
      <c r="B110" s="12" t="s">
        <v>47</v>
      </c>
      <c r="C110" s="12" t="s">
        <v>706</v>
      </c>
      <c r="D110" s="12" t="s">
        <v>707</v>
      </c>
      <c r="E110" s="12" t="s">
        <v>708</v>
      </c>
      <c r="F110" s="12" t="s">
        <v>320</v>
      </c>
      <c r="G110" s="12" t="s">
        <v>12</v>
      </c>
      <c r="H110" s="27" t="n">
        <v>14.329</v>
      </c>
      <c r="I110" s="12" t="s">
        <v>333</v>
      </c>
    </row>
    <row r="111" customFormat="false" ht="15" hidden="false" customHeight="false" outlineLevel="0" collapsed="false">
      <c r="A111" s="12" t="s">
        <v>170</v>
      </c>
      <c r="B111" s="12" t="s">
        <v>47</v>
      </c>
      <c r="C111" s="12" t="s">
        <v>709</v>
      </c>
      <c r="D111" s="12" t="s">
        <v>710</v>
      </c>
      <c r="E111" s="12" t="s">
        <v>711</v>
      </c>
      <c r="F111" s="12" t="s">
        <v>320</v>
      </c>
      <c r="G111" s="12" t="s">
        <v>12</v>
      </c>
      <c r="H111" s="27" t="n">
        <v>559.566</v>
      </c>
      <c r="I111" s="12" t="s">
        <v>320</v>
      </c>
    </row>
    <row r="112" customFormat="false" ht="15" hidden="false" customHeight="false" outlineLevel="0" collapsed="false">
      <c r="A112" s="12" t="s">
        <v>100</v>
      </c>
      <c r="B112" s="12" t="s">
        <v>47</v>
      </c>
      <c r="C112" s="12" t="s">
        <v>712</v>
      </c>
      <c r="D112" s="12" t="s">
        <v>713</v>
      </c>
      <c r="E112" s="12" t="s">
        <v>714</v>
      </c>
      <c r="F112" s="12" t="s">
        <v>320</v>
      </c>
      <c r="G112" s="12" t="s">
        <v>12</v>
      </c>
      <c r="H112" s="27" t="n">
        <v>18.86</v>
      </c>
      <c r="I112" s="12" t="s">
        <v>333</v>
      </c>
    </row>
    <row r="113" customFormat="false" ht="15" hidden="false" customHeight="false" outlineLevel="0" collapsed="false">
      <c r="A113" s="12" t="s">
        <v>100</v>
      </c>
      <c r="B113" s="12" t="s">
        <v>47</v>
      </c>
      <c r="C113" s="12" t="s">
        <v>712</v>
      </c>
      <c r="D113" s="12" t="s">
        <v>713</v>
      </c>
      <c r="E113" s="12" t="s">
        <v>715</v>
      </c>
      <c r="F113" s="12" t="s">
        <v>320</v>
      </c>
      <c r="G113" s="12" t="s">
        <v>12</v>
      </c>
      <c r="H113" s="27" t="n">
        <v>18.86</v>
      </c>
      <c r="I113" s="12" t="s">
        <v>333</v>
      </c>
    </row>
    <row r="114" customFormat="false" ht="15" hidden="false" customHeight="false" outlineLevel="0" collapsed="false">
      <c r="A114" s="12" t="s">
        <v>72</v>
      </c>
      <c r="B114" s="12" t="s">
        <v>47</v>
      </c>
      <c r="C114" s="12" t="s">
        <v>716</v>
      </c>
      <c r="D114" s="12" t="s">
        <v>717</v>
      </c>
      <c r="E114" s="12" t="s">
        <v>714</v>
      </c>
      <c r="F114" s="12" t="s">
        <v>320</v>
      </c>
      <c r="G114" s="12" t="s">
        <v>12</v>
      </c>
      <c r="H114" s="27" t="n">
        <v>5.74</v>
      </c>
      <c r="I114" s="12" t="s">
        <v>333</v>
      </c>
    </row>
    <row r="115" customFormat="false" ht="15" hidden="false" customHeight="false" outlineLevel="0" collapsed="false">
      <c r="A115" s="12" t="s">
        <v>72</v>
      </c>
      <c r="B115" s="12" t="s">
        <v>47</v>
      </c>
      <c r="C115" s="12" t="s">
        <v>716</v>
      </c>
      <c r="D115" s="12" t="s">
        <v>717</v>
      </c>
      <c r="E115" s="12" t="s">
        <v>715</v>
      </c>
      <c r="F115" s="12" t="s">
        <v>320</v>
      </c>
      <c r="G115" s="12" t="s">
        <v>12</v>
      </c>
      <c r="H115" s="27" t="n">
        <v>5.74</v>
      </c>
      <c r="I115" s="12" t="s">
        <v>333</v>
      </c>
    </row>
    <row r="116" customFormat="false" ht="15" hidden="false" customHeight="false" outlineLevel="0" collapsed="false">
      <c r="A116" s="12" t="s">
        <v>72</v>
      </c>
      <c r="B116" s="12" t="s">
        <v>47</v>
      </c>
      <c r="C116" s="12" t="s">
        <v>716</v>
      </c>
      <c r="D116" s="12" t="s">
        <v>718</v>
      </c>
      <c r="E116" s="12" t="s">
        <v>719</v>
      </c>
      <c r="F116" s="12" t="s">
        <v>320</v>
      </c>
      <c r="G116" s="12" t="s">
        <v>12</v>
      </c>
      <c r="H116" s="27" t="n">
        <v>12.42</v>
      </c>
      <c r="I116" s="12" t="s">
        <v>333</v>
      </c>
    </row>
    <row r="117" customFormat="false" ht="15" hidden="false" customHeight="false" outlineLevel="0" collapsed="false">
      <c r="A117" s="12" t="s">
        <v>72</v>
      </c>
      <c r="B117" s="12" t="s">
        <v>47</v>
      </c>
      <c r="C117" s="12" t="s">
        <v>716</v>
      </c>
      <c r="D117" s="12" t="s">
        <v>718</v>
      </c>
      <c r="E117" s="12" t="s">
        <v>720</v>
      </c>
      <c r="F117" s="12" t="s">
        <v>320</v>
      </c>
      <c r="G117" s="12" t="s">
        <v>12</v>
      </c>
      <c r="H117" s="27" t="n">
        <v>12.42</v>
      </c>
      <c r="I117" s="12" t="s">
        <v>333</v>
      </c>
    </row>
    <row r="118" customFormat="false" ht="15" hidden="false" customHeight="false" outlineLevel="0" collapsed="false">
      <c r="A118" s="12" t="s">
        <v>100</v>
      </c>
      <c r="B118" s="12" t="s">
        <v>47</v>
      </c>
      <c r="C118" s="12" t="s">
        <v>721</v>
      </c>
      <c r="D118" s="12" t="s">
        <v>713</v>
      </c>
      <c r="E118" s="12" t="s">
        <v>715</v>
      </c>
      <c r="F118" s="12" t="s">
        <v>320</v>
      </c>
      <c r="G118" s="12" t="s">
        <v>12</v>
      </c>
      <c r="H118" s="27" t="n">
        <v>33.51</v>
      </c>
      <c r="I118" s="12" t="s">
        <v>333</v>
      </c>
    </row>
    <row r="119" customFormat="false" ht="15" hidden="false" customHeight="false" outlineLevel="0" collapsed="false">
      <c r="A119" s="12" t="s">
        <v>100</v>
      </c>
      <c r="B119" s="12" t="s">
        <v>47</v>
      </c>
      <c r="C119" s="12" t="s">
        <v>721</v>
      </c>
      <c r="D119" s="12" t="s">
        <v>713</v>
      </c>
      <c r="E119" s="12" t="s">
        <v>714</v>
      </c>
      <c r="F119" s="12" t="s">
        <v>320</v>
      </c>
      <c r="G119" s="12" t="s">
        <v>12</v>
      </c>
      <c r="H119" s="27" t="n">
        <v>33.51</v>
      </c>
      <c r="I119" s="12" t="s">
        <v>333</v>
      </c>
    </row>
    <row r="120" customFormat="false" ht="15" hidden="false" customHeight="false" outlineLevel="0" collapsed="false">
      <c r="A120" s="12" t="s">
        <v>123</v>
      </c>
      <c r="B120" s="12" t="s">
        <v>54</v>
      </c>
      <c r="C120" s="12" t="s">
        <v>722</v>
      </c>
      <c r="D120" s="12" t="s">
        <v>723</v>
      </c>
      <c r="E120" s="12" t="s">
        <v>724</v>
      </c>
      <c r="F120" s="12" t="s">
        <v>320</v>
      </c>
      <c r="G120" s="12" t="s">
        <v>12</v>
      </c>
      <c r="H120" s="27"/>
      <c r="I120" s="12" t="s">
        <v>320</v>
      </c>
    </row>
    <row r="121" customFormat="false" ht="15" hidden="false" customHeight="false" outlineLevel="0" collapsed="false">
      <c r="A121" s="12" t="s">
        <v>168</v>
      </c>
      <c r="B121" s="12" t="s">
        <v>54</v>
      </c>
      <c r="C121" s="12" t="s">
        <v>168</v>
      </c>
      <c r="D121" s="12" t="s">
        <v>481</v>
      </c>
      <c r="E121" s="12" t="s">
        <v>725</v>
      </c>
      <c r="F121" s="12" t="s">
        <v>475</v>
      </c>
      <c r="G121" s="12" t="s">
        <v>14</v>
      </c>
      <c r="H121" s="27"/>
      <c r="I121" s="12" t="s">
        <v>320</v>
      </c>
    </row>
    <row r="122" customFormat="false" ht="15" hidden="false" customHeight="false" outlineLevel="0" collapsed="false">
      <c r="A122" s="12" t="s">
        <v>168</v>
      </c>
      <c r="B122" s="12" t="s">
        <v>54</v>
      </c>
      <c r="C122" s="12" t="s">
        <v>168</v>
      </c>
      <c r="D122" s="12" t="s">
        <v>726</v>
      </c>
      <c r="E122" s="12" t="s">
        <v>727</v>
      </c>
      <c r="F122" s="12" t="s">
        <v>728</v>
      </c>
      <c r="G122" s="12" t="s">
        <v>12</v>
      </c>
      <c r="H122" s="27"/>
      <c r="I122" s="12" t="s">
        <v>320</v>
      </c>
    </row>
    <row r="123" customFormat="false" ht="15" hidden="false" customHeight="false" outlineLevel="0" collapsed="false">
      <c r="A123" s="12" t="s">
        <v>187</v>
      </c>
      <c r="B123" s="12" t="s">
        <v>54</v>
      </c>
      <c r="C123" s="12" t="s">
        <v>187</v>
      </c>
      <c r="D123" s="12" t="s">
        <v>536</v>
      </c>
      <c r="E123" s="12" t="s">
        <v>729</v>
      </c>
      <c r="F123" s="12" t="s">
        <v>320</v>
      </c>
      <c r="G123" s="12" t="s">
        <v>12</v>
      </c>
      <c r="H123" s="27" t="n">
        <v>27.26</v>
      </c>
      <c r="I123" s="12" t="s">
        <v>320</v>
      </c>
    </row>
    <row r="124" customFormat="false" ht="15" hidden="false" customHeight="false" outlineLevel="0" collapsed="false">
      <c r="A124" s="12" t="s">
        <v>187</v>
      </c>
      <c r="B124" s="12" t="s">
        <v>54</v>
      </c>
      <c r="C124" s="12" t="s">
        <v>187</v>
      </c>
      <c r="D124" s="12" t="s">
        <v>538</v>
      </c>
      <c r="E124" s="12" t="s">
        <v>730</v>
      </c>
      <c r="F124" s="12" t="s">
        <v>320</v>
      </c>
      <c r="G124" s="12" t="s">
        <v>12</v>
      </c>
      <c r="H124" s="27" t="n">
        <v>14</v>
      </c>
      <c r="I124" s="12" t="s">
        <v>320</v>
      </c>
    </row>
    <row r="125" customFormat="false" ht="15" hidden="false" customHeight="false" outlineLevel="0" collapsed="false">
      <c r="A125" s="12" t="s">
        <v>131</v>
      </c>
      <c r="B125" s="12" t="s">
        <v>54</v>
      </c>
      <c r="C125" s="12" t="s">
        <v>731</v>
      </c>
      <c r="D125" s="12" t="s">
        <v>732</v>
      </c>
      <c r="E125" s="12" t="s">
        <v>733</v>
      </c>
      <c r="F125" s="12" t="s">
        <v>475</v>
      </c>
      <c r="G125" s="12" t="s">
        <v>14</v>
      </c>
      <c r="H125" s="27" t="n">
        <v>6545.62</v>
      </c>
      <c r="I125" s="12" t="s">
        <v>320</v>
      </c>
    </row>
    <row r="126" customFormat="false" ht="15" hidden="false" customHeight="false" outlineLevel="0" collapsed="false">
      <c r="A126" s="12" t="s">
        <v>131</v>
      </c>
      <c r="B126" s="12" t="s">
        <v>54</v>
      </c>
      <c r="C126" s="12" t="s">
        <v>731</v>
      </c>
      <c r="D126" s="12" t="s">
        <v>734</v>
      </c>
      <c r="E126" s="12" t="s">
        <v>735</v>
      </c>
      <c r="F126" s="12" t="s">
        <v>475</v>
      </c>
      <c r="G126" s="12" t="s">
        <v>14</v>
      </c>
      <c r="H126" s="27" t="n">
        <v>8714.12</v>
      </c>
      <c r="I126" s="12" t="s">
        <v>320</v>
      </c>
    </row>
    <row r="127" customFormat="false" ht="15" hidden="false" customHeight="false" outlineLevel="0" collapsed="false">
      <c r="A127" s="12" t="s">
        <v>131</v>
      </c>
      <c r="B127" s="12" t="s">
        <v>54</v>
      </c>
      <c r="C127" s="12" t="s">
        <v>731</v>
      </c>
      <c r="D127" s="12" t="s">
        <v>736</v>
      </c>
      <c r="E127" s="12" t="s">
        <v>737</v>
      </c>
      <c r="F127" s="12" t="s">
        <v>475</v>
      </c>
      <c r="G127" s="12" t="s">
        <v>14</v>
      </c>
      <c r="H127" s="27" t="n">
        <v>2652.02</v>
      </c>
      <c r="I127" s="12" t="s">
        <v>320</v>
      </c>
    </row>
    <row r="128" customFormat="false" ht="15" hidden="false" customHeight="false" outlineLevel="0" collapsed="false">
      <c r="A128" s="12" t="s">
        <v>86</v>
      </c>
      <c r="B128" s="12" t="s">
        <v>54</v>
      </c>
      <c r="C128" s="12" t="s">
        <v>86</v>
      </c>
      <c r="D128" s="12" t="s">
        <v>738</v>
      </c>
      <c r="E128" s="12" t="s">
        <v>739</v>
      </c>
      <c r="F128" s="12" t="s">
        <v>320</v>
      </c>
      <c r="G128" s="12" t="s">
        <v>12</v>
      </c>
      <c r="H128" s="27" t="n">
        <v>81.96</v>
      </c>
      <c r="I128" s="12" t="s">
        <v>320</v>
      </c>
    </row>
    <row r="129" customFormat="false" ht="15" hidden="false" customHeight="false" outlineLevel="0" collapsed="false">
      <c r="A129" s="12" t="s">
        <v>86</v>
      </c>
      <c r="B129" s="12" t="s">
        <v>54</v>
      </c>
      <c r="C129" s="12" t="s">
        <v>740</v>
      </c>
      <c r="D129" s="12" t="s">
        <v>626</v>
      </c>
      <c r="E129" s="12" t="s">
        <v>627</v>
      </c>
      <c r="F129" s="12" t="s">
        <v>320</v>
      </c>
      <c r="G129" s="12" t="s">
        <v>12</v>
      </c>
      <c r="H129" s="27" t="n">
        <v>93.7335</v>
      </c>
      <c r="I129" s="12" t="s">
        <v>333</v>
      </c>
    </row>
    <row r="130" customFormat="false" ht="15" hidden="false" customHeight="false" outlineLevel="0" collapsed="false">
      <c r="A130" s="12" t="s">
        <v>114</v>
      </c>
      <c r="B130" s="12" t="s">
        <v>54</v>
      </c>
      <c r="C130" s="12" t="s">
        <v>741</v>
      </c>
      <c r="D130" s="12" t="s">
        <v>638</v>
      </c>
      <c r="E130" s="12" t="s">
        <v>742</v>
      </c>
      <c r="F130" s="12" t="s">
        <v>475</v>
      </c>
      <c r="G130" s="12" t="s">
        <v>14</v>
      </c>
      <c r="H130" s="27" t="n">
        <v>531.8684</v>
      </c>
      <c r="I130" s="12" t="s">
        <v>320</v>
      </c>
    </row>
    <row r="131" customFormat="false" ht="15" hidden="false" customHeight="false" outlineLevel="0" collapsed="false">
      <c r="A131" s="12" t="s">
        <v>184</v>
      </c>
      <c r="B131" s="12" t="s">
        <v>54</v>
      </c>
      <c r="C131" s="12" t="s">
        <v>743</v>
      </c>
      <c r="D131" s="12" t="s">
        <v>744</v>
      </c>
      <c r="E131" s="12" t="s">
        <v>745</v>
      </c>
      <c r="F131" s="12" t="s">
        <v>320</v>
      </c>
      <c r="G131" s="12" t="s">
        <v>12</v>
      </c>
      <c r="H131" s="27" t="n">
        <v>65.0089</v>
      </c>
      <c r="I131" s="12" t="s">
        <v>320</v>
      </c>
    </row>
    <row r="132" customFormat="false" ht="15" hidden="false" customHeight="false" outlineLevel="0" collapsed="false">
      <c r="A132" s="12" t="s">
        <v>184</v>
      </c>
      <c r="B132" s="12" t="s">
        <v>54</v>
      </c>
      <c r="C132" s="12" t="s">
        <v>746</v>
      </c>
      <c r="D132" s="12" t="s">
        <v>747</v>
      </c>
      <c r="E132" s="12" t="s">
        <v>748</v>
      </c>
      <c r="F132" s="12" t="s">
        <v>320</v>
      </c>
      <c r="G132" s="12" t="s">
        <v>12</v>
      </c>
      <c r="H132" s="27"/>
      <c r="I132" s="12" t="s">
        <v>320</v>
      </c>
    </row>
    <row r="133" customFormat="false" ht="15" hidden="false" customHeight="false" outlineLevel="0" collapsed="false">
      <c r="A133" s="12" t="s">
        <v>184</v>
      </c>
      <c r="B133" s="12" t="s">
        <v>54</v>
      </c>
      <c r="C133" s="12" t="s">
        <v>746</v>
      </c>
      <c r="D133" s="12" t="s">
        <v>749</v>
      </c>
      <c r="E133" s="12" t="s">
        <v>750</v>
      </c>
      <c r="F133" s="12" t="s">
        <v>320</v>
      </c>
      <c r="G133" s="12" t="s">
        <v>12</v>
      </c>
      <c r="H133" s="27"/>
      <c r="I133" s="12" t="s">
        <v>320</v>
      </c>
    </row>
    <row r="134" customFormat="false" ht="15" hidden="false" customHeight="false" outlineLevel="0" collapsed="false">
      <c r="A134" s="12" t="s">
        <v>86</v>
      </c>
      <c r="B134" s="12" t="s">
        <v>54</v>
      </c>
      <c r="C134" s="12" t="s">
        <v>751</v>
      </c>
      <c r="D134" s="12" t="s">
        <v>752</v>
      </c>
      <c r="E134" s="12" t="s">
        <v>753</v>
      </c>
      <c r="F134" s="12" t="s">
        <v>320</v>
      </c>
      <c r="G134" s="12" t="s">
        <v>12</v>
      </c>
      <c r="H134" s="27"/>
      <c r="I134" s="12" t="s">
        <v>333</v>
      </c>
    </row>
    <row r="135" customFormat="false" ht="15" hidden="false" customHeight="false" outlineLevel="0" collapsed="false">
      <c r="A135" s="12" t="s">
        <v>86</v>
      </c>
      <c r="B135" s="12" t="s">
        <v>54</v>
      </c>
      <c r="C135" s="12" t="s">
        <v>751</v>
      </c>
      <c r="D135" s="12" t="s">
        <v>694</v>
      </c>
      <c r="E135" s="12" t="s">
        <v>695</v>
      </c>
      <c r="F135" s="12" t="s">
        <v>320</v>
      </c>
      <c r="G135" s="12" t="s">
        <v>12</v>
      </c>
      <c r="H135" s="27"/>
      <c r="I135" s="12" t="s">
        <v>333</v>
      </c>
    </row>
    <row r="136" customFormat="false" ht="15" hidden="false" customHeight="false" outlineLevel="0" collapsed="false">
      <c r="A136" s="12" t="s">
        <v>194</v>
      </c>
      <c r="B136" s="12" t="s">
        <v>54</v>
      </c>
      <c r="C136" s="12" t="s">
        <v>754</v>
      </c>
      <c r="D136" s="12" t="s">
        <v>755</v>
      </c>
      <c r="E136" s="12" t="s">
        <v>756</v>
      </c>
      <c r="F136" s="12" t="s">
        <v>320</v>
      </c>
      <c r="G136" s="12" t="s">
        <v>12</v>
      </c>
      <c r="H136" s="27"/>
      <c r="I136" s="12" t="s">
        <v>333</v>
      </c>
    </row>
    <row r="137" customFormat="false" ht="15" hidden="false" customHeight="false" outlineLevel="0" collapsed="false">
      <c r="A137" s="12" t="s">
        <v>123</v>
      </c>
      <c r="B137" s="12" t="s">
        <v>54</v>
      </c>
      <c r="C137" s="12" t="s">
        <v>757</v>
      </c>
      <c r="D137" s="12" t="s">
        <v>704</v>
      </c>
      <c r="E137" s="12" t="s">
        <v>705</v>
      </c>
      <c r="F137" s="12" t="s">
        <v>320</v>
      </c>
      <c r="G137" s="12" t="s">
        <v>12</v>
      </c>
      <c r="H137" s="27"/>
      <c r="I137" s="12" t="s">
        <v>333</v>
      </c>
    </row>
    <row r="138" customFormat="false" ht="15" hidden="false" customHeight="false" outlineLevel="0" collapsed="false">
      <c r="A138" s="12" t="s">
        <v>130</v>
      </c>
      <c r="B138" s="12" t="s">
        <v>54</v>
      </c>
      <c r="C138" s="12" t="s">
        <v>758</v>
      </c>
      <c r="D138" s="12" t="s">
        <v>759</v>
      </c>
      <c r="E138" s="12" t="s">
        <v>760</v>
      </c>
      <c r="F138" s="12" t="s">
        <v>320</v>
      </c>
      <c r="G138" s="12" t="s">
        <v>13</v>
      </c>
      <c r="H138" s="27"/>
      <c r="I138" s="12" t="s">
        <v>320</v>
      </c>
    </row>
    <row r="139" customFormat="false" ht="15" hidden="false" customHeight="false" outlineLevel="0" collapsed="false">
      <c r="A139" s="12" t="s">
        <v>130</v>
      </c>
      <c r="B139" s="12" t="s">
        <v>54</v>
      </c>
      <c r="C139" s="12" t="s">
        <v>761</v>
      </c>
      <c r="D139" s="12" t="s">
        <v>759</v>
      </c>
      <c r="E139" s="12"/>
      <c r="F139" s="12"/>
      <c r="G139" s="12" t="s">
        <v>485</v>
      </c>
      <c r="H139" s="27"/>
      <c r="I139" s="12" t="s">
        <v>320</v>
      </c>
    </row>
    <row r="140" customFormat="false" ht="15" hidden="false" customHeight="false" outlineLevel="0" collapsed="false">
      <c r="A140" s="12" t="s">
        <v>130</v>
      </c>
      <c r="B140" s="12" t="s">
        <v>54</v>
      </c>
      <c r="C140" s="12" t="s">
        <v>758</v>
      </c>
      <c r="D140" s="12" t="s">
        <v>762</v>
      </c>
      <c r="E140" s="12" t="s">
        <v>763</v>
      </c>
      <c r="F140" s="12" t="s">
        <v>320</v>
      </c>
      <c r="G140" s="12" t="s">
        <v>13</v>
      </c>
      <c r="H140" s="27"/>
      <c r="I140" s="12" t="s">
        <v>320</v>
      </c>
    </row>
    <row r="141" customFormat="false" ht="15" hidden="false" customHeight="false" outlineLevel="0" collapsed="false">
      <c r="A141" s="12" t="s">
        <v>138</v>
      </c>
      <c r="B141" s="12" t="s">
        <v>54</v>
      </c>
      <c r="C141" s="12" t="s">
        <v>764</v>
      </c>
      <c r="D141" s="12" t="s">
        <v>765</v>
      </c>
      <c r="E141" s="12" t="s">
        <v>766</v>
      </c>
      <c r="F141" s="12" t="s">
        <v>320</v>
      </c>
      <c r="G141" s="12" t="s">
        <v>12</v>
      </c>
      <c r="H141" s="27" t="n">
        <v>19.649</v>
      </c>
      <c r="I141" s="12" t="s">
        <v>320</v>
      </c>
    </row>
    <row r="142" customFormat="false" ht="15" hidden="false" customHeight="false" outlineLevel="0" collapsed="false">
      <c r="A142" s="12" t="s">
        <v>166</v>
      </c>
      <c r="B142" s="12" t="s">
        <v>54</v>
      </c>
      <c r="C142" s="12" t="s">
        <v>767</v>
      </c>
      <c r="D142" s="12" t="s">
        <v>660</v>
      </c>
      <c r="E142" s="12" t="s">
        <v>766</v>
      </c>
      <c r="F142" s="12" t="s">
        <v>320</v>
      </c>
      <c r="G142" s="12" t="s">
        <v>12</v>
      </c>
      <c r="H142" s="27"/>
      <c r="I142" s="12" t="s">
        <v>320</v>
      </c>
    </row>
    <row r="143" customFormat="false" ht="15" hidden="false" customHeight="false" outlineLevel="0" collapsed="false">
      <c r="A143" s="12" t="s">
        <v>53</v>
      </c>
      <c r="B143" s="12" t="s">
        <v>54</v>
      </c>
      <c r="C143" s="12" t="s">
        <v>768</v>
      </c>
      <c r="D143" s="12" t="s">
        <v>704</v>
      </c>
      <c r="E143" s="12" t="s">
        <v>705</v>
      </c>
      <c r="F143" s="12" t="s">
        <v>320</v>
      </c>
      <c r="G143" s="12" t="s">
        <v>12</v>
      </c>
      <c r="H143" s="27" t="n">
        <v>10.241</v>
      </c>
      <c r="I143" s="12" t="s">
        <v>333</v>
      </c>
    </row>
    <row r="144" customFormat="false" ht="15" hidden="false" customHeight="false" outlineLevel="0" collapsed="false">
      <c r="A144" s="12" t="s">
        <v>161</v>
      </c>
      <c r="B144" s="12" t="s">
        <v>54</v>
      </c>
      <c r="C144" s="12" t="s">
        <v>769</v>
      </c>
      <c r="D144" s="12" t="s">
        <v>770</v>
      </c>
      <c r="E144" s="12" t="s">
        <v>750</v>
      </c>
      <c r="F144" s="12" t="s">
        <v>320</v>
      </c>
      <c r="G144" s="12" t="s">
        <v>12</v>
      </c>
      <c r="H144" s="27" t="n">
        <v>6.937</v>
      </c>
      <c r="I144" s="12" t="s">
        <v>320</v>
      </c>
    </row>
    <row r="145" customFormat="false" ht="15" hidden="false" customHeight="false" outlineLevel="0" collapsed="false">
      <c r="A145" s="12" t="s">
        <v>60</v>
      </c>
      <c r="B145" s="12" t="s">
        <v>54</v>
      </c>
      <c r="C145" s="12" t="s">
        <v>771</v>
      </c>
      <c r="D145" s="12" t="s">
        <v>772</v>
      </c>
      <c r="E145" s="12" t="s">
        <v>773</v>
      </c>
      <c r="F145" s="12" t="s">
        <v>320</v>
      </c>
      <c r="G145" s="12" t="s">
        <v>12</v>
      </c>
      <c r="H145" s="27" t="n">
        <v>30.583</v>
      </c>
      <c r="I145" s="12" t="s">
        <v>333</v>
      </c>
    </row>
    <row r="146" customFormat="false" ht="15" hidden="false" customHeight="false" outlineLevel="0" collapsed="false">
      <c r="A146" s="12" t="s">
        <v>182</v>
      </c>
      <c r="B146" s="12" t="s">
        <v>54</v>
      </c>
      <c r="C146" s="12" t="s">
        <v>774</v>
      </c>
      <c r="D146" s="12" t="s">
        <v>775</v>
      </c>
      <c r="E146" s="12" t="s">
        <v>776</v>
      </c>
      <c r="F146" s="12" t="s">
        <v>320</v>
      </c>
      <c r="G146" s="12" t="s">
        <v>12</v>
      </c>
      <c r="H146" s="27" t="n">
        <v>145.39</v>
      </c>
      <c r="I146" s="12" t="s">
        <v>333</v>
      </c>
    </row>
    <row r="147" customFormat="false" ht="15" hidden="false" customHeight="false" outlineLevel="0" collapsed="false">
      <c r="A147" s="12" t="s">
        <v>182</v>
      </c>
      <c r="B147" s="12" t="s">
        <v>54</v>
      </c>
      <c r="C147" s="12" t="s">
        <v>774</v>
      </c>
      <c r="D147" s="12" t="s">
        <v>777</v>
      </c>
      <c r="E147" s="12" t="s">
        <v>776</v>
      </c>
      <c r="F147" s="12" t="s">
        <v>320</v>
      </c>
      <c r="G147" s="12" t="s">
        <v>12</v>
      </c>
      <c r="H147" s="27" t="n">
        <v>290.78</v>
      </c>
      <c r="I147" s="12" t="s">
        <v>333</v>
      </c>
    </row>
    <row r="148" customFormat="false" ht="15" hidden="false" customHeight="false" outlineLevel="0" collapsed="false">
      <c r="A148" s="12" t="s">
        <v>72</v>
      </c>
      <c r="B148" s="12" t="s">
        <v>54</v>
      </c>
      <c r="C148" s="12" t="s">
        <v>778</v>
      </c>
      <c r="D148" s="12" t="s">
        <v>713</v>
      </c>
      <c r="E148" s="12"/>
      <c r="F148" s="12"/>
      <c r="G148" s="12" t="s">
        <v>485</v>
      </c>
      <c r="H148" s="27" t="n">
        <v>17.03</v>
      </c>
      <c r="I148" s="12" t="s">
        <v>320</v>
      </c>
    </row>
    <row r="149" customFormat="false" ht="15" hidden="false" customHeight="false" outlineLevel="0" collapsed="false">
      <c r="A149" s="12" t="s">
        <v>72</v>
      </c>
      <c r="B149" s="12" t="s">
        <v>54</v>
      </c>
      <c r="C149" s="12" t="s">
        <v>778</v>
      </c>
      <c r="D149" s="12" t="s">
        <v>779</v>
      </c>
      <c r="E149" s="12"/>
      <c r="F149" s="12"/>
      <c r="G149" s="12" t="s">
        <v>485</v>
      </c>
      <c r="H149" s="27" t="n">
        <v>31.81</v>
      </c>
      <c r="I149" s="12" t="s">
        <v>320</v>
      </c>
    </row>
    <row r="150" customFormat="false" ht="15" hidden="false" customHeight="false" outlineLevel="0" collapsed="false">
      <c r="A150" s="12" t="s">
        <v>189</v>
      </c>
      <c r="B150" s="12" t="s">
        <v>54</v>
      </c>
      <c r="C150" s="12" t="s">
        <v>780</v>
      </c>
      <c r="D150" s="12" t="s">
        <v>781</v>
      </c>
      <c r="E150" s="12" t="s">
        <v>782</v>
      </c>
      <c r="F150" s="12" t="s">
        <v>320</v>
      </c>
      <c r="G150" s="12" t="s">
        <v>12</v>
      </c>
      <c r="H150" s="27" t="n">
        <v>118.45</v>
      </c>
      <c r="I150" s="12" t="s">
        <v>320</v>
      </c>
    </row>
    <row r="151" customFormat="false" ht="15" hidden="false" customHeight="false" outlineLevel="0" collapsed="false">
      <c r="A151" s="12" t="s">
        <v>184</v>
      </c>
      <c r="B151" s="12" t="s">
        <v>54</v>
      </c>
      <c r="C151" s="12" t="s">
        <v>783</v>
      </c>
      <c r="D151" s="12" t="s">
        <v>784</v>
      </c>
      <c r="E151" s="12" t="s">
        <v>785</v>
      </c>
      <c r="F151" s="12" t="s">
        <v>320</v>
      </c>
      <c r="G151" s="12" t="s">
        <v>12</v>
      </c>
      <c r="H151" s="27" t="n">
        <v>13.84</v>
      </c>
      <c r="I151" s="12" t="s">
        <v>320</v>
      </c>
    </row>
    <row r="152" customFormat="false" ht="15" hidden="false" customHeight="false" outlineLevel="0" collapsed="false">
      <c r="A152" s="12" t="s">
        <v>62</v>
      </c>
      <c r="B152" s="12" t="s">
        <v>54</v>
      </c>
      <c r="C152" s="12" t="s">
        <v>786</v>
      </c>
      <c r="D152" s="12" t="s">
        <v>787</v>
      </c>
      <c r="E152" s="12" t="s">
        <v>788</v>
      </c>
      <c r="F152" s="12" t="s">
        <v>320</v>
      </c>
      <c r="G152" s="12" t="s">
        <v>12</v>
      </c>
      <c r="H152" s="27" t="n">
        <v>163.29</v>
      </c>
      <c r="I152" s="12" t="s">
        <v>320</v>
      </c>
    </row>
    <row r="153" customFormat="false" ht="15" hidden="false" customHeight="false" outlineLevel="0" collapsed="false">
      <c r="A153" s="12" t="s">
        <v>202</v>
      </c>
      <c r="B153" s="12" t="s">
        <v>54</v>
      </c>
      <c r="C153" s="12" t="s">
        <v>789</v>
      </c>
      <c r="D153" s="12" t="s">
        <v>790</v>
      </c>
      <c r="E153" s="12" t="s">
        <v>661</v>
      </c>
      <c r="F153" s="12" t="s">
        <v>320</v>
      </c>
      <c r="G153" s="12" t="s">
        <v>12</v>
      </c>
      <c r="H153" s="27" t="n">
        <v>20.12</v>
      </c>
      <c r="I153" s="12" t="s">
        <v>320</v>
      </c>
    </row>
    <row r="154" customFormat="false" ht="15" hidden="false" customHeight="false" outlineLevel="0" collapsed="false">
      <c r="A154" s="12" t="s">
        <v>202</v>
      </c>
      <c r="B154" s="12" t="s">
        <v>54</v>
      </c>
      <c r="C154" s="12" t="s">
        <v>789</v>
      </c>
      <c r="D154" s="12" t="s">
        <v>791</v>
      </c>
      <c r="E154" s="12" t="s">
        <v>630</v>
      </c>
      <c r="F154" s="12" t="s">
        <v>320</v>
      </c>
      <c r="G154" s="12" t="s">
        <v>12</v>
      </c>
      <c r="H154" s="27" t="n">
        <v>100.61</v>
      </c>
      <c r="I154" s="12" t="s">
        <v>320</v>
      </c>
    </row>
    <row r="155" customFormat="false" ht="15" hidden="false" customHeight="false" outlineLevel="0" collapsed="false">
      <c r="A155" s="12" t="s">
        <v>200</v>
      </c>
      <c r="B155" s="12" t="s">
        <v>54</v>
      </c>
      <c r="C155" s="12" t="s">
        <v>792</v>
      </c>
      <c r="D155" s="12" t="s">
        <v>793</v>
      </c>
      <c r="E155" s="12" t="s">
        <v>794</v>
      </c>
      <c r="F155" s="12" t="s">
        <v>320</v>
      </c>
      <c r="G155" s="12" t="s">
        <v>13</v>
      </c>
      <c r="H155" s="27" t="n">
        <v>21.16</v>
      </c>
      <c r="I155" s="12" t="s">
        <v>320</v>
      </c>
    </row>
    <row r="156" customFormat="false" ht="15" hidden="false" customHeight="false" outlineLevel="0" collapsed="false">
      <c r="A156" s="12" t="s">
        <v>92</v>
      </c>
      <c r="B156" s="12" t="s">
        <v>54</v>
      </c>
      <c r="C156" s="12" t="s">
        <v>795</v>
      </c>
      <c r="D156" s="12" t="s">
        <v>796</v>
      </c>
      <c r="E156" s="12" t="s">
        <v>797</v>
      </c>
      <c r="F156" s="12" t="s">
        <v>320</v>
      </c>
      <c r="G156" s="12" t="s">
        <v>12</v>
      </c>
      <c r="H156" s="27" t="n">
        <v>6.31</v>
      </c>
      <c r="I156" s="12" t="s">
        <v>333</v>
      </c>
    </row>
    <row r="157" customFormat="false" ht="15" hidden="false" customHeight="false" outlineLevel="0" collapsed="false">
      <c r="A157" s="12" t="s">
        <v>92</v>
      </c>
      <c r="B157" s="12" t="s">
        <v>54</v>
      </c>
      <c r="C157" s="12" t="s">
        <v>795</v>
      </c>
      <c r="D157" s="12" t="s">
        <v>798</v>
      </c>
      <c r="E157" s="12" t="s">
        <v>799</v>
      </c>
      <c r="F157" s="12" t="s">
        <v>320</v>
      </c>
      <c r="G157" s="12" t="s">
        <v>12</v>
      </c>
      <c r="H157" s="27" t="n">
        <v>31.54</v>
      </c>
      <c r="I157" s="12" t="s">
        <v>333</v>
      </c>
    </row>
    <row r="158" customFormat="false" ht="15" hidden="false" customHeight="false" outlineLevel="0" collapsed="false">
      <c r="A158" s="12" t="s">
        <v>185</v>
      </c>
      <c r="B158" s="12" t="s">
        <v>54</v>
      </c>
      <c r="C158" s="12" t="s">
        <v>800</v>
      </c>
      <c r="D158" s="12" t="s">
        <v>801</v>
      </c>
      <c r="E158" s="12" t="s">
        <v>802</v>
      </c>
      <c r="F158" s="12" t="s">
        <v>320</v>
      </c>
      <c r="G158" s="12" t="s">
        <v>12</v>
      </c>
      <c r="H158" s="27" t="n">
        <v>13.97</v>
      </c>
      <c r="I158" s="12" t="s">
        <v>333</v>
      </c>
    </row>
    <row r="159" customFormat="false" ht="15" hidden="false" customHeight="false" outlineLevel="0" collapsed="false">
      <c r="A159" s="12" t="s">
        <v>137</v>
      </c>
      <c r="B159" s="12" t="s">
        <v>54</v>
      </c>
      <c r="C159" s="12" t="s">
        <v>803</v>
      </c>
      <c r="D159" s="12" t="s">
        <v>804</v>
      </c>
      <c r="E159" s="12" t="s">
        <v>805</v>
      </c>
      <c r="F159" s="12" t="s">
        <v>320</v>
      </c>
      <c r="G159" s="12" t="s">
        <v>12</v>
      </c>
      <c r="H159" s="27" t="n">
        <v>9.55</v>
      </c>
      <c r="I159" s="12" t="s">
        <v>320</v>
      </c>
    </row>
    <row r="160" customFormat="false" ht="15" hidden="false" customHeight="false" outlineLevel="0" collapsed="false">
      <c r="A160" s="12" t="s">
        <v>137</v>
      </c>
      <c r="B160" s="12" t="s">
        <v>54</v>
      </c>
      <c r="C160" s="12" t="s">
        <v>803</v>
      </c>
      <c r="D160" s="12" t="s">
        <v>804</v>
      </c>
      <c r="E160" s="12" t="s">
        <v>806</v>
      </c>
      <c r="F160" s="12" t="s">
        <v>320</v>
      </c>
      <c r="G160" s="12" t="s">
        <v>12</v>
      </c>
      <c r="H160" s="27" t="n">
        <v>95.55</v>
      </c>
      <c r="I160" s="12" t="s">
        <v>320</v>
      </c>
    </row>
    <row r="161" customFormat="false" ht="15" hidden="false" customHeight="false" outlineLevel="0" collapsed="false">
      <c r="A161" s="12" t="s">
        <v>60</v>
      </c>
      <c r="B161" s="12" t="s">
        <v>54</v>
      </c>
      <c r="C161" s="12" t="s">
        <v>807</v>
      </c>
      <c r="D161" s="12" t="s">
        <v>808</v>
      </c>
      <c r="E161" s="12" t="s">
        <v>797</v>
      </c>
      <c r="F161" s="12" t="s">
        <v>320</v>
      </c>
      <c r="G161" s="12" t="s">
        <v>12</v>
      </c>
      <c r="H161" s="27" t="n">
        <v>51.95</v>
      </c>
      <c r="I161" s="12" t="s">
        <v>333</v>
      </c>
    </row>
    <row r="162" customFormat="false" ht="15" hidden="false" customHeight="false" outlineLevel="0" collapsed="false">
      <c r="A162" s="12" t="s">
        <v>69</v>
      </c>
      <c r="B162" s="12" t="s">
        <v>55</v>
      </c>
      <c r="C162" s="12" t="s">
        <v>492</v>
      </c>
      <c r="D162" s="12" t="s">
        <v>493</v>
      </c>
      <c r="E162" s="12" t="s">
        <v>809</v>
      </c>
      <c r="F162" s="12" t="s">
        <v>475</v>
      </c>
      <c r="G162" s="12" t="s">
        <v>14</v>
      </c>
      <c r="H162" s="27"/>
      <c r="I162" s="12" t="s">
        <v>320</v>
      </c>
    </row>
    <row r="163" customFormat="false" ht="15" hidden="false" customHeight="false" outlineLevel="0" collapsed="false">
      <c r="A163" s="12" t="s">
        <v>89</v>
      </c>
      <c r="B163" s="12" t="s">
        <v>55</v>
      </c>
      <c r="C163" s="12" t="s">
        <v>810</v>
      </c>
      <c r="D163" s="12" t="s">
        <v>811</v>
      </c>
      <c r="E163" s="12" t="s">
        <v>812</v>
      </c>
      <c r="F163" s="12" t="s">
        <v>320</v>
      </c>
      <c r="G163" s="12" t="s">
        <v>12</v>
      </c>
      <c r="H163" s="27" t="n">
        <v>133.8</v>
      </c>
      <c r="I163" s="12" t="s">
        <v>320</v>
      </c>
    </row>
    <row r="164" customFormat="false" ht="15" hidden="false" customHeight="false" outlineLevel="0" collapsed="false">
      <c r="A164" s="12" t="s">
        <v>90</v>
      </c>
      <c r="B164" s="12" t="s">
        <v>55</v>
      </c>
      <c r="C164" s="12" t="s">
        <v>90</v>
      </c>
      <c r="D164" s="12" t="s">
        <v>473</v>
      </c>
      <c r="E164" s="12" t="s">
        <v>474</v>
      </c>
      <c r="F164" s="12" t="s">
        <v>475</v>
      </c>
      <c r="G164" s="12" t="s">
        <v>14</v>
      </c>
      <c r="H164" s="27"/>
      <c r="I164" s="12" t="s">
        <v>320</v>
      </c>
    </row>
    <row r="165" customFormat="false" ht="15" hidden="false" customHeight="false" outlineLevel="0" collapsed="false">
      <c r="A165" s="12" t="s">
        <v>152</v>
      </c>
      <c r="B165" s="12" t="s">
        <v>55</v>
      </c>
      <c r="C165" s="12" t="s">
        <v>527</v>
      </c>
      <c r="D165" s="12" t="s">
        <v>528</v>
      </c>
      <c r="E165" s="12" t="s">
        <v>813</v>
      </c>
      <c r="F165" s="12" t="s">
        <v>475</v>
      </c>
      <c r="G165" s="12" t="s">
        <v>14</v>
      </c>
      <c r="H165" s="27"/>
      <c r="I165" s="12" t="s">
        <v>320</v>
      </c>
    </row>
    <row r="166" customFormat="false" ht="15" hidden="false" customHeight="false" outlineLevel="0" collapsed="false">
      <c r="A166" s="12" t="s">
        <v>168</v>
      </c>
      <c r="B166" s="12" t="s">
        <v>55</v>
      </c>
      <c r="C166" s="12" t="s">
        <v>168</v>
      </c>
      <c r="D166" s="12" t="s">
        <v>481</v>
      </c>
      <c r="E166" s="12" t="s">
        <v>814</v>
      </c>
      <c r="F166" s="12" t="s">
        <v>728</v>
      </c>
      <c r="G166" s="12" t="s">
        <v>485</v>
      </c>
      <c r="H166" s="27"/>
      <c r="I166" s="12" t="s">
        <v>320</v>
      </c>
    </row>
    <row r="167" customFormat="false" ht="15" hidden="false" customHeight="false" outlineLevel="0" collapsed="false">
      <c r="A167" s="12" t="s">
        <v>168</v>
      </c>
      <c r="B167" s="12" t="s">
        <v>55</v>
      </c>
      <c r="C167" s="12" t="s">
        <v>168</v>
      </c>
      <c r="D167" s="12" t="s">
        <v>726</v>
      </c>
      <c r="E167" s="12" t="s">
        <v>814</v>
      </c>
      <c r="F167" s="12" t="s">
        <v>728</v>
      </c>
      <c r="G167" s="12" t="s">
        <v>485</v>
      </c>
      <c r="H167" s="27" t="n">
        <v>16.96</v>
      </c>
      <c r="I167" s="12" t="s">
        <v>320</v>
      </c>
    </row>
    <row r="168" customFormat="false" ht="15" hidden="false" customHeight="false" outlineLevel="0" collapsed="false">
      <c r="A168" s="12" t="s">
        <v>183</v>
      </c>
      <c r="B168" s="12" t="s">
        <v>55</v>
      </c>
      <c r="C168" s="12" t="s">
        <v>815</v>
      </c>
      <c r="D168" s="12" t="s">
        <v>816</v>
      </c>
      <c r="E168" s="12" t="s">
        <v>817</v>
      </c>
      <c r="F168" s="12" t="s">
        <v>320</v>
      </c>
      <c r="G168" s="12" t="s">
        <v>12</v>
      </c>
      <c r="H168" s="27"/>
      <c r="I168" s="12" t="s">
        <v>320</v>
      </c>
    </row>
    <row r="169" customFormat="false" ht="15" hidden="false" customHeight="false" outlineLevel="0" collapsed="false">
      <c r="A169" s="12" t="s">
        <v>190</v>
      </c>
      <c r="B169" s="12" t="s">
        <v>55</v>
      </c>
      <c r="C169" s="12" t="s">
        <v>190</v>
      </c>
      <c r="D169" s="12" t="s">
        <v>818</v>
      </c>
      <c r="E169" s="12" t="s">
        <v>819</v>
      </c>
      <c r="F169" s="12" t="s">
        <v>320</v>
      </c>
      <c r="G169" s="12" t="s">
        <v>12</v>
      </c>
      <c r="H169" s="27" t="n">
        <v>154.8</v>
      </c>
      <c r="I169" s="12" t="s">
        <v>333</v>
      </c>
    </row>
    <row r="170" customFormat="false" ht="15" hidden="false" customHeight="false" outlineLevel="0" collapsed="false">
      <c r="A170" s="12" t="s">
        <v>195</v>
      </c>
      <c r="B170" s="12" t="s">
        <v>55</v>
      </c>
      <c r="C170" s="12" t="s">
        <v>195</v>
      </c>
      <c r="D170" s="12" t="s">
        <v>726</v>
      </c>
      <c r="E170" s="12" t="s">
        <v>484</v>
      </c>
      <c r="F170" s="12" t="s">
        <v>484</v>
      </c>
      <c r="G170" s="12" t="s">
        <v>485</v>
      </c>
      <c r="H170" s="27"/>
      <c r="I170" s="12" t="s">
        <v>320</v>
      </c>
    </row>
    <row r="171" customFormat="false" ht="15" hidden="false" customHeight="false" outlineLevel="0" collapsed="false">
      <c r="A171" s="12" t="s">
        <v>195</v>
      </c>
      <c r="B171" s="12" t="s">
        <v>55</v>
      </c>
      <c r="C171" s="12" t="s">
        <v>195</v>
      </c>
      <c r="D171" s="12" t="s">
        <v>483</v>
      </c>
      <c r="E171" s="12" t="s">
        <v>484</v>
      </c>
      <c r="F171" s="12" t="s">
        <v>484</v>
      </c>
      <c r="G171" s="12" t="s">
        <v>485</v>
      </c>
      <c r="H171" s="27"/>
      <c r="I171" s="12" t="s">
        <v>320</v>
      </c>
    </row>
    <row r="172" customFormat="false" ht="15" hidden="false" customHeight="false" outlineLevel="0" collapsed="false">
      <c r="A172" s="12" t="s">
        <v>59</v>
      </c>
      <c r="B172" s="12" t="s">
        <v>55</v>
      </c>
      <c r="C172" s="12" t="s">
        <v>59</v>
      </c>
      <c r="D172" s="12" t="s">
        <v>820</v>
      </c>
      <c r="E172" s="12" t="s">
        <v>821</v>
      </c>
      <c r="F172" s="12" t="s">
        <v>320</v>
      </c>
      <c r="G172" s="12" t="s">
        <v>12</v>
      </c>
      <c r="H172" s="27" t="n">
        <v>31.16</v>
      </c>
      <c r="I172" s="12" t="s">
        <v>333</v>
      </c>
    </row>
    <row r="173" customFormat="false" ht="15" hidden="false" customHeight="false" outlineLevel="0" collapsed="false">
      <c r="A173" s="12" t="s">
        <v>161</v>
      </c>
      <c r="B173" s="12" t="s">
        <v>55</v>
      </c>
      <c r="C173" s="12" t="s">
        <v>555</v>
      </c>
      <c r="D173" s="12" t="s">
        <v>556</v>
      </c>
      <c r="E173" s="12" t="s">
        <v>822</v>
      </c>
      <c r="F173" s="12" t="s">
        <v>320</v>
      </c>
      <c r="G173" s="12" t="s">
        <v>12</v>
      </c>
      <c r="H173" s="27" t="n">
        <v>9.74</v>
      </c>
      <c r="I173" s="12" t="s">
        <v>320</v>
      </c>
    </row>
    <row r="174" customFormat="false" ht="15" hidden="false" customHeight="false" outlineLevel="0" collapsed="false">
      <c r="A174" s="12" t="s">
        <v>62</v>
      </c>
      <c r="B174" s="12" t="s">
        <v>55</v>
      </c>
      <c r="C174" s="12" t="s">
        <v>62</v>
      </c>
      <c r="D174" s="12" t="s">
        <v>558</v>
      </c>
      <c r="E174" s="12" t="s">
        <v>823</v>
      </c>
      <c r="F174" s="12" t="s">
        <v>320</v>
      </c>
      <c r="G174" s="12" t="s">
        <v>12</v>
      </c>
      <c r="H174" s="27" t="n">
        <v>22.25</v>
      </c>
      <c r="I174" s="12" t="s">
        <v>333</v>
      </c>
    </row>
    <row r="175" customFormat="false" ht="15" hidden="false" customHeight="false" outlineLevel="0" collapsed="false">
      <c r="A175" s="12" t="s">
        <v>114</v>
      </c>
      <c r="B175" s="12" t="s">
        <v>55</v>
      </c>
      <c r="C175" s="12" t="s">
        <v>114</v>
      </c>
      <c r="D175" s="12" t="s">
        <v>486</v>
      </c>
      <c r="E175" s="12" t="s">
        <v>824</v>
      </c>
      <c r="F175" s="12" t="s">
        <v>488</v>
      </c>
      <c r="G175" s="12" t="s">
        <v>14</v>
      </c>
      <c r="H175" s="27" t="n">
        <v>29.97</v>
      </c>
      <c r="I175" s="12" t="s">
        <v>320</v>
      </c>
    </row>
    <row r="176" customFormat="false" ht="15" hidden="false" customHeight="false" outlineLevel="0" collapsed="false">
      <c r="A176" s="12" t="s">
        <v>83</v>
      </c>
      <c r="B176" s="12" t="s">
        <v>55</v>
      </c>
      <c r="C176" s="12" t="s">
        <v>83</v>
      </c>
      <c r="D176" s="12" t="s">
        <v>576</v>
      </c>
      <c r="E176" s="12" t="s">
        <v>825</v>
      </c>
      <c r="F176" s="12" t="s">
        <v>12</v>
      </c>
      <c r="G176" s="12" t="s">
        <v>12</v>
      </c>
      <c r="H176" s="27" t="n">
        <v>216.12</v>
      </c>
      <c r="I176" s="12" t="s">
        <v>320</v>
      </c>
    </row>
    <row r="177" customFormat="false" ht="15" hidden="false" customHeight="false" outlineLevel="0" collapsed="false">
      <c r="A177" s="12" t="s">
        <v>83</v>
      </c>
      <c r="B177" s="12" t="s">
        <v>55</v>
      </c>
      <c r="C177" s="12" t="s">
        <v>83</v>
      </c>
      <c r="D177" s="12" t="s">
        <v>578</v>
      </c>
      <c r="E177" s="12" t="s">
        <v>826</v>
      </c>
      <c r="F177" s="12" t="s">
        <v>12</v>
      </c>
      <c r="G177" s="12" t="s">
        <v>12</v>
      </c>
      <c r="H177" s="27" t="n">
        <v>427.8</v>
      </c>
      <c r="I177" s="12" t="s">
        <v>320</v>
      </c>
    </row>
    <row r="178" customFormat="false" ht="15" hidden="false" customHeight="false" outlineLevel="0" collapsed="false">
      <c r="A178" s="12" t="s">
        <v>83</v>
      </c>
      <c r="B178" s="12" t="s">
        <v>55</v>
      </c>
      <c r="C178" s="12" t="s">
        <v>83</v>
      </c>
      <c r="D178" s="12" t="s">
        <v>580</v>
      </c>
      <c r="E178" s="12" t="s">
        <v>827</v>
      </c>
      <c r="F178" s="12" t="s">
        <v>12</v>
      </c>
      <c r="G178" s="12" t="s">
        <v>12</v>
      </c>
      <c r="H178" s="27" t="n">
        <v>58.2</v>
      </c>
      <c r="I178" s="12" t="s">
        <v>320</v>
      </c>
    </row>
    <row r="179" customFormat="false" ht="15" hidden="false" customHeight="false" outlineLevel="0" collapsed="false">
      <c r="A179" s="12" t="s">
        <v>95</v>
      </c>
      <c r="B179" s="12" t="s">
        <v>55</v>
      </c>
      <c r="C179" s="12" t="s">
        <v>582</v>
      </c>
      <c r="D179" s="12" t="s">
        <v>583</v>
      </c>
      <c r="E179" s="12" t="s">
        <v>828</v>
      </c>
      <c r="F179" s="12" t="s">
        <v>12</v>
      </c>
      <c r="G179" s="12" t="s">
        <v>12</v>
      </c>
      <c r="H179" s="27" t="n">
        <v>5.35</v>
      </c>
      <c r="I179" s="12" t="s">
        <v>320</v>
      </c>
    </row>
    <row r="180" customFormat="false" ht="15" hidden="false" customHeight="false" outlineLevel="0" collapsed="false">
      <c r="A180" s="12" t="s">
        <v>99</v>
      </c>
      <c r="B180" s="12" t="s">
        <v>55</v>
      </c>
      <c r="C180" s="12" t="s">
        <v>829</v>
      </c>
      <c r="D180" s="12" t="s">
        <v>830</v>
      </c>
      <c r="E180" s="12" t="s">
        <v>831</v>
      </c>
      <c r="F180" s="12" t="s">
        <v>12</v>
      </c>
      <c r="G180" s="12" t="s">
        <v>12</v>
      </c>
      <c r="H180" s="27" t="n">
        <v>301.8</v>
      </c>
      <c r="I180" s="12" t="s">
        <v>320</v>
      </c>
    </row>
    <row r="181" customFormat="false" ht="15" hidden="false" customHeight="false" outlineLevel="0" collapsed="false">
      <c r="A181" s="12" t="s">
        <v>153</v>
      </c>
      <c r="B181" s="12" t="s">
        <v>55</v>
      </c>
      <c r="C181" s="12" t="s">
        <v>832</v>
      </c>
      <c r="D181" s="12" t="s">
        <v>833</v>
      </c>
      <c r="E181" s="12" t="s">
        <v>834</v>
      </c>
      <c r="F181" s="12" t="s">
        <v>835</v>
      </c>
      <c r="G181" s="12" t="s">
        <v>14</v>
      </c>
      <c r="H181" s="27" t="n">
        <v>13.38</v>
      </c>
      <c r="I181" s="12" t="s">
        <v>320</v>
      </c>
    </row>
    <row r="182" customFormat="false" ht="15" hidden="false" customHeight="false" outlineLevel="0" collapsed="false">
      <c r="A182" s="12" t="s">
        <v>153</v>
      </c>
      <c r="B182" s="12" t="s">
        <v>55</v>
      </c>
      <c r="C182" s="12" t="s">
        <v>832</v>
      </c>
      <c r="D182" s="12" t="s">
        <v>836</v>
      </c>
      <c r="E182" s="12" t="s">
        <v>837</v>
      </c>
      <c r="F182" s="12" t="s">
        <v>12</v>
      </c>
      <c r="G182" s="12" t="s">
        <v>12</v>
      </c>
      <c r="H182" s="27" t="n">
        <v>19.55</v>
      </c>
      <c r="I182" s="12" t="s">
        <v>320</v>
      </c>
    </row>
    <row r="183" customFormat="false" ht="15" hidden="false" customHeight="false" outlineLevel="0" collapsed="false">
      <c r="A183" s="12" t="s">
        <v>153</v>
      </c>
      <c r="B183" s="12" t="s">
        <v>55</v>
      </c>
      <c r="C183" s="12" t="s">
        <v>832</v>
      </c>
      <c r="D183" s="12" t="s">
        <v>838</v>
      </c>
      <c r="E183" s="12" t="s">
        <v>839</v>
      </c>
      <c r="F183" s="12" t="s">
        <v>12</v>
      </c>
      <c r="G183" s="12" t="s">
        <v>12</v>
      </c>
      <c r="H183" s="27" t="n">
        <v>20.45</v>
      </c>
      <c r="I183" s="12" t="s">
        <v>320</v>
      </c>
    </row>
    <row r="184" customFormat="false" ht="15" hidden="false" customHeight="false" outlineLevel="0" collapsed="false">
      <c r="A184" s="12" t="s">
        <v>175</v>
      </c>
      <c r="B184" s="12" t="s">
        <v>55</v>
      </c>
      <c r="C184" s="12" t="s">
        <v>175</v>
      </c>
      <c r="D184" s="12" t="s">
        <v>585</v>
      </c>
      <c r="E184" s="12" t="s">
        <v>840</v>
      </c>
      <c r="F184" s="12" t="s">
        <v>12</v>
      </c>
      <c r="G184" s="12" t="s">
        <v>14</v>
      </c>
      <c r="H184" s="27"/>
      <c r="I184" s="12" t="s">
        <v>320</v>
      </c>
    </row>
    <row r="185" customFormat="false" ht="15" hidden="false" customHeight="false" outlineLevel="0" collapsed="false">
      <c r="A185" s="12" t="s">
        <v>184</v>
      </c>
      <c r="B185" s="12" t="s">
        <v>55</v>
      </c>
      <c r="C185" s="12" t="s">
        <v>841</v>
      </c>
      <c r="D185" s="12" t="s">
        <v>842</v>
      </c>
      <c r="E185" s="12" t="s">
        <v>843</v>
      </c>
      <c r="F185" s="12" t="s">
        <v>12</v>
      </c>
      <c r="G185" s="12" t="s">
        <v>12</v>
      </c>
      <c r="H185" s="27" t="n">
        <v>21.78</v>
      </c>
      <c r="I185" s="12" t="s">
        <v>320</v>
      </c>
    </row>
    <row r="186" customFormat="false" ht="15" hidden="false" customHeight="false" outlineLevel="0" collapsed="false">
      <c r="A186" s="12" t="s">
        <v>184</v>
      </c>
      <c r="B186" s="12" t="s">
        <v>55</v>
      </c>
      <c r="C186" s="12" t="s">
        <v>841</v>
      </c>
      <c r="D186" s="12" t="s">
        <v>844</v>
      </c>
      <c r="E186" s="12" t="s">
        <v>845</v>
      </c>
      <c r="F186" s="12" t="s">
        <v>12</v>
      </c>
      <c r="G186" s="12" t="s">
        <v>12</v>
      </c>
      <c r="H186" s="27" t="n">
        <v>48.28</v>
      </c>
      <c r="I186" s="12" t="s">
        <v>320</v>
      </c>
    </row>
    <row r="187" customFormat="false" ht="15" hidden="false" customHeight="false" outlineLevel="0" collapsed="false">
      <c r="A187" s="12" t="s">
        <v>170</v>
      </c>
      <c r="B187" s="12" t="s">
        <v>55</v>
      </c>
      <c r="C187" s="12" t="s">
        <v>170</v>
      </c>
      <c r="D187" s="12" t="s">
        <v>596</v>
      </c>
      <c r="E187" s="12" t="s">
        <v>597</v>
      </c>
      <c r="F187" s="12" t="s">
        <v>320</v>
      </c>
      <c r="G187" s="12" t="s">
        <v>12</v>
      </c>
      <c r="H187" s="27" t="n">
        <v>343.8</v>
      </c>
      <c r="I187" s="12" t="s">
        <v>320</v>
      </c>
    </row>
    <row r="188" customFormat="false" ht="15" hidden="false" customHeight="false" outlineLevel="0" collapsed="false">
      <c r="A188" s="12" t="s">
        <v>62</v>
      </c>
      <c r="B188" s="12" t="s">
        <v>55</v>
      </c>
      <c r="C188" s="12" t="s">
        <v>846</v>
      </c>
      <c r="D188" s="12" t="s">
        <v>599</v>
      </c>
      <c r="E188" s="12" t="s">
        <v>600</v>
      </c>
      <c r="F188" s="12" t="s">
        <v>320</v>
      </c>
      <c r="G188" s="12" t="s">
        <v>12</v>
      </c>
      <c r="H188" s="27" t="n">
        <v>1007.87</v>
      </c>
      <c r="I188" s="12" t="s">
        <v>333</v>
      </c>
    </row>
    <row r="189" customFormat="false" ht="15" hidden="false" customHeight="false" outlineLevel="0" collapsed="false">
      <c r="A189" s="12" t="s">
        <v>86</v>
      </c>
      <c r="B189" s="12" t="s">
        <v>55</v>
      </c>
      <c r="C189" s="12" t="s">
        <v>847</v>
      </c>
      <c r="D189" s="12" t="s">
        <v>738</v>
      </c>
      <c r="E189" s="12" t="s">
        <v>627</v>
      </c>
      <c r="F189" s="12" t="s">
        <v>320</v>
      </c>
      <c r="G189" s="12" t="s">
        <v>12</v>
      </c>
      <c r="H189" s="27" t="n">
        <v>81.96</v>
      </c>
      <c r="I189" s="12" t="s">
        <v>333</v>
      </c>
    </row>
    <row r="190" customFormat="false" ht="15" hidden="false" customHeight="false" outlineLevel="0" collapsed="false">
      <c r="A190" s="12" t="s">
        <v>114</v>
      </c>
      <c r="B190" s="12" t="s">
        <v>55</v>
      </c>
      <c r="C190" s="12" t="s">
        <v>848</v>
      </c>
      <c r="D190" s="12" t="s">
        <v>601</v>
      </c>
      <c r="E190" s="12" t="s">
        <v>602</v>
      </c>
      <c r="F190" s="12" t="s">
        <v>475</v>
      </c>
      <c r="G190" s="12" t="s">
        <v>14</v>
      </c>
      <c r="H190" s="27" t="n">
        <v>345.31</v>
      </c>
      <c r="I190" s="12" t="s">
        <v>320</v>
      </c>
    </row>
    <row r="191" customFormat="false" ht="15" hidden="false" customHeight="false" outlineLevel="0" collapsed="false">
      <c r="A191" s="12" t="s">
        <v>184</v>
      </c>
      <c r="B191" s="12" t="s">
        <v>55</v>
      </c>
      <c r="C191" s="12" t="s">
        <v>184</v>
      </c>
      <c r="D191" s="12" t="s">
        <v>672</v>
      </c>
      <c r="E191" s="12" t="s">
        <v>785</v>
      </c>
      <c r="F191" s="12" t="s">
        <v>320</v>
      </c>
      <c r="G191" s="12" t="s">
        <v>12</v>
      </c>
      <c r="H191" s="27" t="n">
        <v>78.84</v>
      </c>
      <c r="I191" s="12" t="s">
        <v>320</v>
      </c>
    </row>
    <row r="192" customFormat="false" ht="15" hidden="false" customHeight="false" outlineLevel="0" collapsed="false">
      <c r="A192" s="12" t="s">
        <v>99</v>
      </c>
      <c r="B192" s="12" t="s">
        <v>55</v>
      </c>
      <c r="C192" s="12" t="s">
        <v>99</v>
      </c>
      <c r="D192" s="12" t="s">
        <v>849</v>
      </c>
      <c r="E192" s="12" t="s">
        <v>850</v>
      </c>
      <c r="F192" s="12" t="s">
        <v>320</v>
      </c>
      <c r="G192" s="12" t="s">
        <v>12</v>
      </c>
      <c r="H192" s="27" t="n">
        <v>429.52</v>
      </c>
      <c r="I192" s="12" t="s">
        <v>320</v>
      </c>
    </row>
    <row r="193" customFormat="false" ht="15" hidden="false" customHeight="false" outlineLevel="0" collapsed="false">
      <c r="A193" s="12" t="s">
        <v>53</v>
      </c>
      <c r="B193" s="12" t="s">
        <v>55</v>
      </c>
      <c r="C193" s="12" t="s">
        <v>851</v>
      </c>
      <c r="D193" s="12" t="s">
        <v>605</v>
      </c>
      <c r="E193" s="12" t="s">
        <v>608</v>
      </c>
      <c r="F193" s="12" t="s">
        <v>320</v>
      </c>
      <c r="G193" s="12" t="s">
        <v>12</v>
      </c>
      <c r="H193" s="27" t="n">
        <v>360.71</v>
      </c>
      <c r="I193" s="12" t="s">
        <v>320</v>
      </c>
    </row>
    <row r="194" customFormat="false" ht="15" hidden="false" customHeight="false" outlineLevel="0" collapsed="false">
      <c r="A194" s="12" t="s">
        <v>53</v>
      </c>
      <c r="B194" s="12" t="s">
        <v>55</v>
      </c>
      <c r="C194" s="12" t="s">
        <v>851</v>
      </c>
      <c r="D194" s="12" t="s">
        <v>612</v>
      </c>
      <c r="E194" s="12" t="s">
        <v>606</v>
      </c>
      <c r="F194" s="12" t="s">
        <v>320</v>
      </c>
      <c r="G194" s="12" t="s">
        <v>12</v>
      </c>
      <c r="H194" s="27" t="n">
        <v>397.421</v>
      </c>
      <c r="I194" s="12" t="s">
        <v>333</v>
      </c>
    </row>
    <row r="195" customFormat="false" ht="15" hidden="false" customHeight="false" outlineLevel="0" collapsed="false">
      <c r="A195" s="12" t="s">
        <v>62</v>
      </c>
      <c r="B195" s="12" t="s">
        <v>55</v>
      </c>
      <c r="C195" s="12" t="s">
        <v>62</v>
      </c>
      <c r="D195" s="12" t="s">
        <v>614</v>
      </c>
      <c r="E195" s="12" t="s">
        <v>600</v>
      </c>
      <c r="F195" s="12" t="s">
        <v>320</v>
      </c>
      <c r="G195" s="12" t="s">
        <v>12</v>
      </c>
      <c r="H195" s="27" t="n">
        <v>1444.1174</v>
      </c>
      <c r="I195" s="12" t="s">
        <v>333</v>
      </c>
    </row>
    <row r="196" customFormat="false" ht="15" hidden="false" customHeight="false" outlineLevel="0" collapsed="false">
      <c r="A196" s="12" t="s">
        <v>83</v>
      </c>
      <c r="B196" s="12" t="s">
        <v>55</v>
      </c>
      <c r="C196" s="12" t="s">
        <v>852</v>
      </c>
      <c r="D196" s="12" t="s">
        <v>853</v>
      </c>
      <c r="E196" s="12" t="s">
        <v>661</v>
      </c>
      <c r="F196" s="12" t="s">
        <v>320</v>
      </c>
      <c r="G196" s="12" t="s">
        <v>12</v>
      </c>
      <c r="H196" s="27" t="n">
        <v>4.9946</v>
      </c>
      <c r="I196" s="12" t="s">
        <v>320</v>
      </c>
    </row>
    <row r="197" customFormat="false" ht="15" hidden="false" customHeight="false" outlineLevel="0" collapsed="false">
      <c r="A197" s="12" t="s">
        <v>86</v>
      </c>
      <c r="B197" s="12" t="s">
        <v>55</v>
      </c>
      <c r="C197" s="12" t="s">
        <v>854</v>
      </c>
      <c r="D197" s="12" t="s">
        <v>626</v>
      </c>
      <c r="E197" s="12" t="s">
        <v>627</v>
      </c>
      <c r="F197" s="12" t="s">
        <v>320</v>
      </c>
      <c r="G197" s="12" t="s">
        <v>12</v>
      </c>
      <c r="H197" s="27" t="n">
        <v>100.4344</v>
      </c>
      <c r="I197" s="12" t="s">
        <v>333</v>
      </c>
    </row>
    <row r="198" customFormat="false" ht="15" hidden="false" customHeight="false" outlineLevel="0" collapsed="false">
      <c r="A198" s="12" t="s">
        <v>99</v>
      </c>
      <c r="B198" s="12" t="s">
        <v>55</v>
      </c>
      <c r="C198" s="12" t="s">
        <v>855</v>
      </c>
      <c r="D198" s="12" t="s">
        <v>856</v>
      </c>
      <c r="E198" s="12" t="s">
        <v>857</v>
      </c>
      <c r="F198" s="12" t="s">
        <v>320</v>
      </c>
      <c r="G198" s="12" t="s">
        <v>12</v>
      </c>
      <c r="H198" s="27" t="n">
        <v>471.2665</v>
      </c>
      <c r="I198" s="12" t="s">
        <v>320</v>
      </c>
    </row>
    <row r="199" customFormat="false" ht="15" hidden="false" customHeight="false" outlineLevel="0" collapsed="false">
      <c r="A199" s="12" t="s">
        <v>114</v>
      </c>
      <c r="B199" s="12" t="s">
        <v>55</v>
      </c>
      <c r="C199" s="12" t="s">
        <v>858</v>
      </c>
      <c r="D199" s="12" t="s">
        <v>638</v>
      </c>
      <c r="E199" s="12" t="s">
        <v>639</v>
      </c>
      <c r="F199" s="12" t="s">
        <v>475</v>
      </c>
      <c r="G199" s="12" t="s">
        <v>14</v>
      </c>
      <c r="H199" s="27" t="n">
        <v>531.8684</v>
      </c>
      <c r="I199" s="12" t="s">
        <v>320</v>
      </c>
    </row>
    <row r="200" customFormat="false" ht="15" hidden="false" customHeight="false" outlineLevel="0" collapsed="false">
      <c r="A200" s="12" t="s">
        <v>126</v>
      </c>
      <c r="B200" s="12" t="s">
        <v>55</v>
      </c>
      <c r="C200" s="12" t="s">
        <v>859</v>
      </c>
      <c r="D200" s="12" t="s">
        <v>860</v>
      </c>
      <c r="E200" s="12" t="s">
        <v>861</v>
      </c>
      <c r="F200" s="12" t="s">
        <v>475</v>
      </c>
      <c r="G200" s="12" t="s">
        <v>14</v>
      </c>
      <c r="H200" s="27" t="n">
        <v>46.3526</v>
      </c>
      <c r="I200" s="12" t="s">
        <v>320</v>
      </c>
    </row>
    <row r="201" customFormat="false" ht="15" hidden="false" customHeight="false" outlineLevel="0" collapsed="false">
      <c r="A201" s="12" t="s">
        <v>161</v>
      </c>
      <c r="B201" s="12" t="s">
        <v>55</v>
      </c>
      <c r="C201" s="12" t="s">
        <v>862</v>
      </c>
      <c r="D201" s="12" t="s">
        <v>863</v>
      </c>
      <c r="E201" s="12" t="s">
        <v>630</v>
      </c>
      <c r="F201" s="12" t="s">
        <v>320</v>
      </c>
      <c r="G201" s="12" t="s">
        <v>12</v>
      </c>
      <c r="H201" s="27" t="n">
        <v>96.9427</v>
      </c>
      <c r="I201" s="12" t="s">
        <v>320</v>
      </c>
    </row>
    <row r="202" customFormat="false" ht="15" hidden="false" customHeight="false" outlineLevel="0" collapsed="false">
      <c r="A202" s="12" t="s">
        <v>184</v>
      </c>
      <c r="B202" s="12" t="s">
        <v>55</v>
      </c>
      <c r="C202" s="12" t="s">
        <v>184</v>
      </c>
      <c r="D202" s="12" t="s">
        <v>864</v>
      </c>
      <c r="E202" s="12" t="s">
        <v>785</v>
      </c>
      <c r="F202" s="12" t="s">
        <v>320</v>
      </c>
      <c r="G202" s="12" t="s">
        <v>12</v>
      </c>
      <c r="H202" s="27" t="n">
        <v>92.0498</v>
      </c>
      <c r="I202" s="12" t="s">
        <v>320</v>
      </c>
    </row>
    <row r="203" customFormat="false" ht="15" hidden="false" customHeight="false" outlineLevel="0" collapsed="false">
      <c r="A203" s="12" t="s">
        <v>184</v>
      </c>
      <c r="B203" s="12" t="s">
        <v>55</v>
      </c>
      <c r="C203" s="12" t="s">
        <v>184</v>
      </c>
      <c r="D203" s="12" t="s">
        <v>864</v>
      </c>
      <c r="E203" s="12" t="s">
        <v>785</v>
      </c>
      <c r="F203" s="12" t="s">
        <v>320</v>
      </c>
      <c r="G203" s="12" t="s">
        <v>12</v>
      </c>
      <c r="H203" s="27" t="n">
        <v>92.0498</v>
      </c>
      <c r="I203" s="12" t="s">
        <v>320</v>
      </c>
    </row>
    <row r="204" customFormat="false" ht="15" hidden="false" customHeight="false" outlineLevel="0" collapsed="false">
      <c r="A204" s="12" t="s">
        <v>62</v>
      </c>
      <c r="B204" s="12" t="s">
        <v>55</v>
      </c>
      <c r="C204" s="12" t="s">
        <v>62</v>
      </c>
      <c r="D204" s="12" t="s">
        <v>865</v>
      </c>
      <c r="E204" s="12" t="s">
        <v>866</v>
      </c>
      <c r="F204" s="12" t="s">
        <v>320</v>
      </c>
      <c r="G204" s="12" t="s">
        <v>12</v>
      </c>
      <c r="H204" s="27" t="n">
        <v>981.694</v>
      </c>
      <c r="I204" s="12" t="s">
        <v>320</v>
      </c>
    </row>
    <row r="205" customFormat="false" ht="15" hidden="false" customHeight="false" outlineLevel="0" collapsed="false">
      <c r="A205" s="12" t="s">
        <v>53</v>
      </c>
      <c r="B205" s="12" t="s">
        <v>55</v>
      </c>
      <c r="C205" s="12" t="s">
        <v>53</v>
      </c>
      <c r="D205" s="12" t="s">
        <v>867</v>
      </c>
      <c r="E205" s="12" t="s">
        <v>868</v>
      </c>
      <c r="F205" s="12" t="s">
        <v>320</v>
      </c>
      <c r="G205" s="12" t="s">
        <v>12</v>
      </c>
      <c r="H205" s="27" t="n">
        <v>398.335</v>
      </c>
      <c r="I205" s="12" t="s">
        <v>320</v>
      </c>
    </row>
    <row r="206" customFormat="false" ht="15" hidden="false" customHeight="false" outlineLevel="0" collapsed="false">
      <c r="A206" s="12" t="s">
        <v>86</v>
      </c>
      <c r="B206" s="12" t="s">
        <v>55</v>
      </c>
      <c r="C206" s="12" t="s">
        <v>86</v>
      </c>
      <c r="D206" s="12" t="s">
        <v>668</v>
      </c>
      <c r="E206" s="12" t="s">
        <v>869</v>
      </c>
      <c r="F206" s="12" t="s">
        <v>320</v>
      </c>
      <c r="G206" s="12" t="s">
        <v>12</v>
      </c>
      <c r="H206" s="27" t="n">
        <v>113.645</v>
      </c>
      <c r="I206" s="12" t="s">
        <v>333</v>
      </c>
    </row>
    <row r="207" customFormat="false" ht="15" hidden="false" customHeight="false" outlineLevel="0" collapsed="false">
      <c r="A207" s="12" t="s">
        <v>183</v>
      </c>
      <c r="B207" s="12" t="s">
        <v>55</v>
      </c>
      <c r="C207" s="12" t="s">
        <v>815</v>
      </c>
      <c r="D207" s="12" t="s">
        <v>603</v>
      </c>
      <c r="E207" s="12" t="s">
        <v>870</v>
      </c>
      <c r="F207" s="12" t="s">
        <v>320</v>
      </c>
      <c r="G207" s="12" t="s">
        <v>12</v>
      </c>
      <c r="H207" s="27" t="n">
        <v>22.7605</v>
      </c>
      <c r="I207" s="12" t="s">
        <v>320</v>
      </c>
    </row>
    <row r="208" customFormat="false" ht="15" hidden="false" customHeight="false" outlineLevel="0" collapsed="false">
      <c r="A208" s="12" t="s">
        <v>100</v>
      </c>
      <c r="B208" s="12" t="s">
        <v>55</v>
      </c>
      <c r="C208" s="12" t="s">
        <v>100</v>
      </c>
      <c r="D208" s="12" t="s">
        <v>670</v>
      </c>
      <c r="E208" s="12" t="s">
        <v>688</v>
      </c>
      <c r="F208" s="12" t="s">
        <v>320</v>
      </c>
      <c r="G208" s="12" t="s">
        <v>12</v>
      </c>
      <c r="H208" s="27" t="n">
        <v>36.5855</v>
      </c>
      <c r="I208" s="12" t="s">
        <v>320</v>
      </c>
    </row>
    <row r="209" customFormat="false" ht="15" hidden="false" customHeight="false" outlineLevel="0" collapsed="false">
      <c r="A209" s="12" t="s">
        <v>99</v>
      </c>
      <c r="B209" s="12" t="s">
        <v>55</v>
      </c>
      <c r="C209" s="12" t="s">
        <v>829</v>
      </c>
      <c r="D209" s="12" t="s">
        <v>871</v>
      </c>
      <c r="E209" s="12" t="s">
        <v>872</v>
      </c>
      <c r="F209" s="12" t="s">
        <v>320</v>
      </c>
      <c r="G209" s="12" t="s">
        <v>12</v>
      </c>
      <c r="H209" s="27" t="n">
        <v>378</v>
      </c>
      <c r="I209" s="12" t="s">
        <v>320</v>
      </c>
    </row>
    <row r="210" customFormat="false" ht="15" hidden="false" customHeight="false" outlineLevel="0" collapsed="false">
      <c r="A210" s="12" t="s">
        <v>107</v>
      </c>
      <c r="B210" s="12" t="s">
        <v>55</v>
      </c>
      <c r="C210" s="12" t="s">
        <v>873</v>
      </c>
      <c r="D210" s="12" t="s">
        <v>874</v>
      </c>
      <c r="E210" s="12" t="s">
        <v>812</v>
      </c>
      <c r="F210" s="12" t="s">
        <v>320</v>
      </c>
      <c r="G210" s="12" t="s">
        <v>12</v>
      </c>
      <c r="H210" s="27" t="n">
        <v>28.679</v>
      </c>
      <c r="I210" s="12" t="s">
        <v>320</v>
      </c>
    </row>
    <row r="211" customFormat="false" ht="15" hidden="false" customHeight="false" outlineLevel="0" collapsed="false">
      <c r="A211" s="12" t="s">
        <v>107</v>
      </c>
      <c r="B211" s="12" t="s">
        <v>55</v>
      </c>
      <c r="C211" s="12" t="s">
        <v>873</v>
      </c>
      <c r="D211" s="12" t="s">
        <v>875</v>
      </c>
      <c r="E211" s="12" t="s">
        <v>876</v>
      </c>
      <c r="F211" s="12" t="s">
        <v>320</v>
      </c>
      <c r="G211" s="12" t="s">
        <v>12</v>
      </c>
      <c r="H211" s="27" t="n">
        <v>57.358</v>
      </c>
      <c r="I211" s="12" t="s">
        <v>320</v>
      </c>
    </row>
    <row r="212" customFormat="false" ht="15" hidden="false" customHeight="false" outlineLevel="0" collapsed="false">
      <c r="A212" s="12" t="s">
        <v>107</v>
      </c>
      <c r="B212" s="12" t="s">
        <v>55</v>
      </c>
      <c r="C212" s="12" t="s">
        <v>873</v>
      </c>
      <c r="D212" s="12" t="s">
        <v>877</v>
      </c>
      <c r="E212" s="12" t="s">
        <v>748</v>
      </c>
      <c r="F212" s="12" t="s">
        <v>320</v>
      </c>
      <c r="G212" s="12" t="s">
        <v>12</v>
      </c>
      <c r="H212" s="27" t="n">
        <v>5.733</v>
      </c>
      <c r="I212" s="12" t="s">
        <v>320</v>
      </c>
    </row>
    <row r="213" customFormat="false" ht="15" hidden="false" customHeight="false" outlineLevel="0" collapsed="false">
      <c r="A213" s="12" t="s">
        <v>99</v>
      </c>
      <c r="B213" s="12" t="s">
        <v>55</v>
      </c>
      <c r="C213" s="12" t="s">
        <v>878</v>
      </c>
      <c r="D213" s="12" t="s">
        <v>879</v>
      </c>
      <c r="E213" s="12" t="s">
        <v>748</v>
      </c>
      <c r="F213" s="12" t="s">
        <v>320</v>
      </c>
      <c r="G213" s="12" t="s">
        <v>12</v>
      </c>
      <c r="H213" s="27" t="n">
        <v>113.715</v>
      </c>
      <c r="I213" s="12" t="s">
        <v>320</v>
      </c>
    </row>
    <row r="214" customFormat="false" ht="15" hidden="false" customHeight="false" outlineLevel="0" collapsed="false">
      <c r="A214" s="12" t="s">
        <v>69</v>
      </c>
      <c r="B214" s="12" t="s">
        <v>55</v>
      </c>
      <c r="C214" s="12" t="s">
        <v>880</v>
      </c>
      <c r="D214" s="12" t="s">
        <v>881</v>
      </c>
      <c r="E214" s="12" t="s">
        <v>766</v>
      </c>
      <c r="F214" s="12" t="s">
        <v>320</v>
      </c>
      <c r="G214" s="12" t="s">
        <v>12</v>
      </c>
      <c r="H214" s="27"/>
      <c r="I214" s="12" t="s">
        <v>320</v>
      </c>
    </row>
    <row r="215" customFormat="false" ht="15" hidden="false" customHeight="false" outlineLevel="0" collapsed="false">
      <c r="A215" s="12" t="s">
        <v>86</v>
      </c>
      <c r="B215" s="12" t="s">
        <v>55</v>
      </c>
      <c r="C215" s="12" t="s">
        <v>882</v>
      </c>
      <c r="D215" s="12" t="s">
        <v>752</v>
      </c>
      <c r="E215" s="12" t="s">
        <v>753</v>
      </c>
      <c r="F215" s="12" t="s">
        <v>320</v>
      </c>
      <c r="G215" s="12" t="s">
        <v>12</v>
      </c>
      <c r="H215" s="27"/>
      <c r="I215" s="12" t="s">
        <v>333</v>
      </c>
    </row>
    <row r="216" customFormat="false" ht="15" hidden="false" customHeight="false" outlineLevel="0" collapsed="false">
      <c r="A216" s="12" t="s">
        <v>86</v>
      </c>
      <c r="B216" s="12" t="s">
        <v>55</v>
      </c>
      <c r="C216" s="12" t="s">
        <v>882</v>
      </c>
      <c r="D216" s="12" t="s">
        <v>694</v>
      </c>
      <c r="E216" s="12" t="s">
        <v>695</v>
      </c>
      <c r="F216" s="12" t="s">
        <v>320</v>
      </c>
      <c r="G216" s="12" t="s">
        <v>12</v>
      </c>
      <c r="H216" s="27"/>
      <c r="I216" s="12" t="s">
        <v>333</v>
      </c>
    </row>
    <row r="217" customFormat="false" ht="15" hidden="false" customHeight="false" outlineLevel="0" collapsed="false">
      <c r="A217" s="12" t="s">
        <v>184</v>
      </c>
      <c r="B217" s="12" t="s">
        <v>55</v>
      </c>
      <c r="C217" s="12" t="s">
        <v>883</v>
      </c>
      <c r="D217" s="12" t="s">
        <v>747</v>
      </c>
      <c r="E217" s="12" t="s">
        <v>748</v>
      </c>
      <c r="F217" s="12" t="s">
        <v>320</v>
      </c>
      <c r="G217" s="12" t="s">
        <v>12</v>
      </c>
      <c r="H217" s="27"/>
      <c r="I217" s="12" t="s">
        <v>320</v>
      </c>
    </row>
    <row r="218" customFormat="false" ht="15" hidden="false" customHeight="false" outlineLevel="0" collapsed="false">
      <c r="A218" s="12" t="s">
        <v>184</v>
      </c>
      <c r="B218" s="12" t="s">
        <v>55</v>
      </c>
      <c r="C218" s="12" t="s">
        <v>884</v>
      </c>
      <c r="D218" s="12" t="s">
        <v>749</v>
      </c>
      <c r="E218" s="12" t="s">
        <v>750</v>
      </c>
      <c r="F218" s="12" t="s">
        <v>320</v>
      </c>
      <c r="G218" s="12" t="s">
        <v>12</v>
      </c>
      <c r="H218" s="27"/>
      <c r="I218" s="12" t="s">
        <v>320</v>
      </c>
    </row>
    <row r="219" customFormat="false" ht="15" hidden="false" customHeight="false" outlineLevel="0" collapsed="false">
      <c r="A219" s="12" t="s">
        <v>161</v>
      </c>
      <c r="B219" s="12" t="s">
        <v>55</v>
      </c>
      <c r="C219" s="12" t="s">
        <v>885</v>
      </c>
      <c r="D219" s="12" t="s">
        <v>770</v>
      </c>
      <c r="E219" s="12" t="s">
        <v>750</v>
      </c>
      <c r="F219" s="12" t="s">
        <v>320</v>
      </c>
      <c r="G219" s="12" t="s">
        <v>12</v>
      </c>
      <c r="H219" s="27" t="n">
        <v>6.937</v>
      </c>
      <c r="I219" s="12" t="s">
        <v>320</v>
      </c>
    </row>
    <row r="220" customFormat="false" ht="15" hidden="false" customHeight="false" outlineLevel="0" collapsed="false">
      <c r="A220" s="12" t="s">
        <v>53</v>
      </c>
      <c r="B220" s="12" t="s">
        <v>55</v>
      </c>
      <c r="C220" s="12" t="s">
        <v>886</v>
      </c>
      <c r="D220" s="12" t="s">
        <v>704</v>
      </c>
      <c r="E220" s="12" t="s">
        <v>705</v>
      </c>
      <c r="F220" s="12" t="s">
        <v>320</v>
      </c>
      <c r="G220" s="12" t="s">
        <v>12</v>
      </c>
      <c r="H220" s="27" t="n">
        <v>10.241</v>
      </c>
      <c r="I220" s="12" t="s">
        <v>333</v>
      </c>
    </row>
    <row r="221" customFormat="false" ht="15" hidden="false" customHeight="false" outlineLevel="0" collapsed="false">
      <c r="A221" s="12" t="s">
        <v>99</v>
      </c>
      <c r="B221" s="12" t="s">
        <v>55</v>
      </c>
      <c r="C221" s="12" t="s">
        <v>887</v>
      </c>
      <c r="D221" s="12" t="s">
        <v>888</v>
      </c>
      <c r="E221" s="12" t="s">
        <v>889</v>
      </c>
      <c r="F221" s="12" t="s">
        <v>320</v>
      </c>
      <c r="G221" s="12" t="s">
        <v>12</v>
      </c>
      <c r="H221" s="27" t="n">
        <v>308.77</v>
      </c>
      <c r="I221" s="12" t="s">
        <v>320</v>
      </c>
    </row>
    <row r="222" customFormat="false" ht="15" hidden="false" customHeight="false" outlineLevel="0" collapsed="false">
      <c r="A222" s="12" t="s">
        <v>184</v>
      </c>
      <c r="B222" s="12" t="s">
        <v>55</v>
      </c>
      <c r="C222" s="12" t="s">
        <v>890</v>
      </c>
      <c r="D222" s="12" t="s">
        <v>784</v>
      </c>
      <c r="E222" s="12" t="s">
        <v>785</v>
      </c>
      <c r="F222" s="12" t="s">
        <v>320</v>
      </c>
      <c r="G222" s="12" t="s">
        <v>12</v>
      </c>
      <c r="H222" s="27" t="n">
        <v>6.93</v>
      </c>
      <c r="I222" s="12" t="s">
        <v>320</v>
      </c>
    </row>
    <row r="223" customFormat="false" ht="15" hidden="false" customHeight="false" outlineLevel="0" collapsed="false">
      <c r="A223" s="12" t="s">
        <v>114</v>
      </c>
      <c r="B223" s="12" t="s">
        <v>55</v>
      </c>
      <c r="C223" s="12" t="s">
        <v>891</v>
      </c>
      <c r="D223" s="12" t="s">
        <v>892</v>
      </c>
      <c r="E223" s="12" t="s">
        <v>639</v>
      </c>
      <c r="F223" s="12" t="s">
        <v>475</v>
      </c>
      <c r="G223" s="12" t="s">
        <v>14</v>
      </c>
      <c r="H223" s="27" t="n">
        <v>87.27</v>
      </c>
      <c r="I223" s="12" t="s">
        <v>320</v>
      </c>
    </row>
    <row r="224" customFormat="false" ht="15" hidden="false" customHeight="false" outlineLevel="0" collapsed="false">
      <c r="A224" s="12" t="s">
        <v>62</v>
      </c>
      <c r="B224" s="12" t="s">
        <v>55</v>
      </c>
      <c r="C224" s="12" t="s">
        <v>893</v>
      </c>
      <c r="D224" s="12" t="s">
        <v>787</v>
      </c>
      <c r="E224" s="12" t="s">
        <v>894</v>
      </c>
      <c r="F224" s="12" t="s">
        <v>320</v>
      </c>
      <c r="G224" s="12" t="s">
        <v>12</v>
      </c>
      <c r="H224" s="27" t="n">
        <v>102.85</v>
      </c>
      <c r="I224" s="12" t="s">
        <v>333</v>
      </c>
    </row>
    <row r="225" customFormat="false" ht="15" hidden="false" customHeight="false" outlineLevel="0" collapsed="false">
      <c r="A225" s="12" t="s">
        <v>53</v>
      </c>
      <c r="B225" s="12" t="s">
        <v>55</v>
      </c>
      <c r="C225" s="12" t="s">
        <v>895</v>
      </c>
      <c r="D225" s="12" t="s">
        <v>896</v>
      </c>
      <c r="E225" s="12" t="s">
        <v>897</v>
      </c>
      <c r="F225" s="12" t="s">
        <v>320</v>
      </c>
      <c r="G225" s="12" t="s">
        <v>12</v>
      </c>
      <c r="H225" s="27" t="n">
        <v>129.54</v>
      </c>
      <c r="I225" s="12" t="s">
        <v>333</v>
      </c>
    </row>
    <row r="226" customFormat="false" ht="15" hidden="false" customHeight="false" outlineLevel="0" collapsed="false">
      <c r="A226" s="12" t="s">
        <v>53</v>
      </c>
      <c r="B226" s="12" t="s">
        <v>35</v>
      </c>
      <c r="C226" s="12" t="s">
        <v>898</v>
      </c>
      <c r="D226" s="12" t="s">
        <v>605</v>
      </c>
      <c r="E226" s="12" t="s">
        <v>606</v>
      </c>
      <c r="F226" s="12" t="s">
        <v>320</v>
      </c>
      <c r="G226" s="12" t="s">
        <v>12</v>
      </c>
      <c r="H226" s="27" t="n">
        <v>424.36</v>
      </c>
      <c r="I226" s="12" t="s">
        <v>333</v>
      </c>
    </row>
    <row r="227" customFormat="false" ht="15" hidden="false" customHeight="false" outlineLevel="0" collapsed="false">
      <c r="A227" s="12" t="s">
        <v>184</v>
      </c>
      <c r="B227" s="12" t="s">
        <v>35</v>
      </c>
      <c r="C227" s="12" t="s">
        <v>184</v>
      </c>
      <c r="D227" s="12" t="s">
        <v>672</v>
      </c>
      <c r="E227" s="12" t="s">
        <v>785</v>
      </c>
      <c r="F227" s="12" t="s">
        <v>320</v>
      </c>
      <c r="G227" s="12" t="s">
        <v>12</v>
      </c>
      <c r="H227" s="27" t="n">
        <v>56.77</v>
      </c>
      <c r="I227" s="12" t="s">
        <v>320</v>
      </c>
    </row>
    <row r="228" customFormat="false" ht="15" hidden="false" customHeight="false" outlineLevel="0" collapsed="false">
      <c r="A228" s="12" t="s">
        <v>86</v>
      </c>
      <c r="B228" s="12" t="s">
        <v>35</v>
      </c>
      <c r="C228" s="12" t="s">
        <v>899</v>
      </c>
      <c r="D228" s="12" t="s">
        <v>738</v>
      </c>
      <c r="E228" s="12" t="s">
        <v>900</v>
      </c>
      <c r="F228" s="12" t="s">
        <v>320</v>
      </c>
      <c r="G228" s="12" t="s">
        <v>12</v>
      </c>
      <c r="H228" s="27" t="n">
        <v>81.96</v>
      </c>
      <c r="I228" s="12" t="s">
        <v>320</v>
      </c>
    </row>
    <row r="229" customFormat="false" ht="15" hidden="false" customHeight="false" outlineLevel="0" collapsed="false">
      <c r="A229" s="12" t="s">
        <v>170</v>
      </c>
      <c r="B229" s="12" t="s">
        <v>35</v>
      </c>
      <c r="C229" s="12" t="s">
        <v>170</v>
      </c>
      <c r="D229" s="12" t="s">
        <v>603</v>
      </c>
      <c r="E229" s="12" t="s">
        <v>604</v>
      </c>
      <c r="F229" s="12" t="s">
        <v>320</v>
      </c>
      <c r="G229" s="12" t="s">
        <v>12</v>
      </c>
      <c r="H229" s="27" t="n">
        <v>5023.6</v>
      </c>
      <c r="I229" s="12" t="s">
        <v>320</v>
      </c>
    </row>
    <row r="230" customFormat="false" ht="15" hidden="false" customHeight="false" outlineLevel="0" collapsed="false">
      <c r="A230" s="12" t="s">
        <v>165</v>
      </c>
      <c r="B230" s="12" t="s">
        <v>35</v>
      </c>
      <c r="C230" s="12" t="s">
        <v>901</v>
      </c>
      <c r="D230" s="12" t="s">
        <v>902</v>
      </c>
      <c r="E230" s="12" t="s">
        <v>903</v>
      </c>
      <c r="F230" s="12" t="s">
        <v>320</v>
      </c>
      <c r="G230" s="12" t="s">
        <v>12</v>
      </c>
      <c r="H230" s="27" t="n">
        <v>452.12</v>
      </c>
      <c r="I230" s="12" t="s">
        <v>333</v>
      </c>
    </row>
    <row r="231" customFormat="false" ht="15" hidden="false" customHeight="false" outlineLevel="0" collapsed="false">
      <c r="A231" s="12" t="s">
        <v>162</v>
      </c>
      <c r="B231" s="12" t="s">
        <v>35</v>
      </c>
      <c r="C231" s="12" t="s">
        <v>162</v>
      </c>
      <c r="D231" s="12" t="s">
        <v>607</v>
      </c>
      <c r="E231" s="12" t="s">
        <v>904</v>
      </c>
      <c r="F231" s="12" t="s">
        <v>320</v>
      </c>
      <c r="G231" s="12" t="s">
        <v>12</v>
      </c>
      <c r="H231" s="27" t="n">
        <v>6.61</v>
      </c>
      <c r="I231" s="12" t="s">
        <v>333</v>
      </c>
    </row>
    <row r="232" customFormat="false" ht="15" hidden="false" customHeight="false" outlineLevel="0" collapsed="false">
      <c r="A232" s="12" t="s">
        <v>147</v>
      </c>
      <c r="B232" s="12" t="s">
        <v>35</v>
      </c>
      <c r="C232" s="12" t="s">
        <v>147</v>
      </c>
      <c r="D232" s="12" t="s">
        <v>905</v>
      </c>
      <c r="E232" s="12" t="s">
        <v>906</v>
      </c>
      <c r="F232" s="12" t="s">
        <v>320</v>
      </c>
      <c r="G232" s="12" t="s">
        <v>12</v>
      </c>
      <c r="H232" s="27" t="n">
        <v>23.67</v>
      </c>
      <c r="I232" s="12" t="s">
        <v>320</v>
      </c>
    </row>
    <row r="233" customFormat="false" ht="15" hidden="false" customHeight="false" outlineLevel="0" collapsed="false">
      <c r="A233" s="12" t="s">
        <v>139</v>
      </c>
      <c r="B233" s="12" t="s">
        <v>35</v>
      </c>
      <c r="C233" s="12" t="s">
        <v>139</v>
      </c>
      <c r="D233" s="12" t="s">
        <v>907</v>
      </c>
      <c r="E233" s="12" t="s">
        <v>908</v>
      </c>
      <c r="F233" s="12" t="s">
        <v>320</v>
      </c>
      <c r="G233" s="12" t="s">
        <v>12</v>
      </c>
      <c r="H233" s="27" t="n">
        <v>138.81</v>
      </c>
      <c r="I233" s="12" t="s">
        <v>333</v>
      </c>
    </row>
    <row r="234" customFormat="false" ht="15" hidden="false" customHeight="false" outlineLevel="0" collapsed="false">
      <c r="A234" s="12" t="s">
        <v>42</v>
      </c>
      <c r="B234" s="12" t="s">
        <v>35</v>
      </c>
      <c r="C234" s="12" t="s">
        <v>42</v>
      </c>
      <c r="D234" s="12" t="s">
        <v>909</v>
      </c>
      <c r="E234" s="12" t="s">
        <v>910</v>
      </c>
      <c r="F234" s="12" t="s">
        <v>320</v>
      </c>
      <c r="G234" s="12" t="s">
        <v>12</v>
      </c>
      <c r="H234" s="27" t="n">
        <v>15.86</v>
      </c>
      <c r="I234" s="12" t="s">
        <v>320</v>
      </c>
    </row>
    <row r="235" customFormat="false" ht="15" hidden="false" customHeight="false" outlineLevel="0" collapsed="false">
      <c r="A235" s="12" t="s">
        <v>34</v>
      </c>
      <c r="B235" s="12" t="s">
        <v>35</v>
      </c>
      <c r="C235" s="12" t="s">
        <v>911</v>
      </c>
      <c r="D235" s="12" t="s">
        <v>912</v>
      </c>
      <c r="E235" s="12" t="s">
        <v>608</v>
      </c>
      <c r="F235" s="12" t="s">
        <v>320</v>
      </c>
      <c r="G235" s="12" t="s">
        <v>12</v>
      </c>
      <c r="H235" s="27" t="n">
        <v>19.51</v>
      </c>
      <c r="I235" s="12" t="s">
        <v>320</v>
      </c>
    </row>
    <row r="236" customFormat="false" ht="15" hidden="false" customHeight="false" outlineLevel="0" collapsed="false">
      <c r="A236" s="12" t="s">
        <v>34</v>
      </c>
      <c r="B236" s="12" t="s">
        <v>35</v>
      </c>
      <c r="C236" s="12" t="s">
        <v>911</v>
      </c>
      <c r="D236" s="12" t="s">
        <v>644</v>
      </c>
      <c r="E236" s="12" t="s">
        <v>913</v>
      </c>
      <c r="F236" s="12" t="s">
        <v>320</v>
      </c>
      <c r="G236" s="12" t="s">
        <v>12</v>
      </c>
      <c r="H236" s="27" t="n">
        <v>16.1025</v>
      </c>
      <c r="I236" s="12" t="s">
        <v>333</v>
      </c>
    </row>
    <row r="237" customFormat="false" ht="15" hidden="false" customHeight="false" outlineLevel="0" collapsed="false">
      <c r="A237" s="12" t="s">
        <v>42</v>
      </c>
      <c r="B237" s="12" t="s">
        <v>35</v>
      </c>
      <c r="C237" s="12" t="s">
        <v>914</v>
      </c>
      <c r="D237" s="12" t="s">
        <v>915</v>
      </c>
      <c r="E237" s="12" t="s">
        <v>910</v>
      </c>
      <c r="F237" s="12" t="s">
        <v>320</v>
      </c>
      <c r="G237" s="12" t="s">
        <v>12</v>
      </c>
      <c r="H237" s="27" t="n">
        <v>5.6839</v>
      </c>
      <c r="I237" s="12" t="s">
        <v>320</v>
      </c>
    </row>
    <row r="238" customFormat="false" ht="15" hidden="false" customHeight="false" outlineLevel="0" collapsed="false">
      <c r="A238" s="12" t="s">
        <v>46</v>
      </c>
      <c r="B238" s="12" t="s">
        <v>35</v>
      </c>
      <c r="C238" s="12" t="s">
        <v>916</v>
      </c>
      <c r="D238" s="12" t="s">
        <v>619</v>
      </c>
      <c r="E238" s="12" t="s">
        <v>917</v>
      </c>
      <c r="F238" s="12" t="s">
        <v>320</v>
      </c>
      <c r="G238" s="12" t="s">
        <v>12</v>
      </c>
      <c r="H238" s="27" t="n">
        <v>9.04</v>
      </c>
      <c r="I238" s="12" t="s">
        <v>320</v>
      </c>
    </row>
    <row r="239" customFormat="false" ht="15" hidden="false" customHeight="false" outlineLevel="0" collapsed="false">
      <c r="A239" s="12" t="s">
        <v>53</v>
      </c>
      <c r="B239" s="12" t="s">
        <v>35</v>
      </c>
      <c r="C239" s="12" t="s">
        <v>918</v>
      </c>
      <c r="D239" s="12" t="s">
        <v>612</v>
      </c>
      <c r="E239" s="12" t="s">
        <v>606</v>
      </c>
      <c r="F239" s="12" t="s">
        <v>320</v>
      </c>
      <c r="G239" s="12" t="s">
        <v>12</v>
      </c>
      <c r="H239" s="27" t="n">
        <v>397.421</v>
      </c>
      <c r="I239" s="12" t="s">
        <v>333</v>
      </c>
    </row>
    <row r="240" customFormat="false" ht="15" hidden="false" customHeight="false" outlineLevel="0" collapsed="false">
      <c r="A240" s="12" t="s">
        <v>62</v>
      </c>
      <c r="B240" s="12" t="s">
        <v>35</v>
      </c>
      <c r="C240" s="12" t="s">
        <v>919</v>
      </c>
      <c r="D240" s="12" t="s">
        <v>614</v>
      </c>
      <c r="E240" s="12" t="s">
        <v>600</v>
      </c>
      <c r="F240" s="12" t="s">
        <v>320</v>
      </c>
      <c r="G240" s="12" t="s">
        <v>12</v>
      </c>
      <c r="H240" s="27" t="n">
        <v>1444.1174</v>
      </c>
      <c r="I240" s="12" t="s">
        <v>333</v>
      </c>
    </row>
    <row r="241" customFormat="false" ht="15" hidden="false" customHeight="false" outlineLevel="0" collapsed="false">
      <c r="A241" s="12" t="s">
        <v>86</v>
      </c>
      <c r="B241" s="12" t="s">
        <v>35</v>
      </c>
      <c r="C241" s="12" t="s">
        <v>920</v>
      </c>
      <c r="D241" s="12" t="s">
        <v>626</v>
      </c>
      <c r="E241" s="12" t="s">
        <v>627</v>
      </c>
      <c r="F241" s="12" t="s">
        <v>320</v>
      </c>
      <c r="G241" s="12" t="s">
        <v>12</v>
      </c>
      <c r="H241" s="27" t="n">
        <v>93.7335</v>
      </c>
      <c r="I241" s="12" t="s">
        <v>333</v>
      </c>
    </row>
    <row r="242" customFormat="false" ht="15" hidden="false" customHeight="false" outlineLevel="0" collapsed="false">
      <c r="A242" s="12" t="s">
        <v>99</v>
      </c>
      <c r="B242" s="12" t="s">
        <v>35</v>
      </c>
      <c r="C242" s="12" t="s">
        <v>921</v>
      </c>
      <c r="D242" s="12" t="s">
        <v>922</v>
      </c>
      <c r="E242" s="12" t="s">
        <v>889</v>
      </c>
      <c r="F242" s="12" t="s">
        <v>320</v>
      </c>
      <c r="G242" s="12" t="s">
        <v>12</v>
      </c>
      <c r="H242" s="27" t="n">
        <v>404.5852</v>
      </c>
      <c r="I242" s="12" t="s">
        <v>320</v>
      </c>
    </row>
    <row r="243" customFormat="false" ht="15" hidden="false" customHeight="false" outlineLevel="0" collapsed="false">
      <c r="A243" s="12" t="s">
        <v>102</v>
      </c>
      <c r="B243" s="12" t="s">
        <v>35</v>
      </c>
      <c r="C243" s="12" t="s">
        <v>923</v>
      </c>
      <c r="D243" s="12" t="s">
        <v>924</v>
      </c>
      <c r="E243" s="12" t="s">
        <v>925</v>
      </c>
      <c r="F243" s="12" t="s">
        <v>320</v>
      </c>
      <c r="G243" s="12" t="s">
        <v>12</v>
      </c>
      <c r="H243" s="27" t="n">
        <v>7.2772</v>
      </c>
      <c r="I243" s="12" t="s">
        <v>333</v>
      </c>
    </row>
    <row r="244" customFormat="false" ht="15" hidden="false" customHeight="false" outlineLevel="0" collapsed="false">
      <c r="A244" s="12" t="s">
        <v>139</v>
      </c>
      <c r="B244" s="12" t="s">
        <v>35</v>
      </c>
      <c r="C244" s="12" t="s">
        <v>926</v>
      </c>
      <c r="D244" s="12" t="s">
        <v>641</v>
      </c>
      <c r="E244" s="12" t="s">
        <v>908</v>
      </c>
      <c r="F244" s="12" t="s">
        <v>320</v>
      </c>
      <c r="G244" s="12" t="s">
        <v>12</v>
      </c>
      <c r="H244" s="27" t="n">
        <v>189.1846</v>
      </c>
      <c r="I244" s="12" t="s">
        <v>333</v>
      </c>
    </row>
    <row r="245" customFormat="false" ht="15" hidden="false" customHeight="false" outlineLevel="0" collapsed="false">
      <c r="A245" s="12" t="s">
        <v>139</v>
      </c>
      <c r="B245" s="12" t="s">
        <v>35</v>
      </c>
      <c r="C245" s="12" t="s">
        <v>927</v>
      </c>
      <c r="D245" s="12" t="s">
        <v>641</v>
      </c>
      <c r="E245" s="12" t="s">
        <v>908</v>
      </c>
      <c r="F245" s="12" t="s">
        <v>320</v>
      </c>
      <c r="G245" s="12" t="s">
        <v>12</v>
      </c>
      <c r="H245" s="27" t="n">
        <v>189.1846</v>
      </c>
      <c r="I245" s="12" t="s">
        <v>333</v>
      </c>
    </row>
    <row r="246" customFormat="false" ht="15" hidden="false" customHeight="false" outlineLevel="0" collapsed="false">
      <c r="A246" s="12" t="s">
        <v>147</v>
      </c>
      <c r="B246" s="12" t="s">
        <v>35</v>
      </c>
      <c r="C246" s="12" t="s">
        <v>928</v>
      </c>
      <c r="D246" s="12" t="s">
        <v>929</v>
      </c>
      <c r="E246" s="12" t="s">
        <v>906</v>
      </c>
      <c r="F246" s="12" t="s">
        <v>320</v>
      </c>
      <c r="G246" s="12" t="s">
        <v>12</v>
      </c>
      <c r="H246" s="27" t="n">
        <v>21.0971</v>
      </c>
      <c r="I246" s="12" t="s">
        <v>320</v>
      </c>
    </row>
    <row r="247" customFormat="false" ht="15" hidden="false" customHeight="false" outlineLevel="0" collapsed="false">
      <c r="A247" s="12" t="s">
        <v>156</v>
      </c>
      <c r="B247" s="12" t="s">
        <v>35</v>
      </c>
      <c r="C247" s="12" t="s">
        <v>930</v>
      </c>
      <c r="D247" s="12" t="s">
        <v>652</v>
      </c>
      <c r="E247" s="12" t="s">
        <v>931</v>
      </c>
      <c r="F247" s="12" t="s">
        <v>320</v>
      </c>
      <c r="G247" s="12" t="s">
        <v>13</v>
      </c>
      <c r="H247" s="27" t="n">
        <v>5.3223</v>
      </c>
      <c r="I247" s="12" t="s">
        <v>320</v>
      </c>
    </row>
    <row r="248" customFormat="false" ht="15" hidden="false" customHeight="false" outlineLevel="0" collapsed="false">
      <c r="A248" s="12" t="s">
        <v>165</v>
      </c>
      <c r="B248" s="12" t="s">
        <v>35</v>
      </c>
      <c r="C248" s="12" t="s">
        <v>932</v>
      </c>
      <c r="D248" s="12" t="s">
        <v>933</v>
      </c>
      <c r="E248" s="12" t="s">
        <v>934</v>
      </c>
      <c r="F248" s="12" t="s">
        <v>320</v>
      </c>
      <c r="G248" s="12" t="s">
        <v>12</v>
      </c>
      <c r="H248" s="27" t="n">
        <v>15.0064</v>
      </c>
      <c r="I248" s="12" t="s">
        <v>333</v>
      </c>
    </row>
    <row r="249" customFormat="false" ht="15" hidden="false" customHeight="false" outlineLevel="0" collapsed="false">
      <c r="A249" s="12" t="s">
        <v>170</v>
      </c>
      <c r="B249" s="12" t="s">
        <v>35</v>
      </c>
      <c r="C249" s="12" t="s">
        <v>935</v>
      </c>
      <c r="D249" s="12" t="s">
        <v>655</v>
      </c>
      <c r="E249" s="12" t="s">
        <v>604</v>
      </c>
      <c r="F249" s="12" t="s">
        <v>320</v>
      </c>
      <c r="G249" s="12" t="s">
        <v>12</v>
      </c>
      <c r="H249" s="27" t="n">
        <v>7322.4226</v>
      </c>
      <c r="I249" s="12" t="s">
        <v>320</v>
      </c>
    </row>
    <row r="250" customFormat="false" ht="15" hidden="false" customHeight="false" outlineLevel="0" collapsed="false">
      <c r="A250" s="12" t="s">
        <v>184</v>
      </c>
      <c r="B250" s="12" t="s">
        <v>35</v>
      </c>
      <c r="C250" s="12" t="s">
        <v>936</v>
      </c>
      <c r="D250" s="12" t="s">
        <v>864</v>
      </c>
      <c r="E250" s="12" t="s">
        <v>785</v>
      </c>
      <c r="F250" s="12" t="s">
        <v>320</v>
      </c>
      <c r="G250" s="12" t="s">
        <v>12</v>
      </c>
      <c r="H250" s="27" t="n">
        <v>92.0498</v>
      </c>
      <c r="I250" s="12" t="s">
        <v>320</v>
      </c>
    </row>
    <row r="251" customFormat="false" ht="15" hidden="false" customHeight="false" outlineLevel="0" collapsed="false">
      <c r="A251" s="12" t="s">
        <v>139</v>
      </c>
      <c r="B251" s="12" t="s">
        <v>35</v>
      </c>
      <c r="C251" s="12" t="s">
        <v>139</v>
      </c>
      <c r="D251" s="12" t="s">
        <v>937</v>
      </c>
      <c r="E251" s="12" t="s">
        <v>938</v>
      </c>
      <c r="F251" s="12" t="s">
        <v>320</v>
      </c>
      <c r="G251" s="12" t="s">
        <v>12</v>
      </c>
      <c r="H251" s="27" t="n">
        <v>265.643</v>
      </c>
      <c r="I251" s="12" t="s">
        <v>333</v>
      </c>
    </row>
    <row r="252" customFormat="false" ht="15" hidden="false" customHeight="false" outlineLevel="0" collapsed="false">
      <c r="A252" s="12" t="s">
        <v>153</v>
      </c>
      <c r="B252" s="12" t="s">
        <v>35</v>
      </c>
      <c r="C252" s="12" t="s">
        <v>832</v>
      </c>
      <c r="D252" s="12" t="s">
        <v>871</v>
      </c>
      <c r="E252" s="12" t="s">
        <v>939</v>
      </c>
      <c r="F252" s="12" t="s">
        <v>320</v>
      </c>
      <c r="G252" s="12" t="s">
        <v>12</v>
      </c>
      <c r="H252" s="27" t="n">
        <v>7.56</v>
      </c>
      <c r="I252" s="12" t="s">
        <v>320</v>
      </c>
    </row>
    <row r="253" customFormat="false" ht="15" hidden="false" customHeight="false" outlineLevel="0" collapsed="false">
      <c r="A253" s="12" t="s">
        <v>153</v>
      </c>
      <c r="B253" s="12" t="s">
        <v>35</v>
      </c>
      <c r="C253" s="12" t="s">
        <v>832</v>
      </c>
      <c r="D253" s="12" t="s">
        <v>905</v>
      </c>
      <c r="E253" s="12" t="s">
        <v>939</v>
      </c>
      <c r="F253" s="12" t="s">
        <v>320</v>
      </c>
      <c r="G253" s="12" t="s">
        <v>12</v>
      </c>
      <c r="H253" s="27" t="n">
        <v>8.393</v>
      </c>
      <c r="I253" s="12" t="s">
        <v>320</v>
      </c>
    </row>
    <row r="254" customFormat="false" ht="15" hidden="false" customHeight="false" outlineLevel="0" collapsed="false">
      <c r="A254" s="12" t="s">
        <v>42</v>
      </c>
      <c r="B254" s="12" t="s">
        <v>35</v>
      </c>
      <c r="C254" s="12" t="s">
        <v>940</v>
      </c>
      <c r="D254" s="12" t="s">
        <v>941</v>
      </c>
      <c r="E254" s="12" t="s">
        <v>942</v>
      </c>
      <c r="F254" s="12" t="s">
        <v>320</v>
      </c>
      <c r="G254" s="12" t="s">
        <v>12</v>
      </c>
      <c r="H254" s="27" t="n">
        <v>62.4008</v>
      </c>
      <c r="I254" s="12" t="s">
        <v>320</v>
      </c>
    </row>
    <row r="255" customFormat="false" ht="15" hidden="false" customHeight="false" outlineLevel="0" collapsed="false">
      <c r="A255" s="12" t="s">
        <v>62</v>
      </c>
      <c r="B255" s="12" t="s">
        <v>35</v>
      </c>
      <c r="C255" s="12" t="s">
        <v>62</v>
      </c>
      <c r="D255" s="12" t="s">
        <v>865</v>
      </c>
      <c r="E255" s="12" t="s">
        <v>943</v>
      </c>
      <c r="F255" s="12" t="s">
        <v>320</v>
      </c>
      <c r="G255" s="12" t="s">
        <v>12</v>
      </c>
      <c r="H255" s="27" t="n">
        <v>981.694</v>
      </c>
      <c r="I255" s="12" t="s">
        <v>333</v>
      </c>
    </row>
    <row r="256" customFormat="false" ht="15" hidden="false" customHeight="false" outlineLevel="0" collapsed="false">
      <c r="A256" s="12" t="s">
        <v>130</v>
      </c>
      <c r="B256" s="12" t="s">
        <v>35</v>
      </c>
      <c r="C256" s="12" t="s">
        <v>944</v>
      </c>
      <c r="D256" s="12" t="s">
        <v>945</v>
      </c>
      <c r="E256" s="12" t="s">
        <v>946</v>
      </c>
      <c r="F256" s="12" t="s">
        <v>320</v>
      </c>
      <c r="G256" s="12" t="s">
        <v>12</v>
      </c>
      <c r="H256" s="27" t="n">
        <v>8.4133</v>
      </c>
      <c r="I256" s="12" t="s">
        <v>320</v>
      </c>
    </row>
    <row r="257" customFormat="false" ht="15" hidden="false" customHeight="false" outlineLevel="0" collapsed="false">
      <c r="A257" s="12" t="s">
        <v>130</v>
      </c>
      <c r="B257" s="12" t="s">
        <v>35</v>
      </c>
      <c r="C257" s="12" t="s">
        <v>944</v>
      </c>
      <c r="D257" s="12" t="s">
        <v>947</v>
      </c>
      <c r="E257" s="12" t="s">
        <v>948</v>
      </c>
      <c r="F257" s="12" t="s">
        <v>320</v>
      </c>
      <c r="G257" s="12" t="s">
        <v>12</v>
      </c>
      <c r="H257" s="27" t="n">
        <v>42.0665</v>
      </c>
      <c r="I257" s="12" t="s">
        <v>320</v>
      </c>
    </row>
    <row r="258" customFormat="false" ht="15" hidden="false" customHeight="false" outlineLevel="0" collapsed="false">
      <c r="A258" s="12" t="s">
        <v>165</v>
      </c>
      <c r="B258" s="12" t="s">
        <v>35</v>
      </c>
      <c r="C258" s="12" t="s">
        <v>949</v>
      </c>
      <c r="D258" s="12" t="s">
        <v>950</v>
      </c>
      <c r="E258" s="12" t="s">
        <v>951</v>
      </c>
      <c r="F258" s="12" t="s">
        <v>320</v>
      </c>
      <c r="G258" s="12" t="s">
        <v>12</v>
      </c>
      <c r="H258" s="27" t="n">
        <v>91</v>
      </c>
      <c r="I258" s="12" t="s">
        <v>333</v>
      </c>
    </row>
    <row r="259" customFormat="false" ht="15" hidden="false" customHeight="false" outlineLevel="0" collapsed="false">
      <c r="A259" s="12" t="s">
        <v>172</v>
      </c>
      <c r="B259" s="12" t="s">
        <v>35</v>
      </c>
      <c r="C259" s="12" t="s">
        <v>172</v>
      </c>
      <c r="D259" s="12" t="s">
        <v>952</v>
      </c>
      <c r="E259" s="12" t="s">
        <v>953</v>
      </c>
      <c r="F259" s="12" t="s">
        <v>320</v>
      </c>
      <c r="G259" s="12" t="s">
        <v>12</v>
      </c>
      <c r="H259" s="27" t="n">
        <v>6.44</v>
      </c>
      <c r="I259" s="12" t="s">
        <v>320</v>
      </c>
    </row>
    <row r="260" customFormat="false" ht="15" hidden="false" customHeight="false" outlineLevel="0" collapsed="false">
      <c r="A260" s="12" t="s">
        <v>80</v>
      </c>
      <c r="B260" s="12" t="s">
        <v>35</v>
      </c>
      <c r="C260" s="12" t="s">
        <v>954</v>
      </c>
      <c r="D260" s="12" t="s">
        <v>955</v>
      </c>
      <c r="E260" s="12" t="s">
        <v>956</v>
      </c>
      <c r="F260" s="12" t="s">
        <v>320</v>
      </c>
      <c r="G260" s="12" t="s">
        <v>12</v>
      </c>
      <c r="H260" s="27" t="n">
        <v>23.975</v>
      </c>
      <c r="I260" s="12" t="s">
        <v>320</v>
      </c>
    </row>
    <row r="261" customFormat="false" ht="15" hidden="false" customHeight="false" outlineLevel="0" collapsed="false">
      <c r="A261" s="12" t="s">
        <v>83</v>
      </c>
      <c r="B261" s="12" t="s">
        <v>35</v>
      </c>
      <c r="C261" s="12" t="s">
        <v>83</v>
      </c>
      <c r="D261" s="12" t="s">
        <v>957</v>
      </c>
      <c r="E261" s="12" t="s">
        <v>958</v>
      </c>
      <c r="F261" s="12" t="s">
        <v>320</v>
      </c>
      <c r="G261" s="12" t="s">
        <v>12</v>
      </c>
      <c r="H261" s="27" t="n">
        <v>80.5</v>
      </c>
      <c r="I261" s="12" t="s">
        <v>320</v>
      </c>
    </row>
    <row r="262" customFormat="false" ht="15" hidden="false" customHeight="false" outlineLevel="0" collapsed="false">
      <c r="A262" s="12" t="s">
        <v>83</v>
      </c>
      <c r="B262" s="12" t="s">
        <v>35</v>
      </c>
      <c r="C262" s="12" t="s">
        <v>83</v>
      </c>
      <c r="D262" s="12" t="s">
        <v>959</v>
      </c>
      <c r="E262" s="12" t="s">
        <v>960</v>
      </c>
      <c r="F262" s="12" t="s">
        <v>320</v>
      </c>
      <c r="G262" s="12" t="s">
        <v>12</v>
      </c>
      <c r="H262" s="27" t="n">
        <v>105</v>
      </c>
      <c r="I262" s="12" t="s">
        <v>320</v>
      </c>
    </row>
    <row r="263" customFormat="false" ht="15" hidden="false" customHeight="false" outlineLevel="0" collapsed="false">
      <c r="A263" s="12" t="s">
        <v>165</v>
      </c>
      <c r="B263" s="12" t="s">
        <v>35</v>
      </c>
      <c r="C263" s="12" t="s">
        <v>961</v>
      </c>
      <c r="D263" s="12" t="s">
        <v>962</v>
      </c>
      <c r="E263" s="12" t="s">
        <v>963</v>
      </c>
      <c r="F263" s="12" t="s">
        <v>320</v>
      </c>
      <c r="G263" s="12" t="s">
        <v>12</v>
      </c>
      <c r="H263" s="27"/>
      <c r="I263" s="12" t="s">
        <v>333</v>
      </c>
    </row>
    <row r="264" customFormat="false" ht="15" hidden="false" customHeight="false" outlineLevel="0" collapsed="false">
      <c r="A264" s="12" t="s">
        <v>42</v>
      </c>
      <c r="B264" s="12" t="s">
        <v>35</v>
      </c>
      <c r="C264" s="12" t="s">
        <v>964</v>
      </c>
      <c r="D264" s="12" t="s">
        <v>965</v>
      </c>
      <c r="E264" s="12" t="s">
        <v>748</v>
      </c>
      <c r="F264" s="12" t="s">
        <v>320</v>
      </c>
      <c r="G264" s="12" t="s">
        <v>12</v>
      </c>
      <c r="H264" s="27"/>
      <c r="I264" s="12" t="s">
        <v>320</v>
      </c>
    </row>
    <row r="265" customFormat="false" ht="15" hidden="false" customHeight="false" outlineLevel="0" collapsed="false">
      <c r="A265" s="12" t="s">
        <v>139</v>
      </c>
      <c r="B265" s="12" t="s">
        <v>35</v>
      </c>
      <c r="C265" s="12" t="s">
        <v>966</v>
      </c>
      <c r="D265" s="12" t="s">
        <v>967</v>
      </c>
      <c r="E265" s="12" t="s">
        <v>968</v>
      </c>
      <c r="F265" s="12" t="s">
        <v>320</v>
      </c>
      <c r="G265" s="12" t="s">
        <v>12</v>
      </c>
      <c r="H265" s="27"/>
      <c r="I265" s="12" t="s">
        <v>333</v>
      </c>
    </row>
    <row r="266" customFormat="false" ht="15" hidden="false" customHeight="false" outlineLevel="0" collapsed="false">
      <c r="A266" s="12" t="s">
        <v>114</v>
      </c>
      <c r="B266" s="12" t="s">
        <v>56</v>
      </c>
      <c r="C266" s="12" t="s">
        <v>114</v>
      </c>
      <c r="D266" s="12" t="s">
        <v>486</v>
      </c>
      <c r="E266" s="12" t="s">
        <v>969</v>
      </c>
      <c r="F266" s="12" t="s">
        <v>488</v>
      </c>
      <c r="G266" s="12" t="s">
        <v>14</v>
      </c>
      <c r="H266" s="27" t="n">
        <v>29.97</v>
      </c>
      <c r="I266" s="12" t="s">
        <v>320</v>
      </c>
    </row>
    <row r="267" customFormat="false" ht="15" hidden="false" customHeight="false" outlineLevel="0" collapsed="false">
      <c r="A267" s="12" t="s">
        <v>99</v>
      </c>
      <c r="B267" s="12" t="s">
        <v>56</v>
      </c>
      <c r="C267" s="12" t="s">
        <v>829</v>
      </c>
      <c r="D267" s="12" t="s">
        <v>830</v>
      </c>
      <c r="E267" s="12" t="s">
        <v>970</v>
      </c>
      <c r="F267" s="12" t="s">
        <v>12</v>
      </c>
      <c r="G267" s="12" t="s">
        <v>12</v>
      </c>
      <c r="H267" s="27" t="n">
        <v>301.8</v>
      </c>
      <c r="I267" s="12" t="s">
        <v>320</v>
      </c>
    </row>
    <row r="268" customFormat="false" ht="15" hidden="false" customHeight="false" outlineLevel="0" collapsed="false">
      <c r="A268" s="12" t="s">
        <v>114</v>
      </c>
      <c r="B268" s="12" t="s">
        <v>56</v>
      </c>
      <c r="C268" s="12" t="s">
        <v>114</v>
      </c>
      <c r="D268" s="12" t="s">
        <v>601</v>
      </c>
      <c r="E268" s="12" t="s">
        <v>971</v>
      </c>
      <c r="F268" s="12" t="s">
        <v>475</v>
      </c>
      <c r="G268" s="12" t="s">
        <v>14</v>
      </c>
      <c r="H268" s="27" t="n">
        <v>345.31</v>
      </c>
      <c r="I268" s="12" t="s">
        <v>320</v>
      </c>
    </row>
    <row r="269" customFormat="false" ht="15" hidden="false" customHeight="false" outlineLevel="0" collapsed="false">
      <c r="A269" s="12" t="s">
        <v>184</v>
      </c>
      <c r="B269" s="12" t="s">
        <v>56</v>
      </c>
      <c r="C269" s="12" t="s">
        <v>184</v>
      </c>
      <c r="D269" s="12" t="s">
        <v>672</v>
      </c>
      <c r="E269" s="12" t="s">
        <v>972</v>
      </c>
      <c r="F269" s="12" t="s">
        <v>320</v>
      </c>
      <c r="G269" s="12" t="s">
        <v>12</v>
      </c>
      <c r="H269" s="27" t="n">
        <v>67.02</v>
      </c>
      <c r="I269" s="12" t="s">
        <v>320</v>
      </c>
    </row>
    <row r="270" customFormat="false" ht="15" hidden="false" customHeight="false" outlineLevel="0" collapsed="false">
      <c r="A270" s="12" t="s">
        <v>99</v>
      </c>
      <c r="B270" s="12" t="s">
        <v>56</v>
      </c>
      <c r="C270" s="12" t="s">
        <v>99</v>
      </c>
      <c r="D270" s="12" t="s">
        <v>849</v>
      </c>
      <c r="E270" s="12" t="s">
        <v>608</v>
      </c>
      <c r="F270" s="12" t="s">
        <v>320</v>
      </c>
      <c r="G270" s="12" t="s">
        <v>12</v>
      </c>
      <c r="H270" s="27" t="n">
        <v>429.52</v>
      </c>
      <c r="I270" s="12" t="s">
        <v>320</v>
      </c>
    </row>
    <row r="271" customFormat="false" ht="15" hidden="false" customHeight="false" outlineLevel="0" collapsed="false">
      <c r="A271" s="12" t="s">
        <v>53</v>
      </c>
      <c r="B271" s="12" t="s">
        <v>56</v>
      </c>
      <c r="C271" s="12" t="s">
        <v>973</v>
      </c>
      <c r="D271" s="12" t="s">
        <v>612</v>
      </c>
      <c r="E271" s="12" t="s">
        <v>606</v>
      </c>
      <c r="F271" s="12" t="s">
        <v>320</v>
      </c>
      <c r="G271" s="12" t="s">
        <v>12</v>
      </c>
      <c r="H271" s="27" t="n">
        <v>397.421</v>
      </c>
      <c r="I271" s="12" t="s">
        <v>333</v>
      </c>
    </row>
    <row r="272" customFormat="false" ht="15" hidden="false" customHeight="false" outlineLevel="0" collapsed="false">
      <c r="A272" s="12" t="s">
        <v>62</v>
      </c>
      <c r="B272" s="12" t="s">
        <v>56</v>
      </c>
      <c r="C272" s="12" t="s">
        <v>974</v>
      </c>
      <c r="D272" s="12" t="s">
        <v>657</v>
      </c>
      <c r="E272" s="12" t="s">
        <v>975</v>
      </c>
      <c r="F272" s="12" t="s">
        <v>320</v>
      </c>
      <c r="G272" s="12" t="s">
        <v>12</v>
      </c>
      <c r="H272" s="27" t="n">
        <v>162.9686</v>
      </c>
      <c r="I272" s="12" t="s">
        <v>333</v>
      </c>
    </row>
    <row r="273" customFormat="false" ht="15" hidden="false" customHeight="false" outlineLevel="0" collapsed="false">
      <c r="A273" s="12" t="s">
        <v>99</v>
      </c>
      <c r="B273" s="12" t="s">
        <v>56</v>
      </c>
      <c r="C273" s="12" t="s">
        <v>976</v>
      </c>
      <c r="D273" s="12" t="s">
        <v>856</v>
      </c>
      <c r="E273" s="12" t="s">
        <v>889</v>
      </c>
      <c r="F273" s="12" t="s">
        <v>320</v>
      </c>
      <c r="G273" s="12" t="s">
        <v>12</v>
      </c>
      <c r="H273" s="27" t="n">
        <v>471.2665</v>
      </c>
      <c r="I273" s="12" t="s">
        <v>320</v>
      </c>
    </row>
    <row r="274" customFormat="false" ht="15" hidden="false" customHeight="false" outlineLevel="0" collapsed="false">
      <c r="A274" s="12" t="s">
        <v>114</v>
      </c>
      <c r="B274" s="12" t="s">
        <v>56</v>
      </c>
      <c r="C274" s="12" t="s">
        <v>977</v>
      </c>
      <c r="D274" s="12" t="s">
        <v>978</v>
      </c>
      <c r="E274" s="12" t="s">
        <v>979</v>
      </c>
      <c r="F274" s="12" t="s">
        <v>475</v>
      </c>
      <c r="G274" s="12" t="s">
        <v>14</v>
      </c>
      <c r="H274" s="27" t="n">
        <v>531.8684</v>
      </c>
      <c r="I274" s="12" t="s">
        <v>320</v>
      </c>
    </row>
    <row r="275" customFormat="false" ht="15" hidden="false" customHeight="false" outlineLevel="0" collapsed="false">
      <c r="A275" s="12" t="s">
        <v>170</v>
      </c>
      <c r="B275" s="12" t="s">
        <v>56</v>
      </c>
      <c r="C275" s="12" t="s">
        <v>980</v>
      </c>
      <c r="D275" s="12" t="s">
        <v>981</v>
      </c>
      <c r="E275" s="12" t="s">
        <v>982</v>
      </c>
      <c r="F275" s="12" t="s">
        <v>320</v>
      </c>
      <c r="G275" s="12" t="s">
        <v>12</v>
      </c>
      <c r="H275" s="27" t="n">
        <v>7322.4226</v>
      </c>
      <c r="I275" s="12" t="s">
        <v>320</v>
      </c>
    </row>
    <row r="276" customFormat="false" ht="15" hidden="false" customHeight="false" outlineLevel="0" collapsed="false">
      <c r="A276" s="12" t="s">
        <v>184</v>
      </c>
      <c r="B276" s="12" t="s">
        <v>56</v>
      </c>
      <c r="C276" s="12" t="s">
        <v>983</v>
      </c>
      <c r="D276" s="12" t="s">
        <v>864</v>
      </c>
      <c r="E276" s="12" t="s">
        <v>785</v>
      </c>
      <c r="F276" s="12" t="s">
        <v>320</v>
      </c>
      <c r="G276" s="12" t="s">
        <v>12</v>
      </c>
      <c r="H276" s="27" t="n">
        <v>92.0498</v>
      </c>
      <c r="I276" s="12" t="s">
        <v>320</v>
      </c>
    </row>
    <row r="277" customFormat="false" ht="15" hidden="false" customHeight="false" outlineLevel="0" collapsed="false">
      <c r="A277" s="12" t="s">
        <v>62</v>
      </c>
      <c r="B277" s="12" t="s">
        <v>56</v>
      </c>
      <c r="C277" s="12" t="s">
        <v>984</v>
      </c>
      <c r="D277" s="12" t="s">
        <v>985</v>
      </c>
      <c r="E277" s="12" t="s">
        <v>766</v>
      </c>
      <c r="F277" s="12" t="s">
        <v>320</v>
      </c>
      <c r="G277" s="12" t="s">
        <v>12</v>
      </c>
      <c r="H277" s="27" t="n">
        <v>17.444</v>
      </c>
      <c r="I277" s="12" t="s">
        <v>320</v>
      </c>
    </row>
    <row r="278" customFormat="false" ht="15" hidden="false" customHeight="false" outlineLevel="0" collapsed="false">
      <c r="A278" s="12" t="s">
        <v>62</v>
      </c>
      <c r="B278" s="12" t="s">
        <v>56</v>
      </c>
      <c r="C278" s="12" t="s">
        <v>984</v>
      </c>
      <c r="D278" s="12" t="s">
        <v>986</v>
      </c>
      <c r="E278" s="12" t="s">
        <v>987</v>
      </c>
      <c r="F278" s="12" t="s">
        <v>320</v>
      </c>
      <c r="G278" s="12" t="s">
        <v>12</v>
      </c>
      <c r="H278" s="27" t="n">
        <v>14.329</v>
      </c>
      <c r="I278" s="12" t="s">
        <v>320</v>
      </c>
    </row>
    <row r="279" customFormat="false" ht="15" hidden="false" customHeight="false" outlineLevel="0" collapsed="false">
      <c r="A279" s="12" t="s">
        <v>78</v>
      </c>
      <c r="B279" s="12" t="s">
        <v>57</v>
      </c>
      <c r="C279" s="12" t="s">
        <v>495</v>
      </c>
      <c r="D279" s="12" t="s">
        <v>496</v>
      </c>
      <c r="E279" s="12" t="s">
        <v>988</v>
      </c>
      <c r="F279" s="12" t="s">
        <v>320</v>
      </c>
      <c r="G279" s="12" t="s">
        <v>12</v>
      </c>
      <c r="H279" s="27" t="n">
        <v>14.96</v>
      </c>
      <c r="I279" s="12" t="s">
        <v>320</v>
      </c>
    </row>
    <row r="280" customFormat="false" ht="15" hidden="false" customHeight="false" outlineLevel="0" collapsed="false">
      <c r="A280" s="12" t="s">
        <v>81</v>
      </c>
      <c r="B280" s="12" t="s">
        <v>57</v>
      </c>
      <c r="C280" s="12" t="s">
        <v>81</v>
      </c>
      <c r="D280" s="12" t="s">
        <v>528</v>
      </c>
      <c r="E280" s="12"/>
      <c r="F280" s="12"/>
      <c r="G280" s="12" t="s">
        <v>485</v>
      </c>
      <c r="H280" s="27"/>
      <c r="I280" s="12" t="s">
        <v>320</v>
      </c>
    </row>
    <row r="281" customFormat="false" ht="15" hidden="false" customHeight="false" outlineLevel="0" collapsed="false">
      <c r="A281" s="12" t="s">
        <v>130</v>
      </c>
      <c r="B281" s="12" t="s">
        <v>57</v>
      </c>
      <c r="C281" s="12" t="s">
        <v>944</v>
      </c>
      <c r="D281" s="12" t="s">
        <v>989</v>
      </c>
      <c r="E281" s="12"/>
      <c r="F281" s="12"/>
      <c r="G281" s="12" t="s">
        <v>485</v>
      </c>
      <c r="H281" s="27"/>
      <c r="I281" s="12" t="s">
        <v>320</v>
      </c>
    </row>
    <row r="282" customFormat="false" ht="15" hidden="false" customHeight="false" outlineLevel="0" collapsed="false">
      <c r="A282" s="12" t="s">
        <v>134</v>
      </c>
      <c r="B282" s="12" t="s">
        <v>57</v>
      </c>
      <c r="C282" s="12" t="s">
        <v>990</v>
      </c>
      <c r="D282" s="12" t="s">
        <v>991</v>
      </c>
      <c r="E282" s="12" t="s">
        <v>992</v>
      </c>
      <c r="F282" s="12" t="s">
        <v>320</v>
      </c>
      <c r="G282" s="12" t="s">
        <v>12</v>
      </c>
      <c r="H282" s="27"/>
      <c r="I282" s="12" t="s">
        <v>320</v>
      </c>
    </row>
    <row r="283" customFormat="false" ht="15" hidden="false" customHeight="false" outlineLevel="0" collapsed="false">
      <c r="A283" s="12" t="s">
        <v>144</v>
      </c>
      <c r="B283" s="12" t="s">
        <v>57</v>
      </c>
      <c r="C283" s="12" t="s">
        <v>476</v>
      </c>
      <c r="D283" s="12" t="s">
        <v>479</v>
      </c>
      <c r="E283" s="12"/>
      <c r="F283" s="12"/>
      <c r="G283" s="12" t="s">
        <v>485</v>
      </c>
      <c r="H283" s="27" t="n">
        <v>7.15</v>
      </c>
      <c r="I283" s="12" t="s">
        <v>320</v>
      </c>
    </row>
    <row r="284" customFormat="false" ht="15" hidden="false" customHeight="false" outlineLevel="0" collapsed="false">
      <c r="A284" s="12" t="s">
        <v>172</v>
      </c>
      <c r="B284" s="12" t="s">
        <v>57</v>
      </c>
      <c r="C284" s="12" t="s">
        <v>172</v>
      </c>
      <c r="D284" s="12" t="s">
        <v>726</v>
      </c>
      <c r="E284" s="12"/>
      <c r="F284" s="12"/>
      <c r="G284" s="12" t="s">
        <v>485</v>
      </c>
      <c r="H284" s="27"/>
      <c r="I284" s="12" t="s">
        <v>320</v>
      </c>
    </row>
    <row r="285" customFormat="false" ht="15" hidden="false" customHeight="false" outlineLevel="0" collapsed="false">
      <c r="A285" s="12" t="s">
        <v>183</v>
      </c>
      <c r="B285" s="12" t="s">
        <v>57</v>
      </c>
      <c r="C285" s="12" t="s">
        <v>815</v>
      </c>
      <c r="D285" s="12" t="s">
        <v>816</v>
      </c>
      <c r="E285" s="12" t="s">
        <v>993</v>
      </c>
      <c r="F285" s="12" t="s">
        <v>320</v>
      </c>
      <c r="G285" s="12" t="s">
        <v>12</v>
      </c>
      <c r="H285" s="27"/>
      <c r="I285" s="12" t="s">
        <v>320</v>
      </c>
    </row>
    <row r="286" customFormat="false" ht="15" hidden="false" customHeight="false" outlineLevel="0" collapsed="false">
      <c r="A286" s="12" t="s">
        <v>199</v>
      </c>
      <c r="B286" s="12" t="s">
        <v>57</v>
      </c>
      <c r="C286" s="12" t="s">
        <v>546</v>
      </c>
      <c r="D286" s="12" t="s">
        <v>547</v>
      </c>
      <c r="E286" s="12" t="s">
        <v>484</v>
      </c>
      <c r="F286" s="12" t="s">
        <v>484</v>
      </c>
      <c r="G286" s="12" t="s">
        <v>485</v>
      </c>
      <c r="H286" s="27"/>
      <c r="I286" s="12" t="s">
        <v>320</v>
      </c>
    </row>
    <row r="287" customFormat="false" ht="15" hidden="false" customHeight="false" outlineLevel="0" collapsed="false">
      <c r="A287" s="12" t="s">
        <v>62</v>
      </c>
      <c r="B287" s="12" t="s">
        <v>57</v>
      </c>
      <c r="C287" s="12" t="s">
        <v>62</v>
      </c>
      <c r="D287" s="12" t="s">
        <v>558</v>
      </c>
      <c r="E287" s="12" t="s">
        <v>994</v>
      </c>
      <c r="F287" s="12" t="s">
        <v>12</v>
      </c>
      <c r="G287" s="12" t="s">
        <v>12</v>
      </c>
      <c r="H287" s="27" t="n">
        <v>22.25</v>
      </c>
      <c r="I287" s="12" t="s">
        <v>333</v>
      </c>
    </row>
    <row r="288" customFormat="false" ht="15" hidden="false" customHeight="false" outlineLevel="0" collapsed="false">
      <c r="A288" s="12" t="s">
        <v>136</v>
      </c>
      <c r="B288" s="12" t="s">
        <v>57</v>
      </c>
      <c r="C288" s="12" t="s">
        <v>136</v>
      </c>
      <c r="D288" s="12" t="s">
        <v>995</v>
      </c>
      <c r="E288" s="12" t="s">
        <v>996</v>
      </c>
      <c r="F288" s="12" t="s">
        <v>12</v>
      </c>
      <c r="G288" s="12" t="s">
        <v>12</v>
      </c>
      <c r="H288" s="27" t="n">
        <v>9.12</v>
      </c>
      <c r="I288" s="12" t="s">
        <v>320</v>
      </c>
    </row>
    <row r="289" customFormat="false" ht="15" hidden="false" customHeight="false" outlineLevel="0" collapsed="false">
      <c r="A289" s="12" t="s">
        <v>180</v>
      </c>
      <c r="B289" s="12" t="s">
        <v>57</v>
      </c>
      <c r="C289" s="12" t="s">
        <v>180</v>
      </c>
      <c r="D289" s="12" t="s">
        <v>997</v>
      </c>
      <c r="E289" s="12" t="s">
        <v>998</v>
      </c>
      <c r="F289" s="12" t="s">
        <v>12</v>
      </c>
      <c r="G289" s="12" t="s">
        <v>12</v>
      </c>
      <c r="H289" s="27" t="n">
        <v>6.53</v>
      </c>
      <c r="I289" s="12" t="s">
        <v>320</v>
      </c>
    </row>
    <row r="290" customFormat="false" ht="15" hidden="false" customHeight="false" outlineLevel="0" collapsed="false">
      <c r="A290" s="12" t="s">
        <v>184</v>
      </c>
      <c r="B290" s="12" t="s">
        <v>57</v>
      </c>
      <c r="C290" s="12" t="s">
        <v>841</v>
      </c>
      <c r="D290" s="12" t="s">
        <v>842</v>
      </c>
      <c r="E290" s="12" t="s">
        <v>999</v>
      </c>
      <c r="F290" s="12" t="s">
        <v>12</v>
      </c>
      <c r="G290" s="12" t="s">
        <v>12</v>
      </c>
      <c r="H290" s="27" t="n">
        <v>21.78</v>
      </c>
      <c r="I290" s="12" t="s">
        <v>320</v>
      </c>
    </row>
    <row r="291" customFormat="false" ht="15" hidden="false" customHeight="false" outlineLevel="0" collapsed="false">
      <c r="A291" s="12" t="s">
        <v>184</v>
      </c>
      <c r="B291" s="12" t="s">
        <v>57</v>
      </c>
      <c r="C291" s="12" t="s">
        <v>841</v>
      </c>
      <c r="D291" s="12" t="s">
        <v>844</v>
      </c>
      <c r="E291" s="12" t="s">
        <v>845</v>
      </c>
      <c r="F291" s="12" t="s">
        <v>12</v>
      </c>
      <c r="G291" s="12" t="s">
        <v>12</v>
      </c>
      <c r="H291" s="27" t="n">
        <v>48.28</v>
      </c>
      <c r="I291" s="12" t="s">
        <v>320</v>
      </c>
    </row>
    <row r="292" customFormat="false" ht="15" hidden="false" customHeight="false" outlineLevel="0" collapsed="false">
      <c r="A292" s="12" t="s">
        <v>170</v>
      </c>
      <c r="B292" s="12" t="s">
        <v>57</v>
      </c>
      <c r="C292" s="12" t="s">
        <v>170</v>
      </c>
      <c r="D292" s="12" t="s">
        <v>596</v>
      </c>
      <c r="E292" s="12" t="s">
        <v>1000</v>
      </c>
      <c r="F292" s="12" t="s">
        <v>320</v>
      </c>
      <c r="G292" s="12" t="s">
        <v>12</v>
      </c>
      <c r="H292" s="27" t="n">
        <v>343.8</v>
      </c>
      <c r="I292" s="12" t="s">
        <v>320</v>
      </c>
    </row>
    <row r="293" customFormat="false" ht="15" hidden="false" customHeight="false" outlineLevel="0" collapsed="false">
      <c r="A293" s="12" t="s">
        <v>184</v>
      </c>
      <c r="B293" s="12" t="s">
        <v>57</v>
      </c>
      <c r="C293" s="12" t="s">
        <v>184</v>
      </c>
      <c r="D293" s="12" t="s">
        <v>672</v>
      </c>
      <c r="E293" s="12" t="s">
        <v>785</v>
      </c>
      <c r="F293" s="12" t="s">
        <v>320</v>
      </c>
      <c r="G293" s="12" t="s">
        <v>12</v>
      </c>
      <c r="H293" s="27" t="n">
        <v>67.02</v>
      </c>
      <c r="I293" s="12" t="s">
        <v>320</v>
      </c>
    </row>
    <row r="294" customFormat="false" ht="15" hidden="false" customHeight="false" outlineLevel="0" collapsed="false">
      <c r="A294" s="12" t="s">
        <v>53</v>
      </c>
      <c r="B294" s="12" t="s">
        <v>57</v>
      </c>
      <c r="C294" s="12" t="s">
        <v>53</v>
      </c>
      <c r="D294" s="12" t="s">
        <v>605</v>
      </c>
      <c r="E294" s="12" t="s">
        <v>606</v>
      </c>
      <c r="F294" s="12" t="s">
        <v>320</v>
      </c>
      <c r="G294" s="12" t="s">
        <v>12</v>
      </c>
      <c r="H294" s="27" t="n">
        <v>360.71</v>
      </c>
      <c r="I294" s="12" t="s">
        <v>333</v>
      </c>
    </row>
    <row r="295" customFormat="false" ht="15" hidden="false" customHeight="false" outlineLevel="0" collapsed="false">
      <c r="A295" s="12" t="s">
        <v>86</v>
      </c>
      <c r="B295" s="12" t="s">
        <v>57</v>
      </c>
      <c r="C295" s="12" t="s">
        <v>86</v>
      </c>
      <c r="D295" s="12" t="s">
        <v>738</v>
      </c>
      <c r="E295" s="12" t="s">
        <v>627</v>
      </c>
      <c r="F295" s="12" t="s">
        <v>320</v>
      </c>
      <c r="G295" s="12" t="s">
        <v>12</v>
      </c>
      <c r="H295" s="27" t="n">
        <v>73.77</v>
      </c>
      <c r="I295" s="12" t="s">
        <v>333</v>
      </c>
    </row>
    <row r="296" customFormat="false" ht="15" hidden="false" customHeight="false" outlineLevel="0" collapsed="false">
      <c r="A296" s="12" t="s">
        <v>170</v>
      </c>
      <c r="B296" s="12" t="s">
        <v>57</v>
      </c>
      <c r="C296" s="12" t="s">
        <v>170</v>
      </c>
      <c r="D296" s="12" t="s">
        <v>603</v>
      </c>
      <c r="E296" s="12" t="s">
        <v>604</v>
      </c>
      <c r="F296" s="12" t="s">
        <v>320</v>
      </c>
      <c r="G296" s="12" t="s">
        <v>12</v>
      </c>
      <c r="H296" s="27" t="n">
        <v>6345.6</v>
      </c>
      <c r="I296" s="12" t="s">
        <v>320</v>
      </c>
    </row>
    <row r="297" customFormat="false" ht="15" hidden="false" customHeight="false" outlineLevel="0" collapsed="false">
      <c r="A297" s="12" t="s">
        <v>64</v>
      </c>
      <c r="B297" s="12" t="s">
        <v>57</v>
      </c>
      <c r="C297" s="12" t="s">
        <v>64</v>
      </c>
      <c r="D297" s="12" t="s">
        <v>952</v>
      </c>
      <c r="E297" s="12" t="s">
        <v>1001</v>
      </c>
      <c r="F297" s="12" t="s">
        <v>320</v>
      </c>
      <c r="G297" s="12" t="s">
        <v>12</v>
      </c>
      <c r="H297" s="27" t="n">
        <v>29.45</v>
      </c>
      <c r="I297" s="12" t="s">
        <v>320</v>
      </c>
    </row>
    <row r="298" customFormat="false" ht="15" hidden="false" customHeight="false" outlineLevel="0" collapsed="false">
      <c r="A298" s="12" t="s">
        <v>62</v>
      </c>
      <c r="B298" s="12" t="s">
        <v>57</v>
      </c>
      <c r="C298" s="12" t="s">
        <v>62</v>
      </c>
      <c r="D298" s="12" t="s">
        <v>1002</v>
      </c>
      <c r="E298" s="12" t="s">
        <v>1003</v>
      </c>
      <c r="F298" s="12" t="s">
        <v>320</v>
      </c>
      <c r="G298" s="12" t="s">
        <v>12</v>
      </c>
      <c r="H298" s="27" t="n">
        <v>187.18</v>
      </c>
      <c r="I298" s="12" t="s">
        <v>320</v>
      </c>
    </row>
    <row r="299" customFormat="false" ht="15" hidden="false" customHeight="false" outlineLevel="0" collapsed="false">
      <c r="A299" s="12" t="s">
        <v>185</v>
      </c>
      <c r="B299" s="12" t="s">
        <v>57</v>
      </c>
      <c r="C299" s="12" t="s">
        <v>185</v>
      </c>
      <c r="D299" s="12" t="s">
        <v>1004</v>
      </c>
      <c r="E299" s="12" t="s">
        <v>1005</v>
      </c>
      <c r="F299" s="12" t="s">
        <v>320</v>
      </c>
      <c r="G299" s="12" t="s">
        <v>12</v>
      </c>
      <c r="H299" s="27" t="n">
        <v>10.85</v>
      </c>
      <c r="I299" s="12" t="s">
        <v>333</v>
      </c>
    </row>
    <row r="300" customFormat="false" ht="15" hidden="false" customHeight="false" outlineLevel="0" collapsed="false">
      <c r="A300" s="12" t="s">
        <v>162</v>
      </c>
      <c r="B300" s="12" t="s">
        <v>57</v>
      </c>
      <c r="C300" s="12" t="s">
        <v>162</v>
      </c>
      <c r="D300" s="12" t="s">
        <v>607</v>
      </c>
      <c r="E300" s="12" t="s">
        <v>608</v>
      </c>
      <c r="F300" s="12" t="s">
        <v>320</v>
      </c>
      <c r="G300" s="12" t="s">
        <v>12</v>
      </c>
      <c r="H300" s="27" t="n">
        <v>6.61</v>
      </c>
      <c r="I300" s="12" t="s">
        <v>320</v>
      </c>
    </row>
    <row r="301" customFormat="false" ht="15" hidden="false" customHeight="false" outlineLevel="0" collapsed="false">
      <c r="A301" s="12" t="s">
        <v>139</v>
      </c>
      <c r="B301" s="12" t="s">
        <v>57</v>
      </c>
      <c r="C301" s="12" t="s">
        <v>139</v>
      </c>
      <c r="D301" s="12" t="s">
        <v>907</v>
      </c>
      <c r="E301" s="12" t="s">
        <v>908</v>
      </c>
      <c r="F301" s="12" t="s">
        <v>320</v>
      </c>
      <c r="G301" s="12" t="s">
        <v>12</v>
      </c>
      <c r="H301" s="27" t="n">
        <v>35.22</v>
      </c>
      <c r="I301" s="12" t="s">
        <v>333</v>
      </c>
    </row>
    <row r="302" customFormat="false" ht="15" hidden="false" customHeight="false" outlineLevel="0" collapsed="false">
      <c r="A302" s="12" t="s">
        <v>53</v>
      </c>
      <c r="B302" s="12" t="s">
        <v>57</v>
      </c>
      <c r="C302" s="12" t="s">
        <v>1006</v>
      </c>
      <c r="D302" s="12"/>
      <c r="E302" s="12"/>
      <c r="F302" s="12"/>
      <c r="G302" s="12" t="s">
        <v>485</v>
      </c>
      <c r="H302" s="27"/>
      <c r="I302" s="12" t="s">
        <v>320</v>
      </c>
    </row>
    <row r="303" customFormat="false" ht="15" hidden="false" customHeight="false" outlineLevel="0" collapsed="false">
      <c r="A303" s="12" t="s">
        <v>62</v>
      </c>
      <c r="B303" s="12" t="s">
        <v>57</v>
      </c>
      <c r="C303" s="12" t="s">
        <v>1007</v>
      </c>
      <c r="D303" s="12" t="s">
        <v>1008</v>
      </c>
      <c r="E303" s="12" t="s">
        <v>1009</v>
      </c>
      <c r="F303" s="12" t="s">
        <v>320</v>
      </c>
      <c r="G303" s="12" t="s">
        <v>12</v>
      </c>
      <c r="H303" s="27" t="n">
        <v>1444.1174</v>
      </c>
      <c r="I303" s="12" t="s">
        <v>320</v>
      </c>
    </row>
    <row r="304" customFormat="false" ht="15" hidden="false" customHeight="false" outlineLevel="0" collapsed="false">
      <c r="A304" s="12" t="s">
        <v>64</v>
      </c>
      <c r="B304" s="12" t="s">
        <v>57</v>
      </c>
      <c r="C304" s="12" t="s">
        <v>1010</v>
      </c>
      <c r="D304" s="12" t="s">
        <v>635</v>
      </c>
      <c r="E304" s="12" t="s">
        <v>1001</v>
      </c>
      <c r="F304" s="12" t="s">
        <v>320</v>
      </c>
      <c r="G304" s="12" t="s">
        <v>12</v>
      </c>
      <c r="H304" s="27" t="n">
        <v>48.3866</v>
      </c>
      <c r="I304" s="12" t="s">
        <v>320</v>
      </c>
    </row>
    <row r="305" customFormat="false" ht="15" hidden="false" customHeight="false" outlineLevel="0" collapsed="false">
      <c r="A305" s="12" t="s">
        <v>86</v>
      </c>
      <c r="B305" s="12" t="s">
        <v>57</v>
      </c>
      <c r="C305" s="12" t="s">
        <v>1011</v>
      </c>
      <c r="D305" s="12" t="s">
        <v>626</v>
      </c>
      <c r="E305" s="12" t="s">
        <v>627</v>
      </c>
      <c r="F305" s="12" t="s">
        <v>320</v>
      </c>
      <c r="G305" s="12" t="s">
        <v>12</v>
      </c>
      <c r="H305" s="27" t="n">
        <v>93.7335</v>
      </c>
      <c r="I305" s="12" t="s">
        <v>333</v>
      </c>
    </row>
    <row r="306" customFormat="false" ht="15" hidden="false" customHeight="false" outlineLevel="0" collapsed="false">
      <c r="A306" s="12" t="s">
        <v>139</v>
      </c>
      <c r="B306" s="12" t="s">
        <v>57</v>
      </c>
      <c r="C306" s="12" t="s">
        <v>1012</v>
      </c>
      <c r="D306" s="12" t="s">
        <v>641</v>
      </c>
      <c r="E306" s="12" t="s">
        <v>1013</v>
      </c>
      <c r="F306" s="12" t="s">
        <v>320</v>
      </c>
      <c r="G306" s="12" t="s">
        <v>12</v>
      </c>
      <c r="H306" s="27" t="n">
        <v>147.804</v>
      </c>
      <c r="I306" s="12" t="s">
        <v>333</v>
      </c>
    </row>
    <row r="307" customFormat="false" ht="15" hidden="false" customHeight="false" outlineLevel="0" collapsed="false">
      <c r="A307" s="12" t="s">
        <v>139</v>
      </c>
      <c r="B307" s="12" t="s">
        <v>57</v>
      </c>
      <c r="C307" s="12" t="s">
        <v>1014</v>
      </c>
      <c r="D307" s="12" t="s">
        <v>641</v>
      </c>
      <c r="E307" s="12" t="s">
        <v>908</v>
      </c>
      <c r="F307" s="12" t="s">
        <v>320</v>
      </c>
      <c r="G307" s="12" t="s">
        <v>12</v>
      </c>
      <c r="H307" s="27" t="n">
        <v>95.2025</v>
      </c>
      <c r="I307" s="12" t="s">
        <v>333</v>
      </c>
    </row>
    <row r="308" customFormat="false" ht="15" hidden="false" customHeight="false" outlineLevel="0" collapsed="false">
      <c r="A308" s="12" t="s">
        <v>162</v>
      </c>
      <c r="B308" s="12" t="s">
        <v>57</v>
      </c>
      <c r="C308" s="12" t="s">
        <v>1015</v>
      </c>
      <c r="D308" s="12" t="s">
        <v>924</v>
      </c>
      <c r="E308" s="12" t="s">
        <v>904</v>
      </c>
      <c r="F308" s="12" t="s">
        <v>320</v>
      </c>
      <c r="G308" s="12" t="s">
        <v>12</v>
      </c>
      <c r="H308" s="27" t="n">
        <v>5.5596</v>
      </c>
      <c r="I308" s="12" t="s">
        <v>333</v>
      </c>
    </row>
    <row r="309" customFormat="false" ht="15" hidden="false" customHeight="false" outlineLevel="0" collapsed="false">
      <c r="A309" s="12" t="s">
        <v>170</v>
      </c>
      <c r="B309" s="12" t="s">
        <v>57</v>
      </c>
      <c r="C309" s="12" t="s">
        <v>1016</v>
      </c>
      <c r="D309" s="12" t="s">
        <v>655</v>
      </c>
      <c r="E309" s="12" t="s">
        <v>604</v>
      </c>
      <c r="F309" s="12" t="s">
        <v>320</v>
      </c>
      <c r="G309" s="12" t="s">
        <v>12</v>
      </c>
      <c r="H309" s="27" t="n">
        <v>7322.4226</v>
      </c>
      <c r="I309" s="12" t="s">
        <v>320</v>
      </c>
    </row>
    <row r="310" customFormat="false" ht="15" hidden="false" customHeight="false" outlineLevel="0" collapsed="false">
      <c r="A310" s="12" t="s">
        <v>177</v>
      </c>
      <c r="B310" s="12" t="s">
        <v>57</v>
      </c>
      <c r="C310" s="12" t="s">
        <v>1017</v>
      </c>
      <c r="D310" s="12" t="s">
        <v>1018</v>
      </c>
      <c r="E310" s="12" t="s">
        <v>1001</v>
      </c>
      <c r="F310" s="12" t="s">
        <v>320</v>
      </c>
      <c r="G310" s="12" t="s">
        <v>12</v>
      </c>
      <c r="H310" s="27" t="n">
        <v>6.1698</v>
      </c>
      <c r="I310" s="12" t="s">
        <v>320</v>
      </c>
    </row>
    <row r="311" customFormat="false" ht="15" hidden="false" customHeight="false" outlineLevel="0" collapsed="false">
      <c r="A311" s="12" t="s">
        <v>184</v>
      </c>
      <c r="B311" s="12" t="s">
        <v>57</v>
      </c>
      <c r="C311" s="12" t="s">
        <v>1019</v>
      </c>
      <c r="D311" s="12" t="s">
        <v>864</v>
      </c>
      <c r="E311" s="12" t="s">
        <v>1020</v>
      </c>
      <c r="F311" s="12" t="s">
        <v>320</v>
      </c>
      <c r="G311" s="12" t="s">
        <v>485</v>
      </c>
      <c r="H311" s="27" t="n">
        <v>65.0089</v>
      </c>
      <c r="I311" s="12" t="s">
        <v>320</v>
      </c>
    </row>
    <row r="312" customFormat="false" ht="15" hidden="false" customHeight="false" outlineLevel="0" collapsed="false">
      <c r="A312" s="12" t="s">
        <v>185</v>
      </c>
      <c r="B312" s="12" t="s">
        <v>57</v>
      </c>
      <c r="C312" s="12" t="s">
        <v>1021</v>
      </c>
      <c r="D312" s="12" t="s">
        <v>1022</v>
      </c>
      <c r="E312" s="12" t="s">
        <v>1023</v>
      </c>
      <c r="F312" s="12" t="s">
        <v>320</v>
      </c>
      <c r="G312" s="12" t="s">
        <v>13</v>
      </c>
      <c r="H312" s="27" t="n">
        <v>62.2065</v>
      </c>
      <c r="I312" s="12" t="s">
        <v>333</v>
      </c>
    </row>
    <row r="313" customFormat="false" ht="15" hidden="false" customHeight="false" outlineLevel="0" collapsed="false">
      <c r="A313" s="12" t="s">
        <v>62</v>
      </c>
      <c r="B313" s="12" t="s">
        <v>57</v>
      </c>
      <c r="C313" s="12" t="s">
        <v>1024</v>
      </c>
      <c r="D313" s="12" t="s">
        <v>707</v>
      </c>
      <c r="E313" s="12" t="s">
        <v>708</v>
      </c>
      <c r="F313" s="12" t="s">
        <v>320</v>
      </c>
      <c r="G313" s="12" t="s">
        <v>12</v>
      </c>
      <c r="H313" s="27"/>
      <c r="I313" s="12" t="s">
        <v>333</v>
      </c>
    </row>
    <row r="314" customFormat="false" ht="15" hidden="false" customHeight="false" outlineLevel="0" collapsed="false">
      <c r="A314" s="12" t="s">
        <v>117</v>
      </c>
      <c r="B314" s="12" t="s">
        <v>57</v>
      </c>
      <c r="C314" s="12" t="s">
        <v>1025</v>
      </c>
      <c r="D314" s="12" t="s">
        <v>1026</v>
      </c>
      <c r="E314" s="12" t="s">
        <v>1027</v>
      </c>
      <c r="F314" s="12" t="s">
        <v>320</v>
      </c>
      <c r="G314" s="12" t="s">
        <v>13</v>
      </c>
      <c r="H314" s="27" t="n">
        <v>30.23</v>
      </c>
      <c r="I314" s="12" t="s">
        <v>320</v>
      </c>
    </row>
    <row r="315" customFormat="false" ht="15" hidden="false" customHeight="false" outlineLevel="0" collapsed="false">
      <c r="A315" s="12" t="s">
        <v>62</v>
      </c>
      <c r="B315" s="12" t="s">
        <v>57</v>
      </c>
      <c r="C315" s="12" t="s">
        <v>1028</v>
      </c>
      <c r="D315" s="12" t="s">
        <v>1029</v>
      </c>
      <c r="E315" s="12" t="s">
        <v>661</v>
      </c>
      <c r="F315" s="12" t="s">
        <v>320</v>
      </c>
      <c r="G315" s="12" t="s">
        <v>12</v>
      </c>
      <c r="H315" s="27" t="n">
        <v>118.13</v>
      </c>
      <c r="I315" s="12" t="s">
        <v>320</v>
      </c>
    </row>
    <row r="316" customFormat="false" ht="15" hidden="false" customHeight="false" outlineLevel="0" collapsed="false">
      <c r="A316" s="12" t="s">
        <v>62</v>
      </c>
      <c r="B316" s="12" t="s">
        <v>57</v>
      </c>
      <c r="C316" s="12" t="s">
        <v>1028</v>
      </c>
      <c r="D316" s="12" t="s">
        <v>1030</v>
      </c>
      <c r="E316" s="12" t="s">
        <v>788</v>
      </c>
      <c r="F316" s="12" t="s">
        <v>320</v>
      </c>
      <c r="G316" s="12" t="s">
        <v>12</v>
      </c>
      <c r="H316" s="27" t="n">
        <v>102.88</v>
      </c>
      <c r="I316" s="12" t="s">
        <v>320</v>
      </c>
    </row>
    <row r="317" customFormat="false" ht="15" hidden="false" customHeight="false" outlineLevel="0" collapsed="false">
      <c r="A317" s="12" t="s">
        <v>62</v>
      </c>
      <c r="B317" s="12" t="s">
        <v>57</v>
      </c>
      <c r="C317" s="12" t="s">
        <v>1028</v>
      </c>
      <c r="D317" s="12" t="s">
        <v>1031</v>
      </c>
      <c r="E317" s="12" t="s">
        <v>1032</v>
      </c>
      <c r="F317" s="12" t="s">
        <v>320</v>
      </c>
      <c r="G317" s="12" t="s">
        <v>12</v>
      </c>
      <c r="H317" s="27" t="n">
        <v>92.78</v>
      </c>
      <c r="I317" s="12" t="s">
        <v>320</v>
      </c>
    </row>
    <row r="318" customFormat="false" ht="15" hidden="false" customHeight="false" outlineLevel="0" collapsed="false">
      <c r="A318" s="12" t="s">
        <v>161</v>
      </c>
      <c r="B318" s="12" t="s">
        <v>57</v>
      </c>
      <c r="C318" s="12" t="s">
        <v>1033</v>
      </c>
      <c r="D318" s="12" t="s">
        <v>1034</v>
      </c>
      <c r="E318" s="12" t="s">
        <v>630</v>
      </c>
      <c r="F318" s="12" t="s">
        <v>320</v>
      </c>
      <c r="G318" s="12" t="s">
        <v>12</v>
      </c>
      <c r="H318" s="27" t="n">
        <v>13.99</v>
      </c>
      <c r="I318" s="12" t="s">
        <v>320</v>
      </c>
    </row>
    <row r="319" customFormat="false" ht="15" hidden="false" customHeight="false" outlineLevel="0" collapsed="false">
      <c r="A319" s="12" t="s">
        <v>184</v>
      </c>
      <c r="B319" s="12" t="s">
        <v>57</v>
      </c>
      <c r="C319" s="12" t="s">
        <v>1035</v>
      </c>
      <c r="D319" s="12" t="s">
        <v>1036</v>
      </c>
      <c r="E319" s="12" t="s">
        <v>1037</v>
      </c>
      <c r="F319" s="12" t="s">
        <v>320</v>
      </c>
      <c r="G319" s="12" t="s">
        <v>13</v>
      </c>
      <c r="H319" s="27" t="n">
        <v>8.68</v>
      </c>
      <c r="I319" s="12" t="s">
        <v>320</v>
      </c>
    </row>
    <row r="320" customFormat="false" ht="15" hidden="false" customHeight="false" outlineLevel="0" collapsed="false">
      <c r="A320" s="12" t="s">
        <v>170</v>
      </c>
      <c r="B320" s="12" t="s">
        <v>57</v>
      </c>
      <c r="C320" s="12" t="s">
        <v>1038</v>
      </c>
      <c r="D320" s="12" t="s">
        <v>1039</v>
      </c>
      <c r="E320" s="12" t="s">
        <v>604</v>
      </c>
      <c r="F320" s="12" t="s">
        <v>320</v>
      </c>
      <c r="G320" s="12" t="s">
        <v>12</v>
      </c>
      <c r="H320" s="27" t="n">
        <v>3147.91</v>
      </c>
      <c r="I320" s="12" t="s">
        <v>320</v>
      </c>
    </row>
    <row r="321" customFormat="false" ht="15" hidden="false" customHeight="false" outlineLevel="0" collapsed="false">
      <c r="A321" s="12" t="s">
        <v>62</v>
      </c>
      <c r="B321" s="12" t="s">
        <v>57</v>
      </c>
      <c r="C321" s="12" t="s">
        <v>1028</v>
      </c>
      <c r="D321" s="12" t="s">
        <v>1040</v>
      </c>
      <c r="E321" s="12" t="s">
        <v>894</v>
      </c>
      <c r="F321" s="12" t="s">
        <v>320</v>
      </c>
      <c r="G321" s="12" t="s">
        <v>12</v>
      </c>
      <c r="H321" s="27" t="n">
        <v>102.88</v>
      </c>
      <c r="I321" s="12" t="s">
        <v>333</v>
      </c>
    </row>
    <row r="322" customFormat="false" ht="15" hidden="false" customHeight="false" outlineLevel="0" collapsed="false">
      <c r="A322" s="12" t="s">
        <v>152</v>
      </c>
      <c r="B322" s="12" t="s">
        <v>44</v>
      </c>
      <c r="C322" s="12" t="s">
        <v>527</v>
      </c>
      <c r="D322" s="12" t="s">
        <v>530</v>
      </c>
      <c r="E322" s="12"/>
      <c r="F322" s="12"/>
      <c r="G322" s="12" t="s">
        <v>485</v>
      </c>
      <c r="H322" s="27"/>
      <c r="I322" s="12" t="s">
        <v>320</v>
      </c>
    </row>
    <row r="323" customFormat="false" ht="15" hidden="false" customHeight="false" outlineLevel="0" collapsed="false">
      <c r="A323" s="12" t="s">
        <v>152</v>
      </c>
      <c r="B323" s="12" t="s">
        <v>44</v>
      </c>
      <c r="C323" s="12" t="s">
        <v>527</v>
      </c>
      <c r="D323" s="12" t="s">
        <v>528</v>
      </c>
      <c r="E323" s="12"/>
      <c r="F323" s="12"/>
      <c r="G323" s="12" t="s">
        <v>485</v>
      </c>
      <c r="H323" s="27"/>
      <c r="I323" s="12" t="s">
        <v>320</v>
      </c>
    </row>
    <row r="324" customFormat="false" ht="15" hidden="false" customHeight="false" outlineLevel="0" collapsed="false">
      <c r="A324" s="12" t="s">
        <v>156</v>
      </c>
      <c r="B324" s="12" t="s">
        <v>44</v>
      </c>
      <c r="C324" s="12" t="s">
        <v>1041</v>
      </c>
      <c r="D324" s="12" t="s">
        <v>1042</v>
      </c>
      <c r="E324" s="12" t="s">
        <v>1043</v>
      </c>
      <c r="F324" s="12" t="s">
        <v>320</v>
      </c>
      <c r="G324" s="12" t="s">
        <v>12</v>
      </c>
      <c r="H324" s="27" t="n">
        <v>6.32</v>
      </c>
      <c r="I324" s="12" t="s">
        <v>320</v>
      </c>
    </row>
    <row r="325" customFormat="false" ht="15" hidden="false" customHeight="false" outlineLevel="0" collapsed="false">
      <c r="A325" s="12" t="s">
        <v>171</v>
      </c>
      <c r="B325" s="12" t="s">
        <v>44</v>
      </c>
      <c r="C325" s="12" t="s">
        <v>171</v>
      </c>
      <c r="D325" s="12" t="s">
        <v>534</v>
      </c>
      <c r="E325" s="12"/>
      <c r="F325" s="12"/>
      <c r="G325" s="12" t="s">
        <v>485</v>
      </c>
      <c r="H325" s="27"/>
      <c r="I325" s="12" t="s">
        <v>320</v>
      </c>
    </row>
    <row r="326" customFormat="false" ht="15" hidden="false" customHeight="false" outlineLevel="0" collapsed="false">
      <c r="A326" s="12" t="s">
        <v>59</v>
      </c>
      <c r="B326" s="12" t="s">
        <v>44</v>
      </c>
      <c r="C326" s="12" t="s">
        <v>59</v>
      </c>
      <c r="D326" s="12" t="s">
        <v>1044</v>
      </c>
      <c r="E326" s="12" t="s">
        <v>1045</v>
      </c>
      <c r="F326" s="12" t="s">
        <v>320</v>
      </c>
      <c r="G326" s="12" t="s">
        <v>12</v>
      </c>
      <c r="H326" s="27" t="n">
        <v>31.16</v>
      </c>
      <c r="I326" s="12" t="s">
        <v>333</v>
      </c>
    </row>
    <row r="327" customFormat="false" ht="15" hidden="false" customHeight="false" outlineLevel="0" collapsed="false">
      <c r="A327" s="12" t="s">
        <v>126</v>
      </c>
      <c r="B327" s="12" t="s">
        <v>44</v>
      </c>
      <c r="C327" s="12" t="s">
        <v>551</v>
      </c>
      <c r="D327" s="12" t="s">
        <v>552</v>
      </c>
      <c r="E327" s="12" t="s">
        <v>1046</v>
      </c>
      <c r="F327" s="12" t="s">
        <v>475</v>
      </c>
      <c r="G327" s="12" t="s">
        <v>14</v>
      </c>
      <c r="H327" s="27" t="n">
        <v>125</v>
      </c>
      <c r="I327" s="12" t="s">
        <v>320</v>
      </c>
    </row>
    <row r="328" customFormat="false" ht="15" hidden="false" customHeight="false" outlineLevel="0" collapsed="false">
      <c r="A328" s="12" t="s">
        <v>114</v>
      </c>
      <c r="B328" s="12" t="s">
        <v>44</v>
      </c>
      <c r="C328" s="12" t="s">
        <v>114</v>
      </c>
      <c r="D328" s="12" t="s">
        <v>486</v>
      </c>
      <c r="E328" s="12" t="s">
        <v>1047</v>
      </c>
      <c r="F328" s="12" t="s">
        <v>488</v>
      </c>
      <c r="G328" s="12" t="s">
        <v>14</v>
      </c>
      <c r="H328" s="27" t="n">
        <v>29.97</v>
      </c>
      <c r="I328" s="12" t="s">
        <v>320</v>
      </c>
    </row>
    <row r="329" customFormat="false" ht="15" hidden="false" customHeight="false" outlineLevel="0" collapsed="false">
      <c r="A329" s="12" t="s">
        <v>48</v>
      </c>
      <c r="B329" s="12" t="s">
        <v>44</v>
      </c>
      <c r="C329" s="12" t="s">
        <v>573</v>
      </c>
      <c r="D329" s="12" t="s">
        <v>574</v>
      </c>
      <c r="E329" s="12" t="s">
        <v>1048</v>
      </c>
      <c r="F329" s="12" t="s">
        <v>12</v>
      </c>
      <c r="G329" s="12" t="s">
        <v>12</v>
      </c>
      <c r="H329" s="27" t="n">
        <v>90.4</v>
      </c>
      <c r="I329" s="12" t="s">
        <v>320</v>
      </c>
    </row>
    <row r="330" customFormat="false" ht="15" hidden="false" customHeight="false" outlineLevel="0" collapsed="false">
      <c r="A330" s="12" t="s">
        <v>52</v>
      </c>
      <c r="B330" s="12" t="s">
        <v>44</v>
      </c>
      <c r="C330" s="12" t="s">
        <v>1049</v>
      </c>
      <c r="D330" s="12" t="s">
        <v>1050</v>
      </c>
      <c r="E330" s="12" t="s">
        <v>1051</v>
      </c>
      <c r="F330" s="12" t="s">
        <v>1052</v>
      </c>
      <c r="G330" s="12" t="s">
        <v>14</v>
      </c>
      <c r="H330" s="27" t="n">
        <v>31.1</v>
      </c>
      <c r="I330" s="12" t="s">
        <v>320</v>
      </c>
    </row>
    <row r="331" customFormat="false" ht="15" hidden="false" customHeight="false" outlineLevel="0" collapsed="false">
      <c r="A331" s="12" t="s">
        <v>52</v>
      </c>
      <c r="B331" s="12" t="s">
        <v>44</v>
      </c>
      <c r="C331" s="12" t="s">
        <v>1049</v>
      </c>
      <c r="D331" s="12" t="s">
        <v>1053</v>
      </c>
      <c r="E331" s="12" t="s">
        <v>1054</v>
      </c>
      <c r="F331" s="12" t="s">
        <v>12</v>
      </c>
      <c r="G331" s="12" t="s">
        <v>12</v>
      </c>
      <c r="H331" s="27" t="n">
        <v>9.25</v>
      </c>
      <c r="I331" s="12" t="s">
        <v>320</v>
      </c>
    </row>
    <row r="332" customFormat="false" ht="15" hidden="false" customHeight="false" outlineLevel="0" collapsed="false">
      <c r="A332" s="12" t="s">
        <v>52</v>
      </c>
      <c r="B332" s="12" t="s">
        <v>44</v>
      </c>
      <c r="C332" s="12" t="s">
        <v>1049</v>
      </c>
      <c r="D332" s="12" t="s">
        <v>1055</v>
      </c>
      <c r="E332" s="12" t="s">
        <v>1056</v>
      </c>
      <c r="F332" s="12" t="s">
        <v>1052</v>
      </c>
      <c r="G332" s="12" t="s">
        <v>14</v>
      </c>
      <c r="H332" s="27" t="n">
        <v>8.8</v>
      </c>
      <c r="I332" s="12" t="s">
        <v>320</v>
      </c>
    </row>
    <row r="333" customFormat="false" ht="15" hidden="false" customHeight="false" outlineLevel="0" collapsed="false">
      <c r="A333" s="12" t="s">
        <v>52</v>
      </c>
      <c r="B333" s="12" t="s">
        <v>44</v>
      </c>
      <c r="C333" s="12" t="s">
        <v>1049</v>
      </c>
      <c r="D333" s="12" t="s">
        <v>1057</v>
      </c>
      <c r="E333" s="12" t="s">
        <v>1058</v>
      </c>
      <c r="F333" s="12" t="s">
        <v>1052</v>
      </c>
      <c r="G333" s="12" t="s">
        <v>14</v>
      </c>
      <c r="H333" s="27" t="n">
        <v>9.18</v>
      </c>
      <c r="I333" s="12" t="s">
        <v>320</v>
      </c>
    </row>
    <row r="334" customFormat="false" ht="15" hidden="false" customHeight="false" outlineLevel="0" collapsed="false">
      <c r="A334" s="12" t="s">
        <v>52</v>
      </c>
      <c r="B334" s="12" t="s">
        <v>44</v>
      </c>
      <c r="C334" s="12" t="s">
        <v>1049</v>
      </c>
      <c r="D334" s="12" t="s">
        <v>1059</v>
      </c>
      <c r="E334" s="12" t="s">
        <v>1060</v>
      </c>
      <c r="F334" s="12" t="s">
        <v>12</v>
      </c>
      <c r="G334" s="12" t="s">
        <v>12</v>
      </c>
      <c r="H334" s="27" t="n">
        <v>12.74</v>
      </c>
      <c r="I334" s="12" t="s">
        <v>320</v>
      </c>
    </row>
    <row r="335" customFormat="false" ht="15" hidden="false" customHeight="false" outlineLevel="0" collapsed="false">
      <c r="A335" s="12" t="s">
        <v>163</v>
      </c>
      <c r="B335" s="12" t="s">
        <v>44</v>
      </c>
      <c r="C335" s="12" t="s">
        <v>163</v>
      </c>
      <c r="D335" s="12" t="s">
        <v>1061</v>
      </c>
      <c r="E335" s="12" t="s">
        <v>1062</v>
      </c>
      <c r="F335" s="12" t="s">
        <v>12</v>
      </c>
      <c r="G335" s="12" t="s">
        <v>12</v>
      </c>
      <c r="H335" s="27" t="n">
        <v>9.13</v>
      </c>
      <c r="I335" s="12" t="s">
        <v>320</v>
      </c>
    </row>
    <row r="336" customFormat="false" ht="15" hidden="false" customHeight="false" outlineLevel="0" collapsed="false">
      <c r="A336" s="12" t="s">
        <v>163</v>
      </c>
      <c r="B336" s="12" t="s">
        <v>44</v>
      </c>
      <c r="C336" s="12" t="s">
        <v>163</v>
      </c>
      <c r="D336" s="12" t="s">
        <v>1063</v>
      </c>
      <c r="E336" s="12" t="s">
        <v>1064</v>
      </c>
      <c r="F336" s="12" t="s">
        <v>12</v>
      </c>
      <c r="G336" s="12" t="s">
        <v>12</v>
      </c>
      <c r="H336" s="27" t="n">
        <v>17.95</v>
      </c>
      <c r="I336" s="12" t="s">
        <v>320</v>
      </c>
    </row>
    <row r="337" customFormat="false" ht="15" hidden="false" customHeight="false" outlineLevel="0" collapsed="false">
      <c r="A337" s="12" t="s">
        <v>175</v>
      </c>
      <c r="B337" s="12" t="s">
        <v>44</v>
      </c>
      <c r="C337" s="12" t="s">
        <v>175</v>
      </c>
      <c r="D337" s="12" t="s">
        <v>585</v>
      </c>
      <c r="E337" s="12" t="s">
        <v>1065</v>
      </c>
      <c r="F337" s="12" t="s">
        <v>587</v>
      </c>
      <c r="G337" s="12" t="s">
        <v>14</v>
      </c>
      <c r="H337" s="27"/>
      <c r="I337" s="12" t="s">
        <v>320</v>
      </c>
    </row>
    <row r="338" customFormat="false" ht="15" hidden="false" customHeight="false" outlineLevel="0" collapsed="false">
      <c r="A338" s="12" t="s">
        <v>86</v>
      </c>
      <c r="B338" s="12" t="s">
        <v>44</v>
      </c>
      <c r="C338" s="12" t="s">
        <v>86</v>
      </c>
      <c r="D338" s="12" t="s">
        <v>738</v>
      </c>
      <c r="E338" s="12" t="s">
        <v>627</v>
      </c>
      <c r="F338" s="12" t="s">
        <v>320</v>
      </c>
      <c r="G338" s="12" t="s">
        <v>12</v>
      </c>
      <c r="H338" s="27" t="n">
        <v>79.32</v>
      </c>
      <c r="I338" s="12" t="s">
        <v>333</v>
      </c>
    </row>
    <row r="339" customFormat="false" ht="15" hidden="false" customHeight="false" outlineLevel="0" collapsed="false">
      <c r="A339" s="12" t="s">
        <v>59</v>
      </c>
      <c r="B339" s="12" t="s">
        <v>44</v>
      </c>
      <c r="C339" s="12" t="s">
        <v>59</v>
      </c>
      <c r="D339" s="12" t="s">
        <v>601</v>
      </c>
      <c r="E339" s="12" t="s">
        <v>1066</v>
      </c>
      <c r="F339" s="12" t="s">
        <v>320</v>
      </c>
      <c r="G339" s="12" t="s">
        <v>12</v>
      </c>
      <c r="H339" s="27" t="n">
        <v>231.35</v>
      </c>
      <c r="I339" s="12" t="s">
        <v>333</v>
      </c>
    </row>
    <row r="340" customFormat="false" ht="15" hidden="false" customHeight="false" outlineLevel="0" collapsed="false">
      <c r="A340" s="12" t="s">
        <v>114</v>
      </c>
      <c r="B340" s="12" t="s">
        <v>44</v>
      </c>
      <c r="C340" s="12" t="s">
        <v>114</v>
      </c>
      <c r="D340" s="12" t="s">
        <v>601</v>
      </c>
      <c r="E340" s="12" t="s">
        <v>602</v>
      </c>
      <c r="F340" s="12" t="s">
        <v>475</v>
      </c>
      <c r="G340" s="12" t="s">
        <v>14</v>
      </c>
      <c r="H340" s="27" t="n">
        <v>345.31</v>
      </c>
      <c r="I340" s="12" t="s">
        <v>320</v>
      </c>
    </row>
    <row r="341" customFormat="false" ht="15" hidden="false" customHeight="false" outlineLevel="0" collapsed="false">
      <c r="A341" s="12" t="s">
        <v>62</v>
      </c>
      <c r="B341" s="12" t="s">
        <v>44</v>
      </c>
      <c r="C341" s="12" t="s">
        <v>62</v>
      </c>
      <c r="D341" s="12" t="s">
        <v>1067</v>
      </c>
      <c r="E341" s="12" t="s">
        <v>1068</v>
      </c>
      <c r="F341" s="12" t="s">
        <v>475</v>
      </c>
      <c r="G341" s="12" t="s">
        <v>14</v>
      </c>
      <c r="H341" s="27"/>
      <c r="I341" s="12" t="s">
        <v>320</v>
      </c>
    </row>
    <row r="342" customFormat="false" ht="15" hidden="false" customHeight="false" outlineLevel="0" collapsed="false">
      <c r="A342" s="12" t="s">
        <v>184</v>
      </c>
      <c r="B342" s="12" t="s">
        <v>44</v>
      </c>
      <c r="C342" s="12" t="s">
        <v>184</v>
      </c>
      <c r="D342" s="12" t="s">
        <v>672</v>
      </c>
      <c r="E342" s="12" t="s">
        <v>972</v>
      </c>
      <c r="F342" s="12" t="s">
        <v>320</v>
      </c>
      <c r="G342" s="12" t="s">
        <v>12</v>
      </c>
      <c r="H342" s="27" t="n">
        <v>67.02</v>
      </c>
      <c r="I342" s="12" t="s">
        <v>320</v>
      </c>
    </row>
    <row r="343" customFormat="false" ht="15" hidden="false" customHeight="false" outlineLevel="0" collapsed="false">
      <c r="A343" s="12" t="s">
        <v>88</v>
      </c>
      <c r="B343" s="12" t="s">
        <v>44</v>
      </c>
      <c r="C343" s="12" t="s">
        <v>1069</v>
      </c>
      <c r="D343" s="12" t="s">
        <v>1070</v>
      </c>
      <c r="E343" s="12" t="s">
        <v>1071</v>
      </c>
      <c r="F343" s="12" t="s">
        <v>320</v>
      </c>
      <c r="G343" s="12" t="s">
        <v>12</v>
      </c>
      <c r="H343" s="27" t="n">
        <v>145.71</v>
      </c>
      <c r="I343" s="12" t="s">
        <v>320</v>
      </c>
    </row>
    <row r="344" customFormat="false" ht="15" hidden="false" customHeight="false" outlineLevel="0" collapsed="false">
      <c r="A344" s="12" t="s">
        <v>174</v>
      </c>
      <c r="B344" s="12" t="s">
        <v>44</v>
      </c>
      <c r="C344" s="12" t="s">
        <v>1072</v>
      </c>
      <c r="D344" s="12" t="s">
        <v>952</v>
      </c>
      <c r="E344" s="12" t="s">
        <v>1073</v>
      </c>
      <c r="F344" s="12" t="s">
        <v>320</v>
      </c>
      <c r="G344" s="12" t="s">
        <v>12</v>
      </c>
      <c r="H344" s="27" t="n">
        <v>655.58</v>
      </c>
      <c r="I344" s="12" t="s">
        <v>320</v>
      </c>
    </row>
    <row r="345" customFormat="false" ht="15" hidden="false" customHeight="false" outlineLevel="0" collapsed="false">
      <c r="A345" s="12" t="s">
        <v>126</v>
      </c>
      <c r="B345" s="12" t="s">
        <v>44</v>
      </c>
      <c r="C345" s="12" t="s">
        <v>1074</v>
      </c>
      <c r="D345" s="12" t="s">
        <v>1075</v>
      </c>
      <c r="E345" s="12" t="s">
        <v>1076</v>
      </c>
      <c r="F345" s="12" t="s">
        <v>475</v>
      </c>
      <c r="G345" s="12" t="s">
        <v>14</v>
      </c>
      <c r="H345" s="27" t="n">
        <v>86.46</v>
      </c>
      <c r="I345" s="12" t="s">
        <v>320</v>
      </c>
    </row>
    <row r="346" customFormat="false" ht="15" hidden="false" customHeight="false" outlineLevel="0" collapsed="false">
      <c r="A346" s="12" t="s">
        <v>161</v>
      </c>
      <c r="B346" s="12" t="s">
        <v>44</v>
      </c>
      <c r="C346" s="12" t="s">
        <v>1077</v>
      </c>
      <c r="D346" s="12" t="s">
        <v>1078</v>
      </c>
      <c r="E346" s="12" t="s">
        <v>1079</v>
      </c>
      <c r="F346" s="12" t="s">
        <v>320</v>
      </c>
      <c r="G346" s="12" t="s">
        <v>12</v>
      </c>
      <c r="H346" s="27" t="n">
        <v>70.2</v>
      </c>
      <c r="I346" s="12" t="s">
        <v>320</v>
      </c>
    </row>
    <row r="347" customFormat="false" ht="15" hidden="false" customHeight="false" outlineLevel="0" collapsed="false">
      <c r="A347" s="12" t="s">
        <v>164</v>
      </c>
      <c r="B347" s="12" t="s">
        <v>44</v>
      </c>
      <c r="C347" s="12" t="s">
        <v>1080</v>
      </c>
      <c r="D347" s="12" t="s">
        <v>1081</v>
      </c>
      <c r="E347" s="12" t="s">
        <v>1082</v>
      </c>
      <c r="F347" s="12" t="s">
        <v>475</v>
      </c>
      <c r="G347" s="12" t="s">
        <v>14</v>
      </c>
      <c r="H347" s="27" t="n">
        <v>907.38</v>
      </c>
      <c r="I347" s="12" t="s">
        <v>320</v>
      </c>
    </row>
    <row r="348" customFormat="false" ht="15" hidden="false" customHeight="false" outlineLevel="0" collapsed="false">
      <c r="A348" s="12" t="s">
        <v>53</v>
      </c>
      <c r="B348" s="12" t="s">
        <v>44</v>
      </c>
      <c r="C348" s="12" t="s">
        <v>1083</v>
      </c>
      <c r="D348" s="12" t="s">
        <v>605</v>
      </c>
      <c r="E348" s="12" t="s">
        <v>1084</v>
      </c>
      <c r="F348" s="12" t="s">
        <v>320</v>
      </c>
      <c r="G348" s="12" t="s">
        <v>12</v>
      </c>
      <c r="H348" s="27" t="n">
        <v>360.71</v>
      </c>
      <c r="I348" s="12" t="s">
        <v>320</v>
      </c>
    </row>
    <row r="349" customFormat="false" ht="15" hidden="false" customHeight="false" outlineLevel="0" collapsed="false">
      <c r="A349" s="12" t="s">
        <v>170</v>
      </c>
      <c r="B349" s="12" t="s">
        <v>44</v>
      </c>
      <c r="C349" s="12" t="s">
        <v>170</v>
      </c>
      <c r="D349" s="12" t="s">
        <v>603</v>
      </c>
      <c r="E349" s="12" t="s">
        <v>604</v>
      </c>
      <c r="F349" s="12" t="s">
        <v>320</v>
      </c>
      <c r="G349" s="12" t="s">
        <v>12</v>
      </c>
      <c r="H349" s="27" t="n">
        <v>6455.02</v>
      </c>
      <c r="I349" s="12" t="s">
        <v>320</v>
      </c>
    </row>
    <row r="350" customFormat="false" ht="15" hidden="false" customHeight="false" outlineLevel="0" collapsed="false">
      <c r="A350" s="12" t="s">
        <v>87</v>
      </c>
      <c r="B350" s="12" t="s">
        <v>44</v>
      </c>
      <c r="C350" s="12" t="s">
        <v>87</v>
      </c>
      <c r="D350" s="12" t="s">
        <v>1085</v>
      </c>
      <c r="E350" s="12" t="s">
        <v>1086</v>
      </c>
      <c r="F350" s="12" t="s">
        <v>320</v>
      </c>
      <c r="G350" s="12" t="s">
        <v>12</v>
      </c>
      <c r="H350" s="27" t="n">
        <v>132.2</v>
      </c>
      <c r="I350" s="12" t="s">
        <v>320</v>
      </c>
    </row>
    <row r="351" customFormat="false" ht="15" hidden="false" customHeight="false" outlineLevel="0" collapsed="false">
      <c r="A351" s="12" t="s">
        <v>196</v>
      </c>
      <c r="B351" s="12" t="s">
        <v>44</v>
      </c>
      <c r="C351" s="12" t="s">
        <v>1087</v>
      </c>
      <c r="D351" s="12" t="s">
        <v>1088</v>
      </c>
      <c r="E351" s="12" t="s">
        <v>1089</v>
      </c>
      <c r="F351" s="12" t="s">
        <v>475</v>
      </c>
      <c r="G351" s="12" t="s">
        <v>14</v>
      </c>
      <c r="H351" s="27" t="n">
        <v>2838.33</v>
      </c>
      <c r="I351" s="12" t="s">
        <v>320</v>
      </c>
    </row>
    <row r="352" customFormat="false" ht="15" hidden="false" customHeight="false" outlineLevel="0" collapsed="false">
      <c r="A352" s="12" t="s">
        <v>162</v>
      </c>
      <c r="B352" s="12" t="s">
        <v>44</v>
      </c>
      <c r="C352" s="12" t="s">
        <v>162</v>
      </c>
      <c r="D352" s="12" t="s">
        <v>607</v>
      </c>
      <c r="E352" s="12" t="s">
        <v>608</v>
      </c>
      <c r="F352" s="12" t="s">
        <v>320</v>
      </c>
      <c r="G352" s="12" t="s">
        <v>12</v>
      </c>
      <c r="H352" s="27" t="n">
        <v>6.61</v>
      </c>
      <c r="I352" s="12" t="s">
        <v>320</v>
      </c>
    </row>
    <row r="353" customFormat="false" ht="15" hidden="false" customHeight="false" outlineLevel="0" collapsed="false">
      <c r="A353" s="12" t="s">
        <v>156</v>
      </c>
      <c r="B353" s="12" t="s">
        <v>44</v>
      </c>
      <c r="C353" s="12" t="s">
        <v>156</v>
      </c>
      <c r="D353" s="12" t="s">
        <v>1090</v>
      </c>
      <c r="E353" s="12" t="s">
        <v>1091</v>
      </c>
      <c r="F353" s="12" t="s">
        <v>475</v>
      </c>
      <c r="G353" s="12" t="s">
        <v>14</v>
      </c>
      <c r="H353" s="27" t="n">
        <v>79.25</v>
      </c>
      <c r="I353" s="12" t="s">
        <v>320</v>
      </c>
    </row>
    <row r="354" customFormat="false" ht="15" hidden="false" customHeight="false" outlineLevel="0" collapsed="false">
      <c r="A354" s="12" t="s">
        <v>152</v>
      </c>
      <c r="B354" s="12" t="s">
        <v>44</v>
      </c>
      <c r="C354" s="12" t="s">
        <v>152</v>
      </c>
      <c r="D354" s="12" t="s">
        <v>1092</v>
      </c>
      <c r="E354" s="12" t="s">
        <v>1093</v>
      </c>
      <c r="F354" s="12" t="s">
        <v>475</v>
      </c>
      <c r="G354" s="12" t="s">
        <v>14</v>
      </c>
      <c r="H354" s="27" t="n">
        <v>5.42</v>
      </c>
      <c r="I354" s="12" t="s">
        <v>320</v>
      </c>
    </row>
    <row r="355" customFormat="false" ht="15" hidden="false" customHeight="false" outlineLevel="0" collapsed="false">
      <c r="A355" s="12" t="s">
        <v>148</v>
      </c>
      <c r="B355" s="12" t="s">
        <v>44</v>
      </c>
      <c r="C355" s="12" t="s">
        <v>148</v>
      </c>
      <c r="D355" s="12" t="s">
        <v>607</v>
      </c>
      <c r="E355" s="12" t="s">
        <v>904</v>
      </c>
      <c r="F355" s="12" t="s">
        <v>320</v>
      </c>
      <c r="G355" s="12" t="s">
        <v>12</v>
      </c>
      <c r="H355" s="27" t="n">
        <v>100.33</v>
      </c>
      <c r="I355" s="12" t="s">
        <v>333</v>
      </c>
    </row>
    <row r="356" customFormat="false" ht="15" hidden="false" customHeight="false" outlineLevel="0" collapsed="false">
      <c r="A356" s="12" t="s">
        <v>144</v>
      </c>
      <c r="B356" s="12" t="s">
        <v>44</v>
      </c>
      <c r="C356" s="12" t="s">
        <v>144</v>
      </c>
      <c r="D356" s="12" t="s">
        <v>605</v>
      </c>
      <c r="E356" s="12" t="s">
        <v>889</v>
      </c>
      <c r="F356" s="12" t="s">
        <v>320</v>
      </c>
      <c r="G356" s="12" t="s">
        <v>12</v>
      </c>
      <c r="H356" s="27" t="n">
        <v>96.02</v>
      </c>
      <c r="I356" s="12" t="s">
        <v>320</v>
      </c>
    </row>
    <row r="357" customFormat="false" ht="15" hidden="false" customHeight="false" outlineLevel="0" collapsed="false">
      <c r="A357" s="12" t="s">
        <v>139</v>
      </c>
      <c r="B357" s="12" t="s">
        <v>44</v>
      </c>
      <c r="C357" s="12" t="s">
        <v>139</v>
      </c>
      <c r="D357" s="12" t="s">
        <v>907</v>
      </c>
      <c r="E357" s="12" t="s">
        <v>1094</v>
      </c>
      <c r="F357" s="12" t="s">
        <v>320</v>
      </c>
      <c r="G357" s="12" t="s">
        <v>12</v>
      </c>
      <c r="H357" s="27"/>
      <c r="I357" s="12" t="s">
        <v>333</v>
      </c>
    </row>
    <row r="358" customFormat="false" ht="15" hidden="false" customHeight="false" outlineLevel="0" collapsed="false">
      <c r="A358" s="12" t="s">
        <v>111</v>
      </c>
      <c r="B358" s="12" t="s">
        <v>44</v>
      </c>
      <c r="C358" s="12" t="s">
        <v>111</v>
      </c>
      <c r="D358" s="12" t="s">
        <v>1095</v>
      </c>
      <c r="E358" s="12" t="s">
        <v>1096</v>
      </c>
      <c r="F358" s="12" t="s">
        <v>320</v>
      </c>
      <c r="G358" s="12" t="s">
        <v>12</v>
      </c>
      <c r="H358" s="27" t="n">
        <v>8.46</v>
      </c>
      <c r="I358" s="12" t="s">
        <v>320</v>
      </c>
    </row>
    <row r="359" customFormat="false" ht="15" hidden="false" customHeight="false" outlineLevel="0" collapsed="false">
      <c r="A359" s="12" t="s">
        <v>109</v>
      </c>
      <c r="B359" s="12" t="s">
        <v>44</v>
      </c>
      <c r="C359" s="12" t="s">
        <v>109</v>
      </c>
      <c r="D359" s="12" t="s">
        <v>605</v>
      </c>
      <c r="E359" s="12" t="s">
        <v>889</v>
      </c>
      <c r="F359" s="12" t="s">
        <v>320</v>
      </c>
      <c r="G359" s="12" t="s">
        <v>12</v>
      </c>
      <c r="H359" s="27" t="n">
        <v>204.91</v>
      </c>
      <c r="I359" s="12" t="s">
        <v>320</v>
      </c>
    </row>
    <row r="360" customFormat="false" ht="15" hidden="false" customHeight="false" outlineLevel="0" collapsed="false">
      <c r="A360" s="12" t="s">
        <v>102</v>
      </c>
      <c r="B360" s="12" t="s">
        <v>44</v>
      </c>
      <c r="C360" s="12" t="s">
        <v>102</v>
      </c>
      <c r="D360" s="12" t="s">
        <v>607</v>
      </c>
      <c r="E360" s="12" t="s">
        <v>608</v>
      </c>
      <c r="F360" s="12" t="s">
        <v>320</v>
      </c>
      <c r="G360" s="12" t="s">
        <v>12</v>
      </c>
      <c r="H360" s="27" t="n">
        <v>5.62</v>
      </c>
      <c r="I360" s="12" t="s">
        <v>320</v>
      </c>
    </row>
    <row r="361" customFormat="false" ht="15" hidden="false" customHeight="false" outlineLevel="0" collapsed="false">
      <c r="A361" s="12" t="s">
        <v>97</v>
      </c>
      <c r="B361" s="12" t="s">
        <v>44</v>
      </c>
      <c r="C361" s="12" t="s">
        <v>1097</v>
      </c>
      <c r="D361" s="12" t="s">
        <v>609</v>
      </c>
      <c r="E361" s="12" t="s">
        <v>630</v>
      </c>
      <c r="F361" s="12" t="s">
        <v>320</v>
      </c>
      <c r="G361" s="12" t="s">
        <v>12</v>
      </c>
      <c r="H361" s="27" t="n">
        <v>26.68</v>
      </c>
      <c r="I361" s="12" t="s">
        <v>320</v>
      </c>
    </row>
    <row r="362" customFormat="false" ht="15" hidden="false" customHeight="false" outlineLevel="0" collapsed="false">
      <c r="A362" s="12" t="s">
        <v>84</v>
      </c>
      <c r="B362" s="12" t="s">
        <v>44</v>
      </c>
      <c r="C362" s="12" t="s">
        <v>84</v>
      </c>
      <c r="D362" s="12" t="s">
        <v>603</v>
      </c>
      <c r="E362" s="12" t="s">
        <v>1098</v>
      </c>
      <c r="F362" s="12" t="s">
        <v>320</v>
      </c>
      <c r="G362" s="12" t="s">
        <v>12</v>
      </c>
      <c r="H362" s="27" t="n">
        <v>5.41</v>
      </c>
      <c r="I362" s="12" t="s">
        <v>320</v>
      </c>
    </row>
    <row r="363" customFormat="false" ht="15" hidden="false" customHeight="false" outlineLevel="0" collapsed="false">
      <c r="A363" s="12" t="s">
        <v>83</v>
      </c>
      <c r="B363" s="12" t="s">
        <v>44</v>
      </c>
      <c r="C363" s="12" t="s">
        <v>1099</v>
      </c>
      <c r="D363" s="12" t="s">
        <v>1100</v>
      </c>
      <c r="E363" s="12" t="s">
        <v>1101</v>
      </c>
      <c r="F363" s="12" t="s">
        <v>320</v>
      </c>
      <c r="G363" s="12" t="s">
        <v>12</v>
      </c>
      <c r="H363" s="27" t="n">
        <v>56.21</v>
      </c>
      <c r="I363" s="12" t="s">
        <v>333</v>
      </c>
    </row>
    <row r="364" customFormat="false" ht="15" hidden="false" customHeight="false" outlineLevel="0" collapsed="false">
      <c r="A364" s="12" t="s">
        <v>80</v>
      </c>
      <c r="B364" s="12" t="s">
        <v>44</v>
      </c>
      <c r="C364" s="12" t="s">
        <v>80</v>
      </c>
      <c r="D364" s="12" t="s">
        <v>1102</v>
      </c>
      <c r="E364" s="12" t="s">
        <v>1103</v>
      </c>
      <c r="F364" s="12" t="s">
        <v>320</v>
      </c>
      <c r="G364" s="12" t="s">
        <v>12</v>
      </c>
      <c r="H364" s="27" t="n">
        <v>7.27</v>
      </c>
      <c r="I364" s="12" t="s">
        <v>333</v>
      </c>
    </row>
    <row r="365" customFormat="false" ht="15" hidden="false" customHeight="false" outlineLevel="0" collapsed="false">
      <c r="A365" s="12" t="s">
        <v>79</v>
      </c>
      <c r="B365" s="12" t="s">
        <v>44</v>
      </c>
      <c r="C365" s="12" t="s">
        <v>79</v>
      </c>
      <c r="D365" s="12" t="s">
        <v>1104</v>
      </c>
      <c r="E365" s="12" t="s">
        <v>1105</v>
      </c>
      <c r="F365" s="12" t="s">
        <v>320</v>
      </c>
      <c r="G365" s="12" t="s">
        <v>12</v>
      </c>
      <c r="H365" s="27" t="n">
        <v>39.05</v>
      </c>
      <c r="I365" s="12" t="s">
        <v>320</v>
      </c>
    </row>
    <row r="366" customFormat="false" ht="15" hidden="false" customHeight="false" outlineLevel="0" collapsed="false">
      <c r="A366" s="12" t="s">
        <v>60</v>
      </c>
      <c r="B366" s="12" t="s">
        <v>44</v>
      </c>
      <c r="C366" s="12" t="s">
        <v>60</v>
      </c>
      <c r="D366" s="12" t="s">
        <v>1106</v>
      </c>
      <c r="E366" s="12" t="s">
        <v>1107</v>
      </c>
      <c r="F366" s="12" t="s">
        <v>320</v>
      </c>
      <c r="G366" s="12" t="s">
        <v>12</v>
      </c>
      <c r="H366" s="27" t="n">
        <v>25.2</v>
      </c>
      <c r="I366" s="12" t="s">
        <v>333</v>
      </c>
    </row>
    <row r="367" customFormat="false" ht="15" hidden="false" customHeight="false" outlineLevel="0" collapsed="false">
      <c r="A367" s="12" t="s">
        <v>52</v>
      </c>
      <c r="B367" s="12" t="s">
        <v>44</v>
      </c>
      <c r="C367" s="12" t="s">
        <v>1049</v>
      </c>
      <c r="D367" s="12" t="s">
        <v>1108</v>
      </c>
      <c r="E367" s="12" t="s">
        <v>1109</v>
      </c>
      <c r="F367" s="12" t="s">
        <v>1110</v>
      </c>
      <c r="G367" s="12" t="s">
        <v>14</v>
      </c>
      <c r="H367" s="27" t="n">
        <v>16.33</v>
      </c>
      <c r="I367" s="12" t="s">
        <v>320</v>
      </c>
    </row>
    <row r="368" customFormat="false" ht="15" hidden="false" customHeight="false" outlineLevel="0" collapsed="false">
      <c r="A368" s="12" t="s">
        <v>132</v>
      </c>
      <c r="B368" s="12" t="s">
        <v>44</v>
      </c>
      <c r="C368" s="12" t="s">
        <v>1111</v>
      </c>
      <c r="D368" s="12" t="s">
        <v>1112</v>
      </c>
      <c r="E368" s="12" t="s">
        <v>1113</v>
      </c>
      <c r="F368" s="12" t="s">
        <v>1110</v>
      </c>
      <c r="G368" s="12" t="s">
        <v>14</v>
      </c>
      <c r="H368" s="27"/>
      <c r="I368" s="12" t="s">
        <v>320</v>
      </c>
    </row>
    <row r="369" customFormat="false" ht="15" hidden="false" customHeight="false" outlineLevel="0" collapsed="false">
      <c r="A369" s="12" t="s">
        <v>96</v>
      </c>
      <c r="B369" s="12" t="s">
        <v>44</v>
      </c>
      <c r="C369" s="12" t="s">
        <v>1114</v>
      </c>
      <c r="D369" s="12" t="s">
        <v>1115</v>
      </c>
      <c r="E369" s="12" t="s">
        <v>1116</v>
      </c>
      <c r="F369" s="12" t="s">
        <v>475</v>
      </c>
      <c r="G369" s="12" t="s">
        <v>14</v>
      </c>
      <c r="H369" s="27" t="n">
        <v>28.6681</v>
      </c>
      <c r="I369" s="12" t="s">
        <v>320</v>
      </c>
    </row>
    <row r="370" customFormat="false" ht="15" hidden="false" customHeight="false" outlineLevel="0" collapsed="false">
      <c r="A370" s="12" t="s">
        <v>43</v>
      </c>
      <c r="B370" s="12" t="s">
        <v>44</v>
      </c>
      <c r="C370" s="12" t="s">
        <v>1117</v>
      </c>
      <c r="D370" s="12" t="s">
        <v>1118</v>
      </c>
      <c r="E370" s="12" t="s">
        <v>1116</v>
      </c>
      <c r="F370" s="12" t="s">
        <v>475</v>
      </c>
      <c r="G370" s="12" t="s">
        <v>14</v>
      </c>
      <c r="H370" s="27"/>
      <c r="I370" s="12" t="s">
        <v>320</v>
      </c>
    </row>
    <row r="371" customFormat="false" ht="15" hidden="false" customHeight="false" outlineLevel="0" collapsed="false">
      <c r="A371" s="12" t="s">
        <v>45</v>
      </c>
      <c r="B371" s="12" t="s">
        <v>44</v>
      </c>
      <c r="C371" s="12" t="s">
        <v>1119</v>
      </c>
      <c r="D371" s="12" t="s">
        <v>644</v>
      </c>
      <c r="E371" s="12"/>
      <c r="F371" s="12"/>
      <c r="G371" s="12" t="s">
        <v>485</v>
      </c>
      <c r="H371" s="27"/>
      <c r="I371" s="12" t="s">
        <v>320</v>
      </c>
    </row>
    <row r="372" customFormat="false" ht="15" hidden="false" customHeight="false" outlineLevel="0" collapsed="false">
      <c r="A372" s="12" t="s">
        <v>51</v>
      </c>
      <c r="B372" s="12" t="s">
        <v>44</v>
      </c>
      <c r="C372" s="12" t="s">
        <v>1120</v>
      </c>
      <c r="D372" s="12" t="s">
        <v>635</v>
      </c>
      <c r="E372" s="12"/>
      <c r="F372" s="12"/>
      <c r="G372" s="12" t="s">
        <v>485</v>
      </c>
      <c r="H372" s="27" t="n">
        <v>5.4805</v>
      </c>
      <c r="I372" s="12" t="s">
        <v>320</v>
      </c>
    </row>
    <row r="373" customFormat="false" ht="15" hidden="false" customHeight="false" outlineLevel="0" collapsed="false">
      <c r="A373" s="12" t="s">
        <v>52</v>
      </c>
      <c r="B373" s="12" t="s">
        <v>44</v>
      </c>
      <c r="C373" s="12" t="s">
        <v>1121</v>
      </c>
      <c r="D373" s="12" t="s">
        <v>1122</v>
      </c>
      <c r="E373" s="12" t="s">
        <v>1123</v>
      </c>
      <c r="F373" s="12" t="s">
        <v>475</v>
      </c>
      <c r="G373" s="12" t="s">
        <v>14</v>
      </c>
      <c r="H373" s="27" t="n">
        <v>22.2384</v>
      </c>
      <c r="I373" s="12" t="s">
        <v>320</v>
      </c>
    </row>
    <row r="374" customFormat="false" ht="15" hidden="false" customHeight="false" outlineLevel="0" collapsed="false">
      <c r="A374" s="12" t="s">
        <v>52</v>
      </c>
      <c r="B374" s="12" t="s">
        <v>44</v>
      </c>
      <c r="C374" s="12" t="s">
        <v>1124</v>
      </c>
      <c r="D374" s="12" t="s">
        <v>1125</v>
      </c>
      <c r="E374" s="12" t="s">
        <v>1123</v>
      </c>
      <c r="F374" s="12" t="s">
        <v>475</v>
      </c>
      <c r="G374" s="12" t="s">
        <v>14</v>
      </c>
      <c r="H374" s="27" t="n">
        <v>22.2384</v>
      </c>
      <c r="I374" s="12" t="s">
        <v>320</v>
      </c>
    </row>
    <row r="375" customFormat="false" ht="15" hidden="false" customHeight="false" outlineLevel="0" collapsed="false">
      <c r="A375" s="12" t="s">
        <v>53</v>
      </c>
      <c r="B375" s="12" t="s">
        <v>44</v>
      </c>
      <c r="C375" s="12" t="s">
        <v>1083</v>
      </c>
      <c r="D375" s="12" t="s">
        <v>612</v>
      </c>
      <c r="E375" s="12" t="s">
        <v>606</v>
      </c>
      <c r="F375" s="12" t="s">
        <v>320</v>
      </c>
      <c r="G375" s="12" t="s">
        <v>12</v>
      </c>
      <c r="H375" s="27" t="n">
        <v>397.421</v>
      </c>
      <c r="I375" s="12" t="s">
        <v>333</v>
      </c>
    </row>
    <row r="376" customFormat="false" ht="15" hidden="false" customHeight="false" outlineLevel="0" collapsed="false">
      <c r="A376" s="12" t="s">
        <v>59</v>
      </c>
      <c r="B376" s="12" t="s">
        <v>44</v>
      </c>
      <c r="C376" s="12" t="s">
        <v>1126</v>
      </c>
      <c r="D376" s="12" t="s">
        <v>978</v>
      </c>
      <c r="E376" s="12" t="s">
        <v>1127</v>
      </c>
      <c r="F376" s="12" t="s">
        <v>320</v>
      </c>
      <c r="G376" s="12" t="s">
        <v>12</v>
      </c>
      <c r="H376" s="27" t="n">
        <v>503.5393</v>
      </c>
      <c r="I376" s="12" t="s">
        <v>320</v>
      </c>
    </row>
    <row r="377" customFormat="false" ht="15" hidden="false" customHeight="false" outlineLevel="0" collapsed="false">
      <c r="A377" s="12" t="s">
        <v>60</v>
      </c>
      <c r="B377" s="12" t="s">
        <v>44</v>
      </c>
      <c r="C377" s="12" t="s">
        <v>1128</v>
      </c>
      <c r="D377" s="12" t="s">
        <v>1106</v>
      </c>
      <c r="E377" s="12" t="s">
        <v>1129</v>
      </c>
      <c r="F377" s="12" t="s">
        <v>320</v>
      </c>
      <c r="G377" s="12" t="s">
        <v>12</v>
      </c>
      <c r="H377" s="27" t="n">
        <v>95.0217</v>
      </c>
      <c r="I377" s="12" t="s">
        <v>333</v>
      </c>
    </row>
    <row r="378" customFormat="false" ht="15" hidden="false" customHeight="false" outlineLevel="0" collapsed="false">
      <c r="A378" s="12" t="s">
        <v>62</v>
      </c>
      <c r="B378" s="12" t="s">
        <v>44</v>
      </c>
      <c r="C378" s="12" t="s">
        <v>1130</v>
      </c>
      <c r="D378" s="12" t="s">
        <v>1008</v>
      </c>
      <c r="E378" s="12" t="s">
        <v>1009</v>
      </c>
      <c r="F378" s="12" t="s">
        <v>320</v>
      </c>
      <c r="G378" s="12" t="s">
        <v>12</v>
      </c>
      <c r="H378" s="27" t="n">
        <v>1444.1174</v>
      </c>
      <c r="I378" s="12" t="s">
        <v>320</v>
      </c>
    </row>
    <row r="379" customFormat="false" ht="15" hidden="false" customHeight="false" outlineLevel="0" collapsed="false">
      <c r="A379" s="12" t="s">
        <v>132</v>
      </c>
      <c r="B379" s="12" t="s">
        <v>44</v>
      </c>
      <c r="C379" s="12" t="s">
        <v>1111</v>
      </c>
      <c r="D379" s="12" t="s">
        <v>1131</v>
      </c>
      <c r="E379" s="12" t="s">
        <v>1132</v>
      </c>
      <c r="F379" s="12" t="s">
        <v>475</v>
      </c>
      <c r="G379" s="12" t="s">
        <v>14</v>
      </c>
      <c r="H379" s="27" t="n">
        <v>433.9426</v>
      </c>
      <c r="I379" s="12" t="s">
        <v>320</v>
      </c>
    </row>
    <row r="380" customFormat="false" ht="15" hidden="false" customHeight="false" outlineLevel="0" collapsed="false">
      <c r="A380" s="12" t="s">
        <v>72</v>
      </c>
      <c r="B380" s="12" t="s">
        <v>44</v>
      </c>
      <c r="C380" s="12" t="s">
        <v>1133</v>
      </c>
      <c r="D380" s="12" t="s">
        <v>619</v>
      </c>
      <c r="E380" s="12" t="s">
        <v>1134</v>
      </c>
      <c r="F380" s="12" t="s">
        <v>320</v>
      </c>
      <c r="G380" s="12" t="s">
        <v>12</v>
      </c>
      <c r="H380" s="27" t="n">
        <v>9.6502</v>
      </c>
      <c r="I380" s="12" t="s">
        <v>333</v>
      </c>
    </row>
    <row r="381" customFormat="false" ht="15" hidden="false" customHeight="false" outlineLevel="0" collapsed="false">
      <c r="A381" s="12" t="s">
        <v>72</v>
      </c>
      <c r="B381" s="12" t="s">
        <v>44</v>
      </c>
      <c r="C381" s="12" t="s">
        <v>1135</v>
      </c>
      <c r="D381" s="12" t="s">
        <v>619</v>
      </c>
      <c r="E381" s="12" t="s">
        <v>1134</v>
      </c>
      <c r="F381" s="12" t="s">
        <v>320</v>
      </c>
      <c r="G381" s="12" t="s">
        <v>12</v>
      </c>
      <c r="H381" s="27" t="n">
        <v>9.6502</v>
      </c>
      <c r="I381" s="12" t="s">
        <v>333</v>
      </c>
    </row>
    <row r="382" customFormat="false" ht="15" hidden="false" customHeight="false" outlineLevel="0" collapsed="false">
      <c r="A382" s="12" t="s">
        <v>75</v>
      </c>
      <c r="B382" s="12" t="s">
        <v>44</v>
      </c>
      <c r="C382" s="12" t="s">
        <v>1136</v>
      </c>
      <c r="D382" s="12" t="s">
        <v>1137</v>
      </c>
      <c r="E382" s="12"/>
      <c r="F382" s="12"/>
      <c r="G382" s="12" t="s">
        <v>485</v>
      </c>
      <c r="H382" s="27"/>
      <c r="I382" s="12" t="s">
        <v>320</v>
      </c>
    </row>
    <row r="383" customFormat="false" ht="15" hidden="false" customHeight="false" outlineLevel="0" collapsed="false">
      <c r="A383" s="12" t="s">
        <v>80</v>
      </c>
      <c r="B383" s="12" t="s">
        <v>44</v>
      </c>
      <c r="C383" s="12" t="s">
        <v>1138</v>
      </c>
      <c r="D383" s="12" t="s">
        <v>1139</v>
      </c>
      <c r="E383" s="12" t="s">
        <v>1140</v>
      </c>
      <c r="F383" s="12" t="s">
        <v>320</v>
      </c>
      <c r="G383" s="12" t="s">
        <v>12</v>
      </c>
      <c r="H383" s="27" t="n">
        <v>12.2266</v>
      </c>
      <c r="I383" s="12" t="s">
        <v>333</v>
      </c>
    </row>
    <row r="384" customFormat="false" ht="15" hidden="false" customHeight="false" outlineLevel="0" collapsed="false">
      <c r="A384" s="12" t="s">
        <v>86</v>
      </c>
      <c r="B384" s="12" t="s">
        <v>44</v>
      </c>
      <c r="C384" s="12" t="s">
        <v>1141</v>
      </c>
      <c r="D384" s="12" t="s">
        <v>626</v>
      </c>
      <c r="E384" s="12" t="s">
        <v>627</v>
      </c>
      <c r="F384" s="12" t="s">
        <v>320</v>
      </c>
      <c r="G384" s="12" t="s">
        <v>12</v>
      </c>
      <c r="H384" s="27" t="n">
        <v>93.7335</v>
      </c>
      <c r="I384" s="12" t="s">
        <v>333</v>
      </c>
    </row>
    <row r="385" customFormat="false" ht="15" hidden="false" customHeight="false" outlineLevel="0" collapsed="false">
      <c r="A385" s="12" t="s">
        <v>87</v>
      </c>
      <c r="B385" s="12" t="s">
        <v>44</v>
      </c>
      <c r="C385" s="12" t="s">
        <v>1142</v>
      </c>
      <c r="D385" s="12" t="s">
        <v>1143</v>
      </c>
      <c r="E385" s="12" t="s">
        <v>1144</v>
      </c>
      <c r="F385" s="12" t="s">
        <v>320</v>
      </c>
      <c r="G385" s="12" t="s">
        <v>12</v>
      </c>
      <c r="H385" s="27" t="n">
        <v>53.0422</v>
      </c>
      <c r="I385" s="12" t="s">
        <v>333</v>
      </c>
    </row>
    <row r="386" customFormat="false" ht="15" hidden="false" customHeight="false" outlineLevel="0" collapsed="false">
      <c r="A386" s="12" t="s">
        <v>92</v>
      </c>
      <c r="B386" s="12" t="s">
        <v>44</v>
      </c>
      <c r="C386" s="12" t="s">
        <v>1145</v>
      </c>
      <c r="D386" s="12" t="s">
        <v>629</v>
      </c>
      <c r="E386" s="12" t="s">
        <v>630</v>
      </c>
      <c r="F386" s="12" t="s">
        <v>320</v>
      </c>
      <c r="G386" s="12" t="s">
        <v>12</v>
      </c>
      <c r="H386" s="27" t="n">
        <v>16.837</v>
      </c>
      <c r="I386" s="12" t="s">
        <v>320</v>
      </c>
    </row>
    <row r="387" customFormat="false" ht="15" hidden="false" customHeight="false" outlineLevel="0" collapsed="false">
      <c r="A387" s="12" t="s">
        <v>97</v>
      </c>
      <c r="B387" s="12" t="s">
        <v>44</v>
      </c>
      <c r="C387" s="12" t="s">
        <v>1146</v>
      </c>
      <c r="D387" s="12" t="s">
        <v>629</v>
      </c>
      <c r="E387" s="12" t="s">
        <v>630</v>
      </c>
      <c r="F387" s="12" t="s">
        <v>320</v>
      </c>
      <c r="G387" s="12" t="s">
        <v>12</v>
      </c>
      <c r="H387" s="27" t="n">
        <v>22.2158</v>
      </c>
      <c r="I387" s="12" t="s">
        <v>320</v>
      </c>
    </row>
    <row r="388" customFormat="false" ht="15" hidden="false" customHeight="false" outlineLevel="0" collapsed="false">
      <c r="A388" s="12" t="s">
        <v>98</v>
      </c>
      <c r="B388" s="12" t="s">
        <v>44</v>
      </c>
      <c r="C388" s="12" t="s">
        <v>1147</v>
      </c>
      <c r="D388" s="12" t="s">
        <v>1148</v>
      </c>
      <c r="E388" s="12" t="s">
        <v>1096</v>
      </c>
      <c r="F388" s="12" t="s">
        <v>320</v>
      </c>
      <c r="G388" s="12" t="s">
        <v>12</v>
      </c>
      <c r="H388" s="27" t="n">
        <v>62.0257</v>
      </c>
      <c r="I388" s="12" t="s">
        <v>320</v>
      </c>
    </row>
    <row r="389" customFormat="false" ht="15" hidden="false" customHeight="false" outlineLevel="0" collapsed="false">
      <c r="A389" s="12" t="s">
        <v>99</v>
      </c>
      <c r="B389" s="12" t="s">
        <v>44</v>
      </c>
      <c r="C389" s="12" t="s">
        <v>1149</v>
      </c>
      <c r="D389" s="12" t="s">
        <v>856</v>
      </c>
      <c r="E389" s="12" t="s">
        <v>1150</v>
      </c>
      <c r="F389" s="12" t="s">
        <v>320</v>
      </c>
      <c r="G389" s="12" t="s">
        <v>12</v>
      </c>
      <c r="H389" s="27" t="n">
        <v>471.2665</v>
      </c>
      <c r="I389" s="12" t="s">
        <v>320</v>
      </c>
    </row>
    <row r="390" customFormat="false" ht="15" hidden="false" customHeight="false" outlineLevel="0" collapsed="false">
      <c r="A390" s="12" t="s">
        <v>102</v>
      </c>
      <c r="B390" s="12" t="s">
        <v>44</v>
      </c>
      <c r="C390" s="12" t="s">
        <v>1151</v>
      </c>
      <c r="D390" s="12" t="s">
        <v>924</v>
      </c>
      <c r="E390" s="12" t="s">
        <v>904</v>
      </c>
      <c r="F390" s="12" t="s">
        <v>320</v>
      </c>
      <c r="G390" s="12" t="s">
        <v>12</v>
      </c>
      <c r="H390" s="27" t="n">
        <v>7.2659</v>
      </c>
      <c r="I390" s="12" t="s">
        <v>333</v>
      </c>
    </row>
    <row r="391" customFormat="false" ht="15" hidden="false" customHeight="false" outlineLevel="0" collapsed="false">
      <c r="A391" s="12" t="s">
        <v>108</v>
      </c>
      <c r="B391" s="12" t="s">
        <v>44</v>
      </c>
      <c r="C391" s="12" t="s">
        <v>1152</v>
      </c>
      <c r="D391" s="12" t="s">
        <v>644</v>
      </c>
      <c r="E391" s="12" t="s">
        <v>1153</v>
      </c>
      <c r="F391" s="12" t="s">
        <v>320</v>
      </c>
      <c r="G391" s="12" t="s">
        <v>12</v>
      </c>
      <c r="H391" s="27" t="n">
        <v>6.0681</v>
      </c>
      <c r="I391" s="12" t="s">
        <v>333</v>
      </c>
    </row>
    <row r="392" customFormat="false" ht="15" hidden="false" customHeight="false" outlineLevel="0" collapsed="false">
      <c r="A392" s="12" t="s">
        <v>109</v>
      </c>
      <c r="B392" s="12" t="s">
        <v>44</v>
      </c>
      <c r="C392" s="12" t="s">
        <v>1154</v>
      </c>
      <c r="D392" s="12" t="s">
        <v>1155</v>
      </c>
      <c r="E392" s="12" t="s">
        <v>889</v>
      </c>
      <c r="F392" s="12" t="s">
        <v>320</v>
      </c>
      <c r="G392" s="12" t="s">
        <v>12</v>
      </c>
      <c r="H392" s="27" t="n">
        <v>129.159</v>
      </c>
      <c r="I392" s="12" t="s">
        <v>320</v>
      </c>
    </row>
    <row r="393" customFormat="false" ht="15" hidden="false" customHeight="false" outlineLevel="0" collapsed="false">
      <c r="A393" s="12" t="s">
        <v>114</v>
      </c>
      <c r="B393" s="12" t="s">
        <v>44</v>
      </c>
      <c r="C393" s="12" t="s">
        <v>1156</v>
      </c>
      <c r="D393" s="12" t="s">
        <v>638</v>
      </c>
      <c r="E393" s="12" t="s">
        <v>639</v>
      </c>
      <c r="F393" s="12" t="s">
        <v>475</v>
      </c>
      <c r="G393" s="12" t="s">
        <v>14</v>
      </c>
      <c r="H393" s="27" t="n">
        <v>531.8684</v>
      </c>
      <c r="I393" s="12" t="s">
        <v>320</v>
      </c>
    </row>
    <row r="394" customFormat="false" ht="15" hidden="false" customHeight="false" outlineLevel="0" collapsed="false">
      <c r="A394" s="12" t="s">
        <v>124</v>
      </c>
      <c r="B394" s="12" t="s">
        <v>44</v>
      </c>
      <c r="C394" s="12" t="s">
        <v>1157</v>
      </c>
      <c r="D394" s="12" t="s">
        <v>1158</v>
      </c>
      <c r="E394" s="12" t="s">
        <v>1159</v>
      </c>
      <c r="F394" s="12" t="s">
        <v>320</v>
      </c>
      <c r="G394" s="12" t="s">
        <v>485</v>
      </c>
      <c r="H394" s="27" t="n">
        <v>9.831</v>
      </c>
      <c r="I394" s="12" t="s">
        <v>320</v>
      </c>
    </row>
    <row r="395" customFormat="false" ht="15" hidden="false" customHeight="false" outlineLevel="0" collapsed="false">
      <c r="A395" s="12" t="s">
        <v>126</v>
      </c>
      <c r="B395" s="12" t="s">
        <v>44</v>
      </c>
      <c r="C395" s="12" t="s">
        <v>1074</v>
      </c>
      <c r="D395" s="12" t="s">
        <v>1160</v>
      </c>
      <c r="E395" s="12" t="s">
        <v>1161</v>
      </c>
      <c r="F395" s="12" t="s">
        <v>475</v>
      </c>
      <c r="G395" s="12" t="s">
        <v>14</v>
      </c>
      <c r="H395" s="27" t="n">
        <v>93.8126</v>
      </c>
      <c r="I395" s="12" t="s">
        <v>320</v>
      </c>
    </row>
    <row r="396" customFormat="false" ht="15" hidden="false" customHeight="false" outlineLevel="0" collapsed="false">
      <c r="A396" s="12" t="s">
        <v>127</v>
      </c>
      <c r="B396" s="12" t="s">
        <v>44</v>
      </c>
      <c r="C396" s="12" t="s">
        <v>1162</v>
      </c>
      <c r="D396" s="12" t="s">
        <v>1163</v>
      </c>
      <c r="E396" s="12" t="s">
        <v>630</v>
      </c>
      <c r="F396" s="12" t="s">
        <v>320</v>
      </c>
      <c r="G396" s="12" t="s">
        <v>12</v>
      </c>
      <c r="H396" s="27" t="n">
        <v>149.0357</v>
      </c>
      <c r="I396" s="12" t="s">
        <v>320</v>
      </c>
    </row>
    <row r="397" customFormat="false" ht="15" hidden="false" customHeight="false" outlineLevel="0" collapsed="false">
      <c r="A397" s="12" t="s">
        <v>139</v>
      </c>
      <c r="B397" s="12" t="s">
        <v>44</v>
      </c>
      <c r="C397" s="12" t="s">
        <v>1164</v>
      </c>
      <c r="D397" s="12" t="s">
        <v>641</v>
      </c>
      <c r="E397" s="12" t="s">
        <v>908</v>
      </c>
      <c r="F397" s="12" t="s">
        <v>320</v>
      </c>
      <c r="G397" s="12" t="s">
        <v>12</v>
      </c>
      <c r="H397" s="27" t="n">
        <v>147.804</v>
      </c>
      <c r="I397" s="12" t="s">
        <v>333</v>
      </c>
    </row>
    <row r="398" customFormat="false" ht="15" hidden="false" customHeight="false" outlineLevel="0" collapsed="false">
      <c r="A398" s="12" t="s">
        <v>148</v>
      </c>
      <c r="B398" s="12" t="s">
        <v>44</v>
      </c>
      <c r="C398" s="12" t="s">
        <v>1165</v>
      </c>
      <c r="D398" s="12" t="s">
        <v>1166</v>
      </c>
      <c r="E398" s="12" t="s">
        <v>1167</v>
      </c>
      <c r="F398" s="12" t="s">
        <v>320</v>
      </c>
      <c r="G398" s="12" t="s">
        <v>12</v>
      </c>
      <c r="H398" s="27" t="n">
        <v>27.9449</v>
      </c>
      <c r="I398" s="12" t="s">
        <v>333</v>
      </c>
    </row>
    <row r="399" customFormat="false" ht="15" hidden="false" customHeight="false" outlineLevel="0" collapsed="false">
      <c r="A399" s="12" t="s">
        <v>149</v>
      </c>
      <c r="B399" s="12" t="s">
        <v>44</v>
      </c>
      <c r="C399" s="12" t="s">
        <v>1168</v>
      </c>
      <c r="D399" s="12" t="s">
        <v>629</v>
      </c>
      <c r="E399" s="12" t="s">
        <v>630</v>
      </c>
      <c r="F399" s="12" t="s">
        <v>320</v>
      </c>
      <c r="G399" s="12" t="s">
        <v>12</v>
      </c>
      <c r="H399" s="27" t="n">
        <v>122.2095</v>
      </c>
      <c r="I399" s="12" t="s">
        <v>320</v>
      </c>
    </row>
    <row r="400" customFormat="false" ht="15" hidden="false" customHeight="false" outlineLevel="0" collapsed="false">
      <c r="A400" s="12" t="s">
        <v>156</v>
      </c>
      <c r="B400" s="12" t="s">
        <v>44</v>
      </c>
      <c r="C400" s="12" t="s">
        <v>1169</v>
      </c>
      <c r="D400" s="12" t="s">
        <v>652</v>
      </c>
      <c r="E400" s="12" t="s">
        <v>653</v>
      </c>
      <c r="F400" s="12" t="s">
        <v>320</v>
      </c>
      <c r="G400" s="12" t="s">
        <v>13</v>
      </c>
      <c r="H400" s="27" t="n">
        <v>5.3223</v>
      </c>
      <c r="I400" s="12" t="s">
        <v>320</v>
      </c>
    </row>
    <row r="401" customFormat="false" ht="15" hidden="false" customHeight="false" outlineLevel="0" collapsed="false">
      <c r="A401" s="12" t="s">
        <v>156</v>
      </c>
      <c r="B401" s="12" t="s">
        <v>44</v>
      </c>
      <c r="C401" s="12" t="s">
        <v>1169</v>
      </c>
      <c r="D401" s="12" t="s">
        <v>652</v>
      </c>
      <c r="E401" s="12" t="s">
        <v>653</v>
      </c>
      <c r="F401" s="12" t="s">
        <v>320</v>
      </c>
      <c r="G401" s="12" t="s">
        <v>13</v>
      </c>
      <c r="H401" s="27" t="n">
        <v>5.3223</v>
      </c>
      <c r="I401" s="12" t="s">
        <v>320</v>
      </c>
    </row>
    <row r="402" customFormat="false" ht="15" hidden="false" customHeight="false" outlineLevel="0" collapsed="false">
      <c r="A402" s="12" t="s">
        <v>161</v>
      </c>
      <c r="B402" s="12" t="s">
        <v>44</v>
      </c>
      <c r="C402" s="12" t="s">
        <v>1077</v>
      </c>
      <c r="D402" s="12" t="s">
        <v>863</v>
      </c>
      <c r="E402" s="12" t="s">
        <v>630</v>
      </c>
      <c r="F402" s="12" t="s">
        <v>320</v>
      </c>
      <c r="G402" s="12" t="s">
        <v>12</v>
      </c>
      <c r="H402" s="27" t="n">
        <v>96.9427</v>
      </c>
      <c r="I402" s="12" t="s">
        <v>320</v>
      </c>
    </row>
    <row r="403" customFormat="false" ht="15" hidden="false" customHeight="false" outlineLevel="0" collapsed="false">
      <c r="A403" s="12" t="s">
        <v>162</v>
      </c>
      <c r="B403" s="12" t="s">
        <v>44</v>
      </c>
      <c r="C403" s="12" t="s">
        <v>1170</v>
      </c>
      <c r="D403" s="12" t="s">
        <v>924</v>
      </c>
      <c r="E403" s="12" t="s">
        <v>904</v>
      </c>
      <c r="F403" s="12" t="s">
        <v>320</v>
      </c>
      <c r="G403" s="12" t="s">
        <v>12</v>
      </c>
      <c r="H403" s="27" t="n">
        <v>5.5596</v>
      </c>
      <c r="I403" s="12" t="s">
        <v>333</v>
      </c>
    </row>
    <row r="404" customFormat="false" ht="15" hidden="false" customHeight="false" outlineLevel="0" collapsed="false">
      <c r="A404" s="12" t="s">
        <v>167</v>
      </c>
      <c r="B404" s="12" t="s">
        <v>44</v>
      </c>
      <c r="C404" s="12" t="s">
        <v>1171</v>
      </c>
      <c r="D404" s="12" t="s">
        <v>1172</v>
      </c>
      <c r="E404" s="12"/>
      <c r="F404" s="12"/>
      <c r="G404" s="12" t="s">
        <v>485</v>
      </c>
      <c r="H404" s="27"/>
      <c r="I404" s="12" t="s">
        <v>320</v>
      </c>
    </row>
    <row r="405" customFormat="false" ht="15" hidden="false" customHeight="false" outlineLevel="0" collapsed="false">
      <c r="A405" s="12" t="s">
        <v>170</v>
      </c>
      <c r="B405" s="12" t="s">
        <v>44</v>
      </c>
      <c r="C405" s="12" t="s">
        <v>1173</v>
      </c>
      <c r="D405" s="12" t="s">
        <v>655</v>
      </c>
      <c r="E405" s="12" t="s">
        <v>604</v>
      </c>
      <c r="F405" s="12" t="s">
        <v>320</v>
      </c>
      <c r="G405" s="12" t="s">
        <v>12</v>
      </c>
      <c r="H405" s="27" t="n">
        <v>7322.4226</v>
      </c>
      <c r="I405" s="12" t="s">
        <v>320</v>
      </c>
    </row>
    <row r="406" customFormat="false" ht="15" hidden="false" customHeight="false" outlineLevel="0" collapsed="false">
      <c r="A406" s="12" t="s">
        <v>177</v>
      </c>
      <c r="B406" s="12" t="s">
        <v>44</v>
      </c>
      <c r="C406" s="12" t="s">
        <v>1174</v>
      </c>
      <c r="D406" s="12" t="s">
        <v>1018</v>
      </c>
      <c r="E406" s="12" t="s">
        <v>1175</v>
      </c>
      <c r="F406" s="12" t="s">
        <v>320</v>
      </c>
      <c r="G406" s="12" t="s">
        <v>13</v>
      </c>
      <c r="H406" s="27" t="n">
        <v>5.0963</v>
      </c>
      <c r="I406" s="12" t="s">
        <v>320</v>
      </c>
    </row>
    <row r="407" customFormat="false" ht="15" hidden="false" customHeight="false" outlineLevel="0" collapsed="false">
      <c r="A407" s="12" t="s">
        <v>184</v>
      </c>
      <c r="B407" s="12" t="s">
        <v>44</v>
      </c>
      <c r="C407" s="12" t="s">
        <v>1176</v>
      </c>
      <c r="D407" s="12" t="s">
        <v>864</v>
      </c>
      <c r="E407" s="12" t="s">
        <v>785</v>
      </c>
      <c r="F407" s="12" t="s">
        <v>320</v>
      </c>
      <c r="G407" s="12" t="s">
        <v>12</v>
      </c>
      <c r="H407" s="27" t="n">
        <v>92.0498</v>
      </c>
      <c r="I407" s="12" t="s">
        <v>320</v>
      </c>
    </row>
    <row r="408" customFormat="false" ht="15" hidden="false" customHeight="false" outlineLevel="0" collapsed="false">
      <c r="A408" s="12" t="s">
        <v>185</v>
      </c>
      <c r="B408" s="12" t="s">
        <v>44</v>
      </c>
      <c r="C408" s="12" t="s">
        <v>1177</v>
      </c>
      <c r="D408" s="12" t="s">
        <v>1178</v>
      </c>
      <c r="E408" s="12" t="s">
        <v>1179</v>
      </c>
      <c r="F408" s="12" t="s">
        <v>320</v>
      </c>
      <c r="G408" s="12" t="s">
        <v>12</v>
      </c>
      <c r="H408" s="27" t="n">
        <v>35.2673</v>
      </c>
      <c r="I408" s="12" t="s">
        <v>333</v>
      </c>
    </row>
    <row r="409" customFormat="false" ht="15" hidden="false" customHeight="false" outlineLevel="0" collapsed="false">
      <c r="A409" s="12" t="s">
        <v>202</v>
      </c>
      <c r="B409" s="12" t="s">
        <v>44</v>
      </c>
      <c r="C409" s="12" t="s">
        <v>1180</v>
      </c>
      <c r="D409" s="12" t="s">
        <v>1018</v>
      </c>
      <c r="E409" s="12" t="s">
        <v>630</v>
      </c>
      <c r="F409" s="12" t="s">
        <v>320</v>
      </c>
      <c r="G409" s="12" t="s">
        <v>12</v>
      </c>
      <c r="H409" s="27" t="n">
        <v>113.7345</v>
      </c>
      <c r="I409" s="12" t="s">
        <v>320</v>
      </c>
    </row>
    <row r="410" customFormat="false" ht="15" hidden="false" customHeight="false" outlineLevel="0" collapsed="false">
      <c r="A410" s="12" t="s">
        <v>202</v>
      </c>
      <c r="B410" s="12" t="s">
        <v>44</v>
      </c>
      <c r="C410" s="12" t="s">
        <v>1181</v>
      </c>
      <c r="D410" s="12" t="s">
        <v>1018</v>
      </c>
      <c r="E410" s="12" t="s">
        <v>630</v>
      </c>
      <c r="F410" s="12" t="s">
        <v>320</v>
      </c>
      <c r="G410" s="12" t="s">
        <v>12</v>
      </c>
      <c r="H410" s="27" t="n">
        <v>113.7345</v>
      </c>
      <c r="I410" s="12" t="s">
        <v>320</v>
      </c>
    </row>
    <row r="411" customFormat="false" ht="15" hidden="false" customHeight="false" outlineLevel="0" collapsed="false">
      <c r="A411" s="12" t="s">
        <v>144</v>
      </c>
      <c r="B411" s="12" t="s">
        <v>44</v>
      </c>
      <c r="C411" s="12" t="s">
        <v>144</v>
      </c>
      <c r="D411" s="12" t="s">
        <v>605</v>
      </c>
      <c r="E411" s="12" t="s">
        <v>1182</v>
      </c>
      <c r="F411" s="12" t="s">
        <v>320</v>
      </c>
      <c r="G411" s="12" t="s">
        <v>12</v>
      </c>
      <c r="H411" s="27" t="n">
        <v>11.2</v>
      </c>
      <c r="I411" s="12" t="s">
        <v>320</v>
      </c>
    </row>
    <row r="412" customFormat="false" ht="15" hidden="false" customHeight="false" outlineLevel="0" collapsed="false">
      <c r="A412" s="12" t="s">
        <v>92</v>
      </c>
      <c r="B412" s="12" t="s">
        <v>44</v>
      </c>
      <c r="C412" s="12" t="s">
        <v>92</v>
      </c>
      <c r="D412" s="12" t="s">
        <v>609</v>
      </c>
      <c r="E412" s="12" t="s">
        <v>1183</v>
      </c>
      <c r="F412" s="12" t="s">
        <v>320</v>
      </c>
      <c r="G412" s="12" t="s">
        <v>12</v>
      </c>
      <c r="H412" s="27" t="n">
        <v>35</v>
      </c>
      <c r="I412" s="12" t="s">
        <v>320</v>
      </c>
    </row>
    <row r="413" customFormat="false" ht="15" hidden="false" customHeight="false" outlineLevel="0" collapsed="false">
      <c r="A413" s="12" t="s">
        <v>159</v>
      </c>
      <c r="B413" s="12" t="s">
        <v>44</v>
      </c>
      <c r="C413" s="12" t="s">
        <v>159</v>
      </c>
      <c r="D413" s="12" t="s">
        <v>1184</v>
      </c>
      <c r="E413" s="12" t="s">
        <v>1185</v>
      </c>
      <c r="F413" s="12" t="s">
        <v>320</v>
      </c>
      <c r="G413" s="12" t="s">
        <v>12</v>
      </c>
      <c r="H413" s="27" t="n">
        <v>261.8</v>
      </c>
      <c r="I413" s="12" t="s">
        <v>320</v>
      </c>
    </row>
    <row r="414" customFormat="false" ht="15" hidden="false" customHeight="false" outlineLevel="0" collapsed="false">
      <c r="A414" s="12" t="s">
        <v>111</v>
      </c>
      <c r="B414" s="12" t="s">
        <v>44</v>
      </c>
      <c r="C414" s="12" t="s">
        <v>111</v>
      </c>
      <c r="D414" s="12" t="s">
        <v>1095</v>
      </c>
      <c r="E414" s="12" t="s">
        <v>1186</v>
      </c>
      <c r="F414" s="12" t="s">
        <v>320</v>
      </c>
      <c r="G414" s="12" t="s">
        <v>12</v>
      </c>
      <c r="H414" s="27" t="n">
        <v>112.63</v>
      </c>
      <c r="I414" s="12" t="s">
        <v>320</v>
      </c>
    </row>
    <row r="415" customFormat="false" ht="15" hidden="false" customHeight="false" outlineLevel="0" collapsed="false">
      <c r="A415" s="12" t="s">
        <v>144</v>
      </c>
      <c r="B415" s="12" t="s">
        <v>44</v>
      </c>
      <c r="C415" s="12" t="s">
        <v>144</v>
      </c>
      <c r="D415" s="12" t="s">
        <v>605</v>
      </c>
      <c r="E415" s="12" t="s">
        <v>1187</v>
      </c>
      <c r="F415" s="12" t="s">
        <v>320</v>
      </c>
      <c r="G415" s="12" t="s">
        <v>12</v>
      </c>
      <c r="H415" s="27" t="n">
        <v>6.244</v>
      </c>
      <c r="I415" s="12" t="s">
        <v>320</v>
      </c>
    </row>
    <row r="416" customFormat="false" ht="15" hidden="false" customHeight="false" outlineLevel="0" collapsed="false">
      <c r="A416" s="12" t="s">
        <v>148</v>
      </c>
      <c r="B416" s="12" t="s">
        <v>44</v>
      </c>
      <c r="C416" s="12" t="s">
        <v>148</v>
      </c>
      <c r="D416" s="12" t="s">
        <v>1188</v>
      </c>
      <c r="E416" s="12" t="s">
        <v>1189</v>
      </c>
      <c r="F416" s="12" t="s">
        <v>320</v>
      </c>
      <c r="G416" s="12" t="s">
        <v>12</v>
      </c>
      <c r="H416" s="27" t="n">
        <v>264.04</v>
      </c>
      <c r="I416" s="12" t="s">
        <v>320</v>
      </c>
    </row>
    <row r="417" customFormat="false" ht="15" hidden="false" customHeight="false" outlineLevel="0" collapsed="false">
      <c r="A417" s="12" t="s">
        <v>144</v>
      </c>
      <c r="B417" s="12" t="s">
        <v>44</v>
      </c>
      <c r="C417" s="12" t="s">
        <v>144</v>
      </c>
      <c r="D417" s="12" t="s">
        <v>605</v>
      </c>
      <c r="E417" s="12" t="s">
        <v>1190</v>
      </c>
      <c r="F417" s="12" t="s">
        <v>320</v>
      </c>
      <c r="G417" s="12" t="s">
        <v>12</v>
      </c>
      <c r="H417" s="27" t="n">
        <v>87.5</v>
      </c>
      <c r="I417" s="12" t="s">
        <v>320</v>
      </c>
    </row>
    <row r="418" customFormat="false" ht="15" hidden="false" customHeight="false" outlineLevel="0" collapsed="false">
      <c r="A418" s="12" t="s">
        <v>144</v>
      </c>
      <c r="B418" s="12" t="s">
        <v>44</v>
      </c>
      <c r="C418" s="12" t="s">
        <v>144</v>
      </c>
      <c r="D418" s="12" t="s">
        <v>605</v>
      </c>
      <c r="E418" s="12" t="s">
        <v>1191</v>
      </c>
      <c r="F418" s="12" t="s">
        <v>320</v>
      </c>
      <c r="G418" s="12" t="s">
        <v>12</v>
      </c>
      <c r="H418" s="27" t="n">
        <v>157.5</v>
      </c>
      <c r="I418" s="12" t="s">
        <v>320</v>
      </c>
    </row>
    <row r="419" customFormat="false" ht="15" hidden="false" customHeight="false" outlineLevel="0" collapsed="false">
      <c r="A419" s="12" t="s">
        <v>144</v>
      </c>
      <c r="B419" s="12" t="s">
        <v>44</v>
      </c>
      <c r="C419" s="12" t="s">
        <v>1192</v>
      </c>
      <c r="D419" s="12" t="s">
        <v>1193</v>
      </c>
      <c r="E419" s="12" t="s">
        <v>1194</v>
      </c>
      <c r="F419" s="12" t="s">
        <v>333</v>
      </c>
      <c r="G419" s="12" t="s">
        <v>14</v>
      </c>
      <c r="H419" s="27" t="n">
        <v>10.374</v>
      </c>
      <c r="I419" s="12" t="s">
        <v>320</v>
      </c>
    </row>
    <row r="420" customFormat="false" ht="15" hidden="false" customHeight="false" outlineLevel="0" collapsed="false">
      <c r="A420" s="12" t="s">
        <v>144</v>
      </c>
      <c r="B420" s="12" t="s">
        <v>44</v>
      </c>
      <c r="C420" s="12" t="s">
        <v>1192</v>
      </c>
      <c r="D420" s="12" t="s">
        <v>1195</v>
      </c>
      <c r="E420" s="12" t="s">
        <v>1196</v>
      </c>
      <c r="F420" s="12" t="s">
        <v>333</v>
      </c>
      <c r="G420" s="12" t="s">
        <v>14</v>
      </c>
      <c r="H420" s="27" t="n">
        <v>10.92</v>
      </c>
      <c r="I420" s="12" t="s">
        <v>320</v>
      </c>
    </row>
    <row r="421" customFormat="false" ht="15" hidden="false" customHeight="false" outlineLevel="0" collapsed="false">
      <c r="A421" s="12" t="s">
        <v>170</v>
      </c>
      <c r="B421" s="12" t="s">
        <v>44</v>
      </c>
      <c r="C421" s="12" t="s">
        <v>1173</v>
      </c>
      <c r="D421" s="12" t="s">
        <v>710</v>
      </c>
      <c r="E421" s="12" t="s">
        <v>711</v>
      </c>
      <c r="F421" s="12" t="s">
        <v>320</v>
      </c>
      <c r="G421" s="12" t="s">
        <v>12</v>
      </c>
      <c r="H421" s="27" t="n">
        <v>559.566</v>
      </c>
      <c r="I421" s="12" t="s">
        <v>320</v>
      </c>
    </row>
    <row r="422" customFormat="false" ht="15" hidden="false" customHeight="false" outlineLevel="0" collapsed="false">
      <c r="A422" s="12" t="s">
        <v>88</v>
      </c>
      <c r="B422" s="12" t="s">
        <v>44</v>
      </c>
      <c r="C422" s="12" t="s">
        <v>1197</v>
      </c>
      <c r="D422" s="12" t="s">
        <v>1198</v>
      </c>
      <c r="E422" s="12" t="s">
        <v>1199</v>
      </c>
      <c r="F422" s="12" t="s">
        <v>320</v>
      </c>
      <c r="G422" s="12" t="s">
        <v>12</v>
      </c>
      <c r="H422" s="27" t="n">
        <v>179.823</v>
      </c>
      <c r="I422" s="12" t="s">
        <v>320</v>
      </c>
    </row>
    <row r="423" customFormat="false" ht="15" hidden="false" customHeight="false" outlineLevel="0" collapsed="false">
      <c r="A423" s="12" t="s">
        <v>60</v>
      </c>
      <c r="B423" s="12" t="s">
        <v>44</v>
      </c>
      <c r="C423" s="12" t="s">
        <v>1200</v>
      </c>
      <c r="D423" s="12" t="s">
        <v>1201</v>
      </c>
      <c r="E423" s="12" t="s">
        <v>1202</v>
      </c>
      <c r="F423" s="12" t="s">
        <v>320</v>
      </c>
      <c r="G423" s="12" t="s">
        <v>12</v>
      </c>
      <c r="H423" s="27" t="n">
        <v>30.583</v>
      </c>
      <c r="I423" s="12" t="s">
        <v>333</v>
      </c>
    </row>
    <row r="424" customFormat="false" ht="15" hidden="false" customHeight="false" outlineLevel="0" collapsed="false">
      <c r="A424" s="12" t="s">
        <v>184</v>
      </c>
      <c r="B424" s="12" t="s">
        <v>44</v>
      </c>
      <c r="C424" s="12" t="s">
        <v>1176</v>
      </c>
      <c r="D424" s="12" t="s">
        <v>747</v>
      </c>
      <c r="E424" s="12" t="s">
        <v>748</v>
      </c>
      <c r="F424" s="12" t="s">
        <v>320</v>
      </c>
      <c r="G424" s="12" t="s">
        <v>12</v>
      </c>
      <c r="H424" s="27"/>
      <c r="I424" s="12" t="s">
        <v>320</v>
      </c>
    </row>
    <row r="425" customFormat="false" ht="15" hidden="false" customHeight="false" outlineLevel="0" collapsed="false">
      <c r="A425" s="12" t="s">
        <v>184</v>
      </c>
      <c r="B425" s="12" t="s">
        <v>44</v>
      </c>
      <c r="C425" s="12" t="s">
        <v>1176</v>
      </c>
      <c r="D425" s="12" t="s">
        <v>749</v>
      </c>
      <c r="E425" s="12" t="s">
        <v>750</v>
      </c>
      <c r="F425" s="12" t="s">
        <v>320</v>
      </c>
      <c r="G425" s="12" t="s">
        <v>12</v>
      </c>
      <c r="H425" s="27"/>
      <c r="I425" s="12" t="s">
        <v>320</v>
      </c>
    </row>
    <row r="426" customFormat="false" ht="15" hidden="false" customHeight="false" outlineLevel="0" collapsed="false">
      <c r="A426" s="12" t="s">
        <v>62</v>
      </c>
      <c r="B426" s="12" t="s">
        <v>44</v>
      </c>
      <c r="C426" s="12" t="s">
        <v>1130</v>
      </c>
      <c r="D426" s="12" t="s">
        <v>985</v>
      </c>
      <c r="E426" s="12" t="s">
        <v>766</v>
      </c>
      <c r="F426" s="12" t="s">
        <v>320</v>
      </c>
      <c r="G426" s="12" t="s">
        <v>12</v>
      </c>
      <c r="H426" s="27"/>
      <c r="I426" s="12" t="s">
        <v>320</v>
      </c>
    </row>
    <row r="427" customFormat="false" ht="15" hidden="false" customHeight="false" outlineLevel="0" collapsed="false">
      <c r="A427" s="12" t="s">
        <v>62</v>
      </c>
      <c r="B427" s="12" t="s">
        <v>44</v>
      </c>
      <c r="C427" s="12" t="s">
        <v>1203</v>
      </c>
      <c r="D427" s="12" t="s">
        <v>986</v>
      </c>
      <c r="E427" s="12" t="s">
        <v>987</v>
      </c>
      <c r="F427" s="12" t="s">
        <v>320</v>
      </c>
      <c r="G427" s="12" t="s">
        <v>12</v>
      </c>
      <c r="H427" s="27"/>
      <c r="I427" s="12" t="s">
        <v>320</v>
      </c>
    </row>
    <row r="428" customFormat="false" ht="15" hidden="false" customHeight="false" outlineLevel="0" collapsed="false">
      <c r="A428" s="12" t="s">
        <v>83</v>
      </c>
      <c r="B428" s="12" t="s">
        <v>44</v>
      </c>
      <c r="C428" s="12" t="s">
        <v>1204</v>
      </c>
      <c r="D428" s="12" t="s">
        <v>694</v>
      </c>
      <c r="E428" s="12" t="s">
        <v>695</v>
      </c>
      <c r="F428" s="12" t="s">
        <v>320</v>
      </c>
      <c r="G428" s="12" t="s">
        <v>12</v>
      </c>
      <c r="H428" s="27"/>
      <c r="I428" s="12" t="s">
        <v>333</v>
      </c>
    </row>
    <row r="429" customFormat="false" ht="15" hidden="false" customHeight="false" outlineLevel="0" collapsed="false">
      <c r="A429" s="12" t="s">
        <v>83</v>
      </c>
      <c r="B429" s="12" t="s">
        <v>44</v>
      </c>
      <c r="C429" s="12" t="s">
        <v>1204</v>
      </c>
      <c r="D429" s="12" t="s">
        <v>696</v>
      </c>
      <c r="E429" s="12" t="s">
        <v>697</v>
      </c>
      <c r="F429" s="12" t="s">
        <v>320</v>
      </c>
      <c r="G429" s="12" t="s">
        <v>12</v>
      </c>
      <c r="H429" s="27"/>
      <c r="I429" s="12" t="s">
        <v>333</v>
      </c>
    </row>
    <row r="430" customFormat="false" ht="15" hidden="false" customHeight="false" outlineLevel="0" collapsed="false">
      <c r="A430" s="12" t="s">
        <v>83</v>
      </c>
      <c r="B430" s="12" t="s">
        <v>44</v>
      </c>
      <c r="C430" s="12" t="s">
        <v>1099</v>
      </c>
      <c r="D430" s="12" t="s">
        <v>698</v>
      </c>
      <c r="E430" s="12" t="s">
        <v>699</v>
      </c>
      <c r="F430" s="12" t="s">
        <v>320</v>
      </c>
      <c r="G430" s="12" t="s">
        <v>12</v>
      </c>
      <c r="H430" s="27"/>
      <c r="I430" s="12" t="s">
        <v>333</v>
      </c>
    </row>
    <row r="431" customFormat="false" ht="15" hidden="false" customHeight="false" outlineLevel="0" collapsed="false">
      <c r="A431" s="12" t="s">
        <v>183</v>
      </c>
      <c r="B431" s="12" t="s">
        <v>44</v>
      </c>
      <c r="C431" s="12" t="s">
        <v>1205</v>
      </c>
      <c r="D431" s="12" t="s">
        <v>877</v>
      </c>
      <c r="E431" s="12" t="s">
        <v>1206</v>
      </c>
      <c r="F431" s="12" t="s">
        <v>475</v>
      </c>
      <c r="G431" s="12" t="s">
        <v>14</v>
      </c>
      <c r="H431" s="27"/>
      <c r="I431" s="12" t="s">
        <v>320</v>
      </c>
    </row>
    <row r="432" customFormat="false" ht="15" hidden="false" customHeight="false" outlineLevel="0" collapsed="false">
      <c r="A432" s="12" t="s">
        <v>191</v>
      </c>
      <c r="B432" s="12" t="s">
        <v>44</v>
      </c>
      <c r="C432" s="12" t="s">
        <v>1207</v>
      </c>
      <c r="D432" s="12" t="s">
        <v>967</v>
      </c>
      <c r="E432" s="12" t="s">
        <v>1208</v>
      </c>
      <c r="F432" s="12" t="s">
        <v>320</v>
      </c>
      <c r="G432" s="12" t="s">
        <v>12</v>
      </c>
      <c r="H432" s="27"/>
      <c r="I432" s="12" t="s">
        <v>333</v>
      </c>
    </row>
    <row r="433" customFormat="false" ht="15" hidden="false" customHeight="false" outlineLevel="0" collapsed="false">
      <c r="A433" s="12" t="s">
        <v>62</v>
      </c>
      <c r="B433" s="12" t="s">
        <v>44</v>
      </c>
      <c r="C433" s="12" t="s">
        <v>1203</v>
      </c>
      <c r="D433" s="12" t="s">
        <v>1209</v>
      </c>
      <c r="E433" s="12" t="s">
        <v>1210</v>
      </c>
      <c r="F433" s="12" t="s">
        <v>320</v>
      </c>
      <c r="G433" s="12" t="s">
        <v>12</v>
      </c>
      <c r="H433" s="27"/>
      <c r="I433" s="12" t="s">
        <v>333</v>
      </c>
    </row>
    <row r="434" customFormat="false" ht="15" hidden="false" customHeight="false" outlineLevel="0" collapsed="false">
      <c r="A434" s="12" t="s">
        <v>114</v>
      </c>
      <c r="B434" s="12" t="s">
        <v>44</v>
      </c>
      <c r="C434" s="12" t="s">
        <v>1211</v>
      </c>
      <c r="D434" s="12" t="s">
        <v>701</v>
      </c>
      <c r="E434" s="12" t="s">
        <v>702</v>
      </c>
      <c r="F434" s="12" t="s">
        <v>475</v>
      </c>
      <c r="G434" s="12" t="s">
        <v>14</v>
      </c>
      <c r="H434" s="27"/>
      <c r="I434" s="12" t="s">
        <v>320</v>
      </c>
    </row>
    <row r="435" customFormat="false" ht="15" hidden="false" customHeight="false" outlineLevel="0" collapsed="false">
      <c r="A435" s="12" t="s">
        <v>166</v>
      </c>
      <c r="B435" s="12" t="s">
        <v>44</v>
      </c>
      <c r="C435" s="12" t="s">
        <v>1212</v>
      </c>
      <c r="D435" s="12" t="s">
        <v>660</v>
      </c>
      <c r="E435" s="12" t="s">
        <v>766</v>
      </c>
      <c r="F435" s="12" t="s">
        <v>320</v>
      </c>
      <c r="G435" s="12" t="s">
        <v>12</v>
      </c>
      <c r="H435" s="27"/>
      <c r="I435" s="12" t="s">
        <v>320</v>
      </c>
    </row>
    <row r="436" customFormat="false" ht="15" hidden="false" customHeight="false" outlineLevel="0" collapsed="false">
      <c r="A436" s="12" t="s">
        <v>156</v>
      </c>
      <c r="B436" s="12" t="s">
        <v>44</v>
      </c>
      <c r="C436" s="12" t="s">
        <v>1169</v>
      </c>
      <c r="D436" s="12" t="s">
        <v>1213</v>
      </c>
      <c r="E436" s="12" t="s">
        <v>1206</v>
      </c>
      <c r="F436" s="12" t="s">
        <v>475</v>
      </c>
      <c r="G436" s="12" t="s">
        <v>14</v>
      </c>
      <c r="H436" s="27"/>
      <c r="I436" s="12" t="s">
        <v>320</v>
      </c>
    </row>
    <row r="437" customFormat="false" ht="15" hidden="false" customHeight="false" outlineLevel="0" collapsed="false">
      <c r="A437" s="12" t="s">
        <v>156</v>
      </c>
      <c r="B437" s="12" t="s">
        <v>44</v>
      </c>
      <c r="C437" s="12" t="s">
        <v>1169</v>
      </c>
      <c r="D437" s="12" t="s">
        <v>1214</v>
      </c>
      <c r="E437" s="12" t="s">
        <v>1215</v>
      </c>
      <c r="F437" s="12" t="s">
        <v>475</v>
      </c>
      <c r="G437" s="12" t="s">
        <v>14</v>
      </c>
      <c r="H437" s="27"/>
      <c r="I437" s="12" t="s">
        <v>320</v>
      </c>
    </row>
    <row r="438" customFormat="false" ht="15" hidden="false" customHeight="false" outlineLevel="0" collapsed="false">
      <c r="A438" s="12" t="s">
        <v>146</v>
      </c>
      <c r="B438" s="12" t="s">
        <v>44</v>
      </c>
      <c r="C438" s="12" t="s">
        <v>1216</v>
      </c>
      <c r="D438" s="12" t="s">
        <v>1217</v>
      </c>
      <c r="E438" s="12" t="s">
        <v>1218</v>
      </c>
      <c r="F438" s="12" t="s">
        <v>475</v>
      </c>
      <c r="G438" s="12" t="s">
        <v>14</v>
      </c>
      <c r="H438" s="27" t="n">
        <v>17.5</v>
      </c>
      <c r="I438" s="12" t="s">
        <v>320</v>
      </c>
    </row>
    <row r="439" customFormat="false" ht="15" hidden="false" customHeight="false" outlineLevel="0" collapsed="false">
      <c r="A439" s="12" t="s">
        <v>146</v>
      </c>
      <c r="B439" s="12" t="s">
        <v>44</v>
      </c>
      <c r="C439" s="12" t="s">
        <v>1216</v>
      </c>
      <c r="D439" s="12" t="s">
        <v>1219</v>
      </c>
      <c r="E439" s="12" t="s">
        <v>1220</v>
      </c>
      <c r="F439" s="12" t="s">
        <v>475</v>
      </c>
      <c r="G439" s="12" t="s">
        <v>14</v>
      </c>
      <c r="H439" s="27"/>
      <c r="I439" s="12" t="s">
        <v>320</v>
      </c>
    </row>
    <row r="440" customFormat="false" ht="15" hidden="false" customHeight="false" outlineLevel="0" collapsed="false">
      <c r="A440" s="12" t="s">
        <v>86</v>
      </c>
      <c r="B440" s="12" t="s">
        <v>44</v>
      </c>
      <c r="C440" s="12" t="s">
        <v>1221</v>
      </c>
      <c r="D440" s="12" t="s">
        <v>752</v>
      </c>
      <c r="E440" s="12" t="s">
        <v>753</v>
      </c>
      <c r="F440" s="12" t="s">
        <v>320</v>
      </c>
      <c r="G440" s="12" t="s">
        <v>12</v>
      </c>
      <c r="H440" s="27"/>
      <c r="I440" s="12" t="s">
        <v>333</v>
      </c>
    </row>
    <row r="441" customFormat="false" ht="15" hidden="false" customHeight="false" outlineLevel="0" collapsed="false">
      <c r="A441" s="12" t="s">
        <v>86</v>
      </c>
      <c r="B441" s="12" t="s">
        <v>44</v>
      </c>
      <c r="C441" s="12" t="s">
        <v>1221</v>
      </c>
      <c r="D441" s="12" t="s">
        <v>694</v>
      </c>
      <c r="E441" s="12" t="s">
        <v>695</v>
      </c>
      <c r="F441" s="12" t="s">
        <v>320</v>
      </c>
      <c r="G441" s="12" t="s">
        <v>12</v>
      </c>
      <c r="H441" s="27"/>
      <c r="I441" s="12" t="s">
        <v>333</v>
      </c>
    </row>
    <row r="442" customFormat="false" ht="15" hidden="false" customHeight="false" outlineLevel="0" collapsed="false">
      <c r="A442" s="12" t="s">
        <v>134</v>
      </c>
      <c r="B442" s="12" t="s">
        <v>44</v>
      </c>
      <c r="C442" s="12" t="s">
        <v>1222</v>
      </c>
      <c r="D442" s="12" t="s">
        <v>1223</v>
      </c>
      <c r="E442" s="12" t="s">
        <v>763</v>
      </c>
      <c r="F442" s="12" t="s">
        <v>320</v>
      </c>
      <c r="G442" s="12" t="s">
        <v>13</v>
      </c>
      <c r="H442" s="27"/>
      <c r="I442" s="12" t="s">
        <v>320</v>
      </c>
    </row>
    <row r="443" customFormat="false" ht="15" hidden="false" customHeight="false" outlineLevel="0" collapsed="false">
      <c r="A443" s="12" t="s">
        <v>134</v>
      </c>
      <c r="B443" s="12" t="s">
        <v>44</v>
      </c>
      <c r="C443" s="12" t="s">
        <v>1222</v>
      </c>
      <c r="D443" s="12" t="s">
        <v>1224</v>
      </c>
      <c r="E443" s="12" t="s">
        <v>876</v>
      </c>
      <c r="F443" s="12" t="s">
        <v>320</v>
      </c>
      <c r="G443" s="12" t="s">
        <v>12</v>
      </c>
      <c r="H443" s="27"/>
      <c r="I443" s="12" t="s">
        <v>320</v>
      </c>
    </row>
    <row r="444" customFormat="false" ht="15" hidden="false" customHeight="false" outlineLevel="0" collapsed="false">
      <c r="A444" s="12" t="s">
        <v>134</v>
      </c>
      <c r="B444" s="12" t="s">
        <v>44</v>
      </c>
      <c r="C444" s="12" t="s">
        <v>1225</v>
      </c>
      <c r="D444" s="12" t="s">
        <v>1226</v>
      </c>
      <c r="E444" s="12" t="s">
        <v>1227</v>
      </c>
      <c r="F444" s="12" t="s">
        <v>320</v>
      </c>
      <c r="G444" s="12" t="s">
        <v>13</v>
      </c>
      <c r="H444" s="27"/>
      <c r="I444" s="12" t="s">
        <v>320</v>
      </c>
    </row>
    <row r="445" customFormat="false" ht="15" hidden="false" customHeight="false" outlineLevel="0" collapsed="false">
      <c r="A445" s="12" t="s">
        <v>134</v>
      </c>
      <c r="B445" s="12" t="s">
        <v>44</v>
      </c>
      <c r="C445" s="12" t="s">
        <v>1225</v>
      </c>
      <c r="D445" s="12" t="s">
        <v>1228</v>
      </c>
      <c r="E445" s="12" t="s">
        <v>876</v>
      </c>
      <c r="F445" s="12" t="s">
        <v>320</v>
      </c>
      <c r="G445" s="12" t="s">
        <v>12</v>
      </c>
      <c r="H445" s="27"/>
      <c r="I445" s="12" t="s">
        <v>320</v>
      </c>
    </row>
    <row r="446" customFormat="false" ht="15" hidden="false" customHeight="false" outlineLevel="0" collapsed="false">
      <c r="A446" s="12" t="s">
        <v>84</v>
      </c>
      <c r="B446" s="12" t="s">
        <v>44</v>
      </c>
      <c r="C446" s="12" t="s">
        <v>1229</v>
      </c>
      <c r="D446" s="12" t="s">
        <v>1230</v>
      </c>
      <c r="E446" s="12" t="s">
        <v>1231</v>
      </c>
      <c r="F446" s="12" t="s">
        <v>320</v>
      </c>
      <c r="G446" s="12" t="s">
        <v>12</v>
      </c>
      <c r="H446" s="27"/>
      <c r="I446" s="12" t="s">
        <v>320</v>
      </c>
    </row>
    <row r="447" customFormat="false" ht="15" hidden="false" customHeight="false" outlineLevel="0" collapsed="false">
      <c r="A447" s="12" t="s">
        <v>84</v>
      </c>
      <c r="B447" s="12" t="s">
        <v>44</v>
      </c>
      <c r="C447" s="12" t="s">
        <v>1232</v>
      </c>
      <c r="D447" s="12" t="s">
        <v>1223</v>
      </c>
      <c r="E447" s="12" t="s">
        <v>750</v>
      </c>
      <c r="F447" s="12" t="s">
        <v>320</v>
      </c>
      <c r="G447" s="12" t="s">
        <v>12</v>
      </c>
      <c r="H447" s="27" t="n">
        <v>7.98</v>
      </c>
      <c r="I447" s="12" t="s">
        <v>320</v>
      </c>
    </row>
    <row r="448" customFormat="false" ht="15" hidden="false" customHeight="false" outlineLevel="0" collapsed="false">
      <c r="A448" s="12" t="s">
        <v>84</v>
      </c>
      <c r="B448" s="12" t="s">
        <v>44</v>
      </c>
      <c r="C448" s="12" t="s">
        <v>1229</v>
      </c>
      <c r="D448" s="12" t="s">
        <v>1233</v>
      </c>
      <c r="E448" s="12" t="s">
        <v>876</v>
      </c>
      <c r="F448" s="12" t="s">
        <v>320</v>
      </c>
      <c r="G448" s="12" t="s">
        <v>12</v>
      </c>
      <c r="H448" s="27"/>
      <c r="I448" s="12" t="s">
        <v>320</v>
      </c>
    </row>
    <row r="449" customFormat="false" ht="15" hidden="false" customHeight="false" outlineLevel="0" collapsed="false">
      <c r="A449" s="12" t="s">
        <v>84</v>
      </c>
      <c r="B449" s="12" t="s">
        <v>44</v>
      </c>
      <c r="C449" s="12" t="s">
        <v>1229</v>
      </c>
      <c r="D449" s="12" t="s">
        <v>749</v>
      </c>
      <c r="E449" s="12" t="s">
        <v>750</v>
      </c>
      <c r="F449" s="12" t="s">
        <v>320</v>
      </c>
      <c r="G449" s="12" t="s">
        <v>12</v>
      </c>
      <c r="H449" s="27"/>
      <c r="I449" s="12" t="s">
        <v>320</v>
      </c>
    </row>
    <row r="450" customFormat="false" ht="15" hidden="false" customHeight="false" outlineLevel="0" collapsed="false">
      <c r="A450" s="12" t="s">
        <v>84</v>
      </c>
      <c r="B450" s="12" t="s">
        <v>44</v>
      </c>
      <c r="C450" s="12" t="s">
        <v>1232</v>
      </c>
      <c r="D450" s="12" t="s">
        <v>1226</v>
      </c>
      <c r="E450" s="12" t="s">
        <v>748</v>
      </c>
      <c r="F450" s="12" t="s">
        <v>320</v>
      </c>
      <c r="G450" s="12" t="s">
        <v>12</v>
      </c>
      <c r="H450" s="27"/>
      <c r="I450" s="12" t="s">
        <v>320</v>
      </c>
    </row>
    <row r="451" customFormat="false" ht="15" hidden="false" customHeight="false" outlineLevel="0" collapsed="false">
      <c r="A451" s="12" t="s">
        <v>84</v>
      </c>
      <c r="B451" s="12" t="s">
        <v>44</v>
      </c>
      <c r="C451" s="12" t="s">
        <v>1229</v>
      </c>
      <c r="D451" s="12" t="s">
        <v>1234</v>
      </c>
      <c r="E451" s="12" t="s">
        <v>812</v>
      </c>
      <c r="F451" s="12" t="s">
        <v>320</v>
      </c>
      <c r="G451" s="12" t="s">
        <v>12</v>
      </c>
      <c r="H451" s="27"/>
      <c r="I451" s="12" t="s">
        <v>320</v>
      </c>
    </row>
    <row r="452" customFormat="false" ht="15" hidden="false" customHeight="false" outlineLevel="0" collapsed="false">
      <c r="A452" s="12" t="s">
        <v>84</v>
      </c>
      <c r="B452" s="12" t="s">
        <v>44</v>
      </c>
      <c r="C452" s="12" t="s">
        <v>1229</v>
      </c>
      <c r="D452" s="12" t="s">
        <v>1235</v>
      </c>
      <c r="E452" s="12" t="s">
        <v>1236</v>
      </c>
      <c r="F452" s="12" t="s">
        <v>320</v>
      </c>
      <c r="G452" s="12" t="s">
        <v>12</v>
      </c>
      <c r="H452" s="27"/>
      <c r="I452" s="12" t="s">
        <v>320</v>
      </c>
    </row>
    <row r="453" customFormat="false" ht="15" hidden="false" customHeight="false" outlineLevel="0" collapsed="false">
      <c r="A453" s="12" t="s">
        <v>53</v>
      </c>
      <c r="B453" s="12" t="s">
        <v>44</v>
      </c>
      <c r="C453" s="12" t="s">
        <v>1237</v>
      </c>
      <c r="D453" s="12" t="s">
        <v>704</v>
      </c>
      <c r="E453" s="12" t="s">
        <v>705</v>
      </c>
      <c r="F453" s="12" t="s">
        <v>320</v>
      </c>
      <c r="G453" s="12" t="s">
        <v>12</v>
      </c>
      <c r="H453" s="27" t="n">
        <v>10.241</v>
      </c>
      <c r="I453" s="12" t="s">
        <v>333</v>
      </c>
    </row>
    <row r="454" customFormat="false" ht="15" hidden="false" customHeight="false" outlineLevel="0" collapsed="false">
      <c r="A454" s="12" t="s">
        <v>117</v>
      </c>
      <c r="B454" s="12" t="s">
        <v>44</v>
      </c>
      <c r="C454" s="12" t="s">
        <v>1238</v>
      </c>
      <c r="D454" s="12" t="s">
        <v>1239</v>
      </c>
      <c r="E454" s="12" t="s">
        <v>1240</v>
      </c>
      <c r="F454" s="12" t="s">
        <v>320</v>
      </c>
      <c r="G454" s="12" t="s">
        <v>13</v>
      </c>
      <c r="H454" s="27"/>
      <c r="I454" s="12" t="s">
        <v>320</v>
      </c>
    </row>
    <row r="455" customFormat="false" ht="15" hidden="false" customHeight="false" outlineLevel="0" collapsed="false">
      <c r="A455" s="12" t="s">
        <v>79</v>
      </c>
      <c r="B455" s="12" t="s">
        <v>44</v>
      </c>
      <c r="C455" s="12" t="s">
        <v>1241</v>
      </c>
      <c r="D455" s="12" t="s">
        <v>1242</v>
      </c>
      <c r="E455" s="12" t="s">
        <v>750</v>
      </c>
      <c r="F455" s="12" t="s">
        <v>320</v>
      </c>
      <c r="G455" s="12" t="s">
        <v>12</v>
      </c>
      <c r="H455" s="27"/>
      <c r="I455" s="12" t="s">
        <v>320</v>
      </c>
    </row>
    <row r="456" customFormat="false" ht="15" hidden="false" customHeight="false" outlineLevel="0" collapsed="false">
      <c r="A456" s="12" t="s">
        <v>79</v>
      </c>
      <c r="B456" s="12" t="s">
        <v>44</v>
      </c>
      <c r="C456" s="12" t="s">
        <v>1241</v>
      </c>
      <c r="D456" s="12" t="s">
        <v>1243</v>
      </c>
      <c r="E456" s="12" t="s">
        <v>1244</v>
      </c>
      <c r="F456" s="12" t="s">
        <v>320</v>
      </c>
      <c r="G456" s="12" t="s">
        <v>12</v>
      </c>
      <c r="H456" s="27"/>
      <c r="I456" s="12" t="s">
        <v>320</v>
      </c>
    </row>
    <row r="457" customFormat="false" ht="15" hidden="false" customHeight="false" outlineLevel="0" collapsed="false">
      <c r="A457" s="12" t="s">
        <v>79</v>
      </c>
      <c r="B457" s="12" t="s">
        <v>44</v>
      </c>
      <c r="C457" s="12" t="s">
        <v>1241</v>
      </c>
      <c r="D457" s="12" t="s">
        <v>1245</v>
      </c>
      <c r="E457" s="12" t="s">
        <v>812</v>
      </c>
      <c r="F457" s="12" t="s">
        <v>320</v>
      </c>
      <c r="G457" s="12" t="s">
        <v>12</v>
      </c>
      <c r="H457" s="27"/>
      <c r="I457" s="12" t="s">
        <v>320</v>
      </c>
    </row>
    <row r="458" customFormat="false" ht="15" hidden="false" customHeight="false" outlineLevel="0" collapsed="false">
      <c r="A458" s="12" t="s">
        <v>79</v>
      </c>
      <c r="B458" s="12" t="s">
        <v>44</v>
      </c>
      <c r="C458" s="12" t="s">
        <v>1241</v>
      </c>
      <c r="D458" s="12" t="s">
        <v>1246</v>
      </c>
      <c r="E458" s="12" t="s">
        <v>1247</v>
      </c>
      <c r="F458" s="12" t="s">
        <v>320</v>
      </c>
      <c r="G458" s="12" t="s">
        <v>12</v>
      </c>
      <c r="H458" s="27"/>
      <c r="I458" s="12" t="s">
        <v>320</v>
      </c>
    </row>
    <row r="459" customFormat="false" ht="15" hidden="false" customHeight="false" outlineLevel="0" collapsed="false">
      <c r="A459" s="12" t="s">
        <v>79</v>
      </c>
      <c r="B459" s="12" t="s">
        <v>44</v>
      </c>
      <c r="C459" s="12" t="s">
        <v>1241</v>
      </c>
      <c r="D459" s="12" t="s">
        <v>1248</v>
      </c>
      <c r="E459" s="12" t="s">
        <v>1249</v>
      </c>
      <c r="F459" s="12" t="s">
        <v>320</v>
      </c>
      <c r="G459" s="12" t="s">
        <v>12</v>
      </c>
      <c r="H459" s="27"/>
      <c r="I459" s="12" t="s">
        <v>320</v>
      </c>
    </row>
    <row r="460" customFormat="false" ht="15" hidden="false" customHeight="false" outlineLevel="0" collapsed="false">
      <c r="A460" s="12" t="s">
        <v>144</v>
      </c>
      <c r="B460" s="12" t="s">
        <v>44</v>
      </c>
      <c r="C460" s="12" t="s">
        <v>1250</v>
      </c>
      <c r="D460" s="12" t="s">
        <v>1234</v>
      </c>
      <c r="E460" s="12" t="s">
        <v>1251</v>
      </c>
      <c r="F460" s="12" t="s">
        <v>320</v>
      </c>
      <c r="G460" s="12" t="s">
        <v>12</v>
      </c>
      <c r="H460" s="27" t="n">
        <v>26.369</v>
      </c>
      <c r="I460" s="12" t="s">
        <v>320</v>
      </c>
    </row>
    <row r="461" customFormat="false" ht="15" hidden="false" customHeight="false" outlineLevel="0" collapsed="false">
      <c r="A461" s="12" t="s">
        <v>97</v>
      </c>
      <c r="B461" s="12" t="s">
        <v>44</v>
      </c>
      <c r="C461" s="12" t="s">
        <v>1252</v>
      </c>
      <c r="D461" s="12" t="s">
        <v>1245</v>
      </c>
      <c r="E461" s="12" t="s">
        <v>1251</v>
      </c>
      <c r="F461" s="12" t="s">
        <v>320</v>
      </c>
      <c r="G461" s="12" t="s">
        <v>12</v>
      </c>
      <c r="H461" s="27" t="n">
        <v>6.23</v>
      </c>
      <c r="I461" s="12" t="s">
        <v>320</v>
      </c>
    </row>
    <row r="462" customFormat="false" ht="15" hidden="false" customHeight="false" outlineLevel="0" collapsed="false">
      <c r="A462" s="12" t="s">
        <v>97</v>
      </c>
      <c r="B462" s="12" t="s">
        <v>44</v>
      </c>
      <c r="C462" s="12" t="s">
        <v>1252</v>
      </c>
      <c r="D462" s="12" t="s">
        <v>1243</v>
      </c>
      <c r="E462" s="12" t="s">
        <v>1253</v>
      </c>
      <c r="F462" s="12" t="s">
        <v>320</v>
      </c>
      <c r="G462" s="12" t="s">
        <v>12</v>
      </c>
      <c r="H462" s="27" t="n">
        <v>15.568</v>
      </c>
      <c r="I462" s="12" t="s">
        <v>320</v>
      </c>
    </row>
    <row r="463" customFormat="false" ht="15" hidden="false" customHeight="false" outlineLevel="0" collapsed="false">
      <c r="A463" s="12" t="s">
        <v>97</v>
      </c>
      <c r="B463" s="12" t="s">
        <v>44</v>
      </c>
      <c r="C463" s="12" t="s">
        <v>1252</v>
      </c>
      <c r="D463" s="12" t="s">
        <v>1254</v>
      </c>
      <c r="E463" s="12" t="s">
        <v>1255</v>
      </c>
      <c r="F463" s="12" t="s">
        <v>320</v>
      </c>
      <c r="G463" s="12" t="s">
        <v>12</v>
      </c>
      <c r="H463" s="27" t="n">
        <v>62.265</v>
      </c>
      <c r="I463" s="12" t="s">
        <v>320</v>
      </c>
    </row>
    <row r="464" customFormat="false" ht="15" hidden="false" customHeight="false" outlineLevel="0" collapsed="false">
      <c r="A464" s="12" t="s">
        <v>146</v>
      </c>
      <c r="B464" s="12" t="s">
        <v>44</v>
      </c>
      <c r="C464" s="12" t="s">
        <v>1256</v>
      </c>
      <c r="D464" s="12" t="s">
        <v>1257</v>
      </c>
      <c r="E464" s="12" t="s">
        <v>1240</v>
      </c>
      <c r="F464" s="12" t="s">
        <v>320</v>
      </c>
      <c r="G464" s="12" t="s">
        <v>13</v>
      </c>
      <c r="H464" s="27" t="n">
        <v>5.152</v>
      </c>
      <c r="I464" s="12" t="s">
        <v>320</v>
      </c>
    </row>
    <row r="465" customFormat="false" ht="15" hidden="false" customHeight="false" outlineLevel="0" collapsed="false">
      <c r="A465" s="12" t="s">
        <v>92</v>
      </c>
      <c r="B465" s="12" t="s">
        <v>44</v>
      </c>
      <c r="C465" s="12" t="s">
        <v>1145</v>
      </c>
      <c r="D465" s="12" t="s">
        <v>1254</v>
      </c>
      <c r="E465" s="12" t="s">
        <v>1258</v>
      </c>
      <c r="F465" s="12" t="s">
        <v>320</v>
      </c>
      <c r="G465" s="12" t="s">
        <v>12</v>
      </c>
      <c r="H465" s="27" t="n">
        <v>54.572</v>
      </c>
      <c r="I465" s="12" t="s">
        <v>320</v>
      </c>
    </row>
    <row r="466" customFormat="false" ht="15" hidden="false" customHeight="false" outlineLevel="0" collapsed="false">
      <c r="A466" s="12" t="s">
        <v>43</v>
      </c>
      <c r="B466" s="12" t="s">
        <v>44</v>
      </c>
      <c r="C466" s="12" t="s">
        <v>1259</v>
      </c>
      <c r="D466" s="12" t="s">
        <v>1260</v>
      </c>
      <c r="E466" s="12" t="s">
        <v>1116</v>
      </c>
      <c r="F466" s="12" t="s">
        <v>475</v>
      </c>
      <c r="G466" s="12" t="s">
        <v>14</v>
      </c>
      <c r="H466" s="27" t="n">
        <v>14.69</v>
      </c>
      <c r="I466" s="12" t="s">
        <v>320</v>
      </c>
    </row>
    <row r="467" customFormat="false" ht="15" hidden="false" customHeight="false" outlineLevel="0" collapsed="false">
      <c r="A467" s="12" t="s">
        <v>166</v>
      </c>
      <c r="B467" s="12" t="s">
        <v>44</v>
      </c>
      <c r="C467" s="12" t="s">
        <v>1261</v>
      </c>
      <c r="D467" s="12" t="s">
        <v>790</v>
      </c>
      <c r="E467" s="12" t="s">
        <v>1096</v>
      </c>
      <c r="F467" s="12" t="s">
        <v>320</v>
      </c>
      <c r="G467" s="12" t="s">
        <v>12</v>
      </c>
      <c r="H467" s="27" t="n">
        <v>32.6</v>
      </c>
      <c r="I467" s="12" t="s">
        <v>320</v>
      </c>
    </row>
    <row r="468" customFormat="false" ht="15" hidden="false" customHeight="false" outlineLevel="0" collapsed="false">
      <c r="A468" s="12" t="s">
        <v>86</v>
      </c>
      <c r="B468" s="12" t="s">
        <v>44</v>
      </c>
      <c r="C468" s="12" t="s">
        <v>1262</v>
      </c>
      <c r="D468" s="12" t="s">
        <v>1263</v>
      </c>
      <c r="E468" s="12" t="s">
        <v>1264</v>
      </c>
      <c r="F468" s="12" t="s">
        <v>320</v>
      </c>
      <c r="G468" s="12" t="s">
        <v>12</v>
      </c>
      <c r="H468" s="27" t="n">
        <v>27.22</v>
      </c>
      <c r="I468" s="12" t="s">
        <v>320</v>
      </c>
    </row>
    <row r="469" customFormat="false" ht="15" hidden="false" customHeight="false" outlineLevel="0" collapsed="false">
      <c r="A469" s="12" t="s">
        <v>114</v>
      </c>
      <c r="B469" s="12" t="s">
        <v>44</v>
      </c>
      <c r="C469" s="12" t="s">
        <v>1265</v>
      </c>
      <c r="D469" s="12" t="s">
        <v>892</v>
      </c>
      <c r="E469" s="12" t="s">
        <v>639</v>
      </c>
      <c r="F469" s="12" t="s">
        <v>475</v>
      </c>
      <c r="G469" s="12" t="s">
        <v>14</v>
      </c>
      <c r="H469" s="27" t="n">
        <v>78.71</v>
      </c>
      <c r="I469" s="12" t="s">
        <v>320</v>
      </c>
    </row>
    <row r="470" customFormat="false" ht="15" hidden="false" customHeight="false" outlineLevel="0" collapsed="false">
      <c r="A470" s="12" t="s">
        <v>161</v>
      </c>
      <c r="B470" s="12" t="s">
        <v>44</v>
      </c>
      <c r="C470" s="12" t="s">
        <v>1266</v>
      </c>
      <c r="D470" s="12" t="s">
        <v>1034</v>
      </c>
      <c r="E470" s="12" t="s">
        <v>630</v>
      </c>
      <c r="F470" s="12" t="s">
        <v>320</v>
      </c>
      <c r="G470" s="12" t="s">
        <v>12</v>
      </c>
      <c r="H470" s="27" t="n">
        <v>15.39</v>
      </c>
      <c r="I470" s="12" t="s">
        <v>320</v>
      </c>
    </row>
    <row r="471" customFormat="false" ht="15" hidden="false" customHeight="false" outlineLevel="0" collapsed="false">
      <c r="A471" s="12" t="s">
        <v>62</v>
      </c>
      <c r="B471" s="12" t="s">
        <v>44</v>
      </c>
      <c r="C471" s="12" t="s">
        <v>1267</v>
      </c>
      <c r="D471" s="12" t="s">
        <v>1268</v>
      </c>
      <c r="E471" s="12" t="s">
        <v>1269</v>
      </c>
      <c r="F471" s="12" t="s">
        <v>320</v>
      </c>
      <c r="G471" s="12" t="s">
        <v>12</v>
      </c>
      <c r="H471" s="27" t="n">
        <v>97.6</v>
      </c>
      <c r="I471" s="12" t="s">
        <v>333</v>
      </c>
    </row>
    <row r="472" customFormat="false" ht="15" hidden="false" customHeight="false" outlineLevel="0" collapsed="false">
      <c r="A472" s="12" t="s">
        <v>201</v>
      </c>
      <c r="B472" s="12" t="s">
        <v>44</v>
      </c>
      <c r="C472" s="12" t="s">
        <v>1270</v>
      </c>
      <c r="D472" s="12" t="s">
        <v>1271</v>
      </c>
      <c r="E472" s="12" t="s">
        <v>889</v>
      </c>
      <c r="F472" s="12" t="s">
        <v>320</v>
      </c>
      <c r="G472" s="12" t="s">
        <v>12</v>
      </c>
      <c r="H472" s="27" t="n">
        <v>9.93</v>
      </c>
      <c r="I472" s="12" t="s">
        <v>320</v>
      </c>
    </row>
    <row r="473" customFormat="false" ht="15" hidden="false" customHeight="false" outlineLevel="0" collapsed="false">
      <c r="A473" s="12" t="s">
        <v>97</v>
      </c>
      <c r="B473" s="12" t="s">
        <v>44</v>
      </c>
      <c r="C473" s="12" t="s">
        <v>1272</v>
      </c>
      <c r="D473" s="12" t="s">
        <v>1273</v>
      </c>
      <c r="E473" s="12" t="s">
        <v>630</v>
      </c>
      <c r="F473" s="12" t="s">
        <v>320</v>
      </c>
      <c r="G473" s="12" t="s">
        <v>12</v>
      </c>
      <c r="H473" s="27" t="n">
        <v>7.79</v>
      </c>
      <c r="I473" s="12" t="s">
        <v>320</v>
      </c>
    </row>
    <row r="474" customFormat="false" ht="15" hidden="false" customHeight="false" outlineLevel="0" collapsed="false">
      <c r="A474" s="12" t="s">
        <v>97</v>
      </c>
      <c r="B474" s="12" t="s">
        <v>44</v>
      </c>
      <c r="C474" s="12" t="s">
        <v>1272</v>
      </c>
      <c r="D474" s="12" t="s">
        <v>1273</v>
      </c>
      <c r="E474" s="12" t="s">
        <v>1274</v>
      </c>
      <c r="F474" s="12" t="s">
        <v>320</v>
      </c>
      <c r="G474" s="12" t="s">
        <v>12</v>
      </c>
      <c r="H474" s="27" t="n">
        <v>38.94</v>
      </c>
      <c r="I474" s="12" t="s">
        <v>320</v>
      </c>
    </row>
    <row r="475" customFormat="false" ht="15" hidden="false" customHeight="false" outlineLevel="0" collapsed="false">
      <c r="A475" s="12" t="s">
        <v>97</v>
      </c>
      <c r="B475" s="12" t="s">
        <v>44</v>
      </c>
      <c r="C475" s="12" t="s">
        <v>1275</v>
      </c>
      <c r="D475" s="12" t="s">
        <v>1273</v>
      </c>
      <c r="E475" s="12" t="s">
        <v>630</v>
      </c>
      <c r="F475" s="12" t="s">
        <v>320</v>
      </c>
      <c r="G475" s="12" t="s">
        <v>12</v>
      </c>
      <c r="H475" s="27" t="n">
        <v>7.79</v>
      </c>
      <c r="I475" s="12" t="s">
        <v>320</v>
      </c>
    </row>
    <row r="476" customFormat="false" ht="15" hidden="false" customHeight="false" outlineLevel="0" collapsed="false">
      <c r="A476" s="12" t="s">
        <v>97</v>
      </c>
      <c r="B476" s="12" t="s">
        <v>44</v>
      </c>
      <c r="C476" s="12" t="s">
        <v>1275</v>
      </c>
      <c r="D476" s="12" t="s">
        <v>1273</v>
      </c>
      <c r="E476" s="12" t="s">
        <v>1274</v>
      </c>
      <c r="F476" s="12" t="s">
        <v>320</v>
      </c>
      <c r="G476" s="12" t="s">
        <v>12</v>
      </c>
      <c r="H476" s="27" t="n">
        <v>38.94</v>
      </c>
      <c r="I476" s="12" t="s">
        <v>320</v>
      </c>
    </row>
    <row r="477" customFormat="false" ht="15" hidden="false" customHeight="false" outlineLevel="0" collapsed="false">
      <c r="A477" s="12" t="s">
        <v>92</v>
      </c>
      <c r="B477" s="12" t="s">
        <v>44</v>
      </c>
      <c r="C477" s="12" t="s">
        <v>1276</v>
      </c>
      <c r="D477" s="12" t="s">
        <v>1277</v>
      </c>
      <c r="E477" s="12" t="s">
        <v>1274</v>
      </c>
      <c r="F477" s="12" t="s">
        <v>320</v>
      </c>
      <c r="G477" s="12" t="s">
        <v>12</v>
      </c>
      <c r="H477" s="27" t="n">
        <v>17.14</v>
      </c>
      <c r="I477" s="12" t="s">
        <v>320</v>
      </c>
    </row>
    <row r="478" customFormat="false" ht="15" hidden="false" customHeight="false" outlineLevel="0" collapsed="false">
      <c r="A478" s="12" t="s">
        <v>92</v>
      </c>
      <c r="B478" s="12" t="s">
        <v>44</v>
      </c>
      <c r="C478" s="12" t="s">
        <v>1276</v>
      </c>
      <c r="D478" s="12" t="s">
        <v>1278</v>
      </c>
      <c r="E478" s="12" t="s">
        <v>636</v>
      </c>
      <c r="F478" s="12" t="s">
        <v>320</v>
      </c>
      <c r="G478" s="12" t="s">
        <v>12</v>
      </c>
      <c r="H478" s="27" t="n">
        <v>105.46</v>
      </c>
      <c r="I478" s="12" t="s">
        <v>320</v>
      </c>
    </row>
    <row r="479" customFormat="false" ht="15" hidden="false" customHeight="false" outlineLevel="0" collapsed="false">
      <c r="A479" s="12" t="s">
        <v>92</v>
      </c>
      <c r="B479" s="12" t="s">
        <v>44</v>
      </c>
      <c r="C479" s="12" t="s">
        <v>1145</v>
      </c>
      <c r="D479" s="12" t="s">
        <v>1277</v>
      </c>
      <c r="E479" s="12" t="s">
        <v>1274</v>
      </c>
      <c r="F479" s="12" t="s">
        <v>320</v>
      </c>
      <c r="G479" s="12" t="s">
        <v>12</v>
      </c>
      <c r="H479" s="27" t="n">
        <v>18.89</v>
      </c>
      <c r="I479" s="12" t="s">
        <v>320</v>
      </c>
    </row>
    <row r="480" customFormat="false" ht="15" hidden="false" customHeight="false" outlineLevel="0" collapsed="false">
      <c r="A480" s="12" t="s">
        <v>62</v>
      </c>
      <c r="B480" s="12" t="s">
        <v>44</v>
      </c>
      <c r="C480" s="12" t="s">
        <v>1267</v>
      </c>
      <c r="D480" s="12" t="s">
        <v>1040</v>
      </c>
      <c r="E480" s="12" t="s">
        <v>805</v>
      </c>
      <c r="F480" s="12" t="s">
        <v>320</v>
      </c>
      <c r="G480" s="12" t="s">
        <v>12</v>
      </c>
      <c r="H480" s="27" t="n">
        <v>166.1</v>
      </c>
      <c r="I480" s="12" t="s">
        <v>320</v>
      </c>
    </row>
    <row r="481" customFormat="false" ht="15" hidden="false" customHeight="false" outlineLevel="0" collapsed="false">
      <c r="A481" s="12" t="s">
        <v>90</v>
      </c>
      <c r="B481" s="12" t="s">
        <v>40</v>
      </c>
      <c r="C481" s="12" t="s">
        <v>90</v>
      </c>
      <c r="D481" s="12" t="s">
        <v>473</v>
      </c>
      <c r="E481" s="12"/>
      <c r="F481" s="12"/>
      <c r="G481" s="12" t="s">
        <v>485</v>
      </c>
      <c r="H481" s="27"/>
      <c r="I481" s="12" t="s">
        <v>320</v>
      </c>
    </row>
    <row r="482" customFormat="false" ht="15" hidden="false" customHeight="false" outlineLevel="0" collapsed="false">
      <c r="A482" s="12" t="s">
        <v>105</v>
      </c>
      <c r="B482" s="12" t="s">
        <v>40</v>
      </c>
      <c r="C482" s="12" t="s">
        <v>105</v>
      </c>
      <c r="D482" s="12" t="s">
        <v>726</v>
      </c>
      <c r="E482" s="12"/>
      <c r="F482" s="12"/>
      <c r="G482" s="12" t="s">
        <v>485</v>
      </c>
      <c r="H482" s="27"/>
      <c r="I482" s="12" t="s">
        <v>320</v>
      </c>
    </row>
    <row r="483" customFormat="false" ht="15" hidden="false" customHeight="false" outlineLevel="0" collapsed="false">
      <c r="A483" s="12" t="s">
        <v>184</v>
      </c>
      <c r="B483" s="12" t="s">
        <v>40</v>
      </c>
      <c r="C483" s="12" t="s">
        <v>841</v>
      </c>
      <c r="D483" s="12" t="s">
        <v>842</v>
      </c>
      <c r="E483" s="12" t="s">
        <v>1279</v>
      </c>
      <c r="F483" s="12" t="s">
        <v>12</v>
      </c>
      <c r="G483" s="12" t="s">
        <v>12</v>
      </c>
      <c r="H483" s="27" t="n">
        <v>21.78</v>
      </c>
      <c r="I483" s="12" t="s">
        <v>320</v>
      </c>
    </row>
    <row r="484" customFormat="false" ht="15" hidden="false" customHeight="false" outlineLevel="0" collapsed="false">
      <c r="A484" s="12" t="s">
        <v>184</v>
      </c>
      <c r="B484" s="12" t="s">
        <v>40</v>
      </c>
      <c r="C484" s="12" t="s">
        <v>841</v>
      </c>
      <c r="D484" s="12" t="s">
        <v>844</v>
      </c>
      <c r="E484" s="12" t="s">
        <v>1280</v>
      </c>
      <c r="F484" s="12" t="s">
        <v>320</v>
      </c>
      <c r="G484" s="12" t="s">
        <v>12</v>
      </c>
      <c r="H484" s="27" t="n">
        <v>48.28</v>
      </c>
      <c r="I484" s="12" t="s">
        <v>320</v>
      </c>
    </row>
    <row r="485" customFormat="false" ht="15" hidden="false" customHeight="false" outlineLevel="0" collapsed="false">
      <c r="A485" s="12" t="s">
        <v>155</v>
      </c>
      <c r="B485" s="12" t="s">
        <v>40</v>
      </c>
      <c r="C485" s="12" t="s">
        <v>1281</v>
      </c>
      <c r="D485" s="12" t="s">
        <v>1282</v>
      </c>
      <c r="E485" s="12" t="s">
        <v>1283</v>
      </c>
      <c r="F485" s="12" t="s">
        <v>320</v>
      </c>
      <c r="G485" s="12" t="s">
        <v>12</v>
      </c>
      <c r="H485" s="27" t="n">
        <v>18.277</v>
      </c>
      <c r="I485" s="12" t="s">
        <v>333</v>
      </c>
    </row>
    <row r="486" customFormat="false" ht="15" hidden="false" customHeight="false" outlineLevel="0" collapsed="false">
      <c r="A486" s="12" t="s">
        <v>184</v>
      </c>
      <c r="B486" s="12" t="s">
        <v>40</v>
      </c>
      <c r="C486" s="12" t="s">
        <v>1284</v>
      </c>
      <c r="D486" s="12" t="s">
        <v>747</v>
      </c>
      <c r="E486" s="12" t="s">
        <v>748</v>
      </c>
      <c r="F486" s="12" t="s">
        <v>320</v>
      </c>
      <c r="G486" s="12" t="s">
        <v>12</v>
      </c>
      <c r="H486" s="27"/>
      <c r="I486" s="12" t="s">
        <v>320</v>
      </c>
    </row>
    <row r="487" customFormat="false" ht="15" hidden="false" customHeight="false" outlineLevel="0" collapsed="false">
      <c r="A487" s="12" t="s">
        <v>184</v>
      </c>
      <c r="B487" s="12" t="s">
        <v>40</v>
      </c>
      <c r="C487" s="12" t="s">
        <v>1285</v>
      </c>
      <c r="D487" s="12" t="s">
        <v>749</v>
      </c>
      <c r="E487" s="12" t="s">
        <v>750</v>
      </c>
      <c r="F487" s="12" t="s">
        <v>320</v>
      </c>
      <c r="G487" s="12" t="s">
        <v>12</v>
      </c>
      <c r="H487" s="27"/>
      <c r="I487" s="12" t="s">
        <v>320</v>
      </c>
    </row>
    <row r="488" customFormat="false" ht="15" hidden="false" customHeight="false" outlineLevel="0" collapsed="false">
      <c r="A488" s="12" t="s">
        <v>86</v>
      </c>
      <c r="B488" s="12" t="s">
        <v>40</v>
      </c>
      <c r="C488" s="12" t="s">
        <v>1286</v>
      </c>
      <c r="D488" s="12" t="s">
        <v>752</v>
      </c>
      <c r="E488" s="12" t="s">
        <v>753</v>
      </c>
      <c r="F488" s="12" t="s">
        <v>320</v>
      </c>
      <c r="G488" s="12" t="s">
        <v>12</v>
      </c>
      <c r="H488" s="27"/>
      <c r="I488" s="12" t="s">
        <v>333</v>
      </c>
    </row>
    <row r="489" customFormat="false" ht="15" hidden="false" customHeight="false" outlineLevel="0" collapsed="false">
      <c r="A489" s="12" t="s">
        <v>86</v>
      </c>
      <c r="B489" s="12" t="s">
        <v>40</v>
      </c>
      <c r="C489" s="12" t="s">
        <v>1286</v>
      </c>
      <c r="D489" s="12" t="s">
        <v>694</v>
      </c>
      <c r="E489" s="12" t="s">
        <v>695</v>
      </c>
      <c r="F489" s="12" t="s">
        <v>320</v>
      </c>
      <c r="G489" s="12" t="s">
        <v>12</v>
      </c>
      <c r="H489" s="27"/>
      <c r="I489" s="12" t="s">
        <v>333</v>
      </c>
    </row>
    <row r="490" customFormat="false" ht="15" hidden="false" customHeight="false" outlineLevel="0" collapsed="false">
      <c r="A490" s="12" t="s">
        <v>71</v>
      </c>
      <c r="B490" s="12" t="s">
        <v>40</v>
      </c>
      <c r="C490" s="12" t="s">
        <v>1287</v>
      </c>
      <c r="D490" s="12" t="s">
        <v>696</v>
      </c>
      <c r="E490" s="12" t="s">
        <v>697</v>
      </c>
      <c r="F490" s="12" t="s">
        <v>320</v>
      </c>
      <c r="G490" s="12" t="s">
        <v>12</v>
      </c>
      <c r="H490" s="27"/>
      <c r="I490" s="12" t="s">
        <v>333</v>
      </c>
    </row>
    <row r="491" customFormat="false" ht="15" hidden="false" customHeight="false" outlineLevel="0" collapsed="false">
      <c r="A491" s="12" t="s">
        <v>185</v>
      </c>
      <c r="B491" s="12" t="s">
        <v>40</v>
      </c>
      <c r="C491" s="12" t="s">
        <v>1288</v>
      </c>
      <c r="D491" s="12" t="s">
        <v>1289</v>
      </c>
      <c r="E491" s="12" t="s">
        <v>1290</v>
      </c>
      <c r="F491" s="12" t="s">
        <v>320</v>
      </c>
      <c r="G491" s="12" t="s">
        <v>13</v>
      </c>
      <c r="H491" s="27" t="n">
        <v>75.992</v>
      </c>
      <c r="I491" s="12" t="s">
        <v>333</v>
      </c>
    </row>
    <row r="492" customFormat="false" ht="15" hidden="false" customHeight="false" outlineLevel="0" collapsed="false">
      <c r="A492" s="12" t="s">
        <v>93</v>
      </c>
      <c r="B492" s="12" t="s">
        <v>40</v>
      </c>
      <c r="C492" s="12" t="s">
        <v>1291</v>
      </c>
      <c r="D492" s="12" t="s">
        <v>985</v>
      </c>
      <c r="E492" s="12" t="s">
        <v>1292</v>
      </c>
      <c r="F492" s="12" t="s">
        <v>320</v>
      </c>
      <c r="G492" s="12" t="s">
        <v>13</v>
      </c>
      <c r="H492" s="27"/>
      <c r="I492" s="12" t="s">
        <v>320</v>
      </c>
    </row>
    <row r="493" customFormat="false" ht="15" hidden="false" customHeight="false" outlineLevel="0" collapsed="false">
      <c r="A493" s="12" t="s">
        <v>93</v>
      </c>
      <c r="B493" s="12" t="s">
        <v>40</v>
      </c>
      <c r="C493" s="12" t="s">
        <v>1293</v>
      </c>
      <c r="D493" s="12" t="s">
        <v>1294</v>
      </c>
      <c r="E493" s="12" t="s">
        <v>1295</v>
      </c>
      <c r="F493" s="12" t="s">
        <v>320</v>
      </c>
      <c r="G493" s="12" t="s">
        <v>13</v>
      </c>
      <c r="H493" s="27"/>
      <c r="I493" s="12" t="s">
        <v>320</v>
      </c>
    </row>
    <row r="494" customFormat="false" ht="15" hidden="false" customHeight="false" outlineLevel="0" collapsed="false">
      <c r="A494" s="12" t="s">
        <v>95</v>
      </c>
      <c r="B494" s="12" t="s">
        <v>40</v>
      </c>
      <c r="C494" s="12" t="s">
        <v>1296</v>
      </c>
      <c r="D494" s="12" t="s">
        <v>1297</v>
      </c>
      <c r="E494" s="12" t="s">
        <v>1298</v>
      </c>
      <c r="F494" s="12" t="s">
        <v>320</v>
      </c>
      <c r="G494" s="12" t="s">
        <v>13</v>
      </c>
      <c r="H494" s="27"/>
      <c r="I494" s="12" t="s">
        <v>320</v>
      </c>
    </row>
    <row r="495" customFormat="false" ht="15" hidden="false" customHeight="false" outlineLevel="0" collapsed="false">
      <c r="A495" s="12" t="s">
        <v>140</v>
      </c>
      <c r="B495" s="12" t="s">
        <v>40</v>
      </c>
      <c r="C495" s="12" t="s">
        <v>1299</v>
      </c>
      <c r="D495" s="12" t="s">
        <v>694</v>
      </c>
      <c r="E495" s="12" t="s">
        <v>695</v>
      </c>
      <c r="F495" s="12" t="s">
        <v>320</v>
      </c>
      <c r="G495" s="12" t="s">
        <v>12</v>
      </c>
      <c r="H495" s="27" t="n">
        <v>9.107</v>
      </c>
      <c r="I495" s="12" t="s">
        <v>333</v>
      </c>
    </row>
    <row r="496" customFormat="false" ht="15" hidden="false" customHeight="false" outlineLevel="0" collapsed="false">
      <c r="A496" s="12" t="s">
        <v>140</v>
      </c>
      <c r="B496" s="12" t="s">
        <v>40</v>
      </c>
      <c r="C496" s="12" t="s">
        <v>1299</v>
      </c>
      <c r="D496" s="12" t="s">
        <v>1300</v>
      </c>
      <c r="E496" s="12" t="s">
        <v>1301</v>
      </c>
      <c r="F496" s="12" t="s">
        <v>320</v>
      </c>
      <c r="G496" s="12" t="s">
        <v>12</v>
      </c>
      <c r="H496" s="27" t="n">
        <v>23.422</v>
      </c>
      <c r="I496" s="12" t="s">
        <v>333</v>
      </c>
    </row>
    <row r="497" customFormat="false" ht="15" hidden="false" customHeight="false" outlineLevel="0" collapsed="false">
      <c r="A497" s="12" t="s">
        <v>106</v>
      </c>
      <c r="B497" s="12" t="s">
        <v>40</v>
      </c>
      <c r="C497" s="12" t="s">
        <v>1302</v>
      </c>
      <c r="D497" s="12" t="s">
        <v>1303</v>
      </c>
      <c r="E497" s="12" t="s">
        <v>1304</v>
      </c>
      <c r="F497" s="12" t="s">
        <v>320</v>
      </c>
      <c r="G497" s="12" t="s">
        <v>13</v>
      </c>
      <c r="H497" s="27"/>
      <c r="I497" s="12" t="s">
        <v>320</v>
      </c>
    </row>
    <row r="498" customFormat="false" ht="15" hidden="false" customHeight="false" outlineLevel="0" collapsed="false">
      <c r="A498" s="12" t="s">
        <v>106</v>
      </c>
      <c r="B498" s="12" t="s">
        <v>40</v>
      </c>
      <c r="C498" s="12" t="s">
        <v>1302</v>
      </c>
      <c r="D498" s="12" t="s">
        <v>1305</v>
      </c>
      <c r="E498" s="12" t="s">
        <v>1295</v>
      </c>
      <c r="F498" s="12" t="s">
        <v>320</v>
      </c>
      <c r="G498" s="12" t="s">
        <v>13</v>
      </c>
      <c r="H498" s="27"/>
      <c r="I498" s="12" t="s">
        <v>320</v>
      </c>
    </row>
    <row r="499" customFormat="false" ht="15" hidden="false" customHeight="false" outlineLevel="0" collapsed="false">
      <c r="A499" s="12" t="s">
        <v>158</v>
      </c>
      <c r="B499" s="12" t="s">
        <v>40</v>
      </c>
      <c r="C499" s="12" t="s">
        <v>1306</v>
      </c>
      <c r="D499" s="12" t="s">
        <v>1307</v>
      </c>
      <c r="E499" s="12" t="s">
        <v>1292</v>
      </c>
      <c r="F499" s="12" t="s">
        <v>320</v>
      </c>
      <c r="G499" s="12" t="s">
        <v>13</v>
      </c>
      <c r="H499" s="27" t="n">
        <v>8.113</v>
      </c>
      <c r="I499" s="12" t="s">
        <v>320</v>
      </c>
    </row>
    <row r="500" customFormat="false" ht="15" hidden="false" customHeight="false" outlineLevel="0" collapsed="false">
      <c r="A500" s="12" t="s">
        <v>147</v>
      </c>
      <c r="B500" s="12" t="s">
        <v>40</v>
      </c>
      <c r="C500" s="12" t="s">
        <v>1308</v>
      </c>
      <c r="D500" s="12" t="s">
        <v>1309</v>
      </c>
      <c r="E500" s="12" t="s">
        <v>1310</v>
      </c>
      <c r="F500" s="12" t="s">
        <v>320</v>
      </c>
      <c r="G500" s="12" t="s">
        <v>13</v>
      </c>
      <c r="H500" s="27"/>
      <c r="I500" s="12" t="s">
        <v>320</v>
      </c>
    </row>
    <row r="501" customFormat="false" ht="15" hidden="false" customHeight="false" outlineLevel="0" collapsed="false">
      <c r="A501" s="12" t="s">
        <v>39</v>
      </c>
      <c r="B501" s="12" t="s">
        <v>40</v>
      </c>
      <c r="C501" s="12" t="s">
        <v>1311</v>
      </c>
      <c r="D501" s="12" t="s">
        <v>1312</v>
      </c>
      <c r="E501" s="12" t="s">
        <v>1304</v>
      </c>
      <c r="F501" s="12" t="s">
        <v>320</v>
      </c>
      <c r="G501" s="12" t="s">
        <v>13</v>
      </c>
      <c r="H501" s="27" t="n">
        <v>24.71</v>
      </c>
      <c r="I501" s="12" t="s">
        <v>320</v>
      </c>
    </row>
    <row r="502" customFormat="false" ht="15" hidden="false" customHeight="false" outlineLevel="0" collapsed="false">
      <c r="A502" s="12" t="s">
        <v>79</v>
      </c>
      <c r="B502" s="12" t="s">
        <v>40</v>
      </c>
      <c r="C502" s="12" t="s">
        <v>1313</v>
      </c>
      <c r="D502" s="12" t="s">
        <v>1242</v>
      </c>
      <c r="E502" s="12" t="s">
        <v>750</v>
      </c>
      <c r="F502" s="12" t="s">
        <v>320</v>
      </c>
      <c r="G502" s="12" t="s">
        <v>12</v>
      </c>
      <c r="H502" s="27"/>
      <c r="I502" s="12" t="s">
        <v>320</v>
      </c>
    </row>
    <row r="503" customFormat="false" ht="15" hidden="false" customHeight="false" outlineLevel="0" collapsed="false">
      <c r="A503" s="12" t="s">
        <v>79</v>
      </c>
      <c r="B503" s="12" t="s">
        <v>40</v>
      </c>
      <c r="C503" s="12" t="s">
        <v>1313</v>
      </c>
      <c r="D503" s="12" t="s">
        <v>1248</v>
      </c>
      <c r="E503" s="12" t="s">
        <v>1249</v>
      </c>
      <c r="F503" s="12" t="s">
        <v>320</v>
      </c>
      <c r="G503" s="12" t="s">
        <v>12</v>
      </c>
      <c r="H503" s="27"/>
      <c r="I503" s="12" t="s">
        <v>320</v>
      </c>
    </row>
    <row r="504" customFormat="false" ht="15" hidden="false" customHeight="false" outlineLevel="0" collapsed="false">
      <c r="A504" s="12" t="s">
        <v>189</v>
      </c>
      <c r="B504" s="12" t="s">
        <v>40</v>
      </c>
      <c r="C504" s="12" t="s">
        <v>1314</v>
      </c>
      <c r="D504" s="12" t="s">
        <v>781</v>
      </c>
      <c r="E504" s="12" t="s">
        <v>782</v>
      </c>
      <c r="F504" s="12" t="s">
        <v>320</v>
      </c>
      <c r="G504" s="12" t="s">
        <v>12</v>
      </c>
      <c r="H504" s="27" t="n">
        <v>125.38</v>
      </c>
      <c r="I504" s="12" t="s">
        <v>320</v>
      </c>
    </row>
    <row r="505" customFormat="false" ht="15" hidden="false" customHeight="false" outlineLevel="0" collapsed="false">
      <c r="A505" s="12" t="s">
        <v>100</v>
      </c>
      <c r="B505" s="12" t="s">
        <v>40</v>
      </c>
      <c r="C505" s="12" t="s">
        <v>1315</v>
      </c>
      <c r="D505" s="12" t="s">
        <v>713</v>
      </c>
      <c r="E505" s="12" t="s">
        <v>715</v>
      </c>
      <c r="F505" s="12" t="s">
        <v>320</v>
      </c>
      <c r="G505" s="12" t="s">
        <v>12</v>
      </c>
      <c r="H505" s="27" t="n">
        <v>21.3</v>
      </c>
      <c r="I505" s="12" t="s">
        <v>333</v>
      </c>
    </row>
    <row r="506" customFormat="false" ht="15" hidden="false" customHeight="false" outlineLevel="0" collapsed="false">
      <c r="A506" s="12" t="s">
        <v>176</v>
      </c>
      <c r="B506" s="12" t="s">
        <v>40</v>
      </c>
      <c r="C506" s="12" t="s">
        <v>1316</v>
      </c>
      <c r="D506" s="12" t="s">
        <v>1273</v>
      </c>
      <c r="E506" s="12" t="s">
        <v>1317</v>
      </c>
      <c r="F506" s="12" t="s">
        <v>320</v>
      </c>
      <c r="G506" s="12" t="s">
        <v>12</v>
      </c>
      <c r="H506" s="27" t="n">
        <v>7.18</v>
      </c>
      <c r="I506" s="12" t="s">
        <v>333</v>
      </c>
    </row>
    <row r="507" customFormat="false" ht="15" hidden="false" customHeight="false" outlineLevel="0" collapsed="false">
      <c r="A507" s="12" t="s">
        <v>176</v>
      </c>
      <c r="B507" s="12" t="s">
        <v>40</v>
      </c>
      <c r="C507" s="12" t="s">
        <v>1316</v>
      </c>
      <c r="D507" s="12" t="s">
        <v>1318</v>
      </c>
      <c r="E507" s="12" t="s">
        <v>1319</v>
      </c>
      <c r="F507" s="12" t="s">
        <v>320</v>
      </c>
      <c r="G507" s="12" t="s">
        <v>12</v>
      </c>
      <c r="H507" s="27" t="n">
        <v>20.69</v>
      </c>
      <c r="I507" s="12" t="s">
        <v>333</v>
      </c>
    </row>
    <row r="508" customFormat="false" ht="15" hidden="false" customHeight="false" outlineLevel="0" collapsed="false">
      <c r="A508" s="12" t="s">
        <v>140</v>
      </c>
      <c r="B508" s="12" t="s">
        <v>40</v>
      </c>
      <c r="C508" s="12" t="s">
        <v>1320</v>
      </c>
      <c r="D508" s="12" t="s">
        <v>1321</v>
      </c>
      <c r="E508" s="12" t="s">
        <v>1322</v>
      </c>
      <c r="F508" s="12" t="s">
        <v>320</v>
      </c>
      <c r="G508" s="12" t="s">
        <v>12</v>
      </c>
      <c r="H508" s="27" t="n">
        <v>5.94</v>
      </c>
      <c r="I508" s="12" t="s">
        <v>333</v>
      </c>
    </row>
    <row r="509" customFormat="false" ht="15" hidden="false" customHeight="false" outlineLevel="0" collapsed="false">
      <c r="A509" s="12" t="s">
        <v>140</v>
      </c>
      <c r="B509" s="12" t="s">
        <v>40</v>
      </c>
      <c r="C509" s="12" t="s">
        <v>1320</v>
      </c>
      <c r="D509" s="12" t="s">
        <v>1321</v>
      </c>
      <c r="E509" s="12" t="s">
        <v>897</v>
      </c>
      <c r="F509" s="12" t="s">
        <v>320</v>
      </c>
      <c r="G509" s="12" t="s">
        <v>12</v>
      </c>
      <c r="H509" s="27" t="n">
        <v>5.94</v>
      </c>
      <c r="I509" s="12" t="s">
        <v>333</v>
      </c>
    </row>
    <row r="510" customFormat="false" ht="15" hidden="false" customHeight="false" outlineLevel="0" collapsed="false">
      <c r="A510" s="12" t="s">
        <v>185</v>
      </c>
      <c r="B510" s="12" t="s">
        <v>40</v>
      </c>
      <c r="C510" s="12" t="s">
        <v>1323</v>
      </c>
      <c r="D510" s="12" t="s">
        <v>1324</v>
      </c>
      <c r="E510" s="12" t="s">
        <v>1325</v>
      </c>
      <c r="F510" s="12" t="s">
        <v>320</v>
      </c>
      <c r="G510" s="12" t="s">
        <v>13</v>
      </c>
      <c r="H510" s="27" t="n">
        <v>8.52</v>
      </c>
      <c r="I510" s="12" t="s">
        <v>333</v>
      </c>
    </row>
    <row r="511" customFormat="false" ht="15" hidden="false" customHeight="false" outlineLevel="0" collapsed="false">
      <c r="A511" s="12" t="s">
        <v>185</v>
      </c>
      <c r="B511" s="12" t="s">
        <v>40</v>
      </c>
      <c r="C511" s="12" t="s">
        <v>1326</v>
      </c>
      <c r="D511" s="12" t="s">
        <v>801</v>
      </c>
      <c r="E511" s="12" t="s">
        <v>1325</v>
      </c>
      <c r="F511" s="12" t="s">
        <v>320</v>
      </c>
      <c r="G511" s="12" t="s">
        <v>13</v>
      </c>
      <c r="H511" s="27" t="n">
        <v>12.78</v>
      </c>
      <c r="I511" s="12" t="s">
        <v>333</v>
      </c>
    </row>
    <row r="512" customFormat="false" ht="15" hidden="false" customHeight="false" outlineLevel="0" collapsed="false">
      <c r="A512" s="12" t="s">
        <v>94</v>
      </c>
      <c r="B512" s="12" t="s">
        <v>40</v>
      </c>
      <c r="C512" s="12" t="s">
        <v>1327</v>
      </c>
      <c r="D512" s="12" t="s">
        <v>1039</v>
      </c>
      <c r="E512" s="12" t="s">
        <v>1328</v>
      </c>
      <c r="F512" s="12" t="s">
        <v>320</v>
      </c>
      <c r="G512" s="12" t="s">
        <v>13</v>
      </c>
      <c r="H512" s="27" t="n">
        <v>7.55</v>
      </c>
      <c r="I512" s="12" t="s">
        <v>320</v>
      </c>
    </row>
    <row r="513" customFormat="false" ht="15" hidden="false" customHeight="false" outlineLevel="0" collapsed="false">
      <c r="A513" s="12" t="s">
        <v>69</v>
      </c>
      <c r="B513" s="12" t="s">
        <v>65</v>
      </c>
      <c r="C513" s="12" t="s">
        <v>492</v>
      </c>
      <c r="D513" s="12" t="s">
        <v>493</v>
      </c>
      <c r="E513" s="12" t="s">
        <v>494</v>
      </c>
      <c r="F513" s="12" t="s">
        <v>320</v>
      </c>
      <c r="G513" s="12" t="s">
        <v>12</v>
      </c>
      <c r="H513" s="27" t="n">
        <v>30.01</v>
      </c>
      <c r="I513" s="12" t="s">
        <v>320</v>
      </c>
    </row>
    <row r="514" customFormat="false" ht="15" hidden="false" customHeight="false" outlineLevel="0" collapsed="false">
      <c r="A514" s="12" t="s">
        <v>91</v>
      </c>
      <c r="B514" s="12" t="s">
        <v>65</v>
      </c>
      <c r="C514" s="12" t="s">
        <v>1329</v>
      </c>
      <c r="D514" s="12" t="s">
        <v>534</v>
      </c>
      <c r="E514" s="12" t="s">
        <v>812</v>
      </c>
      <c r="F514" s="12" t="s">
        <v>320</v>
      </c>
      <c r="G514" s="12" t="s">
        <v>12</v>
      </c>
      <c r="H514" s="27" t="n">
        <v>18</v>
      </c>
      <c r="I514" s="12" t="s">
        <v>320</v>
      </c>
    </row>
    <row r="515" customFormat="false" ht="15" hidden="false" customHeight="false" outlineLevel="0" collapsed="false">
      <c r="A515" s="12" t="s">
        <v>130</v>
      </c>
      <c r="B515" s="12" t="s">
        <v>65</v>
      </c>
      <c r="C515" s="12" t="s">
        <v>944</v>
      </c>
      <c r="D515" s="12" t="s">
        <v>989</v>
      </c>
      <c r="E515" s="12" t="s">
        <v>1330</v>
      </c>
      <c r="F515" s="12" t="s">
        <v>320</v>
      </c>
      <c r="G515" s="12" t="s">
        <v>485</v>
      </c>
      <c r="H515" s="27" t="n">
        <v>51.18</v>
      </c>
      <c r="I515" s="12" t="s">
        <v>320</v>
      </c>
    </row>
    <row r="516" customFormat="false" ht="15" hidden="false" customHeight="false" outlineLevel="0" collapsed="false">
      <c r="A516" s="12" t="s">
        <v>135</v>
      </c>
      <c r="B516" s="12" t="s">
        <v>65</v>
      </c>
      <c r="C516" s="12" t="s">
        <v>1331</v>
      </c>
      <c r="D516" s="12" t="s">
        <v>1332</v>
      </c>
      <c r="E516" s="12" t="s">
        <v>1333</v>
      </c>
      <c r="F516" s="12" t="s">
        <v>320</v>
      </c>
      <c r="G516" s="12" t="s">
        <v>12</v>
      </c>
      <c r="H516" s="27" t="n">
        <v>22.55</v>
      </c>
      <c r="I516" s="12" t="s">
        <v>320</v>
      </c>
    </row>
    <row r="517" customFormat="false" ht="15" hidden="false" customHeight="false" outlineLevel="0" collapsed="false">
      <c r="A517" s="12" t="s">
        <v>183</v>
      </c>
      <c r="B517" s="12" t="s">
        <v>65</v>
      </c>
      <c r="C517" s="12" t="s">
        <v>815</v>
      </c>
      <c r="D517" s="12" t="s">
        <v>816</v>
      </c>
      <c r="E517" s="12" t="s">
        <v>1334</v>
      </c>
      <c r="F517" s="12" t="s">
        <v>320</v>
      </c>
      <c r="G517" s="12" t="s">
        <v>12</v>
      </c>
      <c r="H517" s="27"/>
      <c r="I517" s="12" t="s">
        <v>320</v>
      </c>
    </row>
    <row r="518" customFormat="false" ht="15" hidden="false" customHeight="false" outlineLevel="0" collapsed="false">
      <c r="A518" s="12" t="s">
        <v>64</v>
      </c>
      <c r="B518" s="12" t="s">
        <v>65</v>
      </c>
      <c r="C518" s="12" t="s">
        <v>64</v>
      </c>
      <c r="D518" s="12" t="s">
        <v>1335</v>
      </c>
      <c r="E518" s="12" t="s">
        <v>1336</v>
      </c>
      <c r="F518" s="12" t="s">
        <v>1337</v>
      </c>
      <c r="G518" s="12" t="s">
        <v>12</v>
      </c>
      <c r="H518" s="27" t="n">
        <v>51.79</v>
      </c>
      <c r="I518" s="12" t="s">
        <v>320</v>
      </c>
    </row>
    <row r="519" customFormat="false" ht="15" hidden="false" customHeight="false" outlineLevel="0" collapsed="false">
      <c r="A519" s="12" t="s">
        <v>199</v>
      </c>
      <c r="B519" s="12" t="s">
        <v>65</v>
      </c>
      <c r="C519" s="12" t="s">
        <v>546</v>
      </c>
      <c r="D519" s="12" t="s">
        <v>1338</v>
      </c>
      <c r="E519" s="12" t="s">
        <v>748</v>
      </c>
      <c r="F519" s="12" t="s">
        <v>320</v>
      </c>
      <c r="G519" s="12" t="s">
        <v>12</v>
      </c>
      <c r="H519" s="27" t="n">
        <v>13.63</v>
      </c>
      <c r="I519" s="12" t="s">
        <v>320</v>
      </c>
    </row>
    <row r="520" customFormat="false" ht="15" hidden="false" customHeight="false" outlineLevel="0" collapsed="false">
      <c r="A520" s="12" t="s">
        <v>199</v>
      </c>
      <c r="B520" s="12" t="s">
        <v>65</v>
      </c>
      <c r="C520" s="12" t="s">
        <v>546</v>
      </c>
      <c r="D520" s="12" t="s">
        <v>1339</v>
      </c>
      <c r="E520" s="12" t="s">
        <v>1340</v>
      </c>
      <c r="F520" s="12" t="s">
        <v>320</v>
      </c>
      <c r="G520" s="12" t="s">
        <v>12</v>
      </c>
      <c r="H520" s="27" t="n">
        <v>6.62</v>
      </c>
      <c r="I520" s="12" t="s">
        <v>320</v>
      </c>
    </row>
    <row r="521" customFormat="false" ht="15" hidden="false" customHeight="false" outlineLevel="0" collapsed="false">
      <c r="A521" s="12" t="s">
        <v>68</v>
      </c>
      <c r="B521" s="12" t="s">
        <v>65</v>
      </c>
      <c r="C521" s="12" t="s">
        <v>1341</v>
      </c>
      <c r="D521" s="12" t="s">
        <v>1342</v>
      </c>
      <c r="E521" s="12" t="s">
        <v>1343</v>
      </c>
      <c r="F521" s="12" t="s">
        <v>320</v>
      </c>
      <c r="G521" s="12" t="s">
        <v>12</v>
      </c>
      <c r="H521" s="27" t="n">
        <v>69.3707</v>
      </c>
      <c r="I521" s="12" t="s">
        <v>320</v>
      </c>
    </row>
    <row r="522" customFormat="false" ht="15" hidden="false" customHeight="false" outlineLevel="0" collapsed="false">
      <c r="A522" s="12" t="s">
        <v>68</v>
      </c>
      <c r="B522" s="12" t="s">
        <v>65</v>
      </c>
      <c r="C522" s="12" t="s">
        <v>1341</v>
      </c>
      <c r="D522" s="12" t="s">
        <v>1342</v>
      </c>
      <c r="E522" s="12" t="s">
        <v>1344</v>
      </c>
      <c r="F522" s="12" t="s">
        <v>320</v>
      </c>
      <c r="G522" s="12" t="s">
        <v>12</v>
      </c>
      <c r="H522" s="27" t="n">
        <v>69.3707</v>
      </c>
      <c r="I522" s="12" t="s">
        <v>320</v>
      </c>
    </row>
    <row r="523" customFormat="false" ht="15" hidden="false" customHeight="false" outlineLevel="0" collapsed="false">
      <c r="A523" s="12" t="s">
        <v>82</v>
      </c>
      <c r="B523" s="12" t="s">
        <v>65</v>
      </c>
      <c r="C523" s="12" t="s">
        <v>1345</v>
      </c>
      <c r="D523" s="12" t="s">
        <v>1346</v>
      </c>
      <c r="E523" s="12" t="s">
        <v>760</v>
      </c>
      <c r="F523" s="12" t="s">
        <v>320</v>
      </c>
      <c r="G523" s="12" t="s">
        <v>13</v>
      </c>
      <c r="H523" s="27" t="n">
        <v>30.352</v>
      </c>
      <c r="I523" s="12" t="s">
        <v>320</v>
      </c>
    </row>
    <row r="524" customFormat="false" ht="15" hidden="false" customHeight="false" outlineLevel="0" collapsed="false">
      <c r="A524" s="12" t="s">
        <v>133</v>
      </c>
      <c r="B524" s="12" t="s">
        <v>65</v>
      </c>
      <c r="C524" s="12" t="s">
        <v>1347</v>
      </c>
      <c r="D524" s="12" t="s">
        <v>749</v>
      </c>
      <c r="E524" s="12" t="s">
        <v>750</v>
      </c>
      <c r="F524" s="12" t="s">
        <v>320</v>
      </c>
      <c r="G524" s="12" t="s">
        <v>12</v>
      </c>
      <c r="H524" s="27" t="n">
        <v>90.209</v>
      </c>
      <c r="I524" s="12" t="s">
        <v>320</v>
      </c>
    </row>
    <row r="525" customFormat="false" ht="15" hidden="false" customHeight="false" outlineLevel="0" collapsed="false">
      <c r="A525" s="12" t="s">
        <v>130</v>
      </c>
      <c r="B525" s="12" t="s">
        <v>65</v>
      </c>
      <c r="C525" s="12" t="s">
        <v>1348</v>
      </c>
      <c r="D525" s="12" t="s">
        <v>762</v>
      </c>
      <c r="E525" s="12" t="s">
        <v>763</v>
      </c>
      <c r="F525" s="12" t="s">
        <v>320</v>
      </c>
      <c r="G525" s="12" t="s">
        <v>13</v>
      </c>
      <c r="H525" s="27"/>
      <c r="I525" s="12" t="s">
        <v>320</v>
      </c>
    </row>
    <row r="526" customFormat="false" ht="15" hidden="false" customHeight="false" outlineLevel="0" collapsed="false">
      <c r="A526" s="12" t="s">
        <v>130</v>
      </c>
      <c r="B526" s="12" t="s">
        <v>65</v>
      </c>
      <c r="C526" s="12" t="s">
        <v>1348</v>
      </c>
      <c r="D526" s="12" t="s">
        <v>759</v>
      </c>
      <c r="E526" s="12" t="s">
        <v>760</v>
      </c>
      <c r="F526" s="12" t="s">
        <v>320</v>
      </c>
      <c r="G526" s="12" t="s">
        <v>13</v>
      </c>
      <c r="H526" s="27"/>
      <c r="I526" s="12" t="s">
        <v>320</v>
      </c>
    </row>
    <row r="527" customFormat="false" ht="15" hidden="false" customHeight="false" outlineLevel="0" collapsed="false">
      <c r="A527" s="12" t="s">
        <v>78</v>
      </c>
      <c r="B527" s="12" t="s">
        <v>63</v>
      </c>
      <c r="C527" s="12" t="s">
        <v>495</v>
      </c>
      <c r="D527" s="12" t="s">
        <v>496</v>
      </c>
      <c r="E527" s="12" t="s">
        <v>1349</v>
      </c>
      <c r="F527" s="12" t="s">
        <v>320</v>
      </c>
      <c r="G527" s="12" t="s">
        <v>12</v>
      </c>
      <c r="H527" s="27" t="n">
        <v>14.96</v>
      </c>
      <c r="I527" s="12" t="s">
        <v>320</v>
      </c>
    </row>
    <row r="528" customFormat="false" ht="15" hidden="false" customHeight="false" outlineLevel="0" collapsed="false">
      <c r="A528" s="12" t="s">
        <v>112</v>
      </c>
      <c r="B528" s="12" t="s">
        <v>63</v>
      </c>
      <c r="C528" s="12" t="s">
        <v>112</v>
      </c>
      <c r="D528" s="12" t="s">
        <v>496</v>
      </c>
      <c r="E528" s="12" t="s">
        <v>1350</v>
      </c>
      <c r="F528" s="12" t="s">
        <v>320</v>
      </c>
      <c r="G528" s="12" t="s">
        <v>12</v>
      </c>
      <c r="H528" s="27" t="n">
        <v>54.55</v>
      </c>
      <c r="I528" s="12" t="s">
        <v>320</v>
      </c>
    </row>
    <row r="529" customFormat="false" ht="15" hidden="false" customHeight="false" outlineLevel="0" collapsed="false">
      <c r="A529" s="12" t="s">
        <v>62</v>
      </c>
      <c r="B529" s="12" t="s">
        <v>63</v>
      </c>
      <c r="C529" s="12" t="s">
        <v>62</v>
      </c>
      <c r="D529" s="12" t="s">
        <v>558</v>
      </c>
      <c r="E529" s="12" t="s">
        <v>1351</v>
      </c>
      <c r="F529" s="12" t="s">
        <v>12</v>
      </c>
      <c r="G529" s="12" t="s">
        <v>12</v>
      </c>
      <c r="H529" s="27" t="n">
        <v>22.25</v>
      </c>
      <c r="I529" s="12" t="s">
        <v>333</v>
      </c>
    </row>
    <row r="530" customFormat="false" ht="15" hidden="false" customHeight="false" outlineLevel="0" collapsed="false">
      <c r="A530" s="12" t="s">
        <v>64</v>
      </c>
      <c r="B530" s="12" t="s">
        <v>63</v>
      </c>
      <c r="C530" s="12" t="s">
        <v>64</v>
      </c>
      <c r="D530" s="12" t="s">
        <v>1335</v>
      </c>
      <c r="E530" s="12" t="s">
        <v>1352</v>
      </c>
      <c r="F530" s="12" t="s">
        <v>1337</v>
      </c>
      <c r="G530" s="12" t="s">
        <v>12</v>
      </c>
      <c r="H530" s="27" t="n">
        <v>51.79</v>
      </c>
      <c r="I530" s="12" t="s">
        <v>320</v>
      </c>
    </row>
    <row r="531" customFormat="false" ht="15" hidden="false" customHeight="false" outlineLevel="0" collapsed="false">
      <c r="A531" s="12" t="s">
        <v>184</v>
      </c>
      <c r="B531" s="12" t="s">
        <v>63</v>
      </c>
      <c r="C531" s="12" t="s">
        <v>841</v>
      </c>
      <c r="D531" s="12" t="s">
        <v>842</v>
      </c>
      <c r="E531" s="12" t="s">
        <v>1353</v>
      </c>
      <c r="F531" s="12" t="s">
        <v>320</v>
      </c>
      <c r="G531" s="12" t="s">
        <v>12</v>
      </c>
      <c r="H531" s="27" t="n">
        <v>21.78</v>
      </c>
      <c r="I531" s="12" t="s">
        <v>320</v>
      </c>
    </row>
    <row r="532" customFormat="false" ht="15" hidden="false" customHeight="false" outlineLevel="0" collapsed="false">
      <c r="A532" s="12" t="s">
        <v>184</v>
      </c>
      <c r="B532" s="12" t="s">
        <v>63</v>
      </c>
      <c r="C532" s="12" t="s">
        <v>841</v>
      </c>
      <c r="D532" s="12" t="s">
        <v>844</v>
      </c>
      <c r="E532" s="12" t="s">
        <v>1280</v>
      </c>
      <c r="F532" s="12" t="s">
        <v>320</v>
      </c>
      <c r="G532" s="12" t="s">
        <v>12</v>
      </c>
      <c r="H532" s="27" t="n">
        <v>48.28</v>
      </c>
      <c r="I532" s="12" t="s">
        <v>320</v>
      </c>
    </row>
    <row r="533" customFormat="false" ht="15" hidden="false" customHeight="false" outlineLevel="0" collapsed="false">
      <c r="A533" s="12" t="s">
        <v>170</v>
      </c>
      <c r="B533" s="12" t="s">
        <v>63</v>
      </c>
      <c r="C533" s="12" t="s">
        <v>170</v>
      </c>
      <c r="D533" s="12" t="s">
        <v>596</v>
      </c>
      <c r="E533" s="12" t="s">
        <v>597</v>
      </c>
      <c r="F533" s="12" t="s">
        <v>320</v>
      </c>
      <c r="G533" s="12" t="s">
        <v>12</v>
      </c>
      <c r="H533" s="27" t="n">
        <v>343.8</v>
      </c>
      <c r="I533" s="12" t="s">
        <v>320</v>
      </c>
    </row>
    <row r="534" customFormat="false" ht="15" hidden="false" customHeight="false" outlineLevel="0" collapsed="false">
      <c r="A534" s="12" t="s">
        <v>184</v>
      </c>
      <c r="B534" s="12" t="s">
        <v>63</v>
      </c>
      <c r="C534" s="12" t="s">
        <v>184</v>
      </c>
      <c r="D534" s="12" t="s">
        <v>672</v>
      </c>
      <c r="E534" s="12" t="s">
        <v>785</v>
      </c>
      <c r="F534" s="12" t="s">
        <v>320</v>
      </c>
      <c r="G534" s="12" t="s">
        <v>12</v>
      </c>
      <c r="H534" s="27" t="n">
        <v>55.26</v>
      </c>
      <c r="I534" s="12" t="s">
        <v>320</v>
      </c>
    </row>
    <row r="535" customFormat="false" ht="15" hidden="false" customHeight="false" outlineLevel="0" collapsed="false">
      <c r="A535" s="12" t="s">
        <v>62</v>
      </c>
      <c r="B535" s="12" t="s">
        <v>63</v>
      </c>
      <c r="C535" s="12" t="s">
        <v>62</v>
      </c>
      <c r="D535" s="12" t="s">
        <v>599</v>
      </c>
      <c r="E535" s="12" t="s">
        <v>600</v>
      </c>
      <c r="F535" s="12" t="s">
        <v>320</v>
      </c>
      <c r="G535" s="12" t="s">
        <v>12</v>
      </c>
      <c r="H535" s="27" t="n">
        <v>698.02</v>
      </c>
      <c r="I535" s="12" t="s">
        <v>333</v>
      </c>
    </row>
    <row r="536" customFormat="false" ht="15" hidden="false" customHeight="false" outlineLevel="0" collapsed="false">
      <c r="A536" s="12" t="s">
        <v>116</v>
      </c>
      <c r="B536" s="12" t="s">
        <v>63</v>
      </c>
      <c r="C536" s="12" t="s">
        <v>116</v>
      </c>
      <c r="D536" s="12" t="s">
        <v>1354</v>
      </c>
      <c r="E536" s="12" t="s">
        <v>1355</v>
      </c>
      <c r="F536" s="12" t="s">
        <v>320</v>
      </c>
      <c r="G536" s="12" t="s">
        <v>12</v>
      </c>
      <c r="H536" s="27" t="n">
        <v>66.93</v>
      </c>
      <c r="I536" s="12" t="s">
        <v>320</v>
      </c>
    </row>
    <row r="537" customFormat="false" ht="15" hidden="false" customHeight="false" outlineLevel="0" collapsed="false">
      <c r="A537" s="12" t="s">
        <v>62</v>
      </c>
      <c r="B537" s="12" t="s">
        <v>63</v>
      </c>
      <c r="C537" s="12" t="s">
        <v>1356</v>
      </c>
      <c r="D537" s="12" t="s">
        <v>614</v>
      </c>
      <c r="E537" s="12" t="s">
        <v>600</v>
      </c>
      <c r="F537" s="12" t="s">
        <v>320</v>
      </c>
      <c r="G537" s="12" t="s">
        <v>12</v>
      </c>
      <c r="H537" s="27" t="n">
        <v>705.4703</v>
      </c>
      <c r="I537" s="12" t="s">
        <v>333</v>
      </c>
    </row>
    <row r="538" customFormat="false" ht="15" hidden="false" customHeight="false" outlineLevel="0" collapsed="false">
      <c r="A538" s="12" t="s">
        <v>116</v>
      </c>
      <c r="B538" s="12" t="s">
        <v>63</v>
      </c>
      <c r="C538" s="12" t="s">
        <v>1357</v>
      </c>
      <c r="D538" s="12" t="s">
        <v>1358</v>
      </c>
      <c r="E538" s="12"/>
      <c r="F538" s="12"/>
      <c r="G538" s="12" t="s">
        <v>485</v>
      </c>
      <c r="H538" s="27"/>
      <c r="I538" s="12" t="s">
        <v>320</v>
      </c>
    </row>
    <row r="539" customFormat="false" ht="15" hidden="false" customHeight="false" outlineLevel="0" collapsed="false">
      <c r="A539" s="12" t="s">
        <v>184</v>
      </c>
      <c r="B539" s="12" t="s">
        <v>63</v>
      </c>
      <c r="C539" s="12" t="s">
        <v>1359</v>
      </c>
      <c r="D539" s="12" t="s">
        <v>747</v>
      </c>
      <c r="E539" s="12" t="s">
        <v>748</v>
      </c>
      <c r="F539" s="12" t="s">
        <v>320</v>
      </c>
      <c r="G539" s="12" t="s">
        <v>12</v>
      </c>
      <c r="H539" s="27"/>
      <c r="I539" s="12" t="s">
        <v>320</v>
      </c>
    </row>
    <row r="540" customFormat="false" ht="15" hidden="false" customHeight="false" outlineLevel="0" collapsed="false">
      <c r="A540" s="12" t="s">
        <v>184</v>
      </c>
      <c r="B540" s="12" t="s">
        <v>63</v>
      </c>
      <c r="C540" s="12" t="s">
        <v>1359</v>
      </c>
      <c r="D540" s="12" t="s">
        <v>749</v>
      </c>
      <c r="E540" s="12" t="s">
        <v>750</v>
      </c>
      <c r="F540" s="12" t="s">
        <v>320</v>
      </c>
      <c r="G540" s="12" t="s">
        <v>12</v>
      </c>
      <c r="H540" s="27"/>
      <c r="I540" s="12" t="s">
        <v>320</v>
      </c>
    </row>
    <row r="541" customFormat="false" ht="15" hidden="false" customHeight="false" outlineLevel="0" collapsed="false">
      <c r="A541" s="12" t="s">
        <v>62</v>
      </c>
      <c r="B541" s="12" t="s">
        <v>63</v>
      </c>
      <c r="C541" s="12" t="s">
        <v>1360</v>
      </c>
      <c r="D541" s="12" t="s">
        <v>707</v>
      </c>
      <c r="E541" s="12" t="s">
        <v>708</v>
      </c>
      <c r="F541" s="12" t="s">
        <v>320</v>
      </c>
      <c r="G541" s="12" t="s">
        <v>12</v>
      </c>
      <c r="H541" s="27" t="n">
        <v>14.329</v>
      </c>
      <c r="I541" s="12" t="s">
        <v>333</v>
      </c>
    </row>
    <row r="542" customFormat="false" ht="15" hidden="false" customHeight="false" outlineLevel="0" collapsed="false">
      <c r="A542" s="12" t="s">
        <v>66</v>
      </c>
      <c r="B542" s="12" t="s">
        <v>67</v>
      </c>
      <c r="C542" s="12" t="s">
        <v>1361</v>
      </c>
      <c r="D542" s="12" t="s">
        <v>1362</v>
      </c>
      <c r="E542" s="12" t="s">
        <v>1363</v>
      </c>
      <c r="F542" s="12" t="s">
        <v>320</v>
      </c>
      <c r="G542" s="12" t="s">
        <v>12</v>
      </c>
      <c r="H542" s="27" t="n">
        <v>6.47</v>
      </c>
      <c r="I542" s="12" t="s">
        <v>320</v>
      </c>
    </row>
    <row r="543" customFormat="false" ht="15" hidden="false" customHeight="false" outlineLevel="0" collapsed="false">
      <c r="A543" s="12" t="s">
        <v>66</v>
      </c>
      <c r="B543" s="12" t="s">
        <v>67</v>
      </c>
      <c r="C543" s="12" t="s">
        <v>1361</v>
      </c>
      <c r="D543" s="12" t="s">
        <v>1364</v>
      </c>
      <c r="E543" s="12" t="s">
        <v>1365</v>
      </c>
      <c r="F543" s="12" t="s">
        <v>320</v>
      </c>
      <c r="G543" s="12" t="s">
        <v>12</v>
      </c>
      <c r="H543" s="27" t="n">
        <v>6.28</v>
      </c>
      <c r="I543" s="12" t="s">
        <v>320</v>
      </c>
    </row>
    <row r="544" customFormat="false" ht="15" hidden="false" customHeight="false" outlineLevel="0" collapsed="false">
      <c r="A544" s="12" t="s">
        <v>69</v>
      </c>
      <c r="B544" s="12" t="s">
        <v>67</v>
      </c>
      <c r="C544" s="12" t="s">
        <v>492</v>
      </c>
      <c r="D544" s="12" t="s">
        <v>493</v>
      </c>
      <c r="E544" s="12" t="s">
        <v>494</v>
      </c>
      <c r="F544" s="12" t="s">
        <v>320</v>
      </c>
      <c r="G544" s="12" t="s">
        <v>12</v>
      </c>
      <c r="H544" s="27" t="n">
        <v>30.01</v>
      </c>
      <c r="I544" s="12" t="s">
        <v>320</v>
      </c>
    </row>
    <row r="545" customFormat="false" ht="15" hidden="false" customHeight="false" outlineLevel="0" collapsed="false">
      <c r="A545" s="12" t="s">
        <v>143</v>
      </c>
      <c r="B545" s="12" t="s">
        <v>67</v>
      </c>
      <c r="C545" s="12" t="s">
        <v>1366</v>
      </c>
      <c r="D545" s="12" t="s">
        <v>1367</v>
      </c>
      <c r="E545" s="12" t="s">
        <v>1368</v>
      </c>
      <c r="F545" s="12" t="s">
        <v>320</v>
      </c>
      <c r="G545" s="12" t="s">
        <v>12</v>
      </c>
      <c r="H545" s="27"/>
      <c r="I545" s="12" t="s">
        <v>320</v>
      </c>
    </row>
    <row r="546" customFormat="false" ht="15" hidden="false" customHeight="false" outlineLevel="0" collapsed="false">
      <c r="A546" s="12" t="s">
        <v>151</v>
      </c>
      <c r="B546" s="12" t="s">
        <v>67</v>
      </c>
      <c r="C546" s="12" t="s">
        <v>522</v>
      </c>
      <c r="D546" s="12" t="s">
        <v>523</v>
      </c>
      <c r="E546" s="12" t="s">
        <v>1369</v>
      </c>
      <c r="F546" s="12" t="s">
        <v>320</v>
      </c>
      <c r="G546" s="12" t="s">
        <v>12</v>
      </c>
      <c r="H546" s="27" t="n">
        <v>8.76</v>
      </c>
      <c r="I546" s="12" t="s">
        <v>333</v>
      </c>
    </row>
    <row r="547" customFormat="false" ht="15" hidden="false" customHeight="false" outlineLevel="0" collapsed="false">
      <c r="A547" s="12" t="s">
        <v>151</v>
      </c>
      <c r="B547" s="12" t="s">
        <v>67</v>
      </c>
      <c r="C547" s="12" t="s">
        <v>522</v>
      </c>
      <c r="D547" s="12" t="s">
        <v>525</v>
      </c>
      <c r="E547" s="12" t="s">
        <v>1370</v>
      </c>
      <c r="F547" s="12" t="s">
        <v>320</v>
      </c>
      <c r="G547" s="12" t="s">
        <v>12</v>
      </c>
      <c r="H547" s="27" t="n">
        <v>6.06</v>
      </c>
      <c r="I547" s="12" t="s">
        <v>333</v>
      </c>
    </row>
    <row r="548" customFormat="false" ht="15" hidden="false" customHeight="false" outlineLevel="0" collapsed="false">
      <c r="A548" s="12" t="s">
        <v>140</v>
      </c>
      <c r="B548" s="12" t="s">
        <v>67</v>
      </c>
      <c r="C548" s="12" t="s">
        <v>1371</v>
      </c>
      <c r="D548" s="12" t="s">
        <v>644</v>
      </c>
      <c r="E548" s="12" t="s">
        <v>645</v>
      </c>
      <c r="F548" s="12" t="s">
        <v>320</v>
      </c>
      <c r="G548" s="12" t="s">
        <v>12</v>
      </c>
      <c r="H548" s="27" t="n">
        <v>12.0797</v>
      </c>
      <c r="I548" s="12" t="s">
        <v>333</v>
      </c>
    </row>
    <row r="549" customFormat="false" ht="15" hidden="false" customHeight="false" outlineLevel="0" collapsed="false">
      <c r="A549" s="12" t="s">
        <v>140</v>
      </c>
      <c r="B549" s="12" t="s">
        <v>67</v>
      </c>
      <c r="C549" s="12" t="s">
        <v>1371</v>
      </c>
      <c r="D549" s="12" t="s">
        <v>1372</v>
      </c>
      <c r="E549" s="12" t="s">
        <v>1373</v>
      </c>
      <c r="F549" s="12" t="s">
        <v>320</v>
      </c>
      <c r="G549" s="12" t="s">
        <v>12</v>
      </c>
      <c r="H549" s="27" t="n">
        <v>44.7141</v>
      </c>
      <c r="I549" s="12" t="s">
        <v>333</v>
      </c>
    </row>
    <row r="550" customFormat="false" ht="15" hidden="false" customHeight="false" outlineLevel="0" collapsed="false">
      <c r="A550" s="12" t="s">
        <v>140</v>
      </c>
      <c r="B550" s="12" t="s">
        <v>67</v>
      </c>
      <c r="C550" s="12" t="s">
        <v>1371</v>
      </c>
      <c r="D550" s="12" t="s">
        <v>644</v>
      </c>
      <c r="E550" s="12" t="s">
        <v>645</v>
      </c>
      <c r="F550" s="12" t="s">
        <v>320</v>
      </c>
      <c r="G550" s="12" t="s">
        <v>12</v>
      </c>
      <c r="H550" s="27" t="n">
        <v>15.5149</v>
      </c>
      <c r="I550" s="12" t="s">
        <v>333</v>
      </c>
    </row>
    <row r="551" customFormat="false" ht="15" hidden="false" customHeight="false" outlineLevel="0" collapsed="false">
      <c r="A551" s="12" t="s">
        <v>79</v>
      </c>
      <c r="B551" s="12" t="s">
        <v>41</v>
      </c>
      <c r="C551" s="12" t="s">
        <v>1374</v>
      </c>
      <c r="D551" s="12" t="s">
        <v>1042</v>
      </c>
      <c r="E551" s="12" t="s">
        <v>1375</v>
      </c>
      <c r="F551" s="12" t="s">
        <v>320</v>
      </c>
      <c r="G551" s="12" t="s">
        <v>12</v>
      </c>
      <c r="H551" s="27" t="n">
        <v>6.66</v>
      </c>
      <c r="I551" s="12" t="s">
        <v>320</v>
      </c>
    </row>
    <row r="552" customFormat="false" ht="15" hidden="false" customHeight="false" outlineLevel="0" collapsed="false">
      <c r="A552" s="12" t="s">
        <v>79</v>
      </c>
      <c r="B552" s="12" t="s">
        <v>41</v>
      </c>
      <c r="C552" s="12" t="s">
        <v>1374</v>
      </c>
      <c r="D552" s="12" t="s">
        <v>1376</v>
      </c>
      <c r="E552" s="12" t="s">
        <v>508</v>
      </c>
      <c r="F552" s="12" t="s">
        <v>320</v>
      </c>
      <c r="G552" s="12" t="s">
        <v>12</v>
      </c>
      <c r="H552" s="27" t="n">
        <v>38.11</v>
      </c>
      <c r="I552" s="12" t="s">
        <v>320</v>
      </c>
    </row>
    <row r="553" customFormat="false" ht="15" hidden="false" customHeight="false" outlineLevel="0" collapsed="false">
      <c r="A553" s="12" t="s">
        <v>58</v>
      </c>
      <c r="B553" s="12" t="s">
        <v>41</v>
      </c>
      <c r="C553" s="12" t="s">
        <v>1377</v>
      </c>
      <c r="D553" s="12" t="s">
        <v>1378</v>
      </c>
      <c r="E553" s="12" t="s">
        <v>1379</v>
      </c>
      <c r="F553" s="12" t="s">
        <v>475</v>
      </c>
      <c r="G553" s="12" t="s">
        <v>14</v>
      </c>
      <c r="H553" s="27"/>
      <c r="I553" s="12" t="s">
        <v>320</v>
      </c>
    </row>
    <row r="554" customFormat="false" ht="15" hidden="false" customHeight="false" outlineLevel="0" collapsed="false">
      <c r="A554" s="12" t="s">
        <v>184</v>
      </c>
      <c r="B554" s="12" t="s">
        <v>41</v>
      </c>
      <c r="C554" s="12" t="s">
        <v>184</v>
      </c>
      <c r="D554" s="12" t="s">
        <v>672</v>
      </c>
      <c r="E554" s="12" t="s">
        <v>785</v>
      </c>
      <c r="F554" s="12" t="s">
        <v>320</v>
      </c>
      <c r="G554" s="12" t="s">
        <v>12</v>
      </c>
      <c r="H554" s="27" t="n">
        <v>67.02</v>
      </c>
      <c r="I554" s="12" t="s">
        <v>320</v>
      </c>
    </row>
    <row r="555" customFormat="false" ht="15" hidden="false" customHeight="false" outlineLevel="0" collapsed="false">
      <c r="A555" s="12" t="s">
        <v>39</v>
      </c>
      <c r="B555" s="12" t="s">
        <v>41</v>
      </c>
      <c r="C555" s="12" t="s">
        <v>1380</v>
      </c>
      <c r="D555" s="12"/>
      <c r="E555" s="12" t="s">
        <v>1381</v>
      </c>
      <c r="F555" s="12" t="s">
        <v>320</v>
      </c>
      <c r="G555" s="12" t="s">
        <v>13</v>
      </c>
      <c r="H555" s="27" t="n">
        <v>634</v>
      </c>
      <c r="I555" s="12" t="s">
        <v>320</v>
      </c>
    </row>
    <row r="556" customFormat="false" ht="15" hidden="false" customHeight="false" outlineLevel="0" collapsed="false">
      <c r="A556" s="12" t="s">
        <v>58</v>
      </c>
      <c r="B556" s="12" t="s">
        <v>41</v>
      </c>
      <c r="C556" s="12" t="s">
        <v>1377</v>
      </c>
      <c r="D556" s="12" t="s">
        <v>609</v>
      </c>
      <c r="E556" s="12" t="s">
        <v>1109</v>
      </c>
      <c r="F556" s="12" t="s">
        <v>475</v>
      </c>
      <c r="G556" s="12" t="s">
        <v>14</v>
      </c>
      <c r="H556" s="27"/>
      <c r="I556" s="12" t="s">
        <v>320</v>
      </c>
    </row>
    <row r="557" customFormat="false" ht="15" hidden="false" customHeight="false" outlineLevel="0" collapsed="false">
      <c r="A557" s="12" t="s">
        <v>39</v>
      </c>
      <c r="B557" s="12" t="s">
        <v>41</v>
      </c>
      <c r="C557" s="12" t="s">
        <v>1382</v>
      </c>
      <c r="D557" s="12" t="s">
        <v>1383</v>
      </c>
      <c r="E557" s="12" t="s">
        <v>1384</v>
      </c>
      <c r="F557" s="12" t="s">
        <v>320</v>
      </c>
      <c r="G557" s="12" t="s">
        <v>13</v>
      </c>
      <c r="H557" s="27" t="n">
        <v>7.2659</v>
      </c>
      <c r="I557" s="12" t="s">
        <v>320</v>
      </c>
    </row>
    <row r="558" customFormat="false" ht="15" hidden="false" customHeight="false" outlineLevel="0" collapsed="false">
      <c r="A558" s="12" t="s">
        <v>104</v>
      </c>
      <c r="B558" s="12" t="s">
        <v>41</v>
      </c>
      <c r="C558" s="12" t="s">
        <v>1385</v>
      </c>
      <c r="D558" s="12" t="s">
        <v>1386</v>
      </c>
      <c r="E558" s="12" t="s">
        <v>1384</v>
      </c>
      <c r="F558" s="12" t="s">
        <v>320</v>
      </c>
      <c r="G558" s="12" t="s">
        <v>13</v>
      </c>
      <c r="H558" s="27" t="n">
        <v>6.0342</v>
      </c>
      <c r="I558" s="12" t="s">
        <v>320</v>
      </c>
    </row>
    <row r="559" customFormat="false" ht="15" hidden="false" customHeight="false" outlineLevel="0" collapsed="false">
      <c r="A559" s="12" t="s">
        <v>176</v>
      </c>
      <c r="B559" s="12" t="s">
        <v>41</v>
      </c>
      <c r="C559" s="12" t="s">
        <v>1387</v>
      </c>
      <c r="D559" s="12" t="s">
        <v>657</v>
      </c>
      <c r="E559" s="12"/>
      <c r="F559" s="12"/>
      <c r="G559" s="12" t="s">
        <v>485</v>
      </c>
      <c r="H559" s="27"/>
      <c r="I559" s="12" t="s">
        <v>320</v>
      </c>
    </row>
    <row r="560" customFormat="false" ht="15" hidden="false" customHeight="false" outlineLevel="0" collapsed="false">
      <c r="A560" s="12" t="s">
        <v>184</v>
      </c>
      <c r="B560" s="12" t="s">
        <v>41</v>
      </c>
      <c r="C560" s="12" t="s">
        <v>1388</v>
      </c>
      <c r="D560" s="12" t="s">
        <v>864</v>
      </c>
      <c r="E560" s="12" t="s">
        <v>785</v>
      </c>
      <c r="F560" s="12" t="s">
        <v>320</v>
      </c>
      <c r="G560" s="12" t="s">
        <v>12</v>
      </c>
      <c r="H560" s="27" t="n">
        <v>92.0498</v>
      </c>
      <c r="I560" s="12" t="s">
        <v>320</v>
      </c>
    </row>
    <row r="561" customFormat="false" ht="15" hidden="false" customHeight="false" outlineLevel="0" collapsed="false">
      <c r="A561" s="12" t="s">
        <v>39</v>
      </c>
      <c r="B561" s="12" t="s">
        <v>41</v>
      </c>
      <c r="C561" s="12" t="s">
        <v>1380</v>
      </c>
      <c r="D561" s="12" t="s">
        <v>879</v>
      </c>
      <c r="E561" s="12" t="s">
        <v>1227</v>
      </c>
      <c r="F561" s="12" t="s">
        <v>320</v>
      </c>
      <c r="G561" s="12" t="s">
        <v>13</v>
      </c>
      <c r="H561" s="27" t="n">
        <v>5.579</v>
      </c>
      <c r="I561" s="12" t="s">
        <v>320</v>
      </c>
    </row>
    <row r="562" customFormat="false" ht="15" hidden="false" customHeight="false" outlineLevel="0" collapsed="false">
      <c r="A562" s="12" t="s">
        <v>104</v>
      </c>
      <c r="B562" s="12" t="s">
        <v>41</v>
      </c>
      <c r="C562" s="12" t="s">
        <v>1385</v>
      </c>
      <c r="D562" s="12" t="s">
        <v>1273</v>
      </c>
      <c r="E562" s="12" t="s">
        <v>1384</v>
      </c>
      <c r="F562" s="12" t="s">
        <v>320</v>
      </c>
      <c r="G562" s="12" t="s">
        <v>13</v>
      </c>
      <c r="H562" s="27" t="n">
        <v>11.39</v>
      </c>
      <c r="I562" s="12" t="s">
        <v>320</v>
      </c>
    </row>
    <row r="563" customFormat="false" ht="15" hidden="false" customHeight="false" outlineLevel="0" collapsed="false">
      <c r="A563" s="12" t="s">
        <v>39</v>
      </c>
      <c r="B563" s="12" t="s">
        <v>41</v>
      </c>
      <c r="C563" s="12" t="s">
        <v>1380</v>
      </c>
      <c r="D563" s="12" t="s">
        <v>1389</v>
      </c>
      <c r="E563" s="12" t="s">
        <v>931</v>
      </c>
      <c r="F563" s="12" t="s">
        <v>320</v>
      </c>
      <c r="G563" s="12" t="s">
        <v>13</v>
      </c>
      <c r="H563" s="27" t="n">
        <v>7.18</v>
      </c>
      <c r="I563" s="12" t="s">
        <v>320</v>
      </c>
    </row>
    <row r="564" customFormat="false" ht="15" hidden="false" customHeight="false" outlineLevel="0" collapsed="false">
      <c r="A564" s="12" t="s">
        <v>106</v>
      </c>
      <c r="B564" s="12" t="s">
        <v>41</v>
      </c>
      <c r="C564" s="12" t="s">
        <v>1390</v>
      </c>
      <c r="D564" s="12" t="s">
        <v>1391</v>
      </c>
      <c r="E564" s="12" t="s">
        <v>931</v>
      </c>
      <c r="F564" s="12" t="s">
        <v>320</v>
      </c>
      <c r="G564" s="12" t="s">
        <v>13</v>
      </c>
      <c r="H564" s="27" t="n">
        <v>5.27</v>
      </c>
      <c r="I564" s="12" t="s">
        <v>320</v>
      </c>
    </row>
    <row r="565" customFormat="false" ht="15" hidden="false" customHeight="false" outlineLevel="0" collapsed="false">
      <c r="A565" s="12" t="s">
        <v>106</v>
      </c>
      <c r="B565" s="12" t="s">
        <v>41</v>
      </c>
      <c r="C565" s="12" t="s">
        <v>1390</v>
      </c>
      <c r="D565" s="12" t="s">
        <v>1391</v>
      </c>
      <c r="E565" s="12" t="s">
        <v>1384</v>
      </c>
      <c r="F565" s="12" t="s">
        <v>320</v>
      </c>
      <c r="G565" s="12" t="s">
        <v>13</v>
      </c>
      <c r="H565" s="27" t="n">
        <v>26.33</v>
      </c>
      <c r="I565" s="12" t="s">
        <v>320</v>
      </c>
    </row>
    <row r="566" customFormat="false" ht="15" hidden="false" customHeight="false" outlineLevel="0" collapsed="false">
      <c r="A566" s="12" t="s">
        <v>140</v>
      </c>
      <c r="B566" s="12" t="s">
        <v>73</v>
      </c>
      <c r="C566" s="12" t="s">
        <v>140</v>
      </c>
      <c r="D566" s="12" t="s">
        <v>912</v>
      </c>
      <c r="E566" s="12" t="s">
        <v>1392</v>
      </c>
      <c r="F566" s="12" t="s">
        <v>320</v>
      </c>
      <c r="G566" s="12" t="s">
        <v>12</v>
      </c>
      <c r="H566" s="27" t="n">
        <v>10.97</v>
      </c>
      <c r="I566" s="12" t="s">
        <v>320</v>
      </c>
    </row>
    <row r="567" customFormat="false" ht="15" hidden="false" customHeight="false" outlineLevel="0" collapsed="false">
      <c r="A567" s="12" t="s">
        <v>140</v>
      </c>
      <c r="B567" s="12" t="s">
        <v>73</v>
      </c>
      <c r="C567" s="12" t="s">
        <v>1393</v>
      </c>
      <c r="D567" s="12" t="s">
        <v>644</v>
      </c>
      <c r="E567" s="12" t="s">
        <v>1394</v>
      </c>
      <c r="F567" s="12" t="s">
        <v>320</v>
      </c>
      <c r="G567" s="12" t="s">
        <v>12</v>
      </c>
      <c r="H567" s="27" t="n">
        <v>12.0797</v>
      </c>
      <c r="I567" s="12" t="s">
        <v>333</v>
      </c>
    </row>
    <row r="568" customFormat="false" ht="15" hidden="false" customHeight="false" outlineLevel="0" collapsed="false">
      <c r="A568" s="12" t="s">
        <v>140</v>
      </c>
      <c r="B568" s="12" t="s">
        <v>73</v>
      </c>
      <c r="C568" s="12" t="s">
        <v>1393</v>
      </c>
      <c r="D568" s="12" t="s">
        <v>644</v>
      </c>
      <c r="E568" s="12" t="s">
        <v>1394</v>
      </c>
      <c r="F568" s="12" t="s">
        <v>320</v>
      </c>
      <c r="G568" s="12" t="s">
        <v>12</v>
      </c>
      <c r="H568" s="27" t="n">
        <v>12.0797</v>
      </c>
      <c r="I568" s="12" t="s">
        <v>333</v>
      </c>
    </row>
    <row r="569" customFormat="false" ht="15" hidden="false" customHeight="false" outlineLevel="0" collapsed="false">
      <c r="A569" s="12" t="s">
        <v>74</v>
      </c>
      <c r="B569" s="12" t="s">
        <v>73</v>
      </c>
      <c r="C569" s="12" t="s">
        <v>1395</v>
      </c>
      <c r="D569" s="12" t="s">
        <v>1396</v>
      </c>
      <c r="E569" s="12" t="s">
        <v>1397</v>
      </c>
      <c r="F569" s="12" t="s">
        <v>320</v>
      </c>
      <c r="G569" s="12" t="s">
        <v>12</v>
      </c>
      <c r="H569" s="27" t="n">
        <v>30.73</v>
      </c>
      <c r="I569" s="12" t="s">
        <v>333</v>
      </c>
    </row>
    <row r="570" customFormat="false" ht="15" hidden="false" customHeight="false" outlineLevel="0" collapsed="false">
      <c r="A570" s="12" t="s">
        <v>74</v>
      </c>
      <c r="B570" s="12" t="s">
        <v>73</v>
      </c>
      <c r="C570" s="12" t="s">
        <v>1395</v>
      </c>
      <c r="D570" s="12" t="s">
        <v>1300</v>
      </c>
      <c r="E570" s="12" t="s">
        <v>1301</v>
      </c>
      <c r="F570" s="12" t="s">
        <v>320</v>
      </c>
      <c r="G570" s="12" t="s">
        <v>12</v>
      </c>
      <c r="H570" s="27" t="n">
        <v>15.365</v>
      </c>
      <c r="I570" s="12" t="s">
        <v>333</v>
      </c>
    </row>
    <row r="571" customFormat="false" ht="15" hidden="false" customHeight="false" outlineLevel="0" collapsed="false">
      <c r="A571" s="12" t="s">
        <v>72</v>
      </c>
      <c r="B571" s="12" t="s">
        <v>73</v>
      </c>
      <c r="C571" s="12" t="s">
        <v>1398</v>
      </c>
      <c r="D571" s="12" t="s">
        <v>1300</v>
      </c>
      <c r="E571" s="12" t="s">
        <v>1301</v>
      </c>
      <c r="F571" s="12" t="s">
        <v>320</v>
      </c>
      <c r="G571" s="12" t="s">
        <v>12</v>
      </c>
      <c r="H571" s="27" t="n">
        <v>8.323</v>
      </c>
      <c r="I571" s="12" t="s">
        <v>333</v>
      </c>
    </row>
    <row r="572" customFormat="false" ht="15" hidden="false" customHeight="false" outlineLevel="0" collapsed="false">
      <c r="A572" s="12" t="s">
        <v>72</v>
      </c>
      <c r="B572" s="12" t="s">
        <v>73</v>
      </c>
      <c r="C572" s="12" t="s">
        <v>1398</v>
      </c>
      <c r="D572" s="12" t="s">
        <v>1396</v>
      </c>
      <c r="E572" s="12" t="s">
        <v>1397</v>
      </c>
      <c r="F572" s="12" t="s">
        <v>320</v>
      </c>
      <c r="G572" s="12" t="s">
        <v>12</v>
      </c>
      <c r="H572" s="27" t="n">
        <v>17.738</v>
      </c>
      <c r="I572" s="12" t="s">
        <v>333</v>
      </c>
    </row>
    <row r="573" customFormat="false" ht="15" hidden="false" customHeight="false" outlineLevel="0" collapsed="false">
      <c r="A573" s="12" t="s">
        <v>169</v>
      </c>
      <c r="B573" s="12" t="s">
        <v>73</v>
      </c>
      <c r="C573" s="12" t="s">
        <v>1399</v>
      </c>
      <c r="D573" s="12" t="s">
        <v>1400</v>
      </c>
      <c r="E573" s="12" t="s">
        <v>1401</v>
      </c>
      <c r="F573" s="12" t="s">
        <v>320</v>
      </c>
      <c r="G573" s="12" t="s">
        <v>12</v>
      </c>
      <c r="H573" s="27" t="n">
        <v>13.489</v>
      </c>
      <c r="I573" s="12" t="s">
        <v>333</v>
      </c>
    </row>
    <row r="574" customFormat="false" ht="15" hidden="false" customHeight="false" outlineLevel="0" collapsed="false">
      <c r="A574" s="12" t="s">
        <v>169</v>
      </c>
      <c r="B574" s="12" t="s">
        <v>73</v>
      </c>
      <c r="C574" s="12" t="s">
        <v>1402</v>
      </c>
      <c r="D574" s="12" t="s">
        <v>1403</v>
      </c>
      <c r="E574" s="12" t="s">
        <v>1404</v>
      </c>
      <c r="F574" s="12" t="s">
        <v>320</v>
      </c>
      <c r="G574" s="12" t="s">
        <v>12</v>
      </c>
      <c r="H574" s="27" t="n">
        <v>26.971</v>
      </c>
      <c r="I574" s="12" t="s">
        <v>333</v>
      </c>
    </row>
    <row r="575" customFormat="false" ht="15" hidden="false" customHeight="false" outlineLevel="0" collapsed="false">
      <c r="A575" s="12" t="s">
        <v>123</v>
      </c>
      <c r="B575" s="12" t="s">
        <v>73</v>
      </c>
      <c r="C575" s="12" t="s">
        <v>1405</v>
      </c>
      <c r="D575" s="12" t="s">
        <v>1406</v>
      </c>
      <c r="E575" s="12" t="s">
        <v>1407</v>
      </c>
      <c r="F575" s="12" t="s">
        <v>320</v>
      </c>
      <c r="G575" s="12" t="s">
        <v>12</v>
      </c>
      <c r="H575" s="27" t="n">
        <v>6.9411728505</v>
      </c>
      <c r="I575" s="12" t="s">
        <v>320</v>
      </c>
    </row>
    <row r="576" customFormat="false" ht="15" hidden="false" customHeight="false" outlineLevel="0" collapsed="false">
      <c r="A576" s="12" t="s">
        <v>76</v>
      </c>
      <c r="B576" s="12" t="s">
        <v>50</v>
      </c>
      <c r="C576" s="12" t="s">
        <v>1408</v>
      </c>
      <c r="D576" s="12" t="s">
        <v>1409</v>
      </c>
      <c r="E576" s="12" t="s">
        <v>1410</v>
      </c>
      <c r="F576" s="12" t="s">
        <v>320</v>
      </c>
      <c r="G576" s="12" t="s">
        <v>12</v>
      </c>
      <c r="H576" s="27" t="n">
        <v>29.39</v>
      </c>
      <c r="I576" s="12" t="s">
        <v>333</v>
      </c>
    </row>
    <row r="577" customFormat="false" ht="15" hidden="false" customHeight="false" outlineLevel="0" collapsed="false">
      <c r="A577" s="12" t="s">
        <v>92</v>
      </c>
      <c r="B577" s="12" t="s">
        <v>50</v>
      </c>
      <c r="C577" s="12" t="s">
        <v>1411</v>
      </c>
      <c r="D577" s="12" t="s">
        <v>500</v>
      </c>
      <c r="E577" s="12" t="s">
        <v>1412</v>
      </c>
      <c r="F577" s="12" t="s">
        <v>320</v>
      </c>
      <c r="G577" s="12" t="s">
        <v>12</v>
      </c>
      <c r="H577" s="27" t="n">
        <v>15.95</v>
      </c>
      <c r="I577" s="12" t="s">
        <v>320</v>
      </c>
    </row>
    <row r="578" customFormat="false" ht="15" hidden="false" customHeight="false" outlineLevel="0" collapsed="false">
      <c r="A578" s="12" t="s">
        <v>184</v>
      </c>
      <c r="B578" s="12" t="s">
        <v>50</v>
      </c>
      <c r="C578" s="12" t="s">
        <v>841</v>
      </c>
      <c r="D578" s="12" t="s">
        <v>842</v>
      </c>
      <c r="E578" s="12" t="s">
        <v>1353</v>
      </c>
      <c r="F578" s="12" t="s">
        <v>320</v>
      </c>
      <c r="G578" s="12" t="s">
        <v>12</v>
      </c>
      <c r="H578" s="27" t="n">
        <v>21.78</v>
      </c>
      <c r="I578" s="12" t="s">
        <v>320</v>
      </c>
    </row>
    <row r="579" customFormat="false" ht="15" hidden="false" customHeight="false" outlineLevel="0" collapsed="false">
      <c r="A579" s="12" t="s">
        <v>184</v>
      </c>
      <c r="B579" s="12" t="s">
        <v>50</v>
      </c>
      <c r="C579" s="12" t="s">
        <v>841</v>
      </c>
      <c r="D579" s="12" t="s">
        <v>844</v>
      </c>
      <c r="E579" s="12" t="s">
        <v>1280</v>
      </c>
      <c r="F579" s="12" t="s">
        <v>320</v>
      </c>
      <c r="G579" s="12" t="s">
        <v>12</v>
      </c>
      <c r="H579" s="27" t="n">
        <v>48.28</v>
      </c>
      <c r="I579" s="12" t="s">
        <v>320</v>
      </c>
    </row>
    <row r="580" customFormat="false" ht="15" hidden="false" customHeight="false" outlineLevel="0" collapsed="false">
      <c r="A580" s="12" t="s">
        <v>184</v>
      </c>
      <c r="B580" s="12" t="s">
        <v>50</v>
      </c>
      <c r="C580" s="12" t="s">
        <v>1413</v>
      </c>
      <c r="D580" s="12" t="s">
        <v>672</v>
      </c>
      <c r="E580" s="12" t="s">
        <v>785</v>
      </c>
      <c r="F580" s="12" t="s">
        <v>320</v>
      </c>
      <c r="G580" s="12" t="s">
        <v>12</v>
      </c>
      <c r="H580" s="27" t="n">
        <v>78.79</v>
      </c>
      <c r="I580" s="12" t="s">
        <v>320</v>
      </c>
    </row>
    <row r="581" customFormat="false" ht="15" hidden="false" customHeight="false" outlineLevel="0" collapsed="false">
      <c r="A581" s="12" t="s">
        <v>49</v>
      </c>
      <c r="B581" s="12" t="s">
        <v>50</v>
      </c>
      <c r="C581" s="12" t="s">
        <v>49</v>
      </c>
      <c r="D581" s="12" t="s">
        <v>902</v>
      </c>
      <c r="E581" s="12" t="s">
        <v>1414</v>
      </c>
      <c r="F581" s="12" t="s">
        <v>320</v>
      </c>
      <c r="G581" s="12" t="s">
        <v>12</v>
      </c>
      <c r="H581" s="27"/>
      <c r="I581" s="12" t="s">
        <v>333</v>
      </c>
    </row>
    <row r="582" customFormat="false" ht="15" hidden="false" customHeight="false" outlineLevel="0" collapsed="false">
      <c r="A582" s="12" t="s">
        <v>114</v>
      </c>
      <c r="B582" s="12" t="s">
        <v>50</v>
      </c>
      <c r="C582" s="12" t="s">
        <v>1415</v>
      </c>
      <c r="D582" s="12" t="s">
        <v>601</v>
      </c>
      <c r="E582" s="12" t="s">
        <v>602</v>
      </c>
      <c r="F582" s="12" t="s">
        <v>475</v>
      </c>
      <c r="G582" s="12" t="s">
        <v>14</v>
      </c>
      <c r="H582" s="27" t="n">
        <v>345.31</v>
      </c>
      <c r="I582" s="12" t="s">
        <v>320</v>
      </c>
    </row>
    <row r="583" customFormat="false" ht="15" hidden="false" customHeight="false" outlineLevel="0" collapsed="false">
      <c r="A583" s="12" t="s">
        <v>62</v>
      </c>
      <c r="B583" s="12" t="s">
        <v>50</v>
      </c>
      <c r="C583" s="12" t="s">
        <v>1416</v>
      </c>
      <c r="D583" s="12" t="s">
        <v>599</v>
      </c>
      <c r="E583" s="12" t="s">
        <v>600</v>
      </c>
      <c r="F583" s="12" t="s">
        <v>320</v>
      </c>
      <c r="G583" s="12" t="s">
        <v>12</v>
      </c>
      <c r="H583" s="27" t="n">
        <v>1007.36</v>
      </c>
      <c r="I583" s="12" t="s">
        <v>333</v>
      </c>
    </row>
    <row r="584" customFormat="false" ht="15" hidden="false" customHeight="false" outlineLevel="0" collapsed="false">
      <c r="A584" s="12" t="s">
        <v>198</v>
      </c>
      <c r="B584" s="12" t="s">
        <v>50</v>
      </c>
      <c r="C584" s="12" t="s">
        <v>1417</v>
      </c>
      <c r="D584" s="12" t="s">
        <v>1418</v>
      </c>
      <c r="E584" s="12" t="s">
        <v>1419</v>
      </c>
      <c r="F584" s="12" t="s">
        <v>320</v>
      </c>
      <c r="G584" s="12" t="s">
        <v>12</v>
      </c>
      <c r="H584" s="27" t="n">
        <v>9.92</v>
      </c>
      <c r="I584" s="12" t="s">
        <v>320</v>
      </c>
    </row>
    <row r="585" customFormat="false" ht="15" hidden="false" customHeight="false" outlineLevel="0" collapsed="false">
      <c r="A585" s="12" t="s">
        <v>189</v>
      </c>
      <c r="B585" s="12" t="s">
        <v>50</v>
      </c>
      <c r="C585" s="12" t="s">
        <v>1420</v>
      </c>
      <c r="D585" s="12" t="s">
        <v>1421</v>
      </c>
      <c r="E585" s="12" t="s">
        <v>782</v>
      </c>
      <c r="F585" s="12" t="s">
        <v>320</v>
      </c>
      <c r="G585" s="12" t="s">
        <v>12</v>
      </c>
      <c r="H585" s="27" t="n">
        <v>114.18</v>
      </c>
      <c r="I585" s="12" t="s">
        <v>320</v>
      </c>
    </row>
    <row r="586" customFormat="false" ht="15" hidden="false" customHeight="false" outlineLevel="0" collapsed="false">
      <c r="A586" s="12" t="s">
        <v>186</v>
      </c>
      <c r="B586" s="12" t="s">
        <v>50</v>
      </c>
      <c r="C586" s="12" t="s">
        <v>1422</v>
      </c>
      <c r="D586" s="12" t="s">
        <v>1423</v>
      </c>
      <c r="E586" s="12" t="s">
        <v>1424</v>
      </c>
      <c r="F586" s="12" t="s">
        <v>320</v>
      </c>
      <c r="G586" s="12" t="s">
        <v>13</v>
      </c>
      <c r="H586" s="27" t="n">
        <v>25.12</v>
      </c>
      <c r="I586" s="12" t="s">
        <v>320</v>
      </c>
    </row>
    <row r="587" customFormat="false" ht="15" hidden="false" customHeight="false" outlineLevel="0" collapsed="false">
      <c r="A587" s="12" t="s">
        <v>185</v>
      </c>
      <c r="B587" s="12" t="s">
        <v>50</v>
      </c>
      <c r="C587" s="12" t="s">
        <v>185</v>
      </c>
      <c r="D587" s="12" t="s">
        <v>1004</v>
      </c>
      <c r="E587" s="12" t="s">
        <v>1425</v>
      </c>
      <c r="F587" s="12" t="s">
        <v>320</v>
      </c>
      <c r="G587" s="12" t="s">
        <v>12</v>
      </c>
      <c r="H587" s="27" t="n">
        <v>10.85</v>
      </c>
      <c r="I587" s="12" t="s">
        <v>320</v>
      </c>
    </row>
    <row r="588" customFormat="false" ht="15" hidden="false" customHeight="false" outlineLevel="0" collapsed="false">
      <c r="A588" s="12" t="s">
        <v>162</v>
      </c>
      <c r="B588" s="12" t="s">
        <v>50</v>
      </c>
      <c r="C588" s="12" t="s">
        <v>162</v>
      </c>
      <c r="D588" s="12" t="s">
        <v>607</v>
      </c>
      <c r="E588" s="12" t="s">
        <v>904</v>
      </c>
      <c r="F588" s="12" t="s">
        <v>320</v>
      </c>
      <c r="G588" s="12" t="s">
        <v>12</v>
      </c>
      <c r="H588" s="27" t="n">
        <v>6.61</v>
      </c>
      <c r="I588" s="12" t="s">
        <v>333</v>
      </c>
    </row>
    <row r="589" customFormat="false" ht="15" hidden="false" customHeight="false" outlineLevel="0" collapsed="false">
      <c r="A589" s="12" t="s">
        <v>140</v>
      </c>
      <c r="B589" s="12" t="s">
        <v>50</v>
      </c>
      <c r="C589" s="12" t="s">
        <v>140</v>
      </c>
      <c r="D589" s="12" t="s">
        <v>912</v>
      </c>
      <c r="E589" s="12" t="s">
        <v>1392</v>
      </c>
      <c r="F589" s="12" t="s">
        <v>320</v>
      </c>
      <c r="G589" s="12" t="s">
        <v>12</v>
      </c>
      <c r="H589" s="27" t="n">
        <v>10.97</v>
      </c>
      <c r="I589" s="12" t="s">
        <v>320</v>
      </c>
    </row>
    <row r="590" customFormat="false" ht="15" hidden="false" customHeight="false" outlineLevel="0" collapsed="false">
      <c r="A590" s="12" t="s">
        <v>62</v>
      </c>
      <c r="B590" s="12" t="s">
        <v>50</v>
      </c>
      <c r="C590" s="12" t="s">
        <v>1416</v>
      </c>
      <c r="D590" s="12" t="s">
        <v>614</v>
      </c>
      <c r="E590" s="12" t="s">
        <v>600</v>
      </c>
      <c r="F590" s="12" t="s">
        <v>320</v>
      </c>
      <c r="G590" s="12" t="s">
        <v>12</v>
      </c>
      <c r="H590" s="27" t="n">
        <v>1444.1174</v>
      </c>
      <c r="I590" s="12" t="s">
        <v>333</v>
      </c>
    </row>
    <row r="591" customFormat="false" ht="15" hidden="false" customHeight="false" outlineLevel="0" collapsed="false">
      <c r="A591" s="12" t="s">
        <v>102</v>
      </c>
      <c r="B591" s="12" t="s">
        <v>50</v>
      </c>
      <c r="C591" s="12" t="s">
        <v>1426</v>
      </c>
      <c r="D591" s="12" t="s">
        <v>924</v>
      </c>
      <c r="E591" s="12" t="s">
        <v>904</v>
      </c>
      <c r="F591" s="12" t="s">
        <v>320</v>
      </c>
      <c r="G591" s="12" t="s">
        <v>12</v>
      </c>
      <c r="H591" s="27" t="n">
        <v>7.2659</v>
      </c>
      <c r="I591" s="12" t="s">
        <v>333</v>
      </c>
    </row>
    <row r="592" customFormat="false" ht="15" hidden="false" customHeight="false" outlineLevel="0" collapsed="false">
      <c r="A592" s="12" t="s">
        <v>114</v>
      </c>
      <c r="B592" s="12" t="s">
        <v>50</v>
      </c>
      <c r="C592" s="12" t="s">
        <v>1415</v>
      </c>
      <c r="D592" s="12" t="s">
        <v>978</v>
      </c>
      <c r="E592" s="12" t="s">
        <v>639</v>
      </c>
      <c r="F592" s="12" t="s">
        <v>475</v>
      </c>
      <c r="G592" s="12" t="s">
        <v>14</v>
      </c>
      <c r="H592" s="27" t="n">
        <v>531.8684</v>
      </c>
      <c r="I592" s="12" t="s">
        <v>320</v>
      </c>
    </row>
    <row r="593" customFormat="false" ht="15" hidden="false" customHeight="false" outlineLevel="0" collapsed="false">
      <c r="A593" s="12" t="s">
        <v>139</v>
      </c>
      <c r="B593" s="12" t="s">
        <v>50</v>
      </c>
      <c r="C593" s="12" t="s">
        <v>1427</v>
      </c>
      <c r="D593" s="12" t="s">
        <v>641</v>
      </c>
      <c r="E593" s="12" t="s">
        <v>908</v>
      </c>
      <c r="F593" s="12" t="s">
        <v>320</v>
      </c>
      <c r="G593" s="12" t="s">
        <v>12</v>
      </c>
      <c r="H593" s="27" t="n">
        <v>95.2025</v>
      </c>
      <c r="I593" s="12" t="s">
        <v>333</v>
      </c>
    </row>
    <row r="594" customFormat="false" ht="15" hidden="false" customHeight="false" outlineLevel="0" collapsed="false">
      <c r="A594" s="12" t="s">
        <v>140</v>
      </c>
      <c r="B594" s="12" t="s">
        <v>50</v>
      </c>
      <c r="C594" s="12" t="s">
        <v>1428</v>
      </c>
      <c r="D594" s="12" t="s">
        <v>1429</v>
      </c>
      <c r="E594" s="12" t="s">
        <v>1430</v>
      </c>
      <c r="F594" s="12" t="s">
        <v>320</v>
      </c>
      <c r="G594" s="12" t="s">
        <v>12</v>
      </c>
      <c r="H594" s="27" t="n">
        <v>12.0797</v>
      </c>
      <c r="I594" s="12" t="s">
        <v>333</v>
      </c>
    </row>
    <row r="595" customFormat="false" ht="15" hidden="false" customHeight="false" outlineLevel="0" collapsed="false">
      <c r="A595" s="12" t="s">
        <v>140</v>
      </c>
      <c r="B595" s="12" t="s">
        <v>50</v>
      </c>
      <c r="C595" s="12" t="s">
        <v>1431</v>
      </c>
      <c r="D595" s="12" t="s">
        <v>1429</v>
      </c>
      <c r="E595" s="12" t="s">
        <v>1430</v>
      </c>
      <c r="F595" s="12" t="s">
        <v>320</v>
      </c>
      <c r="G595" s="12" t="s">
        <v>12</v>
      </c>
      <c r="H595" s="27" t="n">
        <v>12.0797</v>
      </c>
      <c r="I595" s="12" t="s">
        <v>333</v>
      </c>
    </row>
    <row r="596" customFormat="false" ht="15" hidden="false" customHeight="false" outlineLevel="0" collapsed="false">
      <c r="A596" s="12" t="s">
        <v>162</v>
      </c>
      <c r="B596" s="12" t="s">
        <v>50</v>
      </c>
      <c r="C596" s="12" t="s">
        <v>1432</v>
      </c>
      <c r="D596" s="12" t="s">
        <v>924</v>
      </c>
      <c r="E596" s="12" t="s">
        <v>904</v>
      </c>
      <c r="F596" s="12" t="s">
        <v>320</v>
      </c>
      <c r="G596" s="12" t="s">
        <v>12</v>
      </c>
      <c r="H596" s="27" t="n">
        <v>5.5596</v>
      </c>
      <c r="I596" s="12" t="s">
        <v>333</v>
      </c>
    </row>
    <row r="597" customFormat="false" ht="15" hidden="false" customHeight="false" outlineLevel="0" collapsed="false">
      <c r="A597" s="12" t="s">
        <v>163</v>
      </c>
      <c r="B597" s="12" t="s">
        <v>50</v>
      </c>
      <c r="C597" s="12" t="s">
        <v>1433</v>
      </c>
      <c r="D597" s="12" t="s">
        <v>1434</v>
      </c>
      <c r="E597" s="12" t="s">
        <v>1435</v>
      </c>
      <c r="F597" s="12" t="s">
        <v>320</v>
      </c>
      <c r="G597" s="12" t="s">
        <v>12</v>
      </c>
      <c r="H597" s="27" t="n">
        <v>17.628</v>
      </c>
      <c r="I597" s="12" t="s">
        <v>320</v>
      </c>
    </row>
    <row r="598" customFormat="false" ht="15" hidden="false" customHeight="false" outlineLevel="0" collapsed="false">
      <c r="A598" s="12" t="s">
        <v>185</v>
      </c>
      <c r="B598" s="12" t="s">
        <v>50</v>
      </c>
      <c r="C598" s="12" t="s">
        <v>1436</v>
      </c>
      <c r="D598" s="12" t="s">
        <v>1022</v>
      </c>
      <c r="E598" s="12" t="s">
        <v>1437</v>
      </c>
      <c r="F598" s="12" t="s">
        <v>320</v>
      </c>
      <c r="G598" s="12" t="s">
        <v>13</v>
      </c>
      <c r="H598" s="27" t="n">
        <v>62.2065</v>
      </c>
      <c r="I598" s="12" t="s">
        <v>333</v>
      </c>
    </row>
    <row r="599" customFormat="false" ht="15" hidden="false" customHeight="false" outlineLevel="0" collapsed="false">
      <c r="A599" s="12" t="s">
        <v>186</v>
      </c>
      <c r="B599" s="12" t="s">
        <v>50</v>
      </c>
      <c r="C599" s="12" t="s">
        <v>1438</v>
      </c>
      <c r="D599" s="12" t="s">
        <v>1439</v>
      </c>
      <c r="E599" s="12" t="s">
        <v>1424</v>
      </c>
      <c r="F599" s="12" t="s">
        <v>320</v>
      </c>
      <c r="G599" s="12" t="s">
        <v>13</v>
      </c>
      <c r="H599" s="27" t="n">
        <v>36.2052</v>
      </c>
      <c r="I599" s="12" t="s">
        <v>320</v>
      </c>
    </row>
    <row r="600" customFormat="false" ht="15" hidden="false" customHeight="false" outlineLevel="0" collapsed="false">
      <c r="A600" s="12" t="s">
        <v>189</v>
      </c>
      <c r="B600" s="12" t="s">
        <v>50</v>
      </c>
      <c r="C600" s="12" t="s">
        <v>1440</v>
      </c>
      <c r="D600" s="12" t="s">
        <v>1441</v>
      </c>
      <c r="E600" s="12" t="s">
        <v>782</v>
      </c>
      <c r="F600" s="12" t="s">
        <v>320</v>
      </c>
      <c r="G600" s="12" t="s">
        <v>12</v>
      </c>
      <c r="H600" s="27" t="n">
        <v>25.877</v>
      </c>
      <c r="I600" s="12" t="s">
        <v>320</v>
      </c>
    </row>
    <row r="601" customFormat="false" ht="15" hidden="false" customHeight="false" outlineLevel="0" collapsed="false">
      <c r="A601" s="12" t="s">
        <v>198</v>
      </c>
      <c r="B601" s="12" t="s">
        <v>50</v>
      </c>
      <c r="C601" s="12" t="s">
        <v>1417</v>
      </c>
      <c r="D601" s="12" t="s">
        <v>1166</v>
      </c>
      <c r="E601" s="12" t="s">
        <v>1442</v>
      </c>
      <c r="F601" s="12" t="s">
        <v>320</v>
      </c>
      <c r="G601" s="12" t="s">
        <v>12</v>
      </c>
      <c r="H601" s="27" t="n">
        <v>18.7806</v>
      </c>
      <c r="I601" s="12" t="s">
        <v>333</v>
      </c>
    </row>
    <row r="602" customFormat="false" ht="15" hidden="false" customHeight="false" outlineLevel="0" collapsed="false">
      <c r="A602" s="12" t="s">
        <v>140</v>
      </c>
      <c r="B602" s="12" t="s">
        <v>50</v>
      </c>
      <c r="C602" s="12" t="s">
        <v>1443</v>
      </c>
      <c r="D602" s="12" t="s">
        <v>668</v>
      </c>
      <c r="E602" s="12" t="s">
        <v>1444</v>
      </c>
      <c r="F602" s="12" t="s">
        <v>320</v>
      </c>
      <c r="G602" s="12" t="s">
        <v>12</v>
      </c>
      <c r="H602" s="27" t="n">
        <v>6.45575</v>
      </c>
      <c r="I602" s="12" t="s">
        <v>320</v>
      </c>
    </row>
    <row r="603" customFormat="false" ht="15" hidden="false" customHeight="false" outlineLevel="0" collapsed="false">
      <c r="A603" s="12" t="s">
        <v>140</v>
      </c>
      <c r="B603" s="12" t="s">
        <v>50</v>
      </c>
      <c r="C603" s="12" t="s">
        <v>1443</v>
      </c>
      <c r="D603" s="12" t="s">
        <v>670</v>
      </c>
      <c r="E603" s="12" t="s">
        <v>1445</v>
      </c>
      <c r="F603" s="12" t="s">
        <v>320</v>
      </c>
      <c r="G603" s="12" t="s">
        <v>12</v>
      </c>
      <c r="H603" s="27" t="n">
        <v>12.9115</v>
      </c>
      <c r="I603" s="12" t="s">
        <v>320</v>
      </c>
    </row>
    <row r="604" customFormat="false" ht="15" hidden="false" customHeight="false" outlineLevel="0" collapsed="false">
      <c r="A604" s="12" t="s">
        <v>139</v>
      </c>
      <c r="B604" s="12" t="s">
        <v>50</v>
      </c>
      <c r="C604" s="12" t="s">
        <v>1446</v>
      </c>
      <c r="D604" s="12" t="s">
        <v>937</v>
      </c>
      <c r="E604" s="12" t="s">
        <v>1447</v>
      </c>
      <c r="F604" s="12" t="s">
        <v>320</v>
      </c>
      <c r="G604" s="12" t="s">
        <v>12</v>
      </c>
      <c r="H604" s="27" t="n">
        <v>265.643</v>
      </c>
      <c r="I604" s="12" t="s">
        <v>333</v>
      </c>
    </row>
    <row r="605" customFormat="false" ht="15" hidden="false" customHeight="false" outlineLevel="0" collapsed="false">
      <c r="A605" s="12" t="s">
        <v>187</v>
      </c>
      <c r="B605" s="12" t="s">
        <v>50</v>
      </c>
      <c r="C605" s="12" t="s">
        <v>1448</v>
      </c>
      <c r="D605" s="12" t="s">
        <v>672</v>
      </c>
      <c r="E605" s="12" t="s">
        <v>1449</v>
      </c>
      <c r="F605" s="12" t="s">
        <v>320</v>
      </c>
      <c r="G605" s="12" t="s">
        <v>12</v>
      </c>
      <c r="H605" s="27" t="n">
        <v>24.4146</v>
      </c>
      <c r="I605" s="12" t="s">
        <v>320</v>
      </c>
    </row>
    <row r="606" customFormat="false" ht="15" hidden="false" customHeight="false" outlineLevel="0" collapsed="false">
      <c r="A606" s="12" t="s">
        <v>62</v>
      </c>
      <c r="B606" s="12" t="s">
        <v>50</v>
      </c>
      <c r="C606" s="12" t="s">
        <v>1450</v>
      </c>
      <c r="D606" s="12" t="s">
        <v>865</v>
      </c>
      <c r="E606" s="12" t="s">
        <v>1451</v>
      </c>
      <c r="F606" s="12" t="s">
        <v>320</v>
      </c>
      <c r="G606" s="12" t="s">
        <v>12</v>
      </c>
      <c r="H606" s="27" t="n">
        <v>981.694</v>
      </c>
      <c r="I606" s="12" t="s">
        <v>320</v>
      </c>
    </row>
    <row r="607" customFormat="false" ht="15" hidden="false" customHeight="false" outlineLevel="0" collapsed="false">
      <c r="A607" s="12" t="s">
        <v>49</v>
      </c>
      <c r="B607" s="12" t="s">
        <v>50</v>
      </c>
      <c r="C607" s="12" t="s">
        <v>1452</v>
      </c>
      <c r="D607" s="12" t="s">
        <v>962</v>
      </c>
      <c r="E607" s="12" t="s">
        <v>1453</v>
      </c>
      <c r="F607" s="12" t="s">
        <v>1454</v>
      </c>
      <c r="G607" s="12" t="s">
        <v>12</v>
      </c>
      <c r="H607" s="27" t="n">
        <v>176.652</v>
      </c>
      <c r="I607" s="12" t="s">
        <v>333</v>
      </c>
    </row>
    <row r="608" customFormat="false" ht="15" hidden="false" customHeight="false" outlineLevel="0" collapsed="false">
      <c r="A608" s="12" t="s">
        <v>49</v>
      </c>
      <c r="B608" s="12" t="s">
        <v>50</v>
      </c>
      <c r="C608" s="12" t="s">
        <v>1452</v>
      </c>
      <c r="D608" s="12" t="s">
        <v>1289</v>
      </c>
      <c r="E608" s="12" t="s">
        <v>1455</v>
      </c>
      <c r="F608" s="12" t="s">
        <v>1454</v>
      </c>
      <c r="G608" s="12" t="s">
        <v>12</v>
      </c>
      <c r="H608" s="27" t="n">
        <v>220.822</v>
      </c>
      <c r="I608" s="12" t="s">
        <v>333</v>
      </c>
    </row>
    <row r="609" customFormat="false" ht="15" hidden="false" customHeight="false" outlineLevel="0" collapsed="false">
      <c r="A609" s="12" t="s">
        <v>189</v>
      </c>
      <c r="B609" s="12" t="s">
        <v>50</v>
      </c>
      <c r="C609" s="12" t="s">
        <v>1456</v>
      </c>
      <c r="D609" s="12" t="s">
        <v>1457</v>
      </c>
      <c r="E609" s="12" t="s">
        <v>1458</v>
      </c>
      <c r="F609" s="12" t="s">
        <v>320</v>
      </c>
      <c r="G609" s="12" t="s">
        <v>12</v>
      </c>
      <c r="H609" s="27" t="n">
        <v>52.717</v>
      </c>
      <c r="I609" s="12" t="s">
        <v>320</v>
      </c>
    </row>
    <row r="610" customFormat="false" ht="15" hidden="false" customHeight="false" outlineLevel="0" collapsed="false">
      <c r="A610" s="12" t="s">
        <v>154</v>
      </c>
      <c r="B610" s="12" t="s">
        <v>50</v>
      </c>
      <c r="C610" s="12" t="s">
        <v>1459</v>
      </c>
      <c r="D610" s="12" t="s">
        <v>1460</v>
      </c>
      <c r="E610" s="12" t="s">
        <v>760</v>
      </c>
      <c r="F610" s="12" t="s">
        <v>320</v>
      </c>
      <c r="G610" s="12" t="s">
        <v>13</v>
      </c>
      <c r="H610" s="27" t="n">
        <v>14.546</v>
      </c>
      <c r="I610" s="12" t="s">
        <v>320</v>
      </c>
    </row>
    <row r="611" customFormat="false" ht="15" hidden="false" customHeight="false" outlineLevel="0" collapsed="false">
      <c r="A611" s="12" t="s">
        <v>198</v>
      </c>
      <c r="B611" s="12" t="s">
        <v>50</v>
      </c>
      <c r="C611" s="12" t="s">
        <v>1417</v>
      </c>
      <c r="D611" s="12" t="s">
        <v>1282</v>
      </c>
      <c r="E611" s="12" t="s">
        <v>1461</v>
      </c>
      <c r="F611" s="12" t="s">
        <v>320</v>
      </c>
      <c r="G611" s="12" t="s">
        <v>12</v>
      </c>
      <c r="H611" s="27"/>
      <c r="I611" s="12" t="s">
        <v>333</v>
      </c>
    </row>
    <row r="612" customFormat="false" ht="15" hidden="false" customHeight="false" outlineLevel="0" collapsed="false">
      <c r="A612" s="12" t="s">
        <v>102</v>
      </c>
      <c r="B612" s="12" t="s">
        <v>50</v>
      </c>
      <c r="C612" s="12" t="s">
        <v>1462</v>
      </c>
      <c r="D612" s="12" t="s">
        <v>1463</v>
      </c>
      <c r="E612" s="12" t="s">
        <v>1464</v>
      </c>
      <c r="F612" s="12" t="s">
        <v>320</v>
      </c>
      <c r="G612" s="12" t="s">
        <v>12</v>
      </c>
      <c r="H612" s="27"/>
      <c r="I612" s="12" t="s">
        <v>333</v>
      </c>
    </row>
    <row r="613" customFormat="false" ht="15" hidden="false" customHeight="false" outlineLevel="0" collapsed="false">
      <c r="A613" s="12" t="s">
        <v>140</v>
      </c>
      <c r="B613" s="12" t="s">
        <v>50</v>
      </c>
      <c r="C613" s="12" t="s">
        <v>1431</v>
      </c>
      <c r="D613" s="12" t="s">
        <v>1300</v>
      </c>
      <c r="E613" s="12" t="s">
        <v>1301</v>
      </c>
      <c r="F613" s="12" t="s">
        <v>320</v>
      </c>
      <c r="G613" s="12" t="s">
        <v>12</v>
      </c>
      <c r="H613" s="27" t="n">
        <v>23.422</v>
      </c>
      <c r="I613" s="12" t="s">
        <v>333</v>
      </c>
    </row>
    <row r="614" customFormat="false" ht="15" hidden="false" customHeight="false" outlineLevel="0" collapsed="false">
      <c r="A614" s="12" t="s">
        <v>140</v>
      </c>
      <c r="B614" s="12" t="s">
        <v>50</v>
      </c>
      <c r="C614" s="12" t="s">
        <v>1431</v>
      </c>
      <c r="D614" s="12" t="s">
        <v>694</v>
      </c>
      <c r="E614" s="12" t="s">
        <v>695</v>
      </c>
      <c r="F614" s="12" t="s">
        <v>320</v>
      </c>
      <c r="G614" s="12" t="s">
        <v>12</v>
      </c>
      <c r="H614" s="27" t="n">
        <v>9.107</v>
      </c>
      <c r="I614" s="12" t="s">
        <v>333</v>
      </c>
    </row>
    <row r="615" customFormat="false" ht="15" hidden="false" customHeight="false" outlineLevel="0" collapsed="false">
      <c r="A615" s="12" t="s">
        <v>184</v>
      </c>
      <c r="B615" s="12" t="s">
        <v>50</v>
      </c>
      <c r="C615" s="12" t="s">
        <v>1465</v>
      </c>
      <c r="D615" s="12" t="s">
        <v>1466</v>
      </c>
      <c r="E615" s="12" t="s">
        <v>785</v>
      </c>
      <c r="F615" s="12" t="s">
        <v>320</v>
      </c>
      <c r="G615" s="12" t="s">
        <v>12</v>
      </c>
      <c r="H615" s="27" t="n">
        <v>11.71</v>
      </c>
      <c r="I615" s="12" t="s">
        <v>320</v>
      </c>
    </row>
    <row r="616" customFormat="false" ht="15" hidden="false" customHeight="false" outlineLevel="0" collapsed="false">
      <c r="A616" s="12" t="s">
        <v>62</v>
      </c>
      <c r="B616" s="12" t="s">
        <v>50</v>
      </c>
      <c r="C616" s="12" t="s">
        <v>1467</v>
      </c>
      <c r="D616" s="12" t="s">
        <v>787</v>
      </c>
      <c r="E616" s="12" t="s">
        <v>894</v>
      </c>
      <c r="F616" s="12" t="s">
        <v>320</v>
      </c>
      <c r="G616" s="12" t="s">
        <v>12</v>
      </c>
      <c r="H616" s="27" t="n">
        <v>116.14</v>
      </c>
      <c r="I616" s="12" t="s">
        <v>333</v>
      </c>
    </row>
    <row r="617" customFormat="false" ht="15" hidden="false" customHeight="false" outlineLevel="0" collapsed="false">
      <c r="A617" s="12" t="s">
        <v>198</v>
      </c>
      <c r="B617" s="12" t="s">
        <v>50</v>
      </c>
      <c r="C617" s="12" t="s">
        <v>1468</v>
      </c>
      <c r="D617" s="12" t="s">
        <v>1469</v>
      </c>
      <c r="E617" s="12" t="s">
        <v>1470</v>
      </c>
      <c r="F617" s="12" t="s">
        <v>320</v>
      </c>
      <c r="G617" s="12" t="s">
        <v>12</v>
      </c>
      <c r="H617" s="27" t="n">
        <v>5.15</v>
      </c>
      <c r="I617" s="12" t="s">
        <v>333</v>
      </c>
    </row>
    <row r="618" customFormat="false" ht="15" hidden="false" customHeight="false" outlineLevel="0" collapsed="false">
      <c r="A618" s="12" t="s">
        <v>198</v>
      </c>
      <c r="B618" s="12" t="s">
        <v>50</v>
      </c>
      <c r="C618" s="12" t="s">
        <v>1468</v>
      </c>
      <c r="D618" s="12" t="s">
        <v>1469</v>
      </c>
      <c r="E618" s="12" t="s">
        <v>1471</v>
      </c>
      <c r="F618" s="12" t="s">
        <v>320</v>
      </c>
      <c r="G618" s="12" t="s">
        <v>12</v>
      </c>
      <c r="H618" s="27" t="n">
        <v>5.15</v>
      </c>
      <c r="I618" s="12" t="s">
        <v>333</v>
      </c>
    </row>
    <row r="619" customFormat="false" ht="15" hidden="false" customHeight="false" outlineLevel="0" collapsed="false">
      <c r="A619" s="12" t="s">
        <v>140</v>
      </c>
      <c r="B619" s="12" t="s">
        <v>50</v>
      </c>
      <c r="C619" s="12" t="s">
        <v>1472</v>
      </c>
      <c r="D619" s="12" t="s">
        <v>717</v>
      </c>
      <c r="E619" s="12" t="s">
        <v>1473</v>
      </c>
      <c r="F619" s="12" t="s">
        <v>320</v>
      </c>
      <c r="G619" s="12" t="s">
        <v>12</v>
      </c>
      <c r="H619" s="27" t="n">
        <v>8.23</v>
      </c>
      <c r="I619" s="12" t="s">
        <v>333</v>
      </c>
    </row>
    <row r="620" customFormat="false" ht="15" hidden="false" customHeight="false" outlineLevel="0" collapsed="false">
      <c r="A620" s="12" t="s">
        <v>118</v>
      </c>
      <c r="B620" s="12" t="s">
        <v>115</v>
      </c>
      <c r="C620" s="12" t="s">
        <v>118</v>
      </c>
      <c r="D620" s="12" t="s">
        <v>1474</v>
      </c>
      <c r="E620" s="12" t="s">
        <v>1475</v>
      </c>
      <c r="F620" s="12" t="s">
        <v>320</v>
      </c>
      <c r="G620" s="12" t="s">
        <v>13</v>
      </c>
      <c r="H620" s="27" t="n">
        <v>9.52</v>
      </c>
      <c r="I620" s="12" t="s">
        <v>320</v>
      </c>
    </row>
    <row r="621" customFormat="false" ht="15" hidden="false" customHeight="false" outlineLevel="0" collapsed="false">
      <c r="A621" s="12" t="s">
        <v>114</v>
      </c>
      <c r="B621" s="12" t="s">
        <v>115</v>
      </c>
      <c r="C621" s="12" t="s">
        <v>1476</v>
      </c>
      <c r="D621" s="12" t="s">
        <v>638</v>
      </c>
      <c r="E621" s="12" t="s">
        <v>639</v>
      </c>
      <c r="F621" s="12" t="s">
        <v>475</v>
      </c>
      <c r="G621" s="12" t="s">
        <v>14</v>
      </c>
      <c r="H621" s="27" t="n">
        <v>531.8684</v>
      </c>
      <c r="I621" s="12" t="s">
        <v>320</v>
      </c>
    </row>
    <row r="622" customFormat="false" ht="15" hidden="false" customHeight="false" outlineLevel="0" collapsed="false">
      <c r="A622" s="12" t="s">
        <v>118</v>
      </c>
      <c r="B622" s="12" t="s">
        <v>115</v>
      </c>
      <c r="C622" s="12" t="s">
        <v>1477</v>
      </c>
      <c r="D622" s="12" t="s">
        <v>1160</v>
      </c>
      <c r="E622" s="12" t="s">
        <v>1478</v>
      </c>
      <c r="F622" s="12" t="s">
        <v>320</v>
      </c>
      <c r="G622" s="12" t="s">
        <v>13</v>
      </c>
      <c r="H622" s="27" t="n">
        <v>14.8934</v>
      </c>
      <c r="I622" s="12" t="s">
        <v>320</v>
      </c>
    </row>
    <row r="623" customFormat="false" ht="15" hidden="false" customHeight="false" outlineLevel="0" collapsed="false">
      <c r="A623" s="12" t="s">
        <v>133</v>
      </c>
      <c r="B623" s="12" t="s">
        <v>115</v>
      </c>
      <c r="C623" s="12" t="s">
        <v>1479</v>
      </c>
      <c r="D623" s="12"/>
      <c r="E623" s="12"/>
      <c r="F623" s="12"/>
      <c r="G623" s="12" t="s">
        <v>485</v>
      </c>
      <c r="H623" s="27"/>
      <c r="I623" s="12" t="s">
        <v>320</v>
      </c>
    </row>
    <row r="624" customFormat="false" ht="15" hidden="false" customHeight="false" outlineLevel="0" collapsed="false">
      <c r="A624" s="12" t="s">
        <v>140</v>
      </c>
      <c r="B624" s="12" t="s">
        <v>115</v>
      </c>
      <c r="C624" s="12" t="s">
        <v>1480</v>
      </c>
      <c r="D624" s="12" t="s">
        <v>644</v>
      </c>
      <c r="E624" s="12" t="s">
        <v>645</v>
      </c>
      <c r="F624" s="12" t="s">
        <v>320</v>
      </c>
      <c r="G624" s="12" t="s">
        <v>12</v>
      </c>
      <c r="H624" s="27" t="n">
        <v>12.0797</v>
      </c>
      <c r="I624" s="12" t="s">
        <v>333</v>
      </c>
    </row>
    <row r="625" customFormat="false" ht="15" hidden="false" customHeight="false" outlineLevel="0" collapsed="false">
      <c r="A625" s="12" t="s">
        <v>160</v>
      </c>
      <c r="B625" s="12" t="s">
        <v>115</v>
      </c>
      <c r="C625" s="12" t="s">
        <v>1481</v>
      </c>
      <c r="D625" s="12" t="s">
        <v>641</v>
      </c>
      <c r="E625" s="12" t="s">
        <v>1482</v>
      </c>
      <c r="F625" s="12" t="s">
        <v>475</v>
      </c>
      <c r="G625" s="12" t="s">
        <v>14</v>
      </c>
      <c r="H625" s="27" t="n">
        <v>118.3449</v>
      </c>
      <c r="I625" s="12" t="s">
        <v>320</v>
      </c>
    </row>
    <row r="626" customFormat="false" ht="15" hidden="false" customHeight="false" outlineLevel="0" collapsed="false">
      <c r="A626" s="12" t="s">
        <v>203</v>
      </c>
      <c r="B626" s="12" t="s">
        <v>115</v>
      </c>
      <c r="C626" s="12" t="s">
        <v>1483</v>
      </c>
      <c r="D626" s="12"/>
      <c r="E626" s="12"/>
      <c r="F626" s="12"/>
      <c r="G626" s="12" t="s">
        <v>485</v>
      </c>
      <c r="H626" s="27"/>
      <c r="I626" s="12" t="s">
        <v>320</v>
      </c>
    </row>
    <row r="627" customFormat="false" ht="15" hidden="false" customHeight="false" outlineLevel="0" collapsed="false">
      <c r="A627" s="12" t="s">
        <v>177</v>
      </c>
      <c r="B627" s="12" t="s">
        <v>115</v>
      </c>
      <c r="C627" s="12" t="s">
        <v>1484</v>
      </c>
      <c r="D627" s="12" t="s">
        <v>798</v>
      </c>
      <c r="E627" s="12" t="s">
        <v>1001</v>
      </c>
      <c r="F627" s="12" t="s">
        <v>320</v>
      </c>
      <c r="G627" s="12" t="s">
        <v>12</v>
      </c>
      <c r="H627" s="27" t="n">
        <v>7.72</v>
      </c>
      <c r="I627" s="12" t="s">
        <v>320</v>
      </c>
    </row>
    <row r="628" customFormat="false" ht="15" hidden="false" customHeight="false" outlineLevel="0" collapsed="false">
      <c r="A628" s="12" t="s">
        <v>140</v>
      </c>
      <c r="B628" s="12" t="s">
        <v>61</v>
      </c>
      <c r="C628" s="12" t="s">
        <v>1485</v>
      </c>
      <c r="D628" s="12" t="s">
        <v>912</v>
      </c>
      <c r="E628" s="12" t="s">
        <v>645</v>
      </c>
      <c r="F628" s="12" t="s">
        <v>320</v>
      </c>
      <c r="G628" s="12" t="s">
        <v>12</v>
      </c>
      <c r="H628" s="27" t="n">
        <v>10.97</v>
      </c>
      <c r="I628" s="12" t="s">
        <v>333</v>
      </c>
    </row>
    <row r="629" customFormat="false" ht="15" hidden="false" customHeight="false" outlineLevel="0" collapsed="false">
      <c r="A629" s="12" t="s">
        <v>75</v>
      </c>
      <c r="B629" s="12" t="s">
        <v>61</v>
      </c>
      <c r="C629" s="12" t="s">
        <v>75</v>
      </c>
      <c r="D629" s="12" t="s">
        <v>1486</v>
      </c>
      <c r="E629" s="12" t="s">
        <v>1487</v>
      </c>
      <c r="F629" s="12" t="s">
        <v>320</v>
      </c>
      <c r="G629" s="12" t="s">
        <v>12</v>
      </c>
      <c r="H629" s="27" t="n">
        <v>25.36</v>
      </c>
      <c r="I629" s="12" t="s">
        <v>333</v>
      </c>
    </row>
    <row r="630" customFormat="false" ht="15" hidden="false" customHeight="false" outlineLevel="0" collapsed="false">
      <c r="A630" s="12" t="s">
        <v>74</v>
      </c>
      <c r="B630" s="12" t="s">
        <v>61</v>
      </c>
      <c r="C630" s="12" t="s">
        <v>1488</v>
      </c>
      <c r="D630" s="12" t="s">
        <v>1486</v>
      </c>
      <c r="E630" s="12" t="s">
        <v>608</v>
      </c>
      <c r="F630" s="12" t="s">
        <v>320</v>
      </c>
      <c r="G630" s="12" t="s">
        <v>12</v>
      </c>
      <c r="H630" s="27" t="n">
        <v>34.58</v>
      </c>
      <c r="I630" s="12" t="s">
        <v>320</v>
      </c>
    </row>
    <row r="631" customFormat="false" ht="15" hidden="false" customHeight="false" outlineLevel="0" collapsed="false">
      <c r="A631" s="12" t="s">
        <v>60</v>
      </c>
      <c r="B631" s="12" t="s">
        <v>61</v>
      </c>
      <c r="C631" s="12" t="s">
        <v>1489</v>
      </c>
      <c r="D631" s="12" t="s">
        <v>1490</v>
      </c>
      <c r="E631" s="12" t="s">
        <v>1491</v>
      </c>
      <c r="F631" s="12" t="s">
        <v>320</v>
      </c>
      <c r="G631" s="12" t="s">
        <v>12</v>
      </c>
      <c r="H631" s="27" t="n">
        <v>81.96</v>
      </c>
      <c r="I631" s="12" t="s">
        <v>333</v>
      </c>
    </row>
    <row r="632" customFormat="false" ht="15" hidden="false" customHeight="false" outlineLevel="0" collapsed="false">
      <c r="A632" s="12" t="s">
        <v>140</v>
      </c>
      <c r="B632" s="12" t="s">
        <v>61</v>
      </c>
      <c r="C632" s="12" t="s">
        <v>1492</v>
      </c>
      <c r="D632" s="12" t="s">
        <v>644</v>
      </c>
      <c r="E632" s="12" t="s">
        <v>645</v>
      </c>
      <c r="F632" s="12" t="s">
        <v>320</v>
      </c>
      <c r="G632" s="12" t="s">
        <v>12</v>
      </c>
      <c r="H632" s="27" t="n">
        <v>12.0797</v>
      </c>
      <c r="I632" s="12" t="s">
        <v>333</v>
      </c>
    </row>
    <row r="633" customFormat="false" ht="15" hidden="false" customHeight="false" outlineLevel="0" collapsed="false">
      <c r="A633" s="12" t="s">
        <v>140</v>
      </c>
      <c r="B633" s="12" t="s">
        <v>61</v>
      </c>
      <c r="C633" s="12" t="s">
        <v>1492</v>
      </c>
      <c r="D633" s="12" t="s">
        <v>644</v>
      </c>
      <c r="E633" s="12" t="s">
        <v>645</v>
      </c>
      <c r="F633" s="12" t="s">
        <v>320</v>
      </c>
      <c r="G633" s="12" t="s">
        <v>12</v>
      </c>
      <c r="H633" s="27" t="n">
        <v>12.0797</v>
      </c>
      <c r="I633" s="12" t="s">
        <v>333</v>
      </c>
    </row>
    <row r="634" customFormat="false" ht="15" hidden="false" customHeight="false" outlineLevel="0" collapsed="false">
      <c r="A634" s="12" t="s">
        <v>157</v>
      </c>
      <c r="B634" s="12" t="s">
        <v>38</v>
      </c>
      <c r="C634" s="12" t="s">
        <v>532</v>
      </c>
      <c r="D634" s="12" t="s">
        <v>523</v>
      </c>
      <c r="E634" s="12" t="s">
        <v>1493</v>
      </c>
      <c r="F634" s="12" t="s">
        <v>320</v>
      </c>
      <c r="G634" s="12" t="s">
        <v>12</v>
      </c>
      <c r="H634" s="27" t="n">
        <v>10.93</v>
      </c>
      <c r="I634" s="12" t="s">
        <v>333</v>
      </c>
    </row>
    <row r="635" customFormat="false" ht="15" hidden="false" customHeight="false" outlineLevel="0" collapsed="false">
      <c r="A635" s="12" t="s">
        <v>157</v>
      </c>
      <c r="B635" s="12" t="s">
        <v>38</v>
      </c>
      <c r="C635" s="12" t="s">
        <v>532</v>
      </c>
      <c r="D635" s="12" t="s">
        <v>525</v>
      </c>
      <c r="E635" s="12" t="s">
        <v>1493</v>
      </c>
      <c r="F635" s="12" t="s">
        <v>320</v>
      </c>
      <c r="G635" s="12" t="s">
        <v>12</v>
      </c>
      <c r="H635" s="27"/>
      <c r="I635" s="12" t="s">
        <v>333</v>
      </c>
    </row>
    <row r="636" customFormat="false" ht="15" hidden="false" customHeight="false" outlineLevel="0" collapsed="false">
      <c r="A636" s="12" t="s">
        <v>75</v>
      </c>
      <c r="B636" s="12" t="s">
        <v>38</v>
      </c>
      <c r="C636" s="12" t="s">
        <v>75</v>
      </c>
      <c r="D636" s="12" t="s">
        <v>1494</v>
      </c>
      <c r="E636" s="12" t="s">
        <v>1495</v>
      </c>
      <c r="F636" s="12" t="s">
        <v>320</v>
      </c>
      <c r="G636" s="12" t="s">
        <v>12</v>
      </c>
      <c r="H636" s="27" t="n">
        <v>5.24</v>
      </c>
      <c r="I636" s="12" t="s">
        <v>320</v>
      </c>
    </row>
    <row r="637" customFormat="false" ht="15" hidden="false" customHeight="false" outlineLevel="0" collapsed="false">
      <c r="A637" s="12" t="s">
        <v>75</v>
      </c>
      <c r="B637" s="12" t="s">
        <v>38</v>
      </c>
      <c r="C637" s="12" t="s">
        <v>75</v>
      </c>
      <c r="D637" s="12" t="s">
        <v>1409</v>
      </c>
      <c r="E637" s="12" t="s">
        <v>1496</v>
      </c>
      <c r="F637" s="12" t="s">
        <v>320</v>
      </c>
      <c r="G637" s="12" t="s">
        <v>12</v>
      </c>
      <c r="H637" s="27" t="n">
        <v>6.3</v>
      </c>
      <c r="I637" s="12" t="s">
        <v>320</v>
      </c>
    </row>
    <row r="638" customFormat="false" ht="15" hidden="false" customHeight="false" outlineLevel="0" collapsed="false">
      <c r="A638" s="12" t="s">
        <v>86</v>
      </c>
      <c r="B638" s="12" t="s">
        <v>38</v>
      </c>
      <c r="C638" s="12" t="s">
        <v>86</v>
      </c>
      <c r="D638" s="12" t="s">
        <v>738</v>
      </c>
      <c r="E638" s="12" t="s">
        <v>627</v>
      </c>
      <c r="F638" s="12" t="s">
        <v>320</v>
      </c>
      <c r="G638" s="12" t="s">
        <v>12</v>
      </c>
      <c r="H638" s="27" t="n">
        <v>81.96</v>
      </c>
      <c r="I638" s="12" t="s">
        <v>333</v>
      </c>
    </row>
    <row r="639" customFormat="false" ht="15" hidden="false" customHeight="false" outlineLevel="0" collapsed="false">
      <c r="A639" s="12" t="s">
        <v>184</v>
      </c>
      <c r="B639" s="12" t="s">
        <v>38</v>
      </c>
      <c r="C639" s="12" t="s">
        <v>184</v>
      </c>
      <c r="D639" s="12" t="s">
        <v>672</v>
      </c>
      <c r="E639" s="12" t="s">
        <v>1001</v>
      </c>
      <c r="F639" s="12" t="s">
        <v>320</v>
      </c>
      <c r="G639" s="12" t="s">
        <v>12</v>
      </c>
      <c r="H639" s="27" t="n">
        <v>197.11</v>
      </c>
      <c r="I639" s="12" t="s">
        <v>320</v>
      </c>
    </row>
    <row r="640" customFormat="false" ht="15" hidden="false" customHeight="false" outlineLevel="0" collapsed="false">
      <c r="A640" s="12" t="s">
        <v>181</v>
      </c>
      <c r="B640" s="12" t="s">
        <v>38</v>
      </c>
      <c r="C640" s="12" t="s">
        <v>181</v>
      </c>
      <c r="D640" s="12" t="s">
        <v>672</v>
      </c>
      <c r="E640" s="12" t="s">
        <v>1497</v>
      </c>
      <c r="F640" s="12" t="s">
        <v>320</v>
      </c>
      <c r="G640" s="12" t="s">
        <v>13</v>
      </c>
      <c r="H640" s="27" t="n">
        <v>18.31</v>
      </c>
      <c r="I640" s="12" t="s">
        <v>320</v>
      </c>
    </row>
    <row r="641" customFormat="false" ht="15" hidden="false" customHeight="false" outlineLevel="0" collapsed="false">
      <c r="A641" s="12" t="s">
        <v>176</v>
      </c>
      <c r="B641" s="12" t="s">
        <v>38</v>
      </c>
      <c r="C641" s="12" t="s">
        <v>176</v>
      </c>
      <c r="D641" s="12" t="s">
        <v>1498</v>
      </c>
      <c r="E641" s="12" t="s">
        <v>1499</v>
      </c>
      <c r="F641" s="12" t="s">
        <v>320</v>
      </c>
      <c r="G641" s="12" t="s">
        <v>12</v>
      </c>
      <c r="H641" s="27" t="n">
        <v>38.34</v>
      </c>
      <c r="I641" s="12" t="s">
        <v>333</v>
      </c>
    </row>
    <row r="642" customFormat="false" ht="15" hidden="false" customHeight="false" outlineLevel="0" collapsed="false">
      <c r="A642" s="12" t="s">
        <v>173</v>
      </c>
      <c r="B642" s="12" t="s">
        <v>38</v>
      </c>
      <c r="C642" s="12" t="s">
        <v>1500</v>
      </c>
      <c r="D642" s="12" t="s">
        <v>952</v>
      </c>
      <c r="E642" s="12" t="s">
        <v>1175</v>
      </c>
      <c r="F642" s="12" t="s">
        <v>320</v>
      </c>
      <c r="G642" s="12" t="s">
        <v>13</v>
      </c>
      <c r="H642" s="27" t="n">
        <v>8.84</v>
      </c>
      <c r="I642" s="12" t="s">
        <v>320</v>
      </c>
    </row>
    <row r="643" customFormat="false" ht="15" hidden="false" customHeight="false" outlineLevel="0" collapsed="false">
      <c r="A643" s="12" t="s">
        <v>150</v>
      </c>
      <c r="B643" s="12" t="s">
        <v>38</v>
      </c>
      <c r="C643" s="12" t="s">
        <v>1501</v>
      </c>
      <c r="D643" s="12" t="s">
        <v>1502</v>
      </c>
      <c r="E643" s="12" t="s">
        <v>1503</v>
      </c>
      <c r="F643" s="12" t="s">
        <v>320</v>
      </c>
      <c r="G643" s="12" t="s">
        <v>13</v>
      </c>
      <c r="H643" s="27" t="n">
        <v>6.4</v>
      </c>
      <c r="I643" s="12" t="s">
        <v>320</v>
      </c>
    </row>
    <row r="644" customFormat="false" ht="15" hidden="false" customHeight="false" outlineLevel="0" collapsed="false">
      <c r="A644" s="12" t="s">
        <v>147</v>
      </c>
      <c r="B644" s="12" t="s">
        <v>38</v>
      </c>
      <c r="C644" s="12" t="s">
        <v>147</v>
      </c>
      <c r="D644" s="12" t="s">
        <v>905</v>
      </c>
      <c r="E644" s="12" t="s">
        <v>1504</v>
      </c>
      <c r="F644" s="12" t="s">
        <v>320</v>
      </c>
      <c r="G644" s="12" t="s">
        <v>13</v>
      </c>
      <c r="H644" s="27" t="n">
        <v>26.32</v>
      </c>
      <c r="I644" s="12" t="s">
        <v>320</v>
      </c>
    </row>
    <row r="645" customFormat="false" ht="15" hidden="false" customHeight="false" outlineLevel="0" collapsed="false">
      <c r="A645" s="12" t="s">
        <v>125</v>
      </c>
      <c r="B645" s="12" t="s">
        <v>38</v>
      </c>
      <c r="C645" s="12" t="s">
        <v>125</v>
      </c>
      <c r="D645" s="12" t="s">
        <v>1505</v>
      </c>
      <c r="E645" s="12" t="s">
        <v>1503</v>
      </c>
      <c r="F645" s="12" t="s">
        <v>320</v>
      </c>
      <c r="G645" s="12" t="s">
        <v>13</v>
      </c>
      <c r="H645" s="27" t="n">
        <v>29.63</v>
      </c>
      <c r="I645" s="12" t="s">
        <v>320</v>
      </c>
    </row>
    <row r="646" customFormat="false" ht="15" hidden="false" customHeight="false" outlineLevel="0" collapsed="false">
      <c r="A646" s="12" t="s">
        <v>119</v>
      </c>
      <c r="B646" s="12" t="s">
        <v>38</v>
      </c>
      <c r="C646" s="12" t="s">
        <v>119</v>
      </c>
      <c r="D646" s="12" t="s">
        <v>1104</v>
      </c>
      <c r="E646" s="12" t="s">
        <v>1503</v>
      </c>
      <c r="F646" s="12" t="s">
        <v>320</v>
      </c>
      <c r="G646" s="12" t="s">
        <v>13</v>
      </c>
      <c r="H646" s="27" t="n">
        <v>8.98</v>
      </c>
      <c r="I646" s="12" t="s">
        <v>320</v>
      </c>
    </row>
    <row r="647" customFormat="false" ht="15" hidden="false" customHeight="false" outlineLevel="0" collapsed="false">
      <c r="A647" s="12" t="s">
        <v>77</v>
      </c>
      <c r="B647" s="12" t="s">
        <v>38</v>
      </c>
      <c r="C647" s="12" t="s">
        <v>77</v>
      </c>
      <c r="D647" s="12" t="s">
        <v>952</v>
      </c>
      <c r="E647" s="12" t="s">
        <v>1506</v>
      </c>
      <c r="F647" s="12" t="s">
        <v>320</v>
      </c>
      <c r="G647" s="12" t="s">
        <v>13</v>
      </c>
      <c r="H647" s="27" t="n">
        <v>6.74</v>
      </c>
      <c r="I647" s="12" t="s">
        <v>320</v>
      </c>
    </row>
    <row r="648" customFormat="false" ht="15" hidden="false" customHeight="false" outlineLevel="0" collapsed="false">
      <c r="A648" s="12" t="s">
        <v>75</v>
      </c>
      <c r="B648" s="12" t="s">
        <v>38</v>
      </c>
      <c r="C648" s="12" t="s">
        <v>75</v>
      </c>
      <c r="D648" s="12" t="s">
        <v>1486</v>
      </c>
      <c r="E648" s="12" t="s">
        <v>1487</v>
      </c>
      <c r="F648" s="12" t="s">
        <v>320</v>
      </c>
      <c r="G648" s="12" t="s">
        <v>12</v>
      </c>
      <c r="H648" s="27" t="n">
        <v>25.36</v>
      </c>
      <c r="I648" s="12" t="s">
        <v>333</v>
      </c>
    </row>
    <row r="649" customFormat="false" ht="15" hidden="false" customHeight="false" outlineLevel="0" collapsed="false">
      <c r="A649" s="12" t="s">
        <v>74</v>
      </c>
      <c r="B649" s="12" t="s">
        <v>38</v>
      </c>
      <c r="C649" s="12" t="s">
        <v>74</v>
      </c>
      <c r="D649" s="12" t="s">
        <v>1486</v>
      </c>
      <c r="E649" s="12" t="s">
        <v>1487</v>
      </c>
      <c r="F649" s="12" t="s">
        <v>320</v>
      </c>
      <c r="G649" s="12" t="s">
        <v>12</v>
      </c>
      <c r="H649" s="27" t="n">
        <v>28.93</v>
      </c>
      <c r="I649" s="12" t="s">
        <v>333</v>
      </c>
    </row>
    <row r="650" customFormat="false" ht="15" hidden="false" customHeight="false" outlineLevel="0" collapsed="false">
      <c r="A650" s="12" t="s">
        <v>68</v>
      </c>
      <c r="B650" s="12" t="s">
        <v>38</v>
      </c>
      <c r="C650" s="12" t="s">
        <v>1507</v>
      </c>
      <c r="D650" s="12" t="s">
        <v>952</v>
      </c>
      <c r="E650" s="12" t="s">
        <v>1503</v>
      </c>
      <c r="F650" s="12" t="s">
        <v>320</v>
      </c>
      <c r="G650" s="12" t="s">
        <v>13</v>
      </c>
      <c r="H650" s="27" t="n">
        <v>6.45</v>
      </c>
      <c r="I650" s="12" t="s">
        <v>320</v>
      </c>
    </row>
    <row r="651" customFormat="false" ht="15" hidden="false" customHeight="false" outlineLevel="0" collapsed="false">
      <c r="A651" s="12" t="s">
        <v>37</v>
      </c>
      <c r="B651" s="12" t="s">
        <v>38</v>
      </c>
      <c r="C651" s="12" t="s">
        <v>37</v>
      </c>
      <c r="D651" s="12" t="s">
        <v>1508</v>
      </c>
      <c r="E651" s="12" t="s">
        <v>1509</v>
      </c>
      <c r="F651" s="12" t="s">
        <v>320</v>
      </c>
      <c r="G651" s="12" t="s">
        <v>12</v>
      </c>
      <c r="H651" s="27" t="n">
        <v>5.88</v>
      </c>
      <c r="I651" s="12" t="s">
        <v>320</v>
      </c>
    </row>
    <row r="652" customFormat="false" ht="15" hidden="false" customHeight="false" outlineLevel="0" collapsed="false">
      <c r="A652" s="12" t="s">
        <v>37</v>
      </c>
      <c r="B652" s="12" t="s">
        <v>38</v>
      </c>
      <c r="C652" s="12" t="s">
        <v>1510</v>
      </c>
      <c r="D652" s="12" t="s">
        <v>1511</v>
      </c>
      <c r="E652" s="12" t="s">
        <v>1509</v>
      </c>
      <c r="F652" s="12" t="s">
        <v>320</v>
      </c>
      <c r="G652" s="12" t="s">
        <v>12</v>
      </c>
      <c r="H652" s="27" t="n">
        <v>7.6953</v>
      </c>
      <c r="I652" s="12" t="s">
        <v>320</v>
      </c>
    </row>
    <row r="653" customFormat="false" ht="15" hidden="false" customHeight="false" outlineLevel="0" collapsed="false">
      <c r="A653" s="12" t="s">
        <v>68</v>
      </c>
      <c r="B653" s="12" t="s">
        <v>38</v>
      </c>
      <c r="C653" s="12" t="s">
        <v>1507</v>
      </c>
      <c r="D653" s="12" t="s">
        <v>635</v>
      </c>
      <c r="E653" s="12"/>
      <c r="F653" s="12"/>
      <c r="G653" s="12" t="s">
        <v>485</v>
      </c>
      <c r="H653" s="27"/>
      <c r="I653" s="12" t="s">
        <v>320</v>
      </c>
    </row>
    <row r="654" customFormat="false" ht="15" hidden="false" customHeight="false" outlineLevel="0" collapsed="false">
      <c r="A654" s="12" t="s">
        <v>74</v>
      </c>
      <c r="B654" s="12" t="s">
        <v>38</v>
      </c>
      <c r="C654" s="12" t="s">
        <v>1512</v>
      </c>
      <c r="D654" s="12" t="s">
        <v>1372</v>
      </c>
      <c r="E654" s="12" t="s">
        <v>1487</v>
      </c>
      <c r="F654" s="12" t="s">
        <v>320</v>
      </c>
      <c r="G654" s="12" t="s">
        <v>12</v>
      </c>
      <c r="H654" s="27" t="n">
        <v>11.6164</v>
      </c>
      <c r="I654" s="12" t="s">
        <v>333</v>
      </c>
    </row>
    <row r="655" customFormat="false" ht="15" hidden="false" customHeight="false" outlineLevel="0" collapsed="false">
      <c r="A655" s="12" t="s">
        <v>86</v>
      </c>
      <c r="B655" s="12" t="s">
        <v>38</v>
      </c>
      <c r="C655" s="12" t="s">
        <v>1513</v>
      </c>
      <c r="D655" s="12" t="s">
        <v>626</v>
      </c>
      <c r="E655" s="12" t="s">
        <v>627</v>
      </c>
      <c r="F655" s="12" t="s">
        <v>320</v>
      </c>
      <c r="G655" s="12" t="s">
        <v>12</v>
      </c>
      <c r="H655" s="27" t="n">
        <v>93.7335</v>
      </c>
      <c r="I655" s="12" t="s">
        <v>333</v>
      </c>
    </row>
    <row r="656" customFormat="false" ht="15" hidden="false" customHeight="false" outlineLevel="0" collapsed="false">
      <c r="A656" s="12" t="s">
        <v>121</v>
      </c>
      <c r="B656" s="12" t="s">
        <v>38</v>
      </c>
      <c r="C656" s="12" t="s">
        <v>1514</v>
      </c>
      <c r="D656" s="12" t="s">
        <v>1515</v>
      </c>
      <c r="E656" s="12" t="s">
        <v>1516</v>
      </c>
      <c r="F656" s="12" t="s">
        <v>320</v>
      </c>
      <c r="G656" s="12" t="s">
        <v>13</v>
      </c>
      <c r="H656" s="27" t="n">
        <v>59.1216</v>
      </c>
      <c r="I656" s="12" t="s">
        <v>333</v>
      </c>
    </row>
    <row r="657" customFormat="false" ht="15" hidden="false" customHeight="false" outlineLevel="0" collapsed="false">
      <c r="A657" s="12" t="s">
        <v>142</v>
      </c>
      <c r="B657" s="12" t="s">
        <v>38</v>
      </c>
      <c r="C657" s="12" t="s">
        <v>1517</v>
      </c>
      <c r="D657" s="12" t="s">
        <v>635</v>
      </c>
      <c r="E657" s="12" t="s">
        <v>1503</v>
      </c>
      <c r="F657" s="12" t="s">
        <v>320</v>
      </c>
      <c r="G657" s="12" t="s">
        <v>13</v>
      </c>
      <c r="H657" s="27" t="n">
        <v>13.899</v>
      </c>
      <c r="I657" s="12" t="s">
        <v>320</v>
      </c>
    </row>
    <row r="658" customFormat="false" ht="15" hidden="false" customHeight="false" outlineLevel="0" collapsed="false">
      <c r="A658" s="12" t="s">
        <v>147</v>
      </c>
      <c r="B658" s="12" t="s">
        <v>38</v>
      </c>
      <c r="C658" s="12" t="s">
        <v>1518</v>
      </c>
      <c r="D658" s="12" t="s">
        <v>1158</v>
      </c>
      <c r="E658" s="12" t="s">
        <v>1504</v>
      </c>
      <c r="F658" s="12" t="s">
        <v>320</v>
      </c>
      <c r="G658" s="12" t="s">
        <v>13</v>
      </c>
      <c r="H658" s="27" t="n">
        <v>21.0971</v>
      </c>
      <c r="I658" s="12" t="s">
        <v>320</v>
      </c>
    </row>
    <row r="659" customFormat="false" ht="15" hidden="false" customHeight="false" outlineLevel="0" collapsed="false">
      <c r="A659" s="12" t="s">
        <v>156</v>
      </c>
      <c r="B659" s="12" t="s">
        <v>38</v>
      </c>
      <c r="C659" s="12" t="s">
        <v>1519</v>
      </c>
      <c r="D659" s="12" t="s">
        <v>652</v>
      </c>
      <c r="E659" s="12" t="s">
        <v>931</v>
      </c>
      <c r="F659" s="12" t="s">
        <v>320</v>
      </c>
      <c r="G659" s="12" t="s">
        <v>13</v>
      </c>
      <c r="H659" s="27" t="n">
        <v>5.3223</v>
      </c>
      <c r="I659" s="12" t="s">
        <v>320</v>
      </c>
    </row>
    <row r="660" customFormat="false" ht="15" hidden="false" customHeight="false" outlineLevel="0" collapsed="false">
      <c r="A660" s="12" t="s">
        <v>173</v>
      </c>
      <c r="B660" s="12" t="s">
        <v>38</v>
      </c>
      <c r="C660" s="12" t="s">
        <v>1520</v>
      </c>
      <c r="D660" s="12" t="s">
        <v>635</v>
      </c>
      <c r="E660" s="12" t="s">
        <v>1521</v>
      </c>
      <c r="F660" s="12" t="s">
        <v>320</v>
      </c>
      <c r="G660" s="12" t="s">
        <v>13</v>
      </c>
      <c r="H660" s="27" t="n">
        <v>26.0352</v>
      </c>
      <c r="I660" s="12" t="s">
        <v>320</v>
      </c>
    </row>
    <row r="661" customFormat="false" ht="15" hidden="false" customHeight="false" outlineLevel="0" collapsed="false">
      <c r="A661" s="12" t="s">
        <v>176</v>
      </c>
      <c r="B661" s="12" t="s">
        <v>38</v>
      </c>
      <c r="C661" s="12" t="s">
        <v>1522</v>
      </c>
      <c r="D661" s="12" t="s">
        <v>1523</v>
      </c>
      <c r="E661" s="12" t="s">
        <v>1499</v>
      </c>
      <c r="F661" s="12" t="s">
        <v>320</v>
      </c>
      <c r="G661" s="12" t="s">
        <v>12</v>
      </c>
      <c r="H661" s="27" t="n">
        <v>28.024</v>
      </c>
      <c r="I661" s="12" t="s">
        <v>333</v>
      </c>
    </row>
    <row r="662" customFormat="false" ht="15" hidden="false" customHeight="false" outlineLevel="0" collapsed="false">
      <c r="A662" s="12" t="s">
        <v>181</v>
      </c>
      <c r="B662" s="12" t="s">
        <v>38</v>
      </c>
      <c r="C662" s="12" t="s">
        <v>1524</v>
      </c>
      <c r="D662" s="12" t="s">
        <v>1525</v>
      </c>
      <c r="E662" s="12" t="s">
        <v>1526</v>
      </c>
      <c r="F662" s="12" t="s">
        <v>320</v>
      </c>
      <c r="G662" s="12" t="s">
        <v>12</v>
      </c>
      <c r="H662" s="27" t="n">
        <v>8.5428</v>
      </c>
      <c r="I662" s="12" t="s">
        <v>320</v>
      </c>
    </row>
    <row r="663" customFormat="false" ht="15" hidden="false" customHeight="false" outlineLevel="0" collapsed="false">
      <c r="A663" s="12" t="s">
        <v>184</v>
      </c>
      <c r="B663" s="12" t="s">
        <v>38</v>
      </c>
      <c r="C663" s="12" t="s">
        <v>184</v>
      </c>
      <c r="D663" s="12" t="s">
        <v>864</v>
      </c>
      <c r="E663" s="12" t="s">
        <v>931</v>
      </c>
      <c r="F663" s="12" t="s">
        <v>320</v>
      </c>
      <c r="G663" s="12" t="s">
        <v>13</v>
      </c>
      <c r="H663" s="27" t="n">
        <v>83.0776</v>
      </c>
      <c r="I663" s="12" t="s">
        <v>320</v>
      </c>
    </row>
    <row r="664" customFormat="false" ht="15" hidden="false" customHeight="false" outlineLevel="0" collapsed="false">
      <c r="A664" s="12" t="s">
        <v>197</v>
      </c>
      <c r="B664" s="12" t="s">
        <v>38</v>
      </c>
      <c r="C664" s="12" t="s">
        <v>1527</v>
      </c>
      <c r="D664" s="12" t="s">
        <v>644</v>
      </c>
      <c r="E664" s="12" t="s">
        <v>645</v>
      </c>
      <c r="F664" s="12" t="s">
        <v>320</v>
      </c>
      <c r="G664" s="12" t="s">
        <v>12</v>
      </c>
      <c r="H664" s="27" t="n">
        <v>6.7348</v>
      </c>
      <c r="I664" s="12" t="s">
        <v>333</v>
      </c>
    </row>
    <row r="665" customFormat="false" ht="15" hidden="false" customHeight="false" outlineLevel="0" collapsed="false">
      <c r="A665" s="12" t="s">
        <v>142</v>
      </c>
      <c r="B665" s="12" t="s">
        <v>38</v>
      </c>
      <c r="C665" s="12" t="s">
        <v>1517</v>
      </c>
      <c r="D665" s="12" t="s">
        <v>1312</v>
      </c>
      <c r="E665" s="12" t="s">
        <v>1310</v>
      </c>
      <c r="F665" s="12" t="s">
        <v>320</v>
      </c>
      <c r="G665" s="12" t="s">
        <v>13</v>
      </c>
      <c r="H665" s="27"/>
      <c r="I665" s="12" t="s">
        <v>320</v>
      </c>
    </row>
    <row r="666" customFormat="false" ht="15" hidden="false" customHeight="false" outlineLevel="0" collapsed="false">
      <c r="A666" s="12" t="s">
        <v>142</v>
      </c>
      <c r="B666" s="12" t="s">
        <v>38</v>
      </c>
      <c r="C666" s="12" t="s">
        <v>1517</v>
      </c>
      <c r="D666" s="12" t="s">
        <v>660</v>
      </c>
      <c r="E666" s="12" t="s">
        <v>760</v>
      </c>
      <c r="F666" s="12" t="s">
        <v>320</v>
      </c>
      <c r="G666" s="12" t="s">
        <v>13</v>
      </c>
      <c r="H666" s="27"/>
      <c r="I666" s="12" t="s">
        <v>320</v>
      </c>
    </row>
    <row r="667" customFormat="false" ht="15" hidden="false" customHeight="false" outlineLevel="0" collapsed="false">
      <c r="A667" s="12" t="s">
        <v>86</v>
      </c>
      <c r="B667" s="12" t="s">
        <v>38</v>
      </c>
      <c r="C667" s="12" t="s">
        <v>1528</v>
      </c>
      <c r="D667" s="12" t="s">
        <v>694</v>
      </c>
      <c r="E667" s="12" t="s">
        <v>695</v>
      </c>
      <c r="F667" s="12" t="s">
        <v>320</v>
      </c>
      <c r="G667" s="12" t="s">
        <v>12</v>
      </c>
      <c r="H667" s="27"/>
      <c r="I667" s="12" t="s">
        <v>333</v>
      </c>
    </row>
    <row r="668" customFormat="false" ht="15" hidden="false" customHeight="false" outlineLevel="0" collapsed="false">
      <c r="A668" s="12" t="s">
        <v>86</v>
      </c>
      <c r="B668" s="12" t="s">
        <v>38</v>
      </c>
      <c r="C668" s="12" t="s">
        <v>1528</v>
      </c>
      <c r="D668" s="12" t="s">
        <v>752</v>
      </c>
      <c r="E668" s="12" t="s">
        <v>753</v>
      </c>
      <c r="F668" s="12" t="s">
        <v>320</v>
      </c>
      <c r="G668" s="12" t="s">
        <v>12</v>
      </c>
      <c r="H668" s="27"/>
      <c r="I668" s="12" t="s">
        <v>333</v>
      </c>
    </row>
    <row r="669" customFormat="false" ht="15" hidden="false" customHeight="false" outlineLevel="0" collapsed="false">
      <c r="A669" s="12" t="s">
        <v>42</v>
      </c>
      <c r="B669" s="12" t="s">
        <v>38</v>
      </c>
      <c r="C669" s="12" t="s">
        <v>1529</v>
      </c>
      <c r="D669" s="12" t="s">
        <v>965</v>
      </c>
      <c r="E669" s="12" t="s">
        <v>748</v>
      </c>
      <c r="F669" s="12" t="s">
        <v>320</v>
      </c>
      <c r="G669" s="12" t="s">
        <v>12</v>
      </c>
      <c r="H669" s="27"/>
      <c r="I669" s="12" t="s">
        <v>320</v>
      </c>
    </row>
    <row r="670" customFormat="false" ht="15" hidden="false" customHeight="false" outlineLevel="0" collapsed="false">
      <c r="A670" s="12" t="s">
        <v>181</v>
      </c>
      <c r="B670" s="12" t="s">
        <v>38</v>
      </c>
      <c r="C670" s="12" t="s">
        <v>1524</v>
      </c>
      <c r="D670" s="12" t="s">
        <v>1530</v>
      </c>
      <c r="E670" s="12" t="s">
        <v>1531</v>
      </c>
      <c r="F670" s="12" t="s">
        <v>320</v>
      </c>
      <c r="G670" s="12" t="s">
        <v>13</v>
      </c>
      <c r="H670" s="27" t="n">
        <v>74.284</v>
      </c>
      <c r="I670" s="12" t="s">
        <v>320</v>
      </c>
    </row>
    <row r="671" customFormat="false" ht="15" hidden="false" customHeight="false" outlineLevel="0" collapsed="false">
      <c r="A671" s="12" t="s">
        <v>181</v>
      </c>
      <c r="B671" s="12" t="s">
        <v>38</v>
      </c>
      <c r="C671" s="12" t="s">
        <v>1524</v>
      </c>
      <c r="D671" s="12" t="s">
        <v>1234</v>
      </c>
      <c r="E671" s="12" t="s">
        <v>1310</v>
      </c>
      <c r="F671" s="12" t="s">
        <v>320</v>
      </c>
      <c r="G671" s="12" t="s">
        <v>13</v>
      </c>
      <c r="H671" s="27"/>
      <c r="I671" s="12" t="s">
        <v>320</v>
      </c>
    </row>
    <row r="672" customFormat="false" ht="15" hidden="false" customHeight="false" outlineLevel="0" collapsed="false">
      <c r="A672" s="12" t="s">
        <v>34</v>
      </c>
      <c r="B672" s="12" t="s">
        <v>36</v>
      </c>
      <c r="C672" s="12" t="s">
        <v>1532</v>
      </c>
      <c r="D672" s="12" t="s">
        <v>1409</v>
      </c>
      <c r="E672" s="12"/>
      <c r="F672" s="12"/>
      <c r="G672" s="12" t="s">
        <v>485</v>
      </c>
      <c r="H672" s="27" t="n">
        <v>24.95</v>
      </c>
      <c r="I672" s="12" t="s">
        <v>320</v>
      </c>
    </row>
    <row r="673" customFormat="false" ht="15" hidden="false" customHeight="false" outlineLevel="0" collapsed="false">
      <c r="A673" s="12" t="s">
        <v>78</v>
      </c>
      <c r="B673" s="12" t="s">
        <v>36</v>
      </c>
      <c r="C673" s="12" t="s">
        <v>495</v>
      </c>
      <c r="D673" s="12" t="s">
        <v>496</v>
      </c>
      <c r="E673" s="12" t="s">
        <v>1533</v>
      </c>
      <c r="F673" s="12" t="s">
        <v>320</v>
      </c>
      <c r="G673" s="12" t="s">
        <v>12</v>
      </c>
      <c r="H673" s="27" t="n">
        <v>14.96</v>
      </c>
      <c r="I673" s="12" t="s">
        <v>320</v>
      </c>
    </row>
    <row r="674" customFormat="false" ht="15" hidden="false" customHeight="false" outlineLevel="0" collapsed="false">
      <c r="A674" s="12" t="s">
        <v>79</v>
      </c>
      <c r="B674" s="12" t="s">
        <v>36</v>
      </c>
      <c r="C674" s="12" t="s">
        <v>1374</v>
      </c>
      <c r="D674" s="12" t="s">
        <v>1042</v>
      </c>
      <c r="E674" s="12" t="s">
        <v>1534</v>
      </c>
      <c r="F674" s="12" t="s">
        <v>320</v>
      </c>
      <c r="G674" s="12" t="s">
        <v>12</v>
      </c>
      <c r="H674" s="27" t="n">
        <v>6.66</v>
      </c>
      <c r="I674" s="12" t="s">
        <v>320</v>
      </c>
    </row>
    <row r="675" customFormat="false" ht="15" hidden="false" customHeight="false" outlineLevel="0" collapsed="false">
      <c r="A675" s="12" t="s">
        <v>79</v>
      </c>
      <c r="B675" s="12" t="s">
        <v>36</v>
      </c>
      <c r="C675" s="12" t="s">
        <v>1374</v>
      </c>
      <c r="D675" s="12" t="s">
        <v>1376</v>
      </c>
      <c r="E675" s="12" t="s">
        <v>1535</v>
      </c>
      <c r="F675" s="12" t="s">
        <v>320</v>
      </c>
      <c r="G675" s="12" t="s">
        <v>12</v>
      </c>
      <c r="H675" s="27" t="n">
        <v>38.11</v>
      </c>
      <c r="I675" s="12" t="s">
        <v>320</v>
      </c>
    </row>
    <row r="676" customFormat="false" ht="15" hidden="false" customHeight="false" outlineLevel="0" collapsed="false">
      <c r="A676" s="12" t="s">
        <v>81</v>
      </c>
      <c r="B676" s="12" t="s">
        <v>36</v>
      </c>
      <c r="C676" s="12" t="s">
        <v>81</v>
      </c>
      <c r="D676" s="12" t="s">
        <v>528</v>
      </c>
      <c r="E676" s="12" t="s">
        <v>1536</v>
      </c>
      <c r="F676" s="12" t="s">
        <v>320</v>
      </c>
      <c r="G676" s="12" t="s">
        <v>12</v>
      </c>
      <c r="H676" s="27" t="n">
        <v>31.25</v>
      </c>
      <c r="I676" s="12" t="s">
        <v>320</v>
      </c>
    </row>
    <row r="677" customFormat="false" ht="15" hidden="false" customHeight="false" outlineLevel="0" collapsed="false">
      <c r="A677" s="12" t="s">
        <v>103</v>
      </c>
      <c r="B677" s="12" t="s">
        <v>36</v>
      </c>
      <c r="C677" s="12" t="s">
        <v>103</v>
      </c>
      <c r="D677" s="12" t="s">
        <v>1537</v>
      </c>
      <c r="E677" s="12"/>
      <c r="F677" s="12"/>
      <c r="G677" s="12" t="s">
        <v>485</v>
      </c>
      <c r="H677" s="27" t="n">
        <v>5289.94</v>
      </c>
      <c r="I677" s="12" t="s">
        <v>320</v>
      </c>
    </row>
    <row r="678" customFormat="false" ht="15" hidden="false" customHeight="false" outlineLevel="0" collapsed="false">
      <c r="A678" s="12" t="s">
        <v>104</v>
      </c>
      <c r="B678" s="12" t="s">
        <v>36</v>
      </c>
      <c r="C678" s="12" t="s">
        <v>104</v>
      </c>
      <c r="D678" s="12" t="s">
        <v>500</v>
      </c>
      <c r="E678" s="12"/>
      <c r="F678" s="12"/>
      <c r="G678" s="12" t="s">
        <v>485</v>
      </c>
      <c r="H678" s="27"/>
      <c r="I678" s="12" t="s">
        <v>320</v>
      </c>
    </row>
    <row r="679" customFormat="false" ht="15" hidden="false" customHeight="false" outlineLevel="0" collapsed="false">
      <c r="A679" s="12" t="s">
        <v>120</v>
      </c>
      <c r="B679" s="12" t="s">
        <v>36</v>
      </c>
      <c r="C679" s="12" t="s">
        <v>120</v>
      </c>
      <c r="D679" s="12" t="s">
        <v>1538</v>
      </c>
      <c r="E679" s="12" t="s">
        <v>1539</v>
      </c>
      <c r="F679" s="12" t="s">
        <v>320</v>
      </c>
      <c r="G679" s="12" t="s">
        <v>12</v>
      </c>
      <c r="H679" s="27" t="n">
        <v>18.9</v>
      </c>
      <c r="I679" s="12" t="s">
        <v>320</v>
      </c>
    </row>
    <row r="680" customFormat="false" ht="15" hidden="false" customHeight="false" outlineLevel="0" collapsed="false">
      <c r="A680" s="12" t="s">
        <v>120</v>
      </c>
      <c r="B680" s="12" t="s">
        <v>36</v>
      </c>
      <c r="C680" s="12" t="s">
        <v>120</v>
      </c>
      <c r="D680" s="12" t="s">
        <v>1540</v>
      </c>
      <c r="E680" s="12" t="s">
        <v>1539</v>
      </c>
      <c r="F680" s="12" t="s">
        <v>320</v>
      </c>
      <c r="G680" s="12" t="s">
        <v>12</v>
      </c>
      <c r="H680" s="27" t="n">
        <v>11.08</v>
      </c>
      <c r="I680" s="12" t="s">
        <v>320</v>
      </c>
    </row>
    <row r="681" customFormat="false" ht="15" hidden="false" customHeight="false" outlineLevel="0" collapsed="false">
      <c r="A681" s="12" t="s">
        <v>123</v>
      </c>
      <c r="B681" s="12" t="s">
        <v>36</v>
      </c>
      <c r="C681" s="12" t="s">
        <v>722</v>
      </c>
      <c r="D681" s="12" t="s">
        <v>723</v>
      </c>
      <c r="E681" s="12" t="s">
        <v>1541</v>
      </c>
      <c r="F681" s="12" t="s">
        <v>320</v>
      </c>
      <c r="G681" s="12" t="s">
        <v>12</v>
      </c>
      <c r="H681" s="27"/>
      <c r="I681" s="12" t="s">
        <v>320</v>
      </c>
    </row>
    <row r="682" customFormat="false" ht="15" hidden="false" customHeight="false" outlineLevel="0" collapsed="false">
      <c r="A682" s="12" t="s">
        <v>128</v>
      </c>
      <c r="B682" s="12" t="s">
        <v>36</v>
      </c>
      <c r="C682" s="12" t="s">
        <v>128</v>
      </c>
      <c r="D682" s="12" t="s">
        <v>1542</v>
      </c>
      <c r="E682" s="12" t="s">
        <v>1543</v>
      </c>
      <c r="F682" s="12" t="s">
        <v>320</v>
      </c>
      <c r="G682" s="12" t="s">
        <v>485</v>
      </c>
      <c r="H682" s="27" t="n">
        <v>179.58</v>
      </c>
      <c r="I682" s="12" t="s">
        <v>320</v>
      </c>
    </row>
    <row r="683" customFormat="false" ht="15" hidden="false" customHeight="false" outlineLevel="0" collapsed="false">
      <c r="A683" s="12" t="s">
        <v>183</v>
      </c>
      <c r="B683" s="12" t="s">
        <v>36</v>
      </c>
      <c r="C683" s="12" t="s">
        <v>815</v>
      </c>
      <c r="D683" s="12" t="s">
        <v>816</v>
      </c>
      <c r="E683" s="12" t="s">
        <v>1544</v>
      </c>
      <c r="F683" s="12" t="s">
        <v>320</v>
      </c>
      <c r="G683" s="12" t="s">
        <v>12</v>
      </c>
      <c r="H683" s="27"/>
      <c r="I683" s="12" t="s">
        <v>320</v>
      </c>
    </row>
    <row r="684" customFormat="false" ht="15" hidden="false" customHeight="false" outlineLevel="0" collapsed="false">
      <c r="A684" s="12" t="s">
        <v>199</v>
      </c>
      <c r="B684" s="12" t="s">
        <v>36</v>
      </c>
      <c r="C684" s="12" t="s">
        <v>546</v>
      </c>
      <c r="D684" s="12" t="s">
        <v>547</v>
      </c>
      <c r="E684" s="12" t="s">
        <v>1545</v>
      </c>
      <c r="F684" s="12" t="s">
        <v>320</v>
      </c>
      <c r="G684" s="12" t="s">
        <v>12</v>
      </c>
      <c r="H684" s="27"/>
      <c r="I684" s="12" t="s">
        <v>320</v>
      </c>
    </row>
    <row r="685" customFormat="false" ht="15" hidden="false" customHeight="false" outlineLevel="0" collapsed="false">
      <c r="A685" s="12" t="s">
        <v>110</v>
      </c>
      <c r="B685" s="12" t="s">
        <v>36</v>
      </c>
      <c r="C685" s="12" t="s">
        <v>110</v>
      </c>
      <c r="D685" s="12" t="s">
        <v>844</v>
      </c>
      <c r="E685" s="12" t="s">
        <v>1546</v>
      </c>
      <c r="F685" s="12" t="s">
        <v>320</v>
      </c>
      <c r="G685" s="12" t="s">
        <v>12</v>
      </c>
      <c r="H685" s="27" t="n">
        <v>61.13</v>
      </c>
      <c r="I685" s="12" t="s">
        <v>320</v>
      </c>
    </row>
    <row r="686" customFormat="false" ht="15" hidden="false" customHeight="false" outlineLevel="0" collapsed="false">
      <c r="A686" s="12" t="s">
        <v>110</v>
      </c>
      <c r="B686" s="12" t="s">
        <v>36</v>
      </c>
      <c r="C686" s="12" t="s">
        <v>110</v>
      </c>
      <c r="D686" s="12" t="s">
        <v>1547</v>
      </c>
      <c r="E686" s="12" t="s">
        <v>1546</v>
      </c>
      <c r="F686" s="12" t="s">
        <v>320</v>
      </c>
      <c r="G686" s="12" t="s">
        <v>12</v>
      </c>
      <c r="H686" s="27"/>
      <c r="I686" s="12" t="s">
        <v>320</v>
      </c>
    </row>
    <row r="687" customFormat="false" ht="15" hidden="false" customHeight="false" outlineLevel="0" collapsed="false">
      <c r="A687" s="12" t="s">
        <v>62</v>
      </c>
      <c r="B687" s="12" t="s">
        <v>36</v>
      </c>
      <c r="C687" s="12" t="s">
        <v>62</v>
      </c>
      <c r="D687" s="12" t="s">
        <v>558</v>
      </c>
      <c r="E687" s="12" t="s">
        <v>1548</v>
      </c>
      <c r="F687" s="12" t="s">
        <v>12</v>
      </c>
      <c r="G687" s="12" t="s">
        <v>12</v>
      </c>
      <c r="H687" s="27" t="n">
        <v>22.25</v>
      </c>
      <c r="I687" s="12" t="s">
        <v>333</v>
      </c>
    </row>
    <row r="688" customFormat="false" ht="15" hidden="false" customHeight="false" outlineLevel="0" collapsed="false">
      <c r="A688" s="12" t="s">
        <v>114</v>
      </c>
      <c r="B688" s="12" t="s">
        <v>36</v>
      </c>
      <c r="C688" s="12" t="s">
        <v>114</v>
      </c>
      <c r="D688" s="12" t="s">
        <v>486</v>
      </c>
      <c r="E688" s="12" t="s">
        <v>1549</v>
      </c>
      <c r="F688" s="12" t="s">
        <v>488</v>
      </c>
      <c r="G688" s="12" t="s">
        <v>14</v>
      </c>
      <c r="H688" s="27" t="n">
        <v>29.97</v>
      </c>
      <c r="I688" s="12" t="s">
        <v>320</v>
      </c>
    </row>
    <row r="689" customFormat="false" ht="15" hidden="false" customHeight="false" outlineLevel="0" collapsed="false">
      <c r="A689" s="12" t="s">
        <v>184</v>
      </c>
      <c r="B689" s="12" t="s">
        <v>36</v>
      </c>
      <c r="C689" s="12" t="s">
        <v>841</v>
      </c>
      <c r="D689" s="12" t="s">
        <v>842</v>
      </c>
      <c r="E689" s="12" t="s">
        <v>1353</v>
      </c>
      <c r="F689" s="12" t="s">
        <v>320</v>
      </c>
      <c r="G689" s="12" t="s">
        <v>12</v>
      </c>
      <c r="H689" s="27" t="n">
        <v>21.78</v>
      </c>
      <c r="I689" s="12" t="s">
        <v>320</v>
      </c>
    </row>
    <row r="690" customFormat="false" ht="15" hidden="false" customHeight="false" outlineLevel="0" collapsed="false">
      <c r="A690" s="12" t="s">
        <v>184</v>
      </c>
      <c r="B690" s="12" t="s">
        <v>36</v>
      </c>
      <c r="C690" s="12" t="s">
        <v>841</v>
      </c>
      <c r="D690" s="12" t="s">
        <v>844</v>
      </c>
      <c r="E690" s="12" t="s">
        <v>1280</v>
      </c>
      <c r="F690" s="12" t="s">
        <v>320</v>
      </c>
      <c r="G690" s="12" t="s">
        <v>12</v>
      </c>
      <c r="H690" s="27" t="n">
        <v>48.28</v>
      </c>
      <c r="I690" s="12" t="s">
        <v>320</v>
      </c>
    </row>
    <row r="691" customFormat="false" ht="15" hidden="false" customHeight="false" outlineLevel="0" collapsed="false">
      <c r="A691" s="12" t="s">
        <v>62</v>
      </c>
      <c r="B691" s="12" t="s">
        <v>36</v>
      </c>
      <c r="C691" s="12" t="s">
        <v>62</v>
      </c>
      <c r="D691" s="12" t="s">
        <v>599</v>
      </c>
      <c r="E691" s="12" t="s">
        <v>608</v>
      </c>
      <c r="F691" s="12" t="s">
        <v>320</v>
      </c>
      <c r="G691" s="12" t="s">
        <v>12</v>
      </c>
      <c r="H691" s="27" t="n">
        <v>856.68</v>
      </c>
      <c r="I691" s="12" t="s">
        <v>320</v>
      </c>
    </row>
    <row r="692" customFormat="false" ht="15" hidden="false" customHeight="false" outlineLevel="0" collapsed="false">
      <c r="A692" s="12" t="s">
        <v>62</v>
      </c>
      <c r="B692" s="12" t="s">
        <v>36</v>
      </c>
      <c r="C692" s="12" t="s">
        <v>1550</v>
      </c>
      <c r="D692" s="12" t="s">
        <v>614</v>
      </c>
      <c r="E692" s="12" t="s">
        <v>600</v>
      </c>
      <c r="F692" s="12" t="s">
        <v>320</v>
      </c>
      <c r="G692" s="12" t="s">
        <v>12</v>
      </c>
      <c r="H692" s="27" t="n">
        <v>1444.1174</v>
      </c>
      <c r="I692" s="12" t="s">
        <v>333</v>
      </c>
    </row>
    <row r="693" customFormat="false" ht="15" hidden="false" customHeight="false" outlineLevel="0" collapsed="false">
      <c r="A693" s="12" t="s">
        <v>75</v>
      </c>
      <c r="B693" s="12" t="s">
        <v>36</v>
      </c>
      <c r="C693" s="12" t="s">
        <v>1551</v>
      </c>
      <c r="D693" s="12" t="s">
        <v>619</v>
      </c>
      <c r="E693" s="12" t="s">
        <v>622</v>
      </c>
      <c r="F693" s="12" t="s">
        <v>320</v>
      </c>
      <c r="G693" s="12" t="s">
        <v>13</v>
      </c>
      <c r="H693" s="27" t="n">
        <v>7.8196</v>
      </c>
      <c r="I693" s="12" t="s">
        <v>333</v>
      </c>
    </row>
    <row r="694" customFormat="false" ht="15" hidden="false" customHeight="false" outlineLevel="0" collapsed="false">
      <c r="A694" s="12" t="s">
        <v>62</v>
      </c>
      <c r="B694" s="12" t="s">
        <v>36</v>
      </c>
      <c r="C694" s="12" t="s">
        <v>1552</v>
      </c>
      <c r="D694" s="12" t="s">
        <v>787</v>
      </c>
      <c r="E694" s="12" t="s">
        <v>894</v>
      </c>
      <c r="F694" s="12" t="s">
        <v>320</v>
      </c>
      <c r="G694" s="12" t="s">
        <v>12</v>
      </c>
      <c r="H694" s="27" t="n">
        <v>152.64</v>
      </c>
      <c r="I694" s="12" t="s">
        <v>333</v>
      </c>
    </row>
    <row r="695" customFormat="false" ht="15" hidden="false" customHeight="false" outlineLevel="0" collapsed="false">
      <c r="A695" s="12" t="s">
        <v>156</v>
      </c>
      <c r="B695" s="12" t="s">
        <v>36</v>
      </c>
      <c r="C695" s="12" t="s">
        <v>1553</v>
      </c>
      <c r="D695" s="12" t="s">
        <v>1554</v>
      </c>
      <c r="E695" s="12" t="s">
        <v>1555</v>
      </c>
      <c r="F695" s="12" t="s">
        <v>320</v>
      </c>
      <c r="G695" s="12" t="s">
        <v>13</v>
      </c>
      <c r="H695" s="27" t="n">
        <v>6.29</v>
      </c>
      <c r="I695" s="12" t="s">
        <v>320</v>
      </c>
    </row>
    <row r="696" customFormat="false" ht="15" hidden="false" customHeight="false" outlineLevel="0" collapsed="false">
      <c r="A696" s="12" t="s">
        <v>129</v>
      </c>
      <c r="B696" s="12" t="s">
        <v>36</v>
      </c>
      <c r="C696" s="12" t="s">
        <v>1556</v>
      </c>
      <c r="D696" s="12" t="s">
        <v>1557</v>
      </c>
      <c r="E696" s="12" t="s">
        <v>1328</v>
      </c>
      <c r="F696" s="12" t="s">
        <v>320</v>
      </c>
      <c r="G696" s="12" t="s">
        <v>13</v>
      </c>
      <c r="H696" s="27" t="n">
        <v>7.58</v>
      </c>
      <c r="I696" s="12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2026-10-07T08:52:02Z</dcterms:created>
  <dc:creator>openpyxl</dc:creator>
  <dc:description/>
  <dc:language>en-US</dc:language>
  <cp:lastModifiedBy/>
  <dcterms:modified xsi:type="dcterms:W3CDTF">2026-10-07T08:52:05Z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