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 Matrix" sheetId="1" state="visible" r:id="rId1"/>
    <sheet name="Product Evidence" sheetId="2" state="visible" r:id="rId2"/>
    <sheet name="Revenue" sheetId="3" state="visible" r:id="rId3"/>
    <sheet name="Clean URL Map" sheetId="4" state="visible" r:id="rId4"/>
    <sheet name="Method &amp; Caveats" sheetId="5" state="visible" r:id="rId5"/>
  </sheets>
  <definedNames>
    <definedName name="_xlnm._FilterDatabase" localSheetId="1" hidden="1">'Product Evidence'!$A$1:$M$20</definedName>
    <definedName name="_xlnm._FilterDatabase" localSheetId="3" hidden="1">'Clean URL Map'!$A$1:$F$40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name val="Arial"/>
      <b val="1"/>
      <color rgb="000B1F6B"/>
      <sz val="13"/>
    </font>
    <font>
      <name val="Arial"/>
      <i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i val="1"/>
      <sz val="8"/>
    </font>
    <font>
      <name val="Arial"/>
      <color rgb="000563C1"/>
      <sz val="9"/>
      <u val="single"/>
    </font>
    <font>
      <name val="Arial"/>
      <b val="1"/>
      <sz val="12"/>
    </font>
    <font>
      <name val="Arial"/>
      <color rgb="000000FF"/>
    </font>
    <font>
      <name val="Arial"/>
      <color rgb="000000FF"/>
      <sz val="9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E0E0E0"/>
      </patternFill>
    </fill>
    <fill>
      <patternFill patternType="solid">
        <fgColor rgb="00F8CBCB"/>
      </patternFill>
    </fill>
    <fill>
      <patternFill patternType="solid">
        <fgColor rgb="000B1F6B"/>
      </patternFill>
    </fill>
    <fill>
      <patternFill patternType="solid">
        <fgColor rgb="003D5DA8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4" borderId="1" pivotButton="0" quotePrefix="0" xfId="0"/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7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2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0" pivotButton="0" quotePrefix="0" xfId="0"/>
    <xf numFmtId="0" fontId="9" fillId="8" borderId="0" pivotButton="0" quotePrefix="0" xfId="0"/>
    <xf numFmtId="164" fontId="10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talogs.bbraun.co.in/en-IN/p/PRID00000461" TargetMode="External" Id="rId1" /><Relationship Type="http://schemas.openxmlformats.org/officeDocument/2006/relationships/hyperlink" Target="https://catalogs.bbraun.co.in/en-IN/p/PRID00000145" TargetMode="External" Id="rId2" /><Relationship Type="http://schemas.openxmlformats.org/officeDocument/2006/relationships/hyperlink" Target="https://catalogs.bbraun.co.in/en-IN/p/PRID00010216" TargetMode="External" Id="rId3" /><Relationship Type="http://schemas.openxmlformats.org/officeDocument/2006/relationships/hyperlink" Target="https://catalogs.bbraun.co.in/en-IN/p/PRID00001226" TargetMode="External" Id="rId4" /><Relationship Type="http://schemas.openxmlformats.org/officeDocument/2006/relationships/hyperlink" Target="https://catalogs.bbraun.co.in/en-IN/p/PRID00011858 (returns 'No results')" TargetMode="External" Id="rId5" /><Relationship Type="http://schemas.openxmlformats.org/officeDocument/2006/relationships/hyperlink" Target="https://catalogs.bbraun.co.in/en-IN/p/PRID00000618" TargetMode="External" Id="rId6" /><Relationship Type="http://schemas.openxmlformats.org/officeDocument/2006/relationships/hyperlink" Target="https://catalogs.bbraun.co.in/en-IN/p/PRID00000689" TargetMode="External" Id="rId7" /><Relationship Type="http://schemas.openxmlformats.org/officeDocument/2006/relationships/hyperlink" Target="https://catalogs.bbraun.co.in/en-IN/p/PRID00011042" TargetMode="External" Id="rId8" /><Relationship Type="http://schemas.openxmlformats.org/officeDocument/2006/relationships/hyperlink" Target="https://catalogs.bbraun.co.in/en-IN/p/PRID00012086" TargetMode="External" Id="rId9" /><Relationship Type="http://schemas.openxmlformats.org/officeDocument/2006/relationships/hyperlink" Target="https://catalogs.bbraun.co.in/en-IN/p/PRID00001230" TargetMode="External" Id="rId10" /><Relationship Type="http://schemas.openxmlformats.org/officeDocument/2006/relationships/hyperlink" Target="https://catalogs.bbraun.co.in/en-IN/p/PRID00011860" TargetMode="External" Id="rId11" /><Relationship Type="http://schemas.openxmlformats.org/officeDocument/2006/relationships/hyperlink" Target="https://www.fresenius-kabi.com/in/products/ins/infusion-therapy/infusia-range/infusia-sp7sed3" TargetMode="External" Id="rId12" /><Relationship Type="http://schemas.openxmlformats.org/officeDocument/2006/relationships/hyperlink" Target="https://www.fresenius-kabi.com/in/products/ins/infusion-therapy/agilia-range/agilia-sp" TargetMode="External" Id="rId13" /><Relationship Type="http://schemas.openxmlformats.org/officeDocument/2006/relationships/hyperlink" Target="https://www.fresenius-kabi.com/in/products/ins/infusion-therapy/agilia-range/agilia-sp-mc" TargetMode="External" Id="rId14" /><Relationship Type="http://schemas.openxmlformats.org/officeDocument/2006/relationships/hyperlink" Target="https://www.fresenius-kabi.com/in/products/ins/infusion-therapy/agilia-range/agilia-sp-mc" TargetMode="External" Id="rId15" /><Relationship Type="http://schemas.openxmlformats.org/officeDocument/2006/relationships/hyperlink" Target="https://www.fresenius-kabi.com/in/products/ins/infusion-therapy/agilia-range/agilia-sp-tiva" TargetMode="External" Id="rId16" /><Relationship Type="http://schemas.openxmlformats.org/officeDocument/2006/relationships/hyperlink" Target="https://www.fresenius-kabi.com/in/products/ins/infusion-therapy/infusia-range/infusia-vp7sed3" TargetMode="External" Id="rId17" /><Relationship Type="http://schemas.openxmlformats.org/officeDocument/2006/relationships/hyperlink" Target="https://arraymed.co.in/product/fresenius-kabi-agilia-vp/" TargetMode="External" Id="rId18" /><Relationship Type="http://schemas.openxmlformats.org/officeDocument/2006/relationships/hyperlink" Target="https://dir.indiamart.com/search.mp?ss=agilia+vp+mc+wifi (listing: 'Fresenius Kabi Agilia VP MC'; product-page URL to be added)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Key figures table; Annual Report PDF p.8" TargetMode="External" Id="rId1" /><Relationship Type="http://schemas.openxmlformats.org/officeDocument/2006/relationships/hyperlink" Target="PDF p.43 (section 4.9); p.8 'Hospital Care 5,091 ... infusion therapy, nutrition therapy and pain therapy'" TargetMode="External" Id="rId2" /><Relationship Type="http://schemas.openxmlformats.org/officeDocument/2006/relationships/hyperlink" Target="Key metrics (range; exact figure paywalled)" TargetMode="External" Id="rId3" /><Relationship Type="http://schemas.openxmlformats.org/officeDocument/2006/relationships/hyperlink" Target="Segment table; Annual Report PDF p.5 and p.117" TargetMode="External" Id="rId4" /><Relationship Type="http://schemas.openxmlformats.org/officeDocument/2006/relationships/hyperlink" Target="PDF p.117 (printed p.116): 'Revenue in the MedTech business increased ... to EUR 1,610 million'" TargetMode="External" Id="rId5" /><Relationship Type="http://schemas.openxmlformats.org/officeDocument/2006/relationships/hyperlink" Target="Key metrics (range; exact figure paywalled)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catalogs.bbraun.co.in/en-IN/c/PRODUCTS0000000529/automated-infusion-systems" TargetMode="External" Id="rId1" /><Relationship Type="http://schemas.openxmlformats.org/officeDocument/2006/relationships/hyperlink" Target="https://catalogs.bbraun.co.in/en-IN/p/PRID00000461" TargetMode="External" Id="rId2" /><Relationship Type="http://schemas.openxmlformats.org/officeDocument/2006/relationships/hyperlink" Target="https://catalogs.bbraun.co.in/en-IN/p/PRID00000145" TargetMode="External" Id="rId3" /><Relationship Type="http://schemas.openxmlformats.org/officeDocument/2006/relationships/hyperlink" Target="https://catalogs.bbraun.co.in/en-IN/p/PRID00010216" TargetMode="External" Id="rId4" /><Relationship Type="http://schemas.openxmlformats.org/officeDocument/2006/relationships/hyperlink" Target="https://catalogs.bbraun.co.in/en-IN/p/PRID00011150" TargetMode="External" Id="rId5" /><Relationship Type="http://schemas.openxmlformats.org/officeDocument/2006/relationships/hyperlink" Target="https://ecatalog.bbraun.com/eDoc/QlBSMDAwMDAwMDAwMDAwMDAwMTAwMDE4NTA5OTAwMDAw?openInline=true" TargetMode="External" Id="rId6" /><Relationship Type="http://schemas.openxmlformats.org/officeDocument/2006/relationships/hyperlink" Target="https://catalogs.bbraun.co.in/en-IN/p/PRID00001226" TargetMode="External" Id="rId7" /><Relationship Type="http://schemas.openxmlformats.org/officeDocument/2006/relationships/hyperlink" Target="https://catalogs.bbraun.co.in/en-IN/p/PRID00000618" TargetMode="External" Id="rId8" /><Relationship Type="http://schemas.openxmlformats.org/officeDocument/2006/relationships/hyperlink" Target="https://catalogs.bbraun.co.in/en-IN/p/PRID00000689" TargetMode="External" Id="rId9" /><Relationship Type="http://schemas.openxmlformats.org/officeDocument/2006/relationships/hyperlink" Target="https://catalogs.bbraun.co.in/en-IN/p/PRID00011042" TargetMode="External" Id="rId10" /><Relationship Type="http://schemas.openxmlformats.org/officeDocument/2006/relationships/hyperlink" Target="https://catalogs.bbraun.co.in/en-IN/p/PRID00012086" TargetMode="External" Id="rId11" /><Relationship Type="http://schemas.openxmlformats.org/officeDocument/2006/relationships/hyperlink" Target="https://catalogs.bbraun.co.in/en-IN/p/PRID00001230" TargetMode="External" Id="rId12" /><Relationship Type="http://schemas.openxmlformats.org/officeDocument/2006/relationships/hyperlink" Target="https://catalogs.bbraun.co.in/en-IN/p/PRID00011860" TargetMode="External" Id="rId13" /><Relationship Type="http://schemas.openxmlformats.org/officeDocument/2006/relationships/hyperlink" Target="https://www.bbraun.com/en/about-us/company/facts-and-figures/annual-report.html" TargetMode="External" Id="rId14" /><Relationship Type="http://schemas.openxmlformats.org/officeDocument/2006/relationships/hyperlink" Target="https://www.bbraun.com/content/dam/b-braun/master/website-6/en/04_about-us/0401_company/facts-and-figures/2025_B_Braun_Annual_Report.pdf" TargetMode="External" Id="rId15" /><Relationship Type="http://schemas.openxmlformats.org/officeDocument/2006/relationships/hyperlink" Target="https://www.tofler.in/b-braun-medical-india-private-limited/company/U33112MH1984PTC214514" TargetMode="External" Id="rId16" /><Relationship Type="http://schemas.openxmlformats.org/officeDocument/2006/relationships/hyperlink" Target="https://www.bbraun.com/en/products-and-solutions/therapies/infusion-therapy/automated-infusion-systems/compactplus-system.html" TargetMode="External" Id="rId17" /><Relationship Type="http://schemas.openxmlformats.org/officeDocument/2006/relationships/hyperlink" Target="https://catalogs.bbraun.com/en-01/p/PRID00011858/spaceplus-perfusor" TargetMode="External" Id="rId18" /><Relationship Type="http://schemas.openxmlformats.org/officeDocument/2006/relationships/hyperlink" Target="https://www.fresenius-kabi.com/in/products/ins/infusion-therapy" TargetMode="External" Id="rId19" /><Relationship Type="http://schemas.openxmlformats.org/officeDocument/2006/relationships/hyperlink" Target="https://www.fresenius-kabi.com/in/products/ins/infusion-therapy/agilia-range" TargetMode="External" Id="rId20" /><Relationship Type="http://schemas.openxmlformats.org/officeDocument/2006/relationships/hyperlink" Target="https://www.fresenius-kabi.com/in/products/ins/infusion-therapy/infusia-range" TargetMode="External" Id="rId21" /><Relationship Type="http://schemas.openxmlformats.org/officeDocument/2006/relationships/hyperlink" Target="https://www.fresenius-kabi.com/in/products/ins/infusion-therapy/infusia-range/infusia-sp7sed3" TargetMode="External" Id="rId22" /><Relationship Type="http://schemas.openxmlformats.org/officeDocument/2006/relationships/hyperlink" Target="https://www.fresenius-kabi.com/in/products/ins/infusion-therapy/infusia-range/infusia-vp7sed3" TargetMode="External" Id="rId23" /><Relationship Type="http://schemas.openxmlformats.org/officeDocument/2006/relationships/hyperlink" Target="https://www.fresenius-kabi.com/in/products/ins/infusion-therapy/agilia-range/agilia-sp" TargetMode="External" Id="rId24" /><Relationship Type="http://schemas.openxmlformats.org/officeDocument/2006/relationships/hyperlink" Target="https://www.fresenius-kabi.com/in/products/ins/infusion-therapy/agilia-range/agilia-sp-mc" TargetMode="External" Id="rId25" /><Relationship Type="http://schemas.openxmlformats.org/officeDocument/2006/relationships/hyperlink" Target="https://www.fresenius-kabi.com/in/products/ins/infusion-therapy/agilia-range/agilia-sp-tiva" TargetMode="External" Id="rId26" /><Relationship Type="http://schemas.openxmlformats.org/officeDocument/2006/relationships/hyperlink" Target="https://arraymed.co.in/product/fresenius-kabi-agilia-vp/" TargetMode="External" Id="rId27" /><Relationship Type="http://schemas.openxmlformats.org/officeDocument/2006/relationships/hyperlink" Target="https://arraymed.co.in/product/fresenius-kabi-agilia-sp/" TargetMode="External" Id="rId28" /><Relationship Type="http://schemas.openxmlformats.org/officeDocument/2006/relationships/hyperlink" Target="https://arraymed.co.in/product/fresenius-kabi-agilia-spmc/" TargetMode="External" Id="rId29" /><Relationship Type="http://schemas.openxmlformats.org/officeDocument/2006/relationships/hyperlink" Target="https://arraymed.co.in/product/fresenius-kabi-agilia-tiva-pump/" TargetMode="External" Id="rId30" /><Relationship Type="http://schemas.openxmlformats.org/officeDocument/2006/relationships/hyperlink" Target="https://www.fresenius-kabi.com/content/dam/fresenius-kabi/gb/products/product-documents/medtech/agilia-connect-sp/IFT265%20Agilia%20SP%20Connect%20Datasheet.pdf.coredownload.inline.pdf" TargetMode="External" Id="rId31" /><Relationship Type="http://schemas.openxmlformats.org/officeDocument/2006/relationships/hyperlink" Target="https://report.fresenius.com/2025/annual-report/financial-statements/segment-reporting.html" TargetMode="External" Id="rId32" /><Relationship Type="http://schemas.openxmlformats.org/officeDocument/2006/relationships/hyperlink" Target="https://www.fresenius.com/sites/default/files/2026-03/fresenius_annual_report_2025_0.pdf" TargetMode="External" Id="rId33" /><Relationship Type="http://schemas.openxmlformats.org/officeDocument/2006/relationships/hyperlink" Target="https://www.tofler.in/fresenius-kabi-india-private-limited/company/U24231PN1995PTC014017" TargetMode="External" Id="rId34" /><Relationship Type="http://schemas.openxmlformats.org/officeDocument/2006/relationships/hyperlink" Target="https://www.fresenius-kabi.com/gb/healthcare-professional-area/medtech/product-literature-library" TargetMode="External" Id="rId35" /><Relationship Type="http://schemas.openxmlformats.org/officeDocument/2006/relationships/hyperlink" Target="https://key2.fresenius-kabi.com/en/regulatory-document/declaration-conformity/mdr/declaration-conformity" TargetMode="External" Id="rId36" /><Relationship Type="http://schemas.openxmlformats.org/officeDocument/2006/relationships/hyperlink" Target="https://dir.indiamart.com/search.mp?ss=agilia+vp+mc+wifi" TargetMode="External" Id="rId37" /><Relationship Type="http://schemas.openxmlformats.org/officeDocument/2006/relationships/hyperlink" Target="https://www.fresenius-kabi.com/content/dam/fresenius-kabi/gb/products/product-documents/medtech/agilia-connect-vp/IFT264%20Agilia%20VPMC%20Connect%20Data%20Sheet.pdf.coredownload.inline.pdf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0" customWidth="1" min="3" max="3"/>
    <col width="18" customWidth="1" min="4" max="4"/>
    <col width="22" customWidth="1" min="5" max="5"/>
    <col width="22" customWidth="1" min="6" max="6"/>
    <col width="18" customWidth="1" min="7" max="7"/>
    <col width="26" customWidth="1" min="8" max="8"/>
    <col width="24" customWidth="1" min="9" max="9"/>
    <col width="55" customWidth="1" min="10" max="10"/>
    <col width="4" customWidth="1" min="11" max="11"/>
    <col width="48" customWidth="1" min="12" max="12"/>
  </cols>
  <sheetData>
    <row r="1">
      <c r="A1" s="1" t="inlineStr">
        <is>
          <t>Task 2.2 | Infusion Pumps Market Assessment in India | Key Players - corrected classification (B. Braun, Fresenius Kabi)</t>
        </is>
      </c>
    </row>
    <row r="2">
      <c r="A2" s="2" t="inlineStr">
        <is>
          <t>Criteria: Standard = no drug library, no connectivity | Smart = drug library, no connectivity | Smart** = drug library, connectivity optional (add-on module / WiFi variant) | Connected = drug library + integrated connectivity</t>
        </is>
      </c>
    </row>
    <row r="3">
      <c r="K3" s="3" t="n"/>
      <c r="L3" s="4" t="inlineStr">
        <is>
          <t>Listed on official India website</t>
        </is>
      </c>
    </row>
    <row r="4">
      <c r="A4" s="5" t="inlineStr">
        <is>
          <t>Company</t>
        </is>
      </c>
      <c r="B4" s="6" t="n"/>
      <c r="C4" s="7" t="n"/>
      <c r="D4" s="5" t="inlineStr">
        <is>
          <t>Syringe Pump</t>
        </is>
      </c>
      <c r="E4" s="6" t="n"/>
      <c r="F4" s="7" t="n"/>
      <c r="G4" s="5" t="inlineStr">
        <is>
          <t>Volumetric Pump</t>
        </is>
      </c>
      <c r="H4" s="6" t="n"/>
      <c r="I4" s="7" t="n"/>
      <c r="J4" s="5" t="inlineStr">
        <is>
          <t>Changes vs sample</t>
        </is>
      </c>
      <c r="K4" s="8" t="n"/>
      <c r="L4" s="4" t="inlineStr">
        <is>
          <t>Listed on Indian distributor (third-party) website only</t>
        </is>
      </c>
    </row>
    <row r="5">
      <c r="A5" s="9" t="inlineStr">
        <is>
          <t>Name</t>
        </is>
      </c>
      <c r="B5" s="9" t="inlineStr">
        <is>
          <t>HQ</t>
        </is>
      </c>
      <c r="C5" s="9" t="inlineStr">
        <is>
          <t>Revenue</t>
        </is>
      </c>
      <c r="D5" s="9" t="inlineStr">
        <is>
          <t>Standard</t>
        </is>
      </c>
      <c r="E5" s="9" t="inlineStr">
        <is>
          <t>Smart</t>
        </is>
      </c>
      <c r="F5" s="9" t="inlineStr">
        <is>
          <t>Connected</t>
        </is>
      </c>
      <c r="G5" s="9" t="inlineStr">
        <is>
          <t>Standard</t>
        </is>
      </c>
      <c r="H5" s="9" t="inlineStr">
        <is>
          <t>Smart</t>
        </is>
      </c>
      <c r="I5" s="9" t="inlineStr">
        <is>
          <t>Connected</t>
        </is>
      </c>
      <c r="J5" s="10" t="n"/>
      <c r="K5" s="11" t="n"/>
      <c r="L5" s="4" t="inlineStr">
        <is>
          <t>Not disclosed on Indian websites</t>
        </is>
      </c>
    </row>
    <row r="6" ht="30" customHeight="1">
      <c r="A6" s="12" t="inlineStr">
        <is>
          <t>B. Braun</t>
        </is>
      </c>
      <c r="B6" s="13" t="inlineStr">
        <is>
          <t>Germany</t>
        </is>
      </c>
      <c r="C6" s="13" t="inlineStr">
        <is>
          <t>EUR 9.40B FY25 group sales (~USD 10.53B*)
of which Hospital Care div. (incl. infusion therapy): EUR 5.09B
Source: B. Braun Annual Report 2025</t>
        </is>
      </c>
      <c r="D6" s="14" t="inlineStr">
        <is>
          <t>Perfusor compact</t>
        </is>
      </c>
      <c r="E6" s="14" t="inlineStr">
        <is>
          <t>Perfusor compactplus**</t>
        </is>
      </c>
      <c r="F6" s="15" t="n"/>
      <c r="G6" s="14" t="inlineStr">
        <is>
          <t>Infusomat fmS</t>
        </is>
      </c>
      <c r="H6" s="14" t="inlineStr">
        <is>
          <t>Infusomat compactplus**</t>
        </is>
      </c>
      <c r="I6" s="14" t="inlineStr">
        <is>
          <t>Spaceplus Infusomat</t>
        </is>
      </c>
      <c r="J6" s="13" t="inlineStr">
        <is>
          <t>- Standard columns were blank: add Perfusor compact, compact S, Infusomat fmS, Infusomat P
- compactplus &amp; Space pumps -&gt; Smart** (connectivity is optional)
- 'Perfusor Space Plus' removed: not offered in India (catalogue + distributors)
- 'Infusomat Space' -&gt; India lists Infusomat Space P
- 'Infusomat Space Place' typo -&gt; Spaceplus Infusomat
- Add Infusomat compactplus P</t>
        </is>
      </c>
      <c r="K6" s="16" t="n"/>
      <c r="L6" s="4" t="inlineStr">
        <is>
          <t>Pending confirmation of an Indian listing (none open)</t>
        </is>
      </c>
    </row>
    <row r="7" ht="30" customHeight="1">
      <c r="A7" s="17" t="n"/>
      <c r="B7" s="17" t="n"/>
      <c r="C7" s="17" t="n"/>
      <c r="D7" s="14" t="inlineStr">
        <is>
          <t>Perfusor compact S</t>
        </is>
      </c>
      <c r="E7" s="14" t="inlineStr">
        <is>
          <t>Perfusor Space**</t>
        </is>
      </c>
      <c r="F7" s="17" t="n"/>
      <c r="G7" s="14" t="inlineStr">
        <is>
          <t>Infusomat P</t>
        </is>
      </c>
      <c r="H7" s="14" t="inlineStr">
        <is>
          <t>Infusomat compactplus P**</t>
        </is>
      </c>
      <c r="I7" s="18" t="n"/>
      <c r="J7" s="17" t="n"/>
    </row>
    <row r="8" ht="30" customHeight="1">
      <c r="A8" s="10" t="n"/>
      <c r="B8" s="10" t="n"/>
      <c r="C8" s="10" t="n"/>
      <c r="D8" s="18" t="n"/>
      <c r="E8" s="18" t="n"/>
      <c r="F8" s="10" t="n"/>
      <c r="G8" s="18" t="n"/>
      <c r="H8" s="14" t="inlineStr">
        <is>
          <t>Infusomat Space P**</t>
        </is>
      </c>
      <c r="I8" s="18" t="n"/>
      <c r="J8" s="10" t="n"/>
    </row>
    <row r="9" ht="30" customHeight="1">
      <c r="A9" s="12" t="inlineStr">
        <is>
          <t>Fresenius Kabi</t>
        </is>
      </c>
      <c r="B9" s="13" t="inlineStr">
        <is>
          <t>Germany</t>
        </is>
      </c>
      <c r="C9" s="13" t="inlineStr">
        <is>
          <t>EUR 8.61B FY25 Kabi revenue (~USD 9.65B*)
of which MedTech (incl. infusion pumps): EUR 1.61B
Source: Fresenius Annual Report 2025</t>
        </is>
      </c>
      <c r="D9" s="15" t="n"/>
      <c r="E9" s="14" t="inlineStr">
        <is>
          <t>Infusia SP7s (SP7sED3)</t>
        </is>
      </c>
      <c r="F9" s="14" t="inlineStr">
        <is>
          <t>Agilia SP MC WiFi</t>
        </is>
      </c>
      <c r="G9" s="15" t="n"/>
      <c r="H9" s="14" t="inlineStr">
        <is>
          <t>Infusia VP7s (VP7sED3)</t>
        </is>
      </c>
      <c r="I9" s="15" t="n"/>
      <c r="J9" s="13" t="inlineStr">
        <is>
          <t>- Add Agilia SP (Smart), Agilia SP MC &amp; SP TIVA (Smart**)
- Agilia VP (distributor only) -&gt; Volumetric Smart, peach
- 'Agilia VP MC WiFi' -&gt; India listing (IndiaMart) is base Agilia VP MC -&gt; Volumetric Smart** (peach); Volumetric Connected now blank
- Infusia SP7s/VP7s &amp; Agilia SP MC WiFi confirmed</t>
        </is>
      </c>
    </row>
    <row r="10" ht="30" customHeight="1">
      <c r="A10" s="17" t="n"/>
      <c r="B10" s="17" t="n"/>
      <c r="C10" s="17" t="n"/>
      <c r="D10" s="17" t="n"/>
      <c r="E10" s="14" t="inlineStr">
        <is>
          <t>Agilia SP</t>
        </is>
      </c>
      <c r="F10" s="18" t="n"/>
      <c r="G10" s="17" t="n"/>
      <c r="H10" s="19" t="inlineStr">
        <is>
          <t>Agilia VP</t>
        </is>
      </c>
      <c r="I10" s="17" t="n"/>
      <c r="J10" s="17" t="n"/>
    </row>
    <row r="11" ht="30" customHeight="1">
      <c r="A11" s="17" t="n"/>
      <c r="B11" s="17" t="n"/>
      <c r="C11" s="17" t="n"/>
      <c r="D11" s="17" t="n"/>
      <c r="E11" s="14" t="inlineStr">
        <is>
          <t>Agilia SP MC**</t>
        </is>
      </c>
      <c r="F11" s="18" t="n"/>
      <c r="G11" s="17" t="n"/>
      <c r="H11" s="19" t="inlineStr">
        <is>
          <t>Agilia VP MC**</t>
        </is>
      </c>
      <c r="I11" s="17" t="n"/>
      <c r="J11" s="17" t="n"/>
    </row>
    <row r="12" ht="30" customHeight="1">
      <c r="A12" s="10" t="n"/>
      <c r="B12" s="10" t="n"/>
      <c r="C12" s="10" t="n"/>
      <c r="D12" s="10" t="n"/>
      <c r="E12" s="14" t="inlineStr">
        <is>
          <t>Agilia SP TIVA**</t>
        </is>
      </c>
      <c r="F12" s="18" t="n"/>
      <c r="G12" s="10" t="n"/>
      <c r="H12" s="18" t="n"/>
      <c r="I12" s="10" t="n"/>
      <c r="J12" s="10" t="n"/>
    </row>
    <row r="14">
      <c r="A14" s="20" t="inlineStr">
        <is>
          <t>** Smart** = drug library + connectivity optional (separately sold data module / WiFi variant).  * USD converted at ECB EUR/USD reference rate 1.1204 (5-Oct-2026), latest available; sample slide had used ~1.148.</t>
        </is>
      </c>
    </row>
    <row r="15">
      <c r="A15" s="20" t="inlineStr">
        <is>
          <t>BD and Baxter excluded from this pass per instruction. Product-level evidence and URLs: see 'Product Evidence' tab.</t>
        </is>
      </c>
    </row>
  </sheetData>
  <mergeCells count="16">
    <mergeCell ref="J9:J12"/>
    <mergeCell ref="D9:D12"/>
    <mergeCell ref="C9:C12"/>
    <mergeCell ref="A9:A12"/>
    <mergeCell ref="B9:B12"/>
    <mergeCell ref="G9:G12"/>
    <mergeCell ref="C6:C8"/>
    <mergeCell ref="I9:I12"/>
    <mergeCell ref="D4:F4"/>
    <mergeCell ref="J4:J5"/>
    <mergeCell ref="G4:I4"/>
    <mergeCell ref="J6:J8"/>
    <mergeCell ref="A4:C4"/>
    <mergeCell ref="A6:A8"/>
    <mergeCell ref="B6:B8"/>
    <mergeCell ref="F6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1" customWidth="1" min="3" max="3"/>
    <col width="42" customWidth="1" min="4" max="4"/>
    <col width="48" customWidth="1" min="5" max="5"/>
    <col width="13" customWidth="1" min="6" max="6"/>
    <col width="18" customWidth="1" min="7" max="7"/>
    <col width="44" customWidth="1" min="8" max="8"/>
    <col width="55" customWidth="1" min="9" max="9"/>
    <col width="22" customWidth="1" min="10" max="10"/>
    <col width="32" customWidth="1" min="11" max="11"/>
    <col width="40" customWidth="1" min="12" max="12"/>
    <col width="30" customWidth="1" min="13" max="13"/>
  </cols>
  <sheetData>
    <row r="1">
      <c r="A1" s="5" t="inlineStr">
        <is>
          <t>Company</t>
        </is>
      </c>
      <c r="B1" s="5" t="inlineStr">
        <is>
          <t>Product</t>
        </is>
      </c>
      <c r="C1" s="5" t="inlineStr">
        <is>
          <t>Pump type</t>
        </is>
      </c>
      <c r="D1" s="5" t="inlineStr">
        <is>
          <t>Drug library - evidence (quoted)</t>
        </is>
      </c>
      <c r="E1" s="5" t="inlineStr">
        <is>
          <t>Connectivity - evidence (quoted)</t>
        </is>
      </c>
      <c r="F1" s="5" t="inlineStr">
        <is>
          <t>Classification</t>
        </is>
      </c>
      <c r="G1" s="5" t="inlineStr">
        <is>
          <t>India listing source</t>
        </is>
      </c>
      <c r="H1" s="5" t="inlineStr">
        <is>
          <t>Primary URL (India, client-viewable)</t>
        </is>
      </c>
      <c r="I1" s="5" t="inlineStr">
        <is>
          <t>Supporting URL(s) / brochure page</t>
        </is>
      </c>
      <c r="J1" s="5" t="inlineStr">
        <is>
          <t>Sample slide said</t>
        </is>
      </c>
      <c r="K1" s="5" t="inlineStr">
        <is>
          <t>Change vs sample</t>
        </is>
      </c>
      <c r="L1" s="5" t="inlineStr">
        <is>
          <t>Notes</t>
        </is>
      </c>
      <c r="M1" s="5" t="inlineStr">
        <is>
          <t>Evidence screenshot (evidence/ folder)</t>
        </is>
      </c>
    </row>
    <row r="2">
      <c r="A2" s="13" t="inlineStr">
        <is>
          <t>B. Braun</t>
        </is>
      </c>
      <c r="B2" s="21" t="inlineStr">
        <is>
          <t>Perfusor compact</t>
        </is>
      </c>
      <c r="C2" s="13" t="inlineStr">
        <is>
          <t>Syringe</t>
        </is>
      </c>
      <c r="D2" s="13" t="inlineStr">
        <is>
          <t>No - not mentioned. Page lists rate range, volume pre-selection, syringe recognition only.</t>
        </is>
      </c>
      <c r="E2" s="13" t="inlineStr">
        <is>
          <t>None stated.</t>
        </is>
      </c>
      <c r="F2" s="12" t="inlineStr">
        <is>
          <t>Standard</t>
        </is>
      </c>
      <c r="G2" s="21" t="inlineStr">
        <is>
          <t>Official India website</t>
        </is>
      </c>
      <c r="H2" s="22" t="inlineStr">
        <is>
          <t>https://catalogs.bbraun.co.in/en-IN/p/PRID00000461</t>
        </is>
      </c>
      <c r="I2" s="13" t="inlineStr">
        <is>
          <t>Family page (fm Generation): https://catalogs.bbraun.co.in/en-IN/c/PRODUCTS0000000577/fm-generation</t>
        </is>
      </c>
      <c r="J2" s="13" t="inlineStr">
        <is>
          <t>Not shown (Standard column blank)</t>
        </is>
      </c>
      <c r="K2" s="13" t="inlineStr">
        <is>
          <t>ADD to Syringe-Standard</t>
        </is>
      </c>
      <c r="L2" s="13" t="inlineStr">
        <is>
          <t>Older fm-generation pump.</t>
        </is>
      </c>
      <c r="M2" s="13" t="inlineStr">
        <is>
          <t>BBraun_IN_Perfusor_compact.jpg</t>
        </is>
      </c>
    </row>
    <row r="3">
      <c r="A3" s="13" t="inlineStr">
        <is>
          <t>B. Braun</t>
        </is>
      </c>
      <c r="B3" s="21" t="inlineStr">
        <is>
          <t>Perfusor compact S</t>
        </is>
      </c>
      <c r="C3" s="13" t="inlineStr">
        <is>
          <t>Syringe</t>
        </is>
      </c>
      <c r="D3" s="13" t="inlineStr">
        <is>
          <t>No - not mentioned. Features: syringe recognition, bolus reduction, Data Lock (key lock, not a drug library).</t>
        </is>
      </c>
      <c r="E3" s="13" t="inlineStr">
        <is>
          <t>None stated.</t>
        </is>
      </c>
      <c r="F3" s="12" t="inlineStr">
        <is>
          <t>Standard</t>
        </is>
      </c>
      <c r="G3" s="21" t="inlineStr">
        <is>
          <t>Official India website</t>
        </is>
      </c>
      <c r="H3" s="22" t="inlineStr">
        <is>
          <t>https://catalogs.bbraun.co.in/en-IN/p/PRID00000145</t>
        </is>
      </c>
      <c r="I3" s="13" t="inlineStr">
        <is>
          <t>https://catalogs.bbraun.co.in/en-IN/c/PRODUCTS0000000577/fm-generation</t>
        </is>
      </c>
      <c r="J3" s="13" t="inlineStr">
        <is>
          <t>Not shown (Standard column blank)</t>
        </is>
      </c>
      <c r="K3" s="13" t="inlineStr">
        <is>
          <t>ADD to Syringe-Standard</t>
        </is>
      </c>
      <c r="L3" s="13" t="inlineStr">
        <is>
          <t>Transportable / home-care syringe pump.</t>
        </is>
      </c>
      <c r="M3" s="13" t="inlineStr">
        <is>
          <t>BBraun_IN_Perfusor_compact_S.jpg</t>
        </is>
      </c>
    </row>
    <row r="4">
      <c r="A4" s="13" t="inlineStr">
        <is>
          <t>B. Braun</t>
        </is>
      </c>
      <c r="B4" s="21" t="inlineStr">
        <is>
          <t>Perfusor compactplus</t>
        </is>
      </c>
      <c r="C4" s="13" t="inlineStr">
        <is>
          <t>Syringe</t>
        </is>
      </c>
      <c r="D4" s="13" t="inlineStr">
        <is>
          <t>Yes - 'integrated DoseGuard(TM) drug library' (Overview &amp; Texts tab).</t>
        </is>
      </c>
      <c r="E4" s="13" t="inlineStr">
        <is>
          <t>Optional - pump links to hospital network only via separately sold 'Data module compactplus' (also listed on India catalogue: 'central interface to seamlessly link the compactplus infusion pumps to the hospital's network ... EMR'). Brochure p.5: module 'WiFi-connectivity included'.</t>
        </is>
      </c>
      <c r="F4" s="12" t="inlineStr">
        <is>
          <t>Smart**</t>
        </is>
      </c>
      <c r="G4" s="21" t="inlineStr">
        <is>
          <t>Official India website</t>
        </is>
      </c>
      <c r="H4" s="22" t="inlineStr">
        <is>
          <t>https://catalogs.bbraun.co.in/en-IN/p/PRID00010216</t>
        </is>
      </c>
      <c r="I4" s="13" t="inlineStr">
        <is>
          <t>Data module (India): https://catalogs.bbraun.co.in/en-IN/p/PRID00011150 | Brochure p.2/p.5/p.6: https://ecatalog.bbraun.com/eDoc/QlBSMDAwMDAwMDAwMDAwMDAwMTAwMDE4NTA5OTAwMDAw?openInline=true</t>
        </is>
      </c>
      <c r="J4" s="13" t="inlineStr">
        <is>
          <t>Smart</t>
        </is>
      </c>
      <c r="K4" s="13" t="inlineStr">
        <is>
          <t>RECLASSIFY Smart -&gt; Smart** (connectivity optional via add-on module)</t>
        </is>
      </c>
      <c r="L4" s="13" t="inlineStr"/>
      <c r="M4" s="13" t="inlineStr">
        <is>
          <t>BBraun_IN_Perfusor_compactplus.jpg; BBraun_IN_Data_module_compactplus.jpg</t>
        </is>
      </c>
    </row>
    <row r="5">
      <c r="A5" s="13" t="inlineStr">
        <is>
          <t>B. Braun</t>
        </is>
      </c>
      <c r="B5" s="21" t="inlineStr">
        <is>
          <t>Perfusor Space</t>
        </is>
      </c>
      <c r="C5" s="13" t="inlineStr">
        <is>
          <t>Syringe</t>
        </is>
      </c>
      <c r="D5" s="13" t="inlineStr">
        <is>
          <t>Yes - 'Drug Library with capacity to up to 1200 drug names ... 30 different categories' (Overview &amp; Texts &gt; Advantages).</t>
        </is>
      </c>
      <c r="E5" s="13" t="inlineStr">
        <is>
          <t>Optional - 'B. Braun Space can also be integrated into the data communications network of every advanced hospital operation.'</t>
        </is>
      </c>
      <c r="F5" s="12" t="inlineStr">
        <is>
          <t>Smart**</t>
        </is>
      </c>
      <c r="G5" s="21" t="inlineStr">
        <is>
          <t>Official India website</t>
        </is>
      </c>
      <c r="H5" s="22" t="inlineStr">
        <is>
          <t>https://catalogs.bbraun.co.in/en-IN/p/PRID00001226</t>
        </is>
      </c>
      <c r="I5" s="13" t="inlineStr">
        <is>
          <t>Family page (Space System): https://catalogs.bbraun.co.in/en-IN/c/PRODUCTS0000000575/space-system</t>
        </is>
      </c>
      <c r="J5" s="13" t="inlineStr">
        <is>
          <t>Smart</t>
        </is>
      </c>
      <c r="K5" s="13" t="inlineStr">
        <is>
          <t>RECLASSIFY Smart -&gt; Smart** (network integration optional)</t>
        </is>
      </c>
      <c r="L5" s="13" t="inlineStr">
        <is>
          <t>Click 'Read more' / 'Overview &amp; Texts' tab to see drug library text.</t>
        </is>
      </c>
      <c r="M5" s="13" t="inlineStr">
        <is>
          <t>BBraun_IN_Perfusor_Space.jpg</t>
        </is>
      </c>
    </row>
    <row r="6">
      <c r="A6" s="13" t="inlineStr">
        <is>
          <t>B. Braun</t>
        </is>
      </c>
      <c r="B6" s="23" t="inlineStr">
        <is>
          <t>Spaceplus Perfusor</t>
        </is>
      </c>
      <c r="C6" s="13" t="inlineStr">
        <is>
          <t>Syringe</t>
        </is>
      </c>
      <c r="D6" s="13" t="inlineStr">
        <is>
          <t>Yes (global) - Spaceplus tech sheet p.2: '10,000 drugs including all parameters in drug library'.</t>
        </is>
      </c>
      <c r="E6" s="13" t="inlineStr">
        <is>
          <t>Integrated WiFi (global) - tech sheet p.1 battery time 'with WiFi activated'.</t>
        </is>
      </c>
      <c r="F6" s="12" t="inlineStr">
        <is>
          <t>Excluded - not offered in India</t>
        </is>
      </c>
      <c r="G6" s="23" t="inlineStr">
        <is>
          <t>Not offered in India</t>
        </is>
      </c>
      <c r="H6" s="24" t="inlineStr">
        <is>
          <t>https://catalogs.bbraun.co.in/en-IN/p/PRID00011858 (returns 'No results')</t>
        </is>
      </c>
      <c r="I6" s="13" t="inlineStr">
        <is>
          <t>India Spaceplus family lists only Spaceplus Infusomat: https://catalogs.bbraun.co.in/en-IN/c/PRODUCTS0000000574/spaceplus-system | Global: https://catalogs.bbraun.com/en-01/p/PRID00011858/spaceplus-perfusor</t>
        </is>
      </c>
      <c r="J6" s="13" t="inlineStr">
        <is>
          <t>Connected - 'Perfusor Space Plus' (official India website)</t>
        </is>
      </c>
      <c r="K6" s="13" t="inlineStr">
        <is>
          <t>REMOVED - not on B. Braun India catalogue; not found on Indian distributor sites (confirmed by project team, manual check)</t>
        </is>
      </c>
      <c r="L6" s="13" t="inlineStr">
        <is>
          <t>The shared Spaceplus technical-data PDF attached to the India Spaceplus Infusomat page covers both pumps - weak signal only, not a product listing.</t>
        </is>
      </c>
      <c r="M6" s="13" t="inlineStr">
        <is>
          <t>BBraun_IN_Spaceplus_Perfusor_NO_RESULTS.jpg</t>
        </is>
      </c>
    </row>
    <row r="7">
      <c r="A7" s="13" t="inlineStr">
        <is>
          <t>B. Braun</t>
        </is>
      </c>
      <c r="B7" s="21" t="inlineStr">
        <is>
          <t>Infusomat fmS</t>
        </is>
      </c>
      <c r="C7" s="13" t="inlineStr">
        <is>
          <t>Volumetric</t>
        </is>
      </c>
      <c r="D7" s="13" t="inlineStr">
        <is>
          <t>No - not mentioned (dose-rate calculation only).</t>
        </is>
      </c>
      <c r="E7" s="13" t="inlineStr">
        <is>
          <t>None stated.</t>
        </is>
      </c>
      <c r="F7" s="12" t="inlineStr">
        <is>
          <t>Standard</t>
        </is>
      </c>
      <c r="G7" s="21" t="inlineStr">
        <is>
          <t>Official India website</t>
        </is>
      </c>
      <c r="H7" s="22" t="inlineStr">
        <is>
          <t>https://catalogs.bbraun.co.in/en-IN/p/PRID00000618</t>
        </is>
      </c>
      <c r="I7" s="13" t="inlineStr">
        <is>
          <t>https://catalogs.bbraun.co.in/en-IN/c/PRODUCTS0000000577/fm-generation</t>
        </is>
      </c>
      <c r="J7" s="13" t="inlineStr">
        <is>
          <t>Not shown (Standard column blank)</t>
        </is>
      </c>
      <c r="K7" s="13" t="inlineStr">
        <is>
          <t>ADD to Volumetric-Standard</t>
        </is>
      </c>
      <c r="L7" s="13" t="inlineStr"/>
      <c r="M7" s="13" t="inlineStr">
        <is>
          <t>BBraun_IN_Infusomat_fmS.jpg</t>
        </is>
      </c>
    </row>
    <row r="8">
      <c r="A8" s="13" t="inlineStr">
        <is>
          <t>B. Braun</t>
        </is>
      </c>
      <c r="B8" s="21" t="inlineStr">
        <is>
          <t>Infusomat P</t>
        </is>
      </c>
      <c r="C8" s="13" t="inlineStr">
        <is>
          <t>Volumetric</t>
        </is>
      </c>
      <c r="D8" s="13" t="inlineStr">
        <is>
          <t>No - not mentioned (dose-rate mode, Data Lock only).</t>
        </is>
      </c>
      <c r="E8" s="13" t="inlineStr">
        <is>
          <t>None stated.</t>
        </is>
      </c>
      <c r="F8" s="12" t="inlineStr">
        <is>
          <t>Standard</t>
        </is>
      </c>
      <c r="G8" s="21" t="inlineStr">
        <is>
          <t>Official India website</t>
        </is>
      </c>
      <c r="H8" s="22" t="inlineStr">
        <is>
          <t>https://catalogs.bbraun.co.in/en-IN/p/PRID00000689</t>
        </is>
      </c>
      <c r="I8" s="13" t="inlineStr">
        <is>
          <t>https://catalogs.bbraun.co.in/en-IN/c/PRODUCTS0000000577/fm-generation</t>
        </is>
      </c>
      <c r="J8" s="13" t="inlineStr">
        <is>
          <t>Not shown (Standard column blank)</t>
        </is>
      </c>
      <c r="K8" s="13" t="inlineStr">
        <is>
          <t>ADD to Volumetric-Standard</t>
        </is>
      </c>
      <c r="L8" s="13" t="inlineStr"/>
      <c r="M8" s="13" t="inlineStr">
        <is>
          <t>BBraun_IN_Infusomat_P.jpg</t>
        </is>
      </c>
    </row>
    <row r="9">
      <c r="A9" s="13" t="inlineStr">
        <is>
          <t>B. Braun</t>
        </is>
      </c>
      <c r="B9" s="21" t="inlineStr">
        <is>
          <t>Infusomat compactplus</t>
        </is>
      </c>
      <c r="C9" s="13" t="inlineStr">
        <is>
          <t>Volumetric</t>
        </is>
      </c>
      <c r="D9" s="13" t="inlineStr">
        <is>
          <t>Yes - 'integrated DoseGuard(TM) drug library'.</t>
        </is>
      </c>
      <c r="E9" s="13" t="inlineStr">
        <is>
          <t>Optional - via separately sold Data module compactplus (see Perfusor compactplus).</t>
        </is>
      </c>
      <c r="F9" s="12" t="inlineStr">
        <is>
          <t>Smart**</t>
        </is>
      </c>
      <c r="G9" s="21" t="inlineStr">
        <is>
          <t>Official India website</t>
        </is>
      </c>
      <c r="H9" s="22" t="inlineStr">
        <is>
          <t>https://catalogs.bbraun.co.in/en-IN/p/PRID00011042</t>
        </is>
      </c>
      <c r="I9" s="13" t="inlineStr">
        <is>
          <t>Data module (India): https://catalogs.bbraun.co.in/en-IN/p/PRID00011150 | Brochure p.5: https://ecatalog.bbraun.com/eDoc/QlBSMDAwMDAwMDAwMDAwMDAwMTAwMDE4NTA5OTAwMDAw?openInline=true</t>
        </is>
      </c>
      <c r="J9" s="13" t="inlineStr">
        <is>
          <t>Smart</t>
        </is>
      </c>
      <c r="K9" s="13" t="inlineStr">
        <is>
          <t>RECLASSIFY Smart -&gt; Smart**</t>
        </is>
      </c>
      <c r="L9" s="13" t="inlineStr"/>
      <c r="M9" s="13" t="inlineStr">
        <is>
          <t>BBraun_IN_Infusomat_compactplus.jpg</t>
        </is>
      </c>
    </row>
    <row r="10">
      <c r="A10" s="13" t="inlineStr">
        <is>
          <t>B. Braun</t>
        </is>
      </c>
      <c r="B10" s="21" t="inlineStr">
        <is>
          <t>Infusomat compactplus P</t>
        </is>
      </c>
      <c r="C10" s="13" t="inlineStr">
        <is>
          <t>Volumetric</t>
        </is>
      </c>
      <c r="D10" s="13" t="inlineStr">
        <is>
          <t>Yes - 'possibility of colour coded drug libraries'; leaflet p.2 'Drug Library 3,000 drugs ... up to 30 drug categories'.</t>
        </is>
      </c>
      <c r="E10" s="13" t="inlineStr">
        <is>
          <t>Optional - via Data module compactplus.</t>
        </is>
      </c>
      <c r="F10" s="12" t="inlineStr">
        <is>
          <t>Smart**</t>
        </is>
      </c>
      <c r="G10" s="21" t="inlineStr">
        <is>
          <t>Official India website</t>
        </is>
      </c>
      <c r="H10" s="22" t="inlineStr">
        <is>
          <t>https://catalogs.bbraun.co.in/en-IN/p/PRID00012086</t>
        </is>
      </c>
      <c r="I10" s="13" t="inlineStr">
        <is>
          <t>Leaflet p.2: https://ecatalog.bbraun.com/eDoc/QlBSMDAwMDAwMDAwMDAwMDAwMTAwMDIyNDAwOTAwMDAw?openInline=true</t>
        </is>
      </c>
      <c r="J10" s="13" t="inlineStr">
        <is>
          <t>Not shown</t>
        </is>
      </c>
      <c r="K10" s="13" t="inlineStr">
        <is>
          <t>ADD to Volumetric-Smart**</t>
        </is>
      </c>
      <c r="L10" s="13" t="inlineStr">
        <is>
          <t>Variant for non-dedicated (standard gravity) IV sets.</t>
        </is>
      </c>
      <c r="M10" s="13" t="inlineStr">
        <is>
          <t>BBraun_IN_Infusomat_compactplus_P.jpg</t>
        </is>
      </c>
    </row>
    <row r="11">
      <c r="A11" s="13" t="inlineStr">
        <is>
          <t>B. Braun</t>
        </is>
      </c>
      <c r="B11" s="21" t="inlineStr">
        <is>
          <t>Infusomat Space P</t>
        </is>
      </c>
      <c r="C11" s="13" t="inlineStr">
        <is>
          <t>Volumetric</t>
        </is>
      </c>
      <c r="D11" s="13" t="inlineStr">
        <is>
          <t>Yes - 'Drug Library: Up to 720 drug names ... 15 categories'.</t>
        </is>
      </c>
      <c r="E11" s="13" t="inlineStr">
        <is>
          <t>Optional - 'B. Braun Space can also be integrated into the data communications network'.</t>
        </is>
      </c>
      <c r="F11" s="12" t="inlineStr">
        <is>
          <t>Smart**</t>
        </is>
      </c>
      <c r="G11" s="21" t="inlineStr">
        <is>
          <t>Official India website</t>
        </is>
      </c>
      <c r="H11" s="22" t="inlineStr">
        <is>
          <t>https://catalogs.bbraun.co.in/en-IN/p/PRID00001230</t>
        </is>
      </c>
      <c r="I11" s="13" t="inlineStr">
        <is>
          <t>Space System family (no plain 'Infusomat Space' listed): https://catalogs.bbraun.co.in/en-IN/c/PRODUCTS0000000575/space-system</t>
        </is>
      </c>
      <c r="J11" s="13" t="inlineStr">
        <is>
          <t>Smart - 'Infusomat Space'</t>
        </is>
      </c>
      <c r="K11" s="13" t="inlineStr">
        <is>
          <t>RENAME to Infusomat Space P (India-listed variant) + RECLASSIFY Smart -&gt; Smart**</t>
        </is>
      </c>
      <c r="L11" s="13" t="inlineStr"/>
      <c r="M11" s="13" t="inlineStr">
        <is>
          <t>BBraun_IN_Infusomat_Space_P.jpg</t>
        </is>
      </c>
    </row>
    <row r="12">
      <c r="A12" s="13" t="inlineStr">
        <is>
          <t>B. Braun</t>
        </is>
      </c>
      <c r="B12" s="21" t="inlineStr">
        <is>
          <t>Spaceplus Infusomat</t>
        </is>
      </c>
      <c r="C12" s="13" t="inlineStr">
        <is>
          <t>Volumetric</t>
        </is>
      </c>
      <c r="D12" s="13" t="inlineStr">
        <is>
          <t>Yes - 'Drug Library Manager establish customized drug data bases ... dosage limits'.</t>
        </is>
      </c>
      <c r="E12" s="13" t="inlineStr">
        <is>
          <t>Integrated - 'stand-alone device with integrated WiFi'; 'Data communication towards EMR / PDMS systems via HL7 interface, Ethernet and WiFi'.</t>
        </is>
      </c>
      <c r="F12" s="12" t="inlineStr">
        <is>
          <t>Connected</t>
        </is>
      </c>
      <c r="G12" s="21" t="inlineStr">
        <is>
          <t>Official India website</t>
        </is>
      </c>
      <c r="H12" s="22" t="inlineStr">
        <is>
          <t>https://catalogs.bbraun.co.in/en-IN/p/PRID00011860</t>
        </is>
      </c>
      <c r="I12" s="13" t="inlineStr">
        <is>
          <t>Spaceplus brochure p.2: https://ecatalog.bbraun.com/eDoc/QlBSMDAwMDAwMDAwMDAwMDAwMTAwMDI2NDQyMTAwMDAw?openInline=true</t>
        </is>
      </c>
      <c r="J12" s="13" t="inlineStr">
        <is>
          <t>Connected - 'Infusomat Space Place'</t>
        </is>
      </c>
      <c r="K12" s="13" t="inlineStr">
        <is>
          <t>RENAME (typo) to Spaceplus Infusomat - classification confirmed</t>
        </is>
      </c>
      <c r="L12" s="13" t="inlineStr"/>
      <c r="M12" s="13" t="inlineStr">
        <is>
          <t>BBraun_IN_Spaceplus_Infusomat.jpg</t>
        </is>
      </c>
    </row>
    <row r="13">
      <c r="A13" s="13" t="inlineStr">
        <is>
          <t>Fresenius Kabi</t>
        </is>
      </c>
      <c r="B13" s="21" t="inlineStr">
        <is>
          <t>Infusia SP7s (SP7sED3)</t>
        </is>
      </c>
      <c r="C13" s="13" t="inlineStr">
        <is>
          <t>Syringe</t>
        </is>
      </c>
      <c r="D13" s="13" t="inlineStr">
        <is>
          <t>Yes - 'Syringe Infusion Pump with drug library - 17 therapy categories ... 1030 different drugs'.</t>
        </is>
      </c>
      <c r="E13" s="13" t="inlineStr">
        <is>
          <t>None stated on India page. (Third-party listings mention an RS232 port - service/data port, not treated as connectivity.)</t>
        </is>
      </c>
      <c r="F13" s="12" t="inlineStr">
        <is>
          <t>Smart</t>
        </is>
      </c>
      <c r="G13" s="21" t="inlineStr">
        <is>
          <t>Official India website</t>
        </is>
      </c>
      <c r="H13" s="22" t="inlineStr">
        <is>
          <t>https://www.fresenius-kabi.com/in/products/ins/infusion-therapy/infusia-range/infusia-sp7sed3</t>
        </is>
      </c>
      <c r="I13" s="13" t="inlineStr">
        <is>
          <t>Distributor: https://arraymed.co.in/product/fresenius-kabi-sp7sed3/</t>
        </is>
      </c>
      <c r="J13" s="13" t="inlineStr">
        <is>
          <t>Smart</t>
        </is>
      </c>
      <c r="K13" s="13" t="inlineStr">
        <is>
          <t>CONFIRMED</t>
        </is>
      </c>
      <c r="L13" s="13" t="inlineStr">
        <is>
          <t>India ED3 version: 1,030 drugs/17 categories (MENA page shows older 201 drugs/14 categories).</t>
        </is>
      </c>
      <c r="M13" s="13" t="inlineStr">
        <is>
          <t>FK_IN_Infusia_SP7s.jpg</t>
        </is>
      </c>
    </row>
    <row r="14">
      <c r="A14" s="13" t="inlineStr">
        <is>
          <t>Fresenius Kabi</t>
        </is>
      </c>
      <c r="B14" s="21" t="inlineStr">
        <is>
          <t>Agilia SP</t>
        </is>
      </c>
      <c r="C14" s="13" t="inlineStr">
        <is>
          <t>Syringe</t>
        </is>
      </c>
      <c r="D14" s="13" t="inlineStr">
        <is>
          <t>India page silent. Distributor (Arraymed): 'Up to 19 customizable drug libraries' (listed as Agilia SP PCA).</t>
        </is>
      </c>
      <c r="E14" s="13" t="inlineStr">
        <is>
          <t>None stated on India page.</t>
        </is>
      </c>
      <c r="F14" s="12" t="inlineStr">
        <is>
          <t>Smart</t>
        </is>
      </c>
      <c r="G14" s="21" t="inlineStr">
        <is>
          <t>Official India website</t>
        </is>
      </c>
      <c r="H14" s="22" t="inlineStr">
        <is>
          <t>https://www.fresenius-kabi.com/in/products/ins/infusion-therapy/agilia-range/agilia-sp</t>
        </is>
      </c>
      <c r="I14" s="13" t="inlineStr">
        <is>
          <t>Drug-library evidence (3rd party): https://arraymed.co.in/product/fresenius-kabi-agilia-sp/</t>
        </is>
      </c>
      <c r="J14" s="13" t="inlineStr">
        <is>
          <t>Not shown</t>
        </is>
      </c>
      <c r="K14" s="13" t="inlineStr">
        <is>
          <t>ADD to Syringe-Smart (drug-library evidence is third-party)</t>
        </is>
      </c>
      <c r="L14" s="13" t="inlineStr">
        <is>
          <t>Arraymed describes the PCA variant; FK India page does not specify variant.</t>
        </is>
      </c>
      <c r="M14" s="13" t="inlineStr">
        <is>
          <t>FK_IN_Agilia_SP.jpg; Arraymed_Agilia_SP.jpg</t>
        </is>
      </c>
    </row>
    <row r="15">
      <c r="A15" s="13" t="inlineStr">
        <is>
          <t>Fresenius Kabi</t>
        </is>
      </c>
      <c r="B15" s="21" t="inlineStr">
        <is>
          <t>Agilia SP MC</t>
        </is>
      </c>
      <c r="C15" s="13" t="inlineStr">
        <is>
          <t>Syringe</t>
        </is>
      </c>
      <c r="D15" s="13" t="inlineStr">
        <is>
          <t>Yes - FK data sheet: 'Up to 19 embedded drug libraries' (Vigilant Drug'Lib); Arraymed: 'Up to 19 Drug Libraries'.</t>
        </is>
      </c>
      <c r="E15" s="13" t="inlineStr">
        <is>
          <t>Optional - India page: 'Agilia SP MC WiFi is the syringe pump in the Agilia Connect range that communicates via Wifi'; data sheet: 'Wireless LAN (For Agilia SP MC WiFi only)'.</t>
        </is>
      </c>
      <c r="F15" s="12" t="inlineStr">
        <is>
          <t>Smart**</t>
        </is>
      </c>
      <c r="G15" s="21" t="inlineStr">
        <is>
          <t>Official India website</t>
        </is>
      </c>
      <c r="H15" s="22" t="inlineStr">
        <is>
          <t>https://www.fresenius-kabi.com/in/products/ins/infusion-therapy/agilia-range/agilia-sp-mc</t>
        </is>
      </c>
      <c r="I15" s="13" t="inlineStr">
        <is>
          <t>FK data sheet: https://www.fresenius-kabi.com/content/dam/fresenius-kabi/gb/products/product-documents/medtech/agilia-connect-sp/IFT265%20Agilia%20SP%20Connect%20Datasheet.pdf.coredownload.inline.pdf | https://arraymed.co.in/product/fresenius-kabi-agilia-spmc/</t>
        </is>
      </c>
      <c r="J15" s="13" t="inlineStr">
        <is>
          <t>Not shown</t>
        </is>
      </c>
      <c r="K15" s="13" t="inlineStr">
        <is>
          <t>ADD to Syringe-Smart**</t>
        </is>
      </c>
      <c r="L15" s="13" t="inlineStr"/>
      <c r="M15" s="13" t="inlineStr">
        <is>
          <t>FK_IN_Agilia_SP_MC.jpg; Arraymed_Agilia_SP_MC.jpg</t>
        </is>
      </c>
    </row>
    <row r="16">
      <c r="A16" s="13" t="inlineStr">
        <is>
          <t>Fresenius Kabi</t>
        </is>
      </c>
      <c r="B16" s="21" t="inlineStr">
        <is>
          <t>Agilia SP MC WiFi</t>
        </is>
      </c>
      <c r="C16" s="13" t="inlineStr">
        <is>
          <t>Syringe</t>
        </is>
      </c>
      <c r="D16" s="13" t="inlineStr">
        <is>
          <t>Yes - same as Agilia SP MC (19 drug libraries).</t>
        </is>
      </c>
      <c r="E16" s="13" t="inlineStr">
        <is>
          <t>Integrated WiFi - 'communicates via Wifi with our Software Suite' (India page).</t>
        </is>
      </c>
      <c r="F16" s="12" t="inlineStr">
        <is>
          <t>Connected</t>
        </is>
      </c>
      <c r="G16" s="21" t="inlineStr">
        <is>
          <t>Official India website</t>
        </is>
      </c>
      <c r="H16" s="22" t="inlineStr">
        <is>
          <t>https://www.fresenius-kabi.com/in/products/ins/infusion-therapy/agilia-range/agilia-sp-mc</t>
        </is>
      </c>
      <c r="I16" s="13" t="inlineStr">
        <is>
          <t>FK data sheet p.1-2 (link above)</t>
        </is>
      </c>
      <c r="J16" s="13" t="inlineStr">
        <is>
          <t>Connected</t>
        </is>
      </c>
      <c r="K16" s="13" t="inlineStr">
        <is>
          <t>CONFIRMED</t>
        </is>
      </c>
      <c r="L16" s="13" t="inlineStr">
        <is>
          <t>Shares the Agilia SP MC page on the India site.</t>
        </is>
      </c>
      <c r="M16" s="13" t="inlineStr">
        <is>
          <t>FK_IN_Agilia_SP_MC.jpg</t>
        </is>
      </c>
    </row>
    <row r="17">
      <c r="A17" s="13" t="inlineStr">
        <is>
          <t>Fresenius Kabi</t>
        </is>
      </c>
      <c r="B17" s="21" t="inlineStr">
        <is>
          <t>Agilia SP TIVA</t>
        </is>
      </c>
      <c r="C17" s="13" t="inlineStr">
        <is>
          <t>Syringe</t>
        </is>
      </c>
      <c r="D17" s="13" t="inlineStr">
        <is>
          <t>Yes - Arraymed: 'Up to 19 configurable drug libraries'.</t>
        </is>
      </c>
      <c r="E17" s="13" t="inlineStr">
        <is>
          <t>Optional - India page: 'Agilia Connect ... cyber secure communication'; Arraymed battery spec '13 Hours (Standard) / 9 Hours (WiFi)' = WiFi is a variant.</t>
        </is>
      </c>
      <c r="F17" s="12" t="inlineStr">
        <is>
          <t>Smart**</t>
        </is>
      </c>
      <c r="G17" s="21" t="inlineStr">
        <is>
          <t>Official India website</t>
        </is>
      </c>
      <c r="H17" s="22" t="inlineStr">
        <is>
          <t>https://www.fresenius-kabi.com/in/products/ins/infusion-therapy/agilia-range/agilia-sp-tiva</t>
        </is>
      </c>
      <c r="I17" s="13" t="inlineStr">
        <is>
          <t>https://arraymed.co.in/product/fresenius-kabi-agilia-tiva-pump/</t>
        </is>
      </c>
      <c r="J17" s="13" t="inlineStr">
        <is>
          <t>Not shown</t>
        </is>
      </c>
      <c r="K17" s="13" t="inlineStr">
        <is>
          <t>ADD to Syringe-Smart**</t>
        </is>
      </c>
      <c r="L17" s="13" t="inlineStr">
        <is>
          <t>Anaesthesia (TCI) niche pump.</t>
        </is>
      </c>
      <c r="M17" s="13" t="inlineStr">
        <is>
          <t>FK_IN_Agilia_SP_TIVA.jpg; Arraymed_Agilia_SP_TIVA.jpg</t>
        </is>
      </c>
    </row>
    <row r="18">
      <c r="A18" s="13" t="inlineStr">
        <is>
          <t>Fresenius Kabi</t>
        </is>
      </c>
      <c r="B18" s="21" t="inlineStr">
        <is>
          <t>Infusia VP7s (VP7sED3)</t>
        </is>
      </c>
      <c r="C18" s="13" t="inlineStr">
        <is>
          <t>Volumetric</t>
        </is>
      </c>
      <c r="D18" s="13" t="inlineStr">
        <is>
          <t>Yes - 'Volumetric Infusion Pump with drug library - 17 therapy categories ... 1030 different drugs'.</t>
        </is>
      </c>
      <c r="E18" s="13" t="inlineStr">
        <is>
          <t>None stated.</t>
        </is>
      </c>
      <c r="F18" s="12" t="inlineStr">
        <is>
          <t>Smart</t>
        </is>
      </c>
      <c r="G18" s="21" t="inlineStr">
        <is>
          <t>Official India website</t>
        </is>
      </c>
      <c r="H18" s="22" t="inlineStr">
        <is>
          <t>https://www.fresenius-kabi.com/in/products/ins/infusion-therapy/infusia-range/infusia-vp7sed3</t>
        </is>
      </c>
      <c r="I18" s="13" t="inlineStr">
        <is>
          <t>Distributor: https://arraymed.co.in/product/fresenius-kabi-vp7sed3/</t>
        </is>
      </c>
      <c r="J18" s="13" t="inlineStr">
        <is>
          <t>Smart</t>
        </is>
      </c>
      <c r="K18" s="13" t="inlineStr">
        <is>
          <t>CONFIRMED</t>
        </is>
      </c>
      <c r="L18" s="13" t="inlineStr"/>
      <c r="M18" s="13" t="inlineStr">
        <is>
          <t>FK_IN_Infusia_VP7s.jpg</t>
        </is>
      </c>
    </row>
    <row r="19">
      <c r="A19" s="13" t="inlineStr">
        <is>
          <t>Fresenius Kabi</t>
        </is>
      </c>
      <c r="B19" s="25" t="inlineStr">
        <is>
          <t>Agilia VP</t>
        </is>
      </c>
      <c r="C19" s="13" t="inlineStr">
        <is>
          <t>Volumetric</t>
        </is>
      </c>
      <c r="D19" s="13" t="inlineStr">
        <is>
          <t>Yes - Arraymed: 'Soft &amp; hard dose limit support' (drug-library limits).</t>
        </is>
      </c>
      <c r="E19" s="13" t="inlineStr">
        <is>
          <t>None stated.</t>
        </is>
      </c>
      <c r="F19" s="12" t="inlineStr">
        <is>
          <t>Smart</t>
        </is>
      </c>
      <c r="G19" s="25" t="inlineStr">
        <is>
          <t>Third-party (India distributor)</t>
        </is>
      </c>
      <c r="H19" s="26" t="inlineStr">
        <is>
          <t>https://arraymed.co.in/product/fresenius-kabi-agilia-vp/</t>
        </is>
      </c>
      <c r="I19" s="13" t="inlineStr">
        <is>
          <t>FK India Agilia range lists only SP, SP MC, SP TIVA: https://www.fresenius-kabi.com/in/products/ins/infusion-therapy/agilia-range</t>
        </is>
      </c>
      <c r="J19" s="13" t="inlineStr">
        <is>
          <t>Not shown</t>
        </is>
      </c>
      <c r="K19" s="13" t="inlineStr">
        <is>
          <t>ADD to Volumetric-Smart (peach - distributor only)</t>
        </is>
      </c>
      <c r="L19" s="13" t="inlineStr">
        <is>
          <t>Arraymed 'Download Brochure' button links to an unrelated Nihon Kohden defibrillator PDF - do not cite it.</t>
        </is>
      </c>
      <c r="M19" s="13" t="inlineStr">
        <is>
          <t>Arraymed_Agilia_VP.jpg; FK_IN_Agilia_range.jpg</t>
        </is>
      </c>
    </row>
    <row r="20">
      <c r="A20" s="13" t="inlineStr">
        <is>
          <t>Fresenius Kabi</t>
        </is>
      </c>
      <c r="B20" s="25" t="inlineStr">
        <is>
          <t>Agilia VP MC</t>
        </is>
      </c>
      <c r="C20" s="13" t="inlineStr">
        <is>
          <t>Volumetric</t>
        </is>
      </c>
      <c r="D20" s="13" t="inlineStr">
        <is>
          <t>Yes - FK data sheet: 'Up to 19 embedded drug libraries'; 'Drug library to be created with Agilia Vigilant Drug'Lib'.</t>
        </is>
      </c>
      <c r="E20" s="13" t="inlineStr">
        <is>
          <t>Optional - WiFi only on the separate Agilia VP MC WiFi variant (data sheet: 'Wireless LAN (For Agilia VP MC WiFi only)'). The WiFi variant was not found listed in India.</t>
        </is>
      </c>
      <c r="F20" s="12" t="inlineStr">
        <is>
          <t>Smart**</t>
        </is>
      </c>
      <c r="G20" s="25" t="inlineStr">
        <is>
          <t>Third-party (India distributor)</t>
        </is>
      </c>
      <c r="H20" s="26" t="inlineStr">
        <is>
          <t>https://dir.indiamart.com/search.mp?ss=agilia+vp+mc+wifi (listing: 'Fresenius Kabi Agilia VP MC'; product-page URL to be added)</t>
        </is>
      </c>
      <c r="I20" s="13" t="inlineStr">
        <is>
          <t>FK data sheet p.1-2: https://www.fresenius-kabi.com/content/dam/fresenius-kabi/gb/products/product-documents/medtech/agilia-connect-vp/IFT264%20Agilia%20VPMC%20Connect%20Data%20Sheet.pdf.coredownload.inline.pdf</t>
        </is>
      </c>
      <c r="J20" s="13" t="inlineStr">
        <is>
          <t>Connected - 'Agilia VP MC WiFi' (Indian distributors' websites)</t>
        </is>
      </c>
      <c r="K20" s="13" t="inlineStr">
        <is>
          <t>RECLASSIFY: India listing is base Agilia VP MC -&gt; Volumetric-Smart**; WiFi variant not listed in India -&gt; FK Volumetric-Connected now blank</t>
        </is>
      </c>
      <c r="L20" s="13" t="inlineStr">
        <is>
          <t>IndiaMart listing verified manually by project team (Oct-2026 screenshot); no price shown; seller not captured. Search for 'agilia vp mc wifi' returned no WiFi-variant listing.</t>
        </is>
      </c>
      <c r="M20" s="13" t="inlineStr">
        <is>
          <t>IndiaMart_search_Agilia_VP_MC_team_check.jpg</t>
        </is>
      </c>
    </row>
  </sheetData>
  <autoFilter ref="A1:M2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13" customWidth="1" min="4" max="4"/>
    <col width="14" customWidth="1" min="5" max="5"/>
    <col width="18" customWidth="1" min="6" max="6"/>
    <col width="22" customWidth="1" min="7" max="7"/>
    <col width="22" customWidth="1" min="8" max="8"/>
    <col width="50" customWidth="1" min="9" max="9"/>
    <col width="38" customWidth="1" min="10" max="10"/>
    <col width="55" customWidth="1" min="11" max="11"/>
  </cols>
  <sheetData>
    <row r="1">
      <c r="A1" s="27" t="inlineStr">
        <is>
          <t>Revenue cross-check (FY2025)</t>
        </is>
      </c>
    </row>
    <row r="2">
      <c r="A2" s="4" t="inlineStr">
        <is>
          <t>EUR/USD rate (input)</t>
        </is>
      </c>
      <c r="B2" s="28" t="n">
        <v>1.1204</v>
      </c>
      <c r="C2" s="2" t="inlineStr">
        <is>
          <t>ECB euro reference rate, latest available (5-Oct-2026): https://data.ecb.europa.eu/data/datasets/EXR/EXR.D.USD.EUR.SP00.A  |  For reference: 2025 annual average 1.1300; the sample slide implied ~1.148.</t>
        </is>
      </c>
    </row>
    <row r="4">
      <c r="A4" s="5" t="inlineStr">
        <is>
          <t>Company</t>
        </is>
      </c>
      <c r="B4" s="5" t="inlineStr">
        <is>
          <t>Metric</t>
        </is>
      </c>
      <c r="C4" s="5" t="inlineStr">
        <is>
          <t>Period</t>
        </is>
      </c>
      <c r="D4" s="5" t="inlineStr">
        <is>
          <t>Value (EUR mn)</t>
        </is>
      </c>
      <c r="E4" s="5" t="inlineStr">
        <is>
          <t>Value (USD bn) - formula</t>
        </is>
      </c>
      <c r="F4" s="5" t="inlineStr">
        <is>
          <t>Value (INR, as published)</t>
        </is>
      </c>
      <c r="G4" s="5" t="inlineStr">
        <is>
          <t>Sample slide</t>
        </is>
      </c>
      <c r="H4" s="5" t="inlineStr">
        <is>
          <t>Check</t>
        </is>
      </c>
      <c r="I4" s="5" t="inlineStr">
        <is>
          <t>Source URL</t>
        </is>
      </c>
      <c r="J4" s="5" t="inlineStr">
        <is>
          <t>Page / location</t>
        </is>
      </c>
      <c r="K4" s="5" t="inlineStr">
        <is>
          <t>Comment</t>
        </is>
      </c>
    </row>
    <row r="5">
      <c r="A5" s="13" t="inlineStr">
        <is>
          <t>B. Braun</t>
        </is>
      </c>
      <c r="B5" s="13" t="inlineStr">
        <is>
          <t>Group sales</t>
        </is>
      </c>
      <c r="C5" s="13" t="inlineStr">
        <is>
          <t>FY2025 (Dec-25)</t>
        </is>
      </c>
      <c r="D5" s="29" t="n">
        <v>9396</v>
      </c>
      <c r="E5" s="30">
        <f>IF(D5="","n/a",D5*$B$2/1000)</f>
        <v/>
      </c>
      <c r="F5" s="13" t="inlineStr">
        <is>
          <t>~$10.79B (FY25, Group Sales)</t>
        </is>
      </c>
      <c r="G5" s="13" t="inlineStr">
        <is>
          <t>EUR figure matches; sample USD used ~1.148 -&gt; now USD 10.53B at latest ECB rate</t>
        </is>
      </c>
      <c r="H5" s="13" t="inlineStr">
        <is>
          <t>https://www.bbraun.com/en/about-us/company/facts-and-figures/annual-report.html</t>
        </is>
      </c>
      <c r="I5" s="13" t="inlineStr">
        <is>
          <t>Key figures table; Annual Report PDF p.8</t>
        </is>
      </c>
      <c r="J5" s="13" t="inlineStr">
        <is>
          <t>PDF: https://www.bbraun.com/content/dam/b-braun/master/website-6/en/04_about-us/0401_company/facts-and-figures/2025_B_Braun_Annual_Report.pdf</t>
        </is>
      </c>
    </row>
    <row r="6">
      <c r="A6" s="13" t="inlineStr">
        <is>
          <t>B. Braun</t>
        </is>
      </c>
      <c r="B6" s="13" t="inlineStr">
        <is>
          <t>Hospital Care division sales (incl. infusion therapy)</t>
        </is>
      </c>
      <c r="C6" s="13" t="inlineStr">
        <is>
          <t>FY2025</t>
        </is>
      </c>
      <c r="D6" s="29" t="n">
        <v>5090.8</v>
      </c>
      <c r="E6" s="30">
        <f>IF(D6="","n/a",D6*$B$2/1000)</f>
        <v/>
      </c>
      <c r="F6" s="13" t="inlineStr">
        <is>
          <t>-</t>
        </is>
      </c>
      <c r="G6" s="13" t="inlineStr">
        <is>
          <t>Closest infusion proxy</t>
        </is>
      </c>
      <c r="H6" s="13" t="inlineStr">
        <is>
          <t>https://www.bbraun.com/content/dam/b-braun/master/website-6/en/04_about-us/0401_company/facts-and-figures/2025_B_Braun_Annual_Report.pdf</t>
        </is>
      </c>
      <c r="I6" s="13" t="inlineStr">
        <is>
          <t>PDF p.43 (section 4.9); p.8 'Hospital Care 5,091 ... infusion therapy, nutrition therapy and pain therapy'</t>
        </is>
      </c>
      <c r="J6" s="13" t="inlineStr">
        <is>
          <t>Pump-only revenue not disclosed. AR p.41 notes protectionist procurement in China and India affected foreign medical device sales.</t>
        </is>
      </c>
    </row>
    <row r="7">
      <c r="A7" s="13" t="inlineStr">
        <is>
          <t>B. Braun</t>
        </is>
      </c>
      <c r="B7" s="13" t="inlineStr">
        <is>
          <t>B. Braun Medical (India) Pvt Ltd - revenue</t>
        </is>
      </c>
      <c r="C7" s="13" t="inlineStr">
        <is>
          <t>FY2025 (Mar-25)</t>
        </is>
      </c>
      <c r="D7" s="29" t="n"/>
      <c r="E7" s="30">
        <f>IF(D7="","n/a",D7*$B$2/1000)</f>
        <v/>
      </c>
      <c r="F7" s="13" t="inlineStr">
        <is>
          <t>INR 500-750 Cr</t>
        </is>
      </c>
      <c r="G7" s="13" t="inlineStr">
        <is>
          <t>UNOFFICIAL - not used on slide</t>
        </is>
      </c>
      <c r="H7" s="13" t="inlineStr">
        <is>
          <t>https://www.tofler.in/b-braun-medical-india-private-limited/company/U33112MH1984PTC214514</t>
        </is>
      </c>
      <c r="I7" s="13" t="inlineStr">
        <is>
          <t>Key metrics (range; exact figure paywalled)</t>
        </is>
      </c>
      <c r="J7" s="13" t="inlineStr">
        <is>
          <t>Tofler: revenue growth 13.34%. Tracxn range INR 500-1,000 Cr: https://tracxn.com/d/legal-entities/india/b.braun-medical-india-private-limited/__bN1KxXSC4dkyGIflutZRBCshiSEXqK9hrOWP4hHQsdA</t>
        </is>
      </c>
    </row>
    <row r="8">
      <c r="A8" s="13" t="inlineStr">
        <is>
          <t>Fresenius Kabi</t>
        </is>
      </c>
      <c r="B8" s="13" t="inlineStr">
        <is>
          <t>Fresenius Kabi segment revenue</t>
        </is>
      </c>
      <c r="C8" s="13" t="inlineStr">
        <is>
          <t>FY2025 (Dec-25)</t>
        </is>
      </c>
      <c r="D8" s="29" t="n">
        <v>8612</v>
      </c>
      <c r="E8" s="30">
        <f>IF(D8="","n/a",D8*$B$2/1000)</f>
        <v/>
      </c>
      <c r="F8" s="13" t="inlineStr">
        <is>
          <t>~$9.89B (FY25)</t>
        </is>
      </c>
      <c r="G8" s="13" t="inlineStr">
        <is>
          <t>EUR figure matches; sample USD used ~1.148 -&gt; now USD 9.65B at latest ECB rate</t>
        </is>
      </c>
      <c r="H8" s="13" t="inlineStr">
        <is>
          <t>https://report.fresenius.com/2025/annual-report/financial-statements/segment-reporting.html</t>
        </is>
      </c>
      <c r="I8" s="13" t="inlineStr">
        <is>
          <t>Segment table; Annual Report PDF p.5 and p.117</t>
        </is>
      </c>
      <c r="J8" s="13" t="inlineStr">
        <is>
          <t>PDF: https://www.fresenius.com/sites/default/files/2026-03/fresenius_annual_report_2025_0.pdf</t>
        </is>
      </c>
    </row>
    <row r="9">
      <c r="A9" s="13" t="inlineStr">
        <is>
          <t>Fresenius Kabi</t>
        </is>
      </c>
      <c r="B9" s="13" t="inlineStr">
        <is>
          <t>MedTech business revenue (incl. infusion pumps)</t>
        </is>
      </c>
      <c r="C9" s="13" t="inlineStr">
        <is>
          <t>FY2025</t>
        </is>
      </c>
      <c r="D9" s="29" t="n">
        <v>1610</v>
      </c>
      <c r="E9" s="30">
        <f>IF(D9="","n/a",D9*$B$2/1000)</f>
        <v/>
      </c>
      <c r="F9" s="13" t="inlineStr">
        <is>
          <t>-</t>
        </is>
      </c>
      <c r="G9" s="13" t="inlineStr">
        <is>
          <t>Closest infusion proxy</t>
        </is>
      </c>
      <c r="H9" s="13" t="inlineStr">
        <is>
          <t>https://www.fresenius.com/sites/default/files/2026-03/fresenius_annual_report_2025_0.pdf</t>
        </is>
      </c>
      <c r="I9" s="13" t="inlineStr">
        <is>
          <t>PDF p.117 (printed p.116): 'Revenue in the MedTech business increased ... to EUR 1,610 million'</t>
        </is>
      </c>
      <c r="J9" s="13" t="inlineStr">
        <is>
          <t>Also includes transfusion, disposables and Ivenix (US). Pump-only revenue not disclosed.</t>
        </is>
      </c>
    </row>
    <row r="10">
      <c r="A10" s="13" t="inlineStr">
        <is>
          <t>Fresenius Kabi</t>
        </is>
      </c>
      <c r="B10" s="13" t="inlineStr">
        <is>
          <t>Fresenius Kabi India Pvt Ltd - revenue</t>
        </is>
      </c>
      <c r="C10" s="13" t="inlineStr">
        <is>
          <t>FY2025 (Mar-25)</t>
        </is>
      </c>
      <c r="D10" s="29" t="n"/>
      <c r="E10" s="30">
        <f>IF(D10="","n/a",D10*$B$2/1000)</f>
        <v/>
      </c>
      <c r="F10" s="13" t="inlineStr">
        <is>
          <t>INR 750-1,000 Cr</t>
        </is>
      </c>
      <c r="G10" s="13" t="inlineStr">
        <is>
          <t>UNOFFICIAL - not used on slide</t>
        </is>
      </c>
      <c r="H10" s="13" t="inlineStr">
        <is>
          <t>https://www.tofler.in/fresenius-kabi-india-private-limited/company/U24231PN1995PTC014017</t>
        </is>
      </c>
      <c r="I10" s="13" t="inlineStr">
        <is>
          <t>Key metrics (range; exact figure paywalled)</t>
        </is>
      </c>
      <c r="J10" s="13" t="inlineStr">
        <is>
          <t>Tofler revenue growth 9.83%. Entity covers pumps, disposables, nutrition, oncology etc. (Fresenius Kabi Oncology Ltd is a separate entity.)</t>
        </is>
      </c>
    </row>
  </sheetData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70" customWidth="1" min="3" max="3"/>
    <col width="26" customWidth="1" min="4" max="4"/>
    <col width="18" customWidth="1" min="5" max="5"/>
    <col width="55" customWidth="1" min="6" max="6"/>
  </cols>
  <sheetData>
    <row r="1">
      <c r="A1" s="5" t="inlineStr">
        <is>
          <t>Company</t>
        </is>
      </c>
      <c r="B1" s="5" t="inlineStr">
        <is>
          <t>Product / purpose</t>
        </is>
      </c>
      <c r="C1" s="5" t="inlineStr">
        <is>
          <t>URL (client-facing)</t>
        </is>
      </c>
      <c r="D1" s="5" t="inlineStr">
        <is>
          <t>Source type</t>
        </is>
      </c>
      <c r="E1" s="5" t="inlineStr">
        <is>
          <t>Status</t>
        </is>
      </c>
      <c r="F1" s="5" t="inlineStr">
        <is>
          <t>Reason / note</t>
        </is>
      </c>
    </row>
    <row r="2">
      <c r="A2" s="13" t="inlineStr">
        <is>
          <t>B. Braun</t>
        </is>
      </c>
      <c r="B2" s="13" t="inlineStr">
        <is>
          <t>India catalogue - automated infusion systems (master list)</t>
        </is>
      </c>
      <c r="C2" s="31" t="inlineStr">
        <is>
          <t>https://catalogs.bbraun.co.in/en-IN/c/PRODUCTS0000000529/automated-infusion-systems</t>
        </is>
      </c>
      <c r="D2" s="21" t="inlineStr">
        <is>
          <t>Official India website</t>
        </is>
      </c>
      <c r="E2" s="13" t="inlineStr">
        <is>
          <t>KEEP</t>
        </is>
      </c>
      <c r="F2" s="13" t="inlineStr">
        <is>
          <t>Shows the 4 families listed in India</t>
        </is>
      </c>
    </row>
    <row r="3">
      <c r="A3" s="13" t="inlineStr">
        <is>
          <t>B. Braun</t>
        </is>
      </c>
      <c r="B3" s="13" t="inlineStr">
        <is>
          <t>Perfusor compact</t>
        </is>
      </c>
      <c r="C3" s="31" t="inlineStr">
        <is>
          <t>https://catalogs.bbraun.co.in/en-IN/p/PRID00000461</t>
        </is>
      </c>
      <c r="D3" s="21" t="inlineStr">
        <is>
          <t>Official India website</t>
        </is>
      </c>
      <c r="E3" s="13" t="inlineStr">
        <is>
          <t>ADDED</t>
        </is>
      </c>
      <c r="F3" s="13" t="inlineStr">
        <is>
          <t>Standard</t>
        </is>
      </c>
    </row>
    <row r="4">
      <c r="A4" s="13" t="inlineStr">
        <is>
          <t>B. Braun</t>
        </is>
      </c>
      <c r="B4" s="13" t="inlineStr">
        <is>
          <t>Perfusor compact S</t>
        </is>
      </c>
      <c r="C4" s="31" t="inlineStr">
        <is>
          <t>https://catalogs.bbraun.co.in/en-IN/p/PRID00000145</t>
        </is>
      </c>
      <c r="D4" s="21" t="inlineStr">
        <is>
          <t>Official India website</t>
        </is>
      </c>
      <c r="E4" s="13" t="inlineStr">
        <is>
          <t>ADDED</t>
        </is>
      </c>
      <c r="F4" s="13" t="inlineStr">
        <is>
          <t>Standard</t>
        </is>
      </c>
    </row>
    <row r="5">
      <c r="A5" s="13" t="inlineStr">
        <is>
          <t>B. Braun</t>
        </is>
      </c>
      <c r="B5" s="13" t="inlineStr">
        <is>
          <t>Perfusor compactplus</t>
        </is>
      </c>
      <c r="C5" s="31" t="inlineStr">
        <is>
          <t>https://catalogs.bbraun.co.in/en-IN/p/PRID00010216</t>
        </is>
      </c>
      <c r="D5" s="21" t="inlineStr">
        <is>
          <t>Official India website</t>
        </is>
      </c>
      <c r="E5" s="13" t="inlineStr">
        <is>
          <t>REPLACES global link</t>
        </is>
      </c>
      <c r="F5" s="13" t="inlineStr">
        <is>
          <t>India equivalent of catalogs.bbraun.com/en-01/p/PRID00010216</t>
        </is>
      </c>
    </row>
    <row r="6">
      <c r="A6" s="13" t="inlineStr">
        <is>
          <t>B. Braun</t>
        </is>
      </c>
      <c r="B6" s="13" t="inlineStr">
        <is>
          <t>Data module compactplus (connectivity add-on)</t>
        </is>
      </c>
      <c r="C6" s="31" t="inlineStr">
        <is>
          <t>https://catalogs.bbraun.co.in/en-IN/p/PRID00011150</t>
        </is>
      </c>
      <c r="D6" s="21" t="inlineStr">
        <is>
          <t>Official India website</t>
        </is>
      </c>
      <c r="E6" s="13" t="inlineStr">
        <is>
          <t>ADDED</t>
        </is>
      </c>
      <c r="F6" s="13" t="inlineStr">
        <is>
          <t>Proves connectivity is optional -&gt; Smart**</t>
        </is>
      </c>
    </row>
    <row r="7">
      <c r="A7" s="13" t="inlineStr">
        <is>
          <t>B. Braun</t>
        </is>
      </c>
      <c r="B7" s="13" t="inlineStr">
        <is>
          <t>compactplus brochure (p.5 data module, p.6 DoseGuard)</t>
        </is>
      </c>
      <c r="C7" s="31" t="inlineStr">
        <is>
          <t>https://ecatalog.bbraun.com/eDoc/QlBSMDAwMDAwMDAwMDAwMDAwMTAwMDE4NTA5OTAwMDAw?openInline=true</t>
        </is>
      </c>
      <c r="D7" s="13" t="inlineStr">
        <is>
          <t>Brochure linked from India catalogue</t>
        </is>
      </c>
      <c r="E7" s="13" t="inlineStr">
        <is>
          <t>ADDED</t>
        </is>
      </c>
      <c r="F7" s="13" t="inlineStr"/>
    </row>
    <row r="8">
      <c r="A8" s="13" t="inlineStr">
        <is>
          <t>B. Braun</t>
        </is>
      </c>
      <c r="B8" s="13" t="inlineStr">
        <is>
          <t>Perfusor Space</t>
        </is>
      </c>
      <c r="C8" s="31" t="inlineStr">
        <is>
          <t>https://catalogs.bbraun.co.in/en-IN/p/PRID00001226</t>
        </is>
      </c>
      <c r="D8" s="21" t="inlineStr">
        <is>
          <t>Official India website</t>
        </is>
      </c>
      <c r="E8" s="13" t="inlineStr">
        <is>
          <t>ADDED</t>
        </is>
      </c>
      <c r="F8" s="13" t="inlineStr">
        <is>
          <t>Drug library under 'Overview &amp; Texts' tab</t>
        </is>
      </c>
    </row>
    <row r="9">
      <c r="A9" s="13" t="inlineStr">
        <is>
          <t>B. Braun</t>
        </is>
      </c>
      <c r="B9" s="13" t="inlineStr">
        <is>
          <t>Infusomat fmS</t>
        </is>
      </c>
      <c r="C9" s="31" t="inlineStr">
        <is>
          <t>https://catalogs.bbraun.co.in/en-IN/p/PRID00000618</t>
        </is>
      </c>
      <c r="D9" s="21" t="inlineStr">
        <is>
          <t>Official India website</t>
        </is>
      </c>
      <c r="E9" s="13" t="inlineStr">
        <is>
          <t>ADDED</t>
        </is>
      </c>
      <c r="F9" s="13" t="inlineStr">
        <is>
          <t>Standard</t>
        </is>
      </c>
    </row>
    <row r="10">
      <c r="A10" s="13" t="inlineStr">
        <is>
          <t>B. Braun</t>
        </is>
      </c>
      <c r="B10" s="13" t="inlineStr">
        <is>
          <t>Infusomat P</t>
        </is>
      </c>
      <c r="C10" s="31" t="inlineStr">
        <is>
          <t>https://catalogs.bbraun.co.in/en-IN/p/PRID00000689</t>
        </is>
      </c>
      <c r="D10" s="21" t="inlineStr">
        <is>
          <t>Official India website</t>
        </is>
      </c>
      <c r="E10" s="13" t="inlineStr">
        <is>
          <t>ADDED</t>
        </is>
      </c>
      <c r="F10" s="13" t="inlineStr">
        <is>
          <t>Standard</t>
        </is>
      </c>
    </row>
    <row r="11">
      <c r="A11" s="13" t="inlineStr">
        <is>
          <t>B. Braun</t>
        </is>
      </c>
      <c r="B11" s="13" t="inlineStr">
        <is>
          <t>Infusomat compactplus</t>
        </is>
      </c>
      <c r="C11" s="31" t="inlineStr">
        <is>
          <t>https://catalogs.bbraun.co.in/en-IN/p/PRID00011042</t>
        </is>
      </c>
      <c r="D11" s="21" t="inlineStr">
        <is>
          <t>Official India website</t>
        </is>
      </c>
      <c r="E11" s="13" t="inlineStr">
        <is>
          <t>REPLACES global link</t>
        </is>
      </c>
      <c r="F11" s="13" t="inlineStr">
        <is>
          <t>India equivalent of catalogs.bbraun.com/en-01/p/PRID00011042</t>
        </is>
      </c>
    </row>
    <row r="12">
      <c r="A12" s="13" t="inlineStr">
        <is>
          <t>B. Braun</t>
        </is>
      </c>
      <c r="B12" s="13" t="inlineStr">
        <is>
          <t>Infusomat compactplus P</t>
        </is>
      </c>
      <c r="C12" s="31" t="inlineStr">
        <is>
          <t>https://catalogs.bbraun.co.in/en-IN/p/PRID00012086</t>
        </is>
      </c>
      <c r="D12" s="21" t="inlineStr">
        <is>
          <t>Official India website</t>
        </is>
      </c>
      <c r="E12" s="13" t="inlineStr">
        <is>
          <t>ADDED</t>
        </is>
      </c>
      <c r="F12" s="13" t="inlineStr"/>
    </row>
    <row r="13">
      <c r="A13" s="13" t="inlineStr">
        <is>
          <t>B. Braun</t>
        </is>
      </c>
      <c r="B13" s="13" t="inlineStr">
        <is>
          <t>Infusomat Space P</t>
        </is>
      </c>
      <c r="C13" s="31" t="inlineStr">
        <is>
          <t>https://catalogs.bbraun.co.in/en-IN/p/PRID00001230</t>
        </is>
      </c>
      <c r="D13" s="21" t="inlineStr">
        <is>
          <t>Official India website</t>
        </is>
      </c>
      <c r="E13" s="13" t="inlineStr">
        <is>
          <t>ADDED</t>
        </is>
      </c>
      <c r="F13" s="13" t="inlineStr"/>
    </row>
    <row r="14">
      <c r="A14" s="13" t="inlineStr">
        <is>
          <t>B. Braun</t>
        </is>
      </c>
      <c r="B14" s="13" t="inlineStr">
        <is>
          <t>Spaceplus Infusomat</t>
        </is>
      </c>
      <c r="C14" s="31" t="inlineStr">
        <is>
          <t>https://catalogs.bbraun.co.in/en-IN/p/PRID00011860</t>
        </is>
      </c>
      <c r="D14" s="21" t="inlineStr">
        <is>
          <t>Official India website</t>
        </is>
      </c>
      <c r="E14" s="13" t="inlineStr">
        <is>
          <t>REPLACES global link</t>
        </is>
      </c>
      <c r="F14" s="13" t="inlineStr">
        <is>
          <t>India equivalent of catalogs.bbraun.com/en-01/p/PRID00011860</t>
        </is>
      </c>
    </row>
    <row r="15">
      <c r="A15" s="13" t="inlineStr">
        <is>
          <t>B. Braun</t>
        </is>
      </c>
      <c r="B15" s="13" t="inlineStr">
        <is>
          <t>Annual Report 2025 (revenue)</t>
        </is>
      </c>
      <c r="C15" s="31" t="inlineStr">
        <is>
          <t>https://www.bbraun.com/en/about-us/company/facts-and-figures/annual-report.html</t>
        </is>
      </c>
      <c r="D15" s="13" t="inlineStr">
        <is>
          <t>Company annual report</t>
        </is>
      </c>
      <c r="E15" s="13" t="inlineStr">
        <is>
          <t>KEEP</t>
        </is>
      </c>
      <c r="F15" s="13" t="inlineStr">
        <is>
          <t>Group sales EUR 9,396mn</t>
        </is>
      </c>
    </row>
    <row r="16">
      <c r="A16" s="13" t="inlineStr">
        <is>
          <t>B. Braun</t>
        </is>
      </c>
      <c r="B16" s="13" t="inlineStr">
        <is>
          <t>Annual Report 2025 PDF (p.8, p.43)</t>
        </is>
      </c>
      <c r="C16" s="31" t="inlineStr">
        <is>
          <t>https://www.bbraun.com/content/dam/b-braun/master/website-6/en/04_about-us/0401_company/facts-and-figures/2025_B_Braun_Annual_Report.pdf</t>
        </is>
      </c>
      <c r="D16" s="13" t="inlineStr">
        <is>
          <t>Company annual report</t>
        </is>
      </c>
      <c r="E16" s="13" t="inlineStr">
        <is>
          <t>ADDED</t>
        </is>
      </c>
      <c r="F16" s="13" t="inlineStr">
        <is>
          <t>Hospital Care division sales</t>
        </is>
      </c>
    </row>
    <row r="17">
      <c r="A17" s="13" t="inlineStr">
        <is>
          <t>B. Braun</t>
        </is>
      </c>
      <c r="B17" s="13" t="inlineStr">
        <is>
          <t>India entity financials</t>
        </is>
      </c>
      <c r="C17" s="31" t="inlineStr">
        <is>
          <t>https://www.tofler.in/b-braun-medical-india-private-limited/company/U33112MH1984PTC214514</t>
        </is>
      </c>
      <c r="D17" s="13" t="inlineStr">
        <is>
          <t>Third-party data aggregator</t>
        </is>
      </c>
      <c r="E17" s="13" t="inlineStr">
        <is>
          <t>ADDED</t>
        </is>
      </c>
      <c r="F17" s="13" t="inlineStr">
        <is>
          <t>Revenue range only</t>
        </is>
      </c>
    </row>
    <row r="18">
      <c r="A18" s="13" t="inlineStr">
        <is>
          <t>B. Braun</t>
        </is>
      </c>
      <c r="B18" s="13" t="inlineStr">
        <is>
          <t>compactplus system (global page)</t>
        </is>
      </c>
      <c r="C18" s="31" t="inlineStr">
        <is>
          <t>https://www.bbraun.com/en/products-and-solutions/therapies/infusion-therapy/automated-infusion-systems/compactplus-system.html</t>
        </is>
      </c>
      <c r="D18" s="13" t="inlineStr">
        <is>
          <t>Global website</t>
        </is>
      </c>
      <c r="E18" s="32" t="inlineStr">
        <is>
          <t>DROP</t>
        </is>
      </c>
      <c r="F18" s="13" t="inlineStr">
        <is>
          <t>Global page; India catalogue pages cover the same products</t>
        </is>
      </c>
    </row>
    <row r="19">
      <c r="A19" s="13" t="inlineStr">
        <is>
          <t>B. Braun</t>
        </is>
      </c>
      <c r="B19" s="13" t="inlineStr">
        <is>
          <t>Spaceplus Perfusor (global catalogue)</t>
        </is>
      </c>
      <c r="C19" s="31" t="inlineStr">
        <is>
          <t>https://catalogs.bbraun.com/en-01/p/PRID00011858/spaceplus-perfusor</t>
        </is>
      </c>
      <c r="D19" s="13" t="inlineStr">
        <is>
          <t>Global website</t>
        </is>
      </c>
      <c r="E19" s="32" t="inlineStr">
        <is>
          <t>DROP</t>
        </is>
      </c>
      <c r="F19" s="13" t="inlineStr">
        <is>
          <t>Not listed on India catalogue (India URL returns 'No results')</t>
        </is>
      </c>
    </row>
    <row r="20">
      <c r="A20" s="13" t="inlineStr">
        <is>
          <t>Fresenius Kabi</t>
        </is>
      </c>
      <c r="B20" s="13" t="inlineStr">
        <is>
          <t>India - Infusion Therapy (navigation)</t>
        </is>
      </c>
      <c r="C20" s="31" t="inlineStr">
        <is>
          <t>https://www.fresenius-kabi.com/in/products/ins/infusion-therapy</t>
        </is>
      </c>
      <c r="D20" s="21" t="inlineStr">
        <is>
          <t>Official India website</t>
        </is>
      </c>
      <c r="E20" s="13" t="inlineStr">
        <is>
          <t>KEEP</t>
        </is>
      </c>
      <c r="F20" s="13" t="inlineStr">
        <is>
          <t>Navigation only</t>
        </is>
      </c>
    </row>
    <row r="21">
      <c r="A21" s="13" t="inlineStr">
        <is>
          <t>Fresenius Kabi</t>
        </is>
      </c>
      <c r="B21" s="13" t="inlineStr">
        <is>
          <t>India - Agilia range (lists SP, SP MC, SP TIVA only)</t>
        </is>
      </c>
      <c r="C21" s="31" t="inlineStr">
        <is>
          <t>https://www.fresenius-kabi.com/in/products/ins/infusion-therapy/agilia-range</t>
        </is>
      </c>
      <c r="D21" s="21" t="inlineStr">
        <is>
          <t>Official India website</t>
        </is>
      </c>
      <c r="E21" s="13" t="inlineStr">
        <is>
          <t>ADDED</t>
        </is>
      </c>
      <c r="F21" s="13" t="inlineStr">
        <is>
          <t>Shows no Agilia volumetric pump on India site</t>
        </is>
      </c>
    </row>
    <row r="22">
      <c r="A22" s="13" t="inlineStr">
        <is>
          <t>Fresenius Kabi</t>
        </is>
      </c>
      <c r="B22" s="13" t="inlineStr">
        <is>
          <t>India - Infusia range</t>
        </is>
      </c>
      <c r="C22" s="31" t="inlineStr">
        <is>
          <t>https://www.fresenius-kabi.com/in/products/ins/infusion-therapy/infusia-range</t>
        </is>
      </c>
      <c r="D22" s="21" t="inlineStr">
        <is>
          <t>Official India website</t>
        </is>
      </c>
      <c r="E22" s="13" t="inlineStr">
        <is>
          <t>KEEP</t>
        </is>
      </c>
      <c r="F22" s="13" t="inlineStr"/>
    </row>
    <row r="23">
      <c r="A23" s="13" t="inlineStr">
        <is>
          <t>Fresenius Kabi</t>
        </is>
      </c>
      <c r="B23" s="13" t="inlineStr">
        <is>
          <t>Infusia SP7s</t>
        </is>
      </c>
      <c r="C23" s="31" t="inlineStr">
        <is>
          <t>https://www.fresenius-kabi.com/in/products/ins/infusion-therapy/infusia-range/infusia-sp7sed3</t>
        </is>
      </c>
      <c r="D23" s="21" t="inlineStr">
        <is>
          <t>Official India website</t>
        </is>
      </c>
      <c r="E23" s="13" t="inlineStr">
        <is>
          <t>KEEP</t>
        </is>
      </c>
      <c r="F23" s="13" t="inlineStr">
        <is>
          <t>Duplicate in source list removed</t>
        </is>
      </c>
    </row>
    <row r="24">
      <c r="A24" s="13" t="inlineStr">
        <is>
          <t>Fresenius Kabi</t>
        </is>
      </c>
      <c r="B24" s="13" t="inlineStr">
        <is>
          <t>Infusia VP7s</t>
        </is>
      </c>
      <c r="C24" s="31" t="inlineStr">
        <is>
          <t>https://www.fresenius-kabi.com/in/products/ins/infusion-therapy/infusia-range/infusia-vp7sed3</t>
        </is>
      </c>
      <c r="D24" s="21" t="inlineStr">
        <is>
          <t>Official India website</t>
        </is>
      </c>
      <c r="E24" s="13" t="inlineStr">
        <is>
          <t>KEEP</t>
        </is>
      </c>
      <c r="F24" s="13" t="inlineStr"/>
    </row>
    <row r="25">
      <c r="A25" s="13" t="inlineStr">
        <is>
          <t>Fresenius Kabi</t>
        </is>
      </c>
      <c r="B25" s="13" t="inlineStr">
        <is>
          <t>Agilia SP</t>
        </is>
      </c>
      <c r="C25" s="31" t="inlineStr">
        <is>
          <t>https://www.fresenius-kabi.com/in/products/ins/infusion-therapy/agilia-range/agilia-sp</t>
        </is>
      </c>
      <c r="D25" s="21" t="inlineStr">
        <is>
          <t>Official India website</t>
        </is>
      </c>
      <c r="E25" s="13" t="inlineStr">
        <is>
          <t>ADDED</t>
        </is>
      </c>
      <c r="F25" s="13" t="inlineStr"/>
    </row>
    <row r="26">
      <c r="A26" s="13" t="inlineStr">
        <is>
          <t>Fresenius Kabi</t>
        </is>
      </c>
      <c r="B26" s="13" t="inlineStr">
        <is>
          <t>Agilia SP MC / SP MC WiFi</t>
        </is>
      </c>
      <c r="C26" s="31" t="inlineStr">
        <is>
          <t>https://www.fresenius-kabi.com/in/products/ins/infusion-therapy/agilia-range/agilia-sp-mc</t>
        </is>
      </c>
      <c r="D26" s="21" t="inlineStr">
        <is>
          <t>Official India website</t>
        </is>
      </c>
      <c r="E26" s="13" t="inlineStr">
        <is>
          <t>KEEP</t>
        </is>
      </c>
      <c r="F26" s="13" t="inlineStr">
        <is>
          <t>Covers both SP MC and SP MC WiFi</t>
        </is>
      </c>
    </row>
    <row r="27">
      <c r="A27" s="13" t="inlineStr">
        <is>
          <t>Fresenius Kabi</t>
        </is>
      </c>
      <c r="B27" s="13" t="inlineStr">
        <is>
          <t>Agilia SP TIVA</t>
        </is>
      </c>
      <c r="C27" s="31" t="inlineStr">
        <is>
          <t>https://www.fresenius-kabi.com/in/products/ins/infusion-therapy/agilia-range/agilia-sp-tiva</t>
        </is>
      </c>
      <c r="D27" s="21" t="inlineStr">
        <is>
          <t>Official India website</t>
        </is>
      </c>
      <c r="E27" s="13" t="inlineStr">
        <is>
          <t>ADDED</t>
        </is>
      </c>
      <c r="F27" s="13" t="inlineStr"/>
    </row>
    <row r="28">
      <c r="A28" s="13" t="inlineStr">
        <is>
          <t>Fresenius Kabi</t>
        </is>
      </c>
      <c r="B28" s="13" t="inlineStr">
        <is>
          <t>Agilia VP (distributor)</t>
        </is>
      </c>
      <c r="C28" s="31" t="inlineStr">
        <is>
          <t>https://arraymed.co.in/product/fresenius-kabi-agilia-vp/</t>
        </is>
      </c>
      <c r="D28" s="25" t="inlineStr">
        <is>
          <t>Third-party (India distributor)</t>
        </is>
      </c>
      <c r="E28" s="13" t="inlineStr">
        <is>
          <t>KEEP (peach)</t>
        </is>
      </c>
      <c r="F28" s="13" t="inlineStr">
        <is>
          <t>Ignore the page's brochure button - wrong PDF</t>
        </is>
      </c>
    </row>
    <row r="29">
      <c r="A29" s="13" t="inlineStr">
        <is>
          <t>Fresenius Kabi</t>
        </is>
      </c>
      <c r="B29" s="13" t="inlineStr">
        <is>
          <t>Agilia SP (drug-library evidence)</t>
        </is>
      </c>
      <c r="C29" s="31" t="inlineStr">
        <is>
          <t>https://arraymed.co.in/product/fresenius-kabi-agilia-sp/</t>
        </is>
      </c>
      <c r="D29" s="25" t="inlineStr">
        <is>
          <t>Third-party (India distributor)</t>
        </is>
      </c>
      <c r="E29" s="13" t="inlineStr">
        <is>
          <t>ADDED (peach)</t>
        </is>
      </c>
      <c r="F29" s="13" t="inlineStr"/>
    </row>
    <row r="30">
      <c r="A30" s="13" t="inlineStr">
        <is>
          <t>Fresenius Kabi</t>
        </is>
      </c>
      <c r="B30" s="13" t="inlineStr">
        <is>
          <t>Agilia SP MC (drug-library evidence)</t>
        </is>
      </c>
      <c r="C30" s="31" t="inlineStr">
        <is>
          <t>https://arraymed.co.in/product/fresenius-kabi-agilia-spmc/</t>
        </is>
      </c>
      <c r="D30" s="25" t="inlineStr">
        <is>
          <t>Third-party (India distributor)</t>
        </is>
      </c>
      <c r="E30" s="13" t="inlineStr">
        <is>
          <t>ADDED (peach)</t>
        </is>
      </c>
      <c r="F30" s="13" t="inlineStr"/>
    </row>
    <row r="31">
      <c r="A31" s="13" t="inlineStr">
        <is>
          <t>Fresenius Kabi</t>
        </is>
      </c>
      <c r="B31" s="13" t="inlineStr">
        <is>
          <t>Agilia SP TIVA (WiFi variant evidence)</t>
        </is>
      </c>
      <c r="C31" s="31" t="inlineStr">
        <is>
          <t>https://arraymed.co.in/product/fresenius-kabi-agilia-tiva-pump/</t>
        </is>
      </c>
      <c r="D31" s="25" t="inlineStr">
        <is>
          <t>Third-party (India distributor)</t>
        </is>
      </c>
      <c r="E31" s="13" t="inlineStr">
        <is>
          <t>ADDED (peach)</t>
        </is>
      </c>
      <c r="F31" s="13" t="inlineStr"/>
    </row>
    <row r="32">
      <c r="A32" s="13" t="inlineStr">
        <is>
          <t>Fresenius Kabi</t>
        </is>
      </c>
      <c r="B32" s="13" t="inlineStr">
        <is>
          <t>Agilia SP MC / SP MC WiFi data sheet</t>
        </is>
      </c>
      <c r="C32" s="31" t="inlineStr">
        <is>
          <t>https://www.fresenius-kabi.com/content/dam/fresenius-kabi/gb/products/product-documents/medtech/agilia-connect-sp/IFT265%20Agilia%20SP%20Connect%20Datasheet.pdf.coredownload.inline.pdf</t>
        </is>
      </c>
      <c r="D32" s="13" t="inlineStr">
        <is>
          <t>Company brochure (global)</t>
        </is>
      </c>
      <c r="E32" s="13" t="inlineStr">
        <is>
          <t>ADDED (backup)</t>
        </is>
      </c>
      <c r="F32" s="13" t="inlineStr">
        <is>
          <t>'Wireless LAN (For Agilia SP MC WiFi only)'; 19 drug libraries</t>
        </is>
      </c>
    </row>
    <row r="33">
      <c r="A33" s="13" t="inlineStr">
        <is>
          <t>Fresenius Kabi</t>
        </is>
      </c>
      <c r="B33" s="13" t="inlineStr">
        <is>
          <t>Segment reporting FY2025 (revenue)</t>
        </is>
      </c>
      <c r="C33" s="31" t="inlineStr">
        <is>
          <t>https://report.fresenius.com/2025/annual-report/financial-statements/segment-reporting.html</t>
        </is>
      </c>
      <c r="D33" s="13" t="inlineStr">
        <is>
          <t>Company annual report</t>
        </is>
      </c>
      <c r="E33" s="13" t="inlineStr">
        <is>
          <t>KEEP</t>
        </is>
      </c>
      <c r="F33" s="13" t="inlineStr">
        <is>
          <t>Kabi revenue EUR 8,612mn (duplicate in source list removed)</t>
        </is>
      </c>
    </row>
    <row r="34">
      <c r="A34" s="13" t="inlineStr">
        <is>
          <t>Fresenius Kabi</t>
        </is>
      </c>
      <c r="B34" s="13" t="inlineStr">
        <is>
          <t>Annual Report 2025 PDF (p.5, p.117)</t>
        </is>
      </c>
      <c r="C34" s="31" t="inlineStr">
        <is>
          <t>https://www.fresenius.com/sites/default/files/2026-03/fresenius_annual_report_2025_0.pdf</t>
        </is>
      </c>
      <c r="D34" s="13" t="inlineStr">
        <is>
          <t>Company annual report</t>
        </is>
      </c>
      <c r="E34" s="13" t="inlineStr">
        <is>
          <t>KEEP</t>
        </is>
      </c>
      <c r="F34" s="13" t="inlineStr">
        <is>
          <t>p.117 for MedTech EUR 1,610mn</t>
        </is>
      </c>
    </row>
    <row r="35">
      <c r="A35" s="13" t="inlineStr">
        <is>
          <t>Fresenius Kabi</t>
        </is>
      </c>
      <c r="B35" s="13" t="inlineStr">
        <is>
          <t>India entity financials</t>
        </is>
      </c>
      <c r="C35" s="31" t="inlineStr">
        <is>
          <t>https://www.tofler.in/fresenius-kabi-india-private-limited/company/U24231PN1995PTC014017</t>
        </is>
      </c>
      <c r="D35" s="13" t="inlineStr">
        <is>
          <t>Third-party data aggregator</t>
        </is>
      </c>
      <c r="E35" s="13" t="inlineStr">
        <is>
          <t>ADDED</t>
        </is>
      </c>
      <c r="F35" s="13" t="inlineStr">
        <is>
          <t>Revenue range only</t>
        </is>
      </c>
    </row>
    <row r="36">
      <c r="A36" s="13" t="inlineStr">
        <is>
          <t>Fresenius Kabi</t>
        </is>
      </c>
      <c r="B36" s="13" t="inlineStr">
        <is>
          <t>GB product literature library</t>
        </is>
      </c>
      <c r="C36" s="31" t="inlineStr">
        <is>
          <t>https://www.fresenius-kabi.com/gb/healthcare-professional-area/medtech/product-literature-library</t>
        </is>
      </c>
      <c r="D36" s="13" t="inlineStr">
        <is>
          <t>Global website (GB HCP area)</t>
        </is>
      </c>
      <c r="E36" s="32" t="inlineStr">
        <is>
          <t>DROP</t>
        </is>
      </c>
      <c r="F36" s="13" t="inlineStr">
        <is>
          <t>GB HCP-only area; use the direct data-sheet PDF instead</t>
        </is>
      </c>
    </row>
    <row r="37">
      <c r="A37" s="13" t="inlineStr">
        <is>
          <t>Fresenius Kabi</t>
        </is>
      </c>
      <c r="B37" s="13" t="inlineStr">
        <is>
          <t>Key2 Declaration of Conformity</t>
        </is>
      </c>
      <c r="C37" s="31" t="inlineStr">
        <is>
          <t>https://key2.fresenius-kabi.com/en/regulatory-document/declaration-conformity/mdr/declaration-conformity</t>
        </is>
      </c>
      <c r="D37" s="13" t="inlineStr">
        <is>
          <t>Regulatory document (EU)</t>
        </is>
      </c>
      <c r="E37" s="32" t="inlineStr">
        <is>
          <t>DROP</t>
        </is>
      </c>
      <c r="F37" s="13" t="inlineStr">
        <is>
          <t>EU regulatory document - proves variants exist (SP, SP MC, SP MC WiFi, SP TIVA WiFi) but not India availability</t>
        </is>
      </c>
    </row>
    <row r="38">
      <c r="A38" s="13" t="inlineStr">
        <is>
          <t>Fresenius Kabi</t>
        </is>
      </c>
      <c r="B38" s="13" t="inlineStr">
        <is>
          <t>Agilia VP MC (IndiaMart search; team-verified listing)</t>
        </is>
      </c>
      <c r="C38" s="31" t="inlineStr">
        <is>
          <t>https://dir.indiamart.com/search.mp?ss=agilia+vp+mc+wifi</t>
        </is>
      </c>
      <c r="D38" s="25" t="inlineStr">
        <is>
          <t>Third-party (India distributor)</t>
        </is>
      </c>
      <c r="E38" s="13" t="inlineStr">
        <is>
          <t>ADDED (peach)</t>
        </is>
      </c>
      <c r="F38" s="13" t="inlineStr">
        <is>
          <t>Replace with the product-page URL of the 'Fresenius Kabi Agilia VP MC' listing</t>
        </is>
      </c>
    </row>
    <row r="39">
      <c r="A39" s="13" t="inlineStr">
        <is>
          <t>Fresenius Kabi</t>
        </is>
      </c>
      <c r="B39" s="13" t="inlineStr">
        <is>
          <t>Agilia VP MC / VP MC WiFi data sheet</t>
        </is>
      </c>
      <c r="C39" s="31" t="inlineStr">
        <is>
          <t>https://www.fresenius-kabi.com/content/dam/fresenius-kabi/gb/products/product-documents/medtech/agilia-connect-vp/IFT264%20Agilia%20VPMC%20Connect%20Data%20Sheet.pdf.coredownload.inline.pdf</t>
        </is>
      </c>
      <c r="D39" s="13" t="inlineStr">
        <is>
          <t>Company brochure (global)</t>
        </is>
      </c>
      <c r="E39" s="13" t="inlineStr">
        <is>
          <t>ADDED (backup)</t>
        </is>
      </c>
      <c r="F39" s="13" t="inlineStr">
        <is>
          <t>'Wireless LAN (For Agilia VP MC WiFi only)'; 19 drug libraries</t>
        </is>
      </c>
    </row>
    <row r="40">
      <c r="A40" s="13" t="inlineStr">
        <is>
          <t>BD / Baxter</t>
        </is>
      </c>
      <c r="B40" s="13" t="inlineStr">
        <is>
          <t>All BD and Baxter URLs</t>
        </is>
      </c>
      <c r="C40" s="13" t="inlineStr">
        <is>
          <t>-</t>
        </is>
      </c>
      <c r="D40" s="13" t="inlineStr">
        <is>
          <t>-</t>
        </is>
      </c>
      <c r="E40" s="13" t="inlineStr">
        <is>
          <t>OUT OF SCOPE</t>
        </is>
      </c>
      <c r="F40" s="13" t="inlineStr">
        <is>
          <t>Skipped per instruction</t>
        </is>
      </c>
    </row>
  </sheetData>
  <autoFilter ref="A1:F4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7" t="inlineStr">
        <is>
          <t>Method, assumptions and caveats</t>
        </is>
      </c>
    </row>
    <row r="3" ht="42" customHeight="1">
      <c r="A3" s="33" t="inlineStr">
        <is>
          <t>1. Scope: India market, B. Braun and Fresenius Kabi; syringe and volumetric (large-volume) pumps. BD and Baxter skipped per instruction. Checked October 2026.</t>
        </is>
      </c>
    </row>
    <row r="4" ht="42" customHeight="1">
      <c r="A4" s="33" t="inlineStr">
        <is>
          <t>2. Source priority: (1) company India website, including its catalogue tabs and linked brochures; (2) Indian distributor websites incl. IndiaMart, marked peach; (3) global company pages/data sheets, used only as backup for features and never as proof of India availability.</t>
        </is>
      </c>
    </row>
    <row r="5" ht="42" customHeight="1">
      <c r="A5" s="33" t="inlineStr">
        <is>
          <t>3. Visual check: every India page was opened in a real browser and screenshotted (see evidence/ folder). B. Braun catalogue details sit under 'Read more' / 'Overview &amp; Texts' - click there to see drug-library text.</t>
        </is>
      </c>
    </row>
    <row r="6" ht="42" customHeight="1">
      <c r="A6" s="33" t="inlineStr">
        <is>
          <t>4. Classification rules applied: an add-on connectivity module (e.g., Data module compactplus) or a separate WiFi variant (e.g., Agilia SP MC vs SP MC WiFi) = 'connectivity optional' = Smart**. A basic RS232 / nurse-call port is NOT counted as connectivity.</t>
        </is>
      </c>
    </row>
    <row r="7" ht="42" customHeight="1">
      <c r="A7" s="33" t="inlineStr">
        <is>
          <t>5. Where a product page is silent on the drug library (e.g., FK Agilia SP, SP TIVA), distributor text was used and the evidence column says so.</t>
        </is>
      </c>
    </row>
    <row r="8" ht="42" customHeight="1">
      <c r="A8" s="33" t="inlineStr">
        <is>
          <t>6. LIMITATION: IndiaMart blocks automated access from this environment (HTTP 429). IndiaMart checks were done manually by the project team (screenshot in evidence/).</t>
        </is>
      </c>
    </row>
    <row r="9" ht="42" customHeight="1">
      <c r="A9" s="33" t="inlineStr">
        <is>
          <t>7. LIMITATION: Revenue for the India entities is shown only as ranges (Tofler/Tracxn); exact MCA figures are paywalled. Neither group reports infusion-pump-only revenue; Hospital Care (B. Braun) and MedTech (Fresenius Kabi) are the closest disclosed proxies.</t>
        </is>
      </c>
    </row>
    <row r="10" ht="42" customHeight="1">
      <c r="A10" s="33" t="inlineStr">
        <is>
          <t>8. Revenue in USD uses the latest ECB EUR/USD reference rate 1.1204 (5-Oct-2026) - an editable input on the Revenue tab. Slide shows official (annual report) figures only; India-entity ranges come from aggregators (Tofler/Tracxn) and are kept off the slide. Official India figures would need MCA filings (paid access).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2026-10-05T17:39:43Z</dcterms:created>
  <dcterms:modified xsi:type="dcterms:W3CDTF">2026-10-05T17:39:43Z</dcterms:modified>
</cp:coreProperties>
</file>